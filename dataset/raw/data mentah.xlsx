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ata Skripsi 2025\Data SKRIPSI\"/>
    </mc:Choice>
  </mc:AlternateContent>
  <xr:revisionPtr revIDLastSave="0" documentId="13_ncr:1_{F7D5C8C8-66A3-4364-BFD8-C43A385EA8DB}" xr6:coauthVersionLast="47" xr6:coauthVersionMax="47" xr10:uidLastSave="{00000000-0000-0000-0000-000000000000}"/>
  <bookViews>
    <workbookView xWindow="-120" yWindow="-120" windowWidth="20730" windowHeight="11160" activeTab="4" xr2:uid="{0BA162D3-0BEB-4180-AD0F-29A1183C3A89}"/>
  </bookViews>
  <sheets>
    <sheet name="Sheet1" sheetId="1" r:id="rId1"/>
    <sheet name="data TE" sheetId="2" r:id="rId2"/>
    <sheet name="data TKR" sheetId="3" r:id="rId3"/>
    <sheet name="data tkj" sheetId="4" r:id="rId4"/>
    <sheet name="data AK" sheetId="6" r:id="rId5"/>
  </sheets>
  <externalReferences>
    <externalReference r:id="rId6"/>
  </externalReferenc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139" i="1" l="1"/>
  <c r="U136" i="1"/>
  <c r="S136" i="1"/>
  <c r="R136" i="1"/>
  <c r="N136" i="1"/>
  <c r="M136" i="1"/>
  <c r="L136" i="1"/>
  <c r="G136" i="1"/>
  <c r="F136" i="1"/>
  <c r="W136" i="1" s="1"/>
  <c r="E136" i="1"/>
  <c r="X136" i="1" s="1"/>
  <c r="U135" i="1"/>
  <c r="T135" i="1"/>
  <c r="T137" i="1" s="1"/>
  <c r="S135" i="1"/>
  <c r="R135" i="1"/>
  <c r="N135" i="1"/>
  <c r="M135" i="1"/>
  <c r="L135" i="1"/>
  <c r="G135" i="1"/>
  <c r="F135" i="1"/>
  <c r="E135" i="1"/>
  <c r="U133" i="1"/>
  <c r="S133" i="1"/>
  <c r="R133" i="1"/>
  <c r="N133" i="1"/>
  <c r="M133" i="1"/>
  <c r="L133" i="1"/>
  <c r="L134" i="1" s="1"/>
  <c r="L137" i="1" s="1"/>
  <c r="G133" i="1"/>
  <c r="F133" i="1"/>
  <c r="E133" i="1"/>
  <c r="U132" i="1"/>
  <c r="S132" i="1"/>
  <c r="R132" i="1"/>
  <c r="N132" i="1"/>
  <c r="M132" i="1"/>
  <c r="K132" i="1"/>
  <c r="I132" i="1"/>
  <c r="H132" i="1"/>
  <c r="G132" i="1"/>
  <c r="F132" i="1"/>
  <c r="E132" i="1"/>
  <c r="U131" i="1"/>
  <c r="S131" i="1"/>
  <c r="R131" i="1"/>
  <c r="R134" i="1" s="1"/>
  <c r="N131" i="1"/>
  <c r="M131" i="1"/>
  <c r="K131" i="1"/>
  <c r="I131" i="1"/>
  <c r="H131" i="1"/>
  <c r="G131" i="1"/>
  <c r="F131" i="1"/>
  <c r="E131" i="1"/>
  <c r="X131" i="1" s="1"/>
  <c r="Q130" i="1"/>
  <c r="P130" i="1"/>
  <c r="O130" i="1"/>
  <c r="N130" i="1"/>
  <c r="M130" i="1"/>
  <c r="K130" i="1"/>
  <c r="J130" i="1"/>
  <c r="I130" i="1"/>
  <c r="H130" i="1"/>
  <c r="G130" i="1"/>
  <c r="F130" i="1"/>
  <c r="E130" i="1"/>
  <c r="Q129" i="1"/>
  <c r="Q137" i="1" s="1"/>
  <c r="P129" i="1"/>
  <c r="P137" i="1" s="1"/>
  <c r="O129" i="1"/>
  <c r="O137" i="1" s="1"/>
  <c r="N129" i="1"/>
  <c r="N134" i="1" s="1"/>
  <c r="N137" i="1" s="1"/>
  <c r="M129" i="1"/>
  <c r="K129" i="1"/>
  <c r="K137" i="1" s="1"/>
  <c r="J129" i="1"/>
  <c r="J137" i="1" s="1"/>
  <c r="I129" i="1"/>
  <c r="H129" i="1"/>
  <c r="H137" i="1" s="1"/>
  <c r="G129" i="1"/>
  <c r="G134" i="1" s="1"/>
  <c r="F129" i="1"/>
  <c r="F134" i="1" s="1"/>
  <c r="F137" i="1" s="1"/>
  <c r="E129" i="1"/>
  <c r="U127" i="1"/>
  <c r="S127" i="1"/>
  <c r="R127" i="1"/>
  <c r="N127" i="1"/>
  <c r="M127" i="1"/>
  <c r="L127" i="1"/>
  <c r="G127" i="1"/>
  <c r="F127" i="1"/>
  <c r="E127" i="1"/>
  <c r="U126" i="1"/>
  <c r="T126" i="1"/>
  <c r="T128" i="1" s="1"/>
  <c r="S126" i="1"/>
  <c r="R126" i="1"/>
  <c r="N126" i="1"/>
  <c r="M126" i="1"/>
  <c r="L126" i="1"/>
  <c r="G126" i="1"/>
  <c r="F126" i="1"/>
  <c r="E126" i="1"/>
  <c r="U124" i="1"/>
  <c r="S124" i="1"/>
  <c r="R124" i="1"/>
  <c r="N124" i="1"/>
  <c r="M124" i="1"/>
  <c r="L124" i="1"/>
  <c r="L125" i="1" s="1"/>
  <c r="G124" i="1"/>
  <c r="F124" i="1"/>
  <c r="E124" i="1"/>
  <c r="U123" i="1"/>
  <c r="S123" i="1"/>
  <c r="R123" i="1"/>
  <c r="N123" i="1"/>
  <c r="M123" i="1"/>
  <c r="K123" i="1"/>
  <c r="I123" i="1"/>
  <c r="H123" i="1"/>
  <c r="G123" i="1"/>
  <c r="F123" i="1"/>
  <c r="E123" i="1"/>
  <c r="U122" i="1"/>
  <c r="S122" i="1"/>
  <c r="S125" i="1" s="1"/>
  <c r="S128" i="1" s="1"/>
  <c r="R122" i="1"/>
  <c r="R125" i="1" s="1"/>
  <c r="R128" i="1" s="1"/>
  <c r="N122" i="1"/>
  <c r="M122" i="1"/>
  <c r="K122" i="1"/>
  <c r="I122" i="1"/>
  <c r="H122" i="1"/>
  <c r="G122" i="1"/>
  <c r="F122" i="1"/>
  <c r="E122" i="1"/>
  <c r="Q121" i="1"/>
  <c r="P121" i="1"/>
  <c r="O121" i="1"/>
  <c r="N121" i="1"/>
  <c r="M121" i="1"/>
  <c r="K121" i="1"/>
  <c r="J121" i="1"/>
  <c r="I121" i="1"/>
  <c r="H121" i="1"/>
  <c r="G121" i="1"/>
  <c r="F121" i="1"/>
  <c r="E121" i="1"/>
  <c r="Q120" i="1"/>
  <c r="P120" i="1"/>
  <c r="P128" i="1" s="1"/>
  <c r="O120" i="1"/>
  <c r="O128" i="1" s="1"/>
  <c r="N120" i="1"/>
  <c r="M120" i="1"/>
  <c r="K120" i="1"/>
  <c r="K128" i="1" s="1"/>
  <c r="J120" i="1"/>
  <c r="J128" i="1" s="1"/>
  <c r="I120" i="1"/>
  <c r="I128" i="1" s="1"/>
  <c r="H120" i="1"/>
  <c r="G120" i="1"/>
  <c r="G125" i="1" s="1"/>
  <c r="G128" i="1" s="1"/>
  <c r="F120" i="1"/>
  <c r="E120" i="1"/>
  <c r="X120" i="1" s="1"/>
  <c r="U118" i="1"/>
  <c r="S118" i="1"/>
  <c r="R118" i="1"/>
  <c r="N118" i="1"/>
  <c r="M118" i="1"/>
  <c r="L118" i="1"/>
  <c r="G118" i="1"/>
  <c r="F118" i="1"/>
  <c r="E118" i="1"/>
  <c r="U117" i="1"/>
  <c r="T117" i="1"/>
  <c r="T119" i="1" s="1"/>
  <c r="S117" i="1"/>
  <c r="R117" i="1"/>
  <c r="N117" i="1"/>
  <c r="M117" i="1"/>
  <c r="L117" i="1"/>
  <c r="G117" i="1"/>
  <c r="F117" i="1"/>
  <c r="E117" i="1"/>
  <c r="U115" i="1"/>
  <c r="S115" i="1"/>
  <c r="R115" i="1"/>
  <c r="N115" i="1"/>
  <c r="M115" i="1"/>
  <c r="L115" i="1"/>
  <c r="L116" i="1" s="1"/>
  <c r="L119" i="1" s="1"/>
  <c r="G115" i="1"/>
  <c r="F115" i="1"/>
  <c r="X115" i="1" s="1"/>
  <c r="E115" i="1"/>
  <c r="U114" i="1"/>
  <c r="S114" i="1"/>
  <c r="R114" i="1"/>
  <c r="R116" i="1" s="1"/>
  <c r="R119" i="1" s="1"/>
  <c r="N114" i="1"/>
  <c r="M114" i="1"/>
  <c r="K114" i="1"/>
  <c r="I114" i="1"/>
  <c r="H114" i="1"/>
  <c r="G114" i="1"/>
  <c r="F114" i="1"/>
  <c r="E114" i="1"/>
  <c r="X114" i="1" s="1"/>
  <c r="U113" i="1"/>
  <c r="U116" i="1" s="1"/>
  <c r="U119" i="1" s="1"/>
  <c r="S113" i="1"/>
  <c r="S116" i="1" s="1"/>
  <c r="S119" i="1" s="1"/>
  <c r="R113" i="1"/>
  <c r="N113" i="1"/>
  <c r="M113" i="1"/>
  <c r="K113" i="1"/>
  <c r="I113" i="1"/>
  <c r="H113" i="1"/>
  <c r="G113" i="1"/>
  <c r="F113" i="1"/>
  <c r="E113" i="1"/>
  <c r="Q112" i="1"/>
  <c r="P112" i="1"/>
  <c r="O112" i="1"/>
  <c r="N112" i="1"/>
  <c r="M112" i="1"/>
  <c r="K112" i="1"/>
  <c r="J112" i="1"/>
  <c r="I112" i="1"/>
  <c r="H112" i="1"/>
  <c r="G112" i="1"/>
  <c r="F112" i="1"/>
  <c r="E112" i="1"/>
  <c r="Q111" i="1"/>
  <c r="Q119" i="1" s="1"/>
  <c r="P111" i="1"/>
  <c r="P119" i="1" s="1"/>
  <c r="O111" i="1"/>
  <c r="O119" i="1" s="1"/>
  <c r="N111" i="1"/>
  <c r="N116" i="1" s="1"/>
  <c r="N119" i="1" s="1"/>
  <c r="M111" i="1"/>
  <c r="K111" i="1"/>
  <c r="J111" i="1"/>
  <c r="J119" i="1" s="1"/>
  <c r="I111" i="1"/>
  <c r="I119" i="1" s="1"/>
  <c r="H111" i="1"/>
  <c r="H119" i="1" s="1"/>
  <c r="G111" i="1"/>
  <c r="F111" i="1"/>
  <c r="E111" i="1"/>
  <c r="U109" i="1"/>
  <c r="S109" i="1"/>
  <c r="R109" i="1"/>
  <c r="N109" i="1"/>
  <c r="M109" i="1"/>
  <c r="L109" i="1"/>
  <c r="G109" i="1"/>
  <c r="F109" i="1"/>
  <c r="E109" i="1"/>
  <c r="U108" i="1"/>
  <c r="T108" i="1"/>
  <c r="T110" i="1" s="1"/>
  <c r="S108" i="1"/>
  <c r="R108" i="1"/>
  <c r="N108" i="1"/>
  <c r="M108" i="1"/>
  <c r="L108" i="1"/>
  <c r="G108" i="1"/>
  <c r="F108" i="1"/>
  <c r="E108" i="1"/>
  <c r="U106" i="1"/>
  <c r="S106" i="1"/>
  <c r="R106" i="1"/>
  <c r="N106" i="1"/>
  <c r="M106" i="1"/>
  <c r="L106" i="1"/>
  <c r="L107" i="1" s="1"/>
  <c r="L110" i="1" s="1"/>
  <c r="G106" i="1"/>
  <c r="X106" i="1" s="1"/>
  <c r="F106" i="1"/>
  <c r="E106" i="1"/>
  <c r="U105" i="1"/>
  <c r="S105" i="1"/>
  <c r="R105" i="1"/>
  <c r="N105" i="1"/>
  <c r="M105" i="1"/>
  <c r="K105" i="1"/>
  <c r="I105" i="1"/>
  <c r="H105" i="1"/>
  <c r="G105" i="1"/>
  <c r="F105" i="1"/>
  <c r="E105" i="1"/>
  <c r="X105" i="1" s="1"/>
  <c r="U104" i="1"/>
  <c r="U107" i="1" s="1"/>
  <c r="U110" i="1" s="1"/>
  <c r="S104" i="1"/>
  <c r="S107" i="1" s="1"/>
  <c r="S110" i="1" s="1"/>
  <c r="R104" i="1"/>
  <c r="N104" i="1"/>
  <c r="M104" i="1"/>
  <c r="K104" i="1"/>
  <c r="I104" i="1"/>
  <c r="H104" i="1"/>
  <c r="G104" i="1"/>
  <c r="F104" i="1"/>
  <c r="E104" i="1"/>
  <c r="Q103" i="1"/>
  <c r="P103" i="1"/>
  <c r="O103" i="1"/>
  <c r="N103" i="1"/>
  <c r="M103" i="1"/>
  <c r="K103" i="1"/>
  <c r="J103" i="1"/>
  <c r="I103" i="1"/>
  <c r="H103" i="1"/>
  <c r="G103" i="1"/>
  <c r="F103" i="1"/>
  <c r="X103" i="1" s="1"/>
  <c r="E103" i="1"/>
  <c r="Q102" i="1"/>
  <c r="Q110" i="1" s="1"/>
  <c r="P102" i="1"/>
  <c r="P110" i="1" s="1"/>
  <c r="O102" i="1"/>
  <c r="N102" i="1"/>
  <c r="M102" i="1"/>
  <c r="M107" i="1" s="1"/>
  <c r="M110" i="1" s="1"/>
  <c r="K102" i="1"/>
  <c r="K110" i="1" s="1"/>
  <c r="J102" i="1"/>
  <c r="J110" i="1" s="1"/>
  <c r="I102" i="1"/>
  <c r="I110" i="1" s="1"/>
  <c r="H102" i="1"/>
  <c r="G102" i="1"/>
  <c r="F102" i="1"/>
  <c r="E102" i="1"/>
  <c r="E107" i="1" s="1"/>
  <c r="E110" i="1" s="1"/>
  <c r="U100" i="1"/>
  <c r="S100" i="1"/>
  <c r="R100" i="1"/>
  <c r="N100" i="1"/>
  <c r="M100" i="1"/>
  <c r="L100" i="1"/>
  <c r="G100" i="1"/>
  <c r="F100" i="1"/>
  <c r="X100" i="1" s="1"/>
  <c r="E100" i="1"/>
  <c r="U99" i="1"/>
  <c r="T99" i="1"/>
  <c r="T101" i="1" s="1"/>
  <c r="S99" i="1"/>
  <c r="R99" i="1"/>
  <c r="N99" i="1"/>
  <c r="M99" i="1"/>
  <c r="L99" i="1"/>
  <c r="X99" i="1" s="1"/>
  <c r="G99" i="1"/>
  <c r="F99" i="1"/>
  <c r="E99" i="1"/>
  <c r="L98" i="1"/>
  <c r="U97" i="1"/>
  <c r="S97" i="1"/>
  <c r="R97" i="1"/>
  <c r="N97" i="1"/>
  <c r="M97" i="1"/>
  <c r="L97" i="1"/>
  <c r="G97" i="1"/>
  <c r="F97" i="1"/>
  <c r="E97" i="1"/>
  <c r="U96" i="1"/>
  <c r="S96" i="1"/>
  <c r="S98" i="1" s="1"/>
  <c r="S101" i="1" s="1"/>
  <c r="R96" i="1"/>
  <c r="N96" i="1"/>
  <c r="M96" i="1"/>
  <c r="K96" i="1"/>
  <c r="I96" i="1"/>
  <c r="H96" i="1"/>
  <c r="G96" i="1"/>
  <c r="F96" i="1"/>
  <c r="E96" i="1"/>
  <c r="U95" i="1"/>
  <c r="S95" i="1"/>
  <c r="R95" i="1"/>
  <c r="R98" i="1" s="1"/>
  <c r="R101" i="1" s="1"/>
  <c r="N95" i="1"/>
  <c r="M95" i="1"/>
  <c r="K95" i="1"/>
  <c r="I95" i="1"/>
  <c r="H95" i="1"/>
  <c r="G95" i="1"/>
  <c r="F95" i="1"/>
  <c r="E95" i="1"/>
  <c r="X95" i="1" s="1"/>
  <c r="Q94" i="1"/>
  <c r="P94" i="1"/>
  <c r="O94" i="1"/>
  <c r="N94" i="1"/>
  <c r="M94" i="1"/>
  <c r="K94" i="1"/>
  <c r="J94" i="1"/>
  <c r="I94" i="1"/>
  <c r="H94" i="1"/>
  <c r="G94" i="1"/>
  <c r="F94" i="1"/>
  <c r="E94" i="1"/>
  <c r="Q93" i="1"/>
  <c r="Q101" i="1" s="1"/>
  <c r="P93" i="1"/>
  <c r="O93" i="1"/>
  <c r="O101" i="1" s="1"/>
  <c r="N93" i="1"/>
  <c r="N98" i="1" s="1"/>
  <c r="N101" i="1" s="1"/>
  <c r="M93" i="1"/>
  <c r="M98" i="1" s="1"/>
  <c r="M101" i="1" s="1"/>
  <c r="K93" i="1"/>
  <c r="J93" i="1"/>
  <c r="J101" i="1" s="1"/>
  <c r="I93" i="1"/>
  <c r="I101" i="1" s="1"/>
  <c r="H93" i="1"/>
  <c r="G93" i="1"/>
  <c r="F93" i="1"/>
  <c r="E93" i="1"/>
  <c r="X93" i="1" s="1"/>
  <c r="U91" i="1"/>
  <c r="S91" i="1"/>
  <c r="R91" i="1"/>
  <c r="N91" i="1"/>
  <c r="M91" i="1"/>
  <c r="L91" i="1"/>
  <c r="G91" i="1"/>
  <c r="X91" i="1" s="1"/>
  <c r="F91" i="1"/>
  <c r="E91" i="1"/>
  <c r="U90" i="1"/>
  <c r="T90" i="1"/>
  <c r="T92" i="1" s="1"/>
  <c r="S90" i="1"/>
  <c r="R90" i="1"/>
  <c r="N90" i="1"/>
  <c r="M90" i="1"/>
  <c r="L90" i="1"/>
  <c r="G90" i="1"/>
  <c r="F90" i="1"/>
  <c r="E90" i="1"/>
  <c r="U88" i="1"/>
  <c r="S88" i="1"/>
  <c r="R88" i="1"/>
  <c r="N88" i="1"/>
  <c r="M88" i="1"/>
  <c r="L88" i="1"/>
  <c r="L89" i="1" s="1"/>
  <c r="G88" i="1"/>
  <c r="F88" i="1"/>
  <c r="E88" i="1"/>
  <c r="U87" i="1"/>
  <c r="U89" i="1" s="1"/>
  <c r="U92" i="1" s="1"/>
  <c r="S87" i="1"/>
  <c r="R87" i="1"/>
  <c r="N87" i="1"/>
  <c r="M87" i="1"/>
  <c r="K87" i="1"/>
  <c r="I87" i="1"/>
  <c r="H87" i="1"/>
  <c r="G87" i="1"/>
  <c r="F87" i="1"/>
  <c r="E87" i="1"/>
  <c r="U86" i="1"/>
  <c r="S86" i="1"/>
  <c r="R86" i="1"/>
  <c r="R89" i="1" s="1"/>
  <c r="R92" i="1" s="1"/>
  <c r="N86" i="1"/>
  <c r="M86" i="1"/>
  <c r="K86" i="1"/>
  <c r="I86" i="1"/>
  <c r="H86" i="1"/>
  <c r="G86" i="1"/>
  <c r="F86" i="1"/>
  <c r="E86" i="1"/>
  <c r="Q85" i="1"/>
  <c r="P85" i="1"/>
  <c r="O85" i="1"/>
  <c r="N85" i="1"/>
  <c r="M85" i="1"/>
  <c r="K85" i="1"/>
  <c r="J85" i="1"/>
  <c r="I85" i="1"/>
  <c r="H85" i="1"/>
  <c r="G85" i="1"/>
  <c r="F85" i="1"/>
  <c r="X85" i="1" s="1"/>
  <c r="E85" i="1"/>
  <c r="Q84" i="1"/>
  <c r="Q92" i="1" s="1"/>
  <c r="P84" i="1"/>
  <c r="P92" i="1" s="1"/>
  <c r="O84" i="1"/>
  <c r="O92" i="1" s="1"/>
  <c r="N84" i="1"/>
  <c r="M84" i="1"/>
  <c r="M89" i="1" s="1"/>
  <c r="M92" i="1" s="1"/>
  <c r="K84" i="1"/>
  <c r="J84" i="1"/>
  <c r="J92" i="1" s="1"/>
  <c r="I84" i="1"/>
  <c r="I92" i="1" s="1"/>
  <c r="H84" i="1"/>
  <c r="G84" i="1"/>
  <c r="F84" i="1"/>
  <c r="E84" i="1"/>
  <c r="U82" i="1"/>
  <c r="S82" i="1"/>
  <c r="R82" i="1"/>
  <c r="N82" i="1"/>
  <c r="M82" i="1"/>
  <c r="L82" i="1"/>
  <c r="G82" i="1"/>
  <c r="F82" i="1"/>
  <c r="E82" i="1"/>
  <c r="U81" i="1"/>
  <c r="T81" i="1"/>
  <c r="T83" i="1" s="1"/>
  <c r="S81" i="1"/>
  <c r="R81" i="1"/>
  <c r="N81" i="1"/>
  <c r="M81" i="1"/>
  <c r="L81" i="1"/>
  <c r="G81" i="1"/>
  <c r="F81" i="1"/>
  <c r="E81" i="1"/>
  <c r="U79" i="1"/>
  <c r="S79" i="1"/>
  <c r="R79" i="1"/>
  <c r="N79" i="1"/>
  <c r="M79" i="1"/>
  <c r="L79" i="1"/>
  <c r="L80" i="1" s="1"/>
  <c r="L83" i="1" s="1"/>
  <c r="G79" i="1"/>
  <c r="F79" i="1"/>
  <c r="E79" i="1"/>
  <c r="U78" i="1"/>
  <c r="S78" i="1"/>
  <c r="R78" i="1"/>
  <c r="N78" i="1"/>
  <c r="M78" i="1"/>
  <c r="K78" i="1"/>
  <c r="I78" i="1"/>
  <c r="H78" i="1"/>
  <c r="G78" i="1"/>
  <c r="G80" i="1" s="1"/>
  <c r="G83" i="1" s="1"/>
  <c r="F78" i="1"/>
  <c r="E78" i="1"/>
  <c r="U77" i="1"/>
  <c r="S77" i="1"/>
  <c r="R77" i="1"/>
  <c r="R80" i="1" s="1"/>
  <c r="R83" i="1" s="1"/>
  <c r="N77" i="1"/>
  <c r="M77" i="1"/>
  <c r="K77" i="1"/>
  <c r="I77" i="1"/>
  <c r="H77" i="1"/>
  <c r="G77" i="1"/>
  <c r="F77" i="1"/>
  <c r="E77" i="1"/>
  <c r="Q76" i="1"/>
  <c r="P76" i="1"/>
  <c r="O76" i="1"/>
  <c r="N76" i="1"/>
  <c r="M76" i="1"/>
  <c r="K76" i="1"/>
  <c r="J76" i="1"/>
  <c r="I76" i="1"/>
  <c r="H76" i="1"/>
  <c r="G76" i="1"/>
  <c r="F76" i="1"/>
  <c r="X76" i="1" s="1"/>
  <c r="E76" i="1"/>
  <c r="Q75" i="1"/>
  <c r="Q83" i="1" s="1"/>
  <c r="P75" i="1"/>
  <c r="P83" i="1" s="1"/>
  <c r="O75" i="1"/>
  <c r="N75" i="1"/>
  <c r="N80" i="1" s="1"/>
  <c r="N83" i="1" s="1"/>
  <c r="M75" i="1"/>
  <c r="K75" i="1"/>
  <c r="K83" i="1" s="1"/>
  <c r="J75" i="1"/>
  <c r="I75" i="1"/>
  <c r="I83" i="1" s="1"/>
  <c r="H75" i="1"/>
  <c r="H83" i="1" s="1"/>
  <c r="G75" i="1"/>
  <c r="F75" i="1"/>
  <c r="X75" i="1" s="1"/>
  <c r="E75" i="1"/>
  <c r="U73" i="1"/>
  <c r="S73" i="1"/>
  <c r="R73" i="1"/>
  <c r="N73" i="1"/>
  <c r="M73" i="1"/>
  <c r="L73" i="1"/>
  <c r="G73" i="1"/>
  <c r="F73" i="1"/>
  <c r="E73" i="1"/>
  <c r="U72" i="1"/>
  <c r="T72" i="1"/>
  <c r="T74" i="1" s="1"/>
  <c r="S72" i="1"/>
  <c r="R72" i="1"/>
  <c r="N72" i="1"/>
  <c r="M72" i="1"/>
  <c r="L72" i="1"/>
  <c r="G72" i="1"/>
  <c r="F72" i="1"/>
  <c r="E72" i="1"/>
  <c r="U70" i="1"/>
  <c r="S70" i="1"/>
  <c r="R70" i="1"/>
  <c r="N70" i="1"/>
  <c r="M70" i="1"/>
  <c r="L70" i="1"/>
  <c r="L71" i="1" s="1"/>
  <c r="L74" i="1" s="1"/>
  <c r="G70" i="1"/>
  <c r="F70" i="1"/>
  <c r="E70" i="1"/>
  <c r="U69" i="1"/>
  <c r="S69" i="1"/>
  <c r="R69" i="1"/>
  <c r="N69" i="1"/>
  <c r="M69" i="1"/>
  <c r="K69" i="1"/>
  <c r="I69" i="1"/>
  <c r="H69" i="1"/>
  <c r="G69" i="1"/>
  <c r="F69" i="1"/>
  <c r="E69" i="1"/>
  <c r="U68" i="1"/>
  <c r="S68" i="1"/>
  <c r="R68" i="1"/>
  <c r="R71" i="1" s="1"/>
  <c r="R74" i="1" s="1"/>
  <c r="N68" i="1"/>
  <c r="M68" i="1"/>
  <c r="K68" i="1"/>
  <c r="I68" i="1"/>
  <c r="H68" i="1"/>
  <c r="G68" i="1"/>
  <c r="F68" i="1"/>
  <c r="E68" i="1"/>
  <c r="Q67" i="1"/>
  <c r="P67" i="1"/>
  <c r="O67" i="1"/>
  <c r="N67" i="1"/>
  <c r="M67" i="1"/>
  <c r="K67" i="1"/>
  <c r="J67" i="1"/>
  <c r="I67" i="1"/>
  <c r="H67" i="1"/>
  <c r="G67" i="1"/>
  <c r="F67" i="1"/>
  <c r="E67" i="1"/>
  <c r="Q66" i="1"/>
  <c r="Q74" i="1" s="1"/>
  <c r="P66" i="1"/>
  <c r="P74" i="1" s="1"/>
  <c r="O66" i="1"/>
  <c r="O74" i="1" s="1"/>
  <c r="N66" i="1"/>
  <c r="N71" i="1" s="1"/>
  <c r="N74" i="1" s="1"/>
  <c r="M66" i="1"/>
  <c r="K66" i="1"/>
  <c r="J66" i="1"/>
  <c r="J74" i="1" s="1"/>
  <c r="I66" i="1"/>
  <c r="H66" i="1"/>
  <c r="H74" i="1" s="1"/>
  <c r="G66" i="1"/>
  <c r="F66" i="1"/>
  <c r="E66" i="1"/>
  <c r="U64" i="1"/>
  <c r="S64" i="1"/>
  <c r="R64" i="1"/>
  <c r="N64" i="1"/>
  <c r="M64" i="1"/>
  <c r="L64" i="1"/>
  <c r="G64" i="1"/>
  <c r="F64" i="1"/>
  <c r="E64" i="1"/>
  <c r="U63" i="1"/>
  <c r="T63" i="1"/>
  <c r="T65" i="1" s="1"/>
  <c r="S63" i="1"/>
  <c r="R63" i="1"/>
  <c r="N63" i="1"/>
  <c r="M63" i="1"/>
  <c r="L63" i="1"/>
  <c r="G63" i="1"/>
  <c r="F63" i="1"/>
  <c r="E63" i="1"/>
  <c r="X63" i="1" s="1"/>
  <c r="U61" i="1"/>
  <c r="S61" i="1"/>
  <c r="R61" i="1"/>
  <c r="N61" i="1"/>
  <c r="M61" i="1"/>
  <c r="L61" i="1"/>
  <c r="L62" i="1" s="1"/>
  <c r="G61" i="1"/>
  <c r="F61" i="1"/>
  <c r="E61" i="1"/>
  <c r="U60" i="1"/>
  <c r="S60" i="1"/>
  <c r="R60" i="1"/>
  <c r="N60" i="1"/>
  <c r="M60" i="1"/>
  <c r="K60" i="1"/>
  <c r="I60" i="1"/>
  <c r="H60" i="1"/>
  <c r="G60" i="1"/>
  <c r="F60" i="1"/>
  <c r="E60" i="1"/>
  <c r="U59" i="1"/>
  <c r="S59" i="1"/>
  <c r="R59" i="1"/>
  <c r="R62" i="1" s="1"/>
  <c r="R65" i="1" s="1"/>
  <c r="N59" i="1"/>
  <c r="M59" i="1"/>
  <c r="K59" i="1"/>
  <c r="I59" i="1"/>
  <c r="H59" i="1"/>
  <c r="G59" i="1"/>
  <c r="F59" i="1"/>
  <c r="E59" i="1"/>
  <c r="Q58" i="1"/>
  <c r="P58" i="1"/>
  <c r="O58" i="1"/>
  <c r="N58" i="1"/>
  <c r="M58" i="1"/>
  <c r="K58" i="1"/>
  <c r="J58" i="1"/>
  <c r="I58" i="1"/>
  <c r="H58" i="1"/>
  <c r="G58" i="1"/>
  <c r="F58" i="1"/>
  <c r="E58" i="1"/>
  <c r="Q57" i="1"/>
  <c r="Q65" i="1" s="1"/>
  <c r="P57" i="1"/>
  <c r="P65" i="1" s="1"/>
  <c r="O57" i="1"/>
  <c r="O65" i="1" s="1"/>
  <c r="N57" i="1"/>
  <c r="N62" i="1" s="1"/>
  <c r="N65" i="1" s="1"/>
  <c r="M57" i="1"/>
  <c r="M62" i="1" s="1"/>
  <c r="K57" i="1"/>
  <c r="J57" i="1"/>
  <c r="J65" i="1" s="1"/>
  <c r="I57" i="1"/>
  <c r="I65" i="1" s="1"/>
  <c r="H57" i="1"/>
  <c r="G57" i="1"/>
  <c r="F57" i="1"/>
  <c r="E57" i="1"/>
  <c r="U55" i="1"/>
  <c r="S55" i="1"/>
  <c r="R55" i="1"/>
  <c r="N55" i="1"/>
  <c r="M55" i="1"/>
  <c r="L55" i="1"/>
  <c r="G55" i="1"/>
  <c r="F55" i="1"/>
  <c r="E55" i="1"/>
  <c r="U54" i="1"/>
  <c r="T54" i="1"/>
  <c r="T56" i="1" s="1"/>
  <c r="S54" i="1"/>
  <c r="R54" i="1"/>
  <c r="N54" i="1"/>
  <c r="M54" i="1"/>
  <c r="L54" i="1"/>
  <c r="G54" i="1"/>
  <c r="W54" i="1" s="1"/>
  <c r="F54" i="1"/>
  <c r="E54" i="1"/>
  <c r="L53" i="1"/>
  <c r="L56" i="1" s="1"/>
  <c r="U52" i="1"/>
  <c r="S52" i="1"/>
  <c r="R52" i="1"/>
  <c r="N52" i="1"/>
  <c r="M52" i="1"/>
  <c r="L52" i="1"/>
  <c r="G52" i="1"/>
  <c r="F52" i="1"/>
  <c r="E52" i="1"/>
  <c r="U51" i="1"/>
  <c r="S51" i="1"/>
  <c r="R51" i="1"/>
  <c r="N51" i="1"/>
  <c r="M51" i="1"/>
  <c r="K51" i="1"/>
  <c r="I51" i="1"/>
  <c r="H51" i="1"/>
  <c r="G51" i="1"/>
  <c r="F51" i="1"/>
  <c r="E51" i="1"/>
  <c r="X51" i="1" s="1"/>
  <c r="U50" i="1"/>
  <c r="U53" i="1" s="1"/>
  <c r="U56" i="1" s="1"/>
  <c r="S50" i="1"/>
  <c r="S53" i="1" s="1"/>
  <c r="S56" i="1" s="1"/>
  <c r="R50" i="1"/>
  <c r="N50" i="1"/>
  <c r="M50" i="1"/>
  <c r="K50" i="1"/>
  <c r="I50" i="1"/>
  <c r="H50" i="1"/>
  <c r="G50" i="1"/>
  <c r="F50" i="1"/>
  <c r="E50" i="1"/>
  <c r="Q49" i="1"/>
  <c r="P49" i="1"/>
  <c r="O49" i="1"/>
  <c r="N49" i="1"/>
  <c r="M49" i="1"/>
  <c r="K49" i="1"/>
  <c r="J49" i="1"/>
  <c r="I49" i="1"/>
  <c r="H49" i="1"/>
  <c r="G49" i="1"/>
  <c r="F49" i="1"/>
  <c r="E49" i="1"/>
  <c r="Q48" i="1"/>
  <c r="Q56" i="1" s="1"/>
  <c r="P48" i="1"/>
  <c r="P56" i="1" s="1"/>
  <c r="O48" i="1"/>
  <c r="O56" i="1" s="1"/>
  <c r="N48" i="1"/>
  <c r="M48" i="1"/>
  <c r="K48" i="1"/>
  <c r="K56" i="1" s="1"/>
  <c r="J48" i="1"/>
  <c r="J56" i="1" s="1"/>
  <c r="I48" i="1"/>
  <c r="H48" i="1"/>
  <c r="H56" i="1" s="1"/>
  <c r="G48" i="1"/>
  <c r="F48" i="1"/>
  <c r="E48" i="1"/>
  <c r="U46" i="1"/>
  <c r="S46" i="1"/>
  <c r="R46" i="1"/>
  <c r="N46" i="1"/>
  <c r="M46" i="1"/>
  <c r="L46" i="1"/>
  <c r="G46" i="1"/>
  <c r="F46" i="1"/>
  <c r="W46" i="1" s="1"/>
  <c r="E46" i="1"/>
  <c r="U45" i="1"/>
  <c r="T45" i="1"/>
  <c r="T47" i="1" s="1"/>
  <c r="S45" i="1"/>
  <c r="R45" i="1"/>
  <c r="N45" i="1"/>
  <c r="M45" i="1"/>
  <c r="L45" i="1"/>
  <c r="G45" i="1"/>
  <c r="F45" i="1"/>
  <c r="E45" i="1"/>
  <c r="X45" i="1" s="1"/>
  <c r="U43" i="1"/>
  <c r="S43" i="1"/>
  <c r="R43" i="1"/>
  <c r="N43" i="1"/>
  <c r="M43" i="1"/>
  <c r="L43" i="1"/>
  <c r="L44" i="1" s="1"/>
  <c r="L47" i="1" s="1"/>
  <c r="G43" i="1"/>
  <c r="F43" i="1"/>
  <c r="E43" i="1"/>
  <c r="U42" i="1"/>
  <c r="U44" i="1" s="1"/>
  <c r="U47" i="1" s="1"/>
  <c r="S42" i="1"/>
  <c r="R42" i="1"/>
  <c r="N42" i="1"/>
  <c r="M42" i="1"/>
  <c r="K42" i="1"/>
  <c r="I42" i="1"/>
  <c r="H42" i="1"/>
  <c r="G42" i="1"/>
  <c r="F42" i="1"/>
  <c r="E42" i="1"/>
  <c r="U41" i="1"/>
  <c r="S41" i="1"/>
  <c r="S44" i="1" s="1"/>
  <c r="S47" i="1" s="1"/>
  <c r="R41" i="1"/>
  <c r="N41" i="1"/>
  <c r="M41" i="1"/>
  <c r="K41" i="1"/>
  <c r="I41" i="1"/>
  <c r="H41" i="1"/>
  <c r="G41" i="1"/>
  <c r="F41" i="1"/>
  <c r="E41" i="1"/>
  <c r="Q40" i="1"/>
  <c r="P40" i="1"/>
  <c r="O40" i="1"/>
  <c r="N40" i="1"/>
  <c r="M40" i="1"/>
  <c r="K40" i="1"/>
  <c r="J40" i="1"/>
  <c r="I40" i="1"/>
  <c r="H40" i="1"/>
  <c r="G40" i="1"/>
  <c r="F40" i="1"/>
  <c r="E40" i="1"/>
  <c r="Q39" i="1"/>
  <c r="P39" i="1"/>
  <c r="P47" i="1" s="1"/>
  <c r="O39" i="1"/>
  <c r="O47" i="1" s="1"/>
  <c r="N39" i="1"/>
  <c r="N44" i="1" s="1"/>
  <c r="N47" i="1" s="1"/>
  <c r="M39" i="1"/>
  <c r="K39" i="1"/>
  <c r="J39" i="1"/>
  <c r="J47" i="1" s="1"/>
  <c r="I39" i="1"/>
  <c r="H39" i="1"/>
  <c r="G39" i="1"/>
  <c r="F39" i="1"/>
  <c r="X39" i="1" s="1"/>
  <c r="E39" i="1"/>
  <c r="E44" i="1" s="1"/>
  <c r="U37" i="1"/>
  <c r="S37" i="1"/>
  <c r="R37" i="1"/>
  <c r="N37" i="1"/>
  <c r="M37" i="1"/>
  <c r="L37" i="1"/>
  <c r="G37" i="1"/>
  <c r="X37" i="1" s="1"/>
  <c r="F37" i="1"/>
  <c r="E37" i="1"/>
  <c r="U36" i="1"/>
  <c r="T36" i="1"/>
  <c r="T38" i="1" s="1"/>
  <c r="S36" i="1"/>
  <c r="R36" i="1"/>
  <c r="N36" i="1"/>
  <c r="M36" i="1"/>
  <c r="L36" i="1"/>
  <c r="G36" i="1"/>
  <c r="F36" i="1"/>
  <c r="E36" i="1"/>
  <c r="U34" i="1"/>
  <c r="S34" i="1"/>
  <c r="R34" i="1"/>
  <c r="N34" i="1"/>
  <c r="M34" i="1"/>
  <c r="L34" i="1"/>
  <c r="L35" i="1" s="1"/>
  <c r="L38" i="1" s="1"/>
  <c r="G34" i="1"/>
  <c r="F34" i="1"/>
  <c r="E34" i="1"/>
  <c r="U33" i="1"/>
  <c r="S33" i="1"/>
  <c r="R33" i="1"/>
  <c r="N33" i="1"/>
  <c r="M33" i="1"/>
  <c r="K33" i="1"/>
  <c r="I33" i="1"/>
  <c r="H33" i="1"/>
  <c r="G33" i="1"/>
  <c r="F33" i="1"/>
  <c r="E33" i="1"/>
  <c r="W33" i="1" s="1"/>
  <c r="U32" i="1"/>
  <c r="S32" i="1"/>
  <c r="R32" i="1"/>
  <c r="R35" i="1" s="1"/>
  <c r="N32" i="1"/>
  <c r="M32" i="1"/>
  <c r="K32" i="1"/>
  <c r="I32" i="1"/>
  <c r="H32" i="1"/>
  <c r="G32" i="1"/>
  <c r="F32" i="1"/>
  <c r="E32" i="1"/>
  <c r="X32" i="1" s="1"/>
  <c r="Q31" i="1"/>
  <c r="P31" i="1"/>
  <c r="O31" i="1"/>
  <c r="N31" i="1"/>
  <c r="M31" i="1"/>
  <c r="K31" i="1"/>
  <c r="J31" i="1"/>
  <c r="I31" i="1"/>
  <c r="H31" i="1"/>
  <c r="G31" i="1"/>
  <c r="F31" i="1"/>
  <c r="E31" i="1"/>
  <c r="Q30" i="1"/>
  <c r="P30" i="1"/>
  <c r="P38" i="1" s="1"/>
  <c r="O30" i="1"/>
  <c r="O38" i="1" s="1"/>
  <c r="N30" i="1"/>
  <c r="M30" i="1"/>
  <c r="K30" i="1"/>
  <c r="J30" i="1"/>
  <c r="J38" i="1" s="1"/>
  <c r="I30" i="1"/>
  <c r="H30" i="1"/>
  <c r="G30" i="1"/>
  <c r="G35" i="1" s="1"/>
  <c r="G38" i="1" s="1"/>
  <c r="F30" i="1"/>
  <c r="E30" i="1"/>
  <c r="U28" i="1"/>
  <c r="S28" i="1"/>
  <c r="R28" i="1"/>
  <c r="N28" i="1"/>
  <c r="M28" i="1"/>
  <c r="L28" i="1"/>
  <c r="G28" i="1"/>
  <c r="F28" i="1"/>
  <c r="E28" i="1"/>
  <c r="U27" i="1"/>
  <c r="T27" i="1"/>
  <c r="T29" i="1" s="1"/>
  <c r="S27" i="1"/>
  <c r="R27" i="1"/>
  <c r="N27" i="1"/>
  <c r="M27" i="1"/>
  <c r="L27" i="1"/>
  <c r="G27" i="1"/>
  <c r="F27" i="1"/>
  <c r="E27" i="1"/>
  <c r="U25" i="1"/>
  <c r="S25" i="1"/>
  <c r="R25" i="1"/>
  <c r="N25" i="1"/>
  <c r="M25" i="1"/>
  <c r="L25" i="1"/>
  <c r="L26" i="1" s="1"/>
  <c r="G25" i="1"/>
  <c r="F25" i="1"/>
  <c r="E25" i="1"/>
  <c r="U24" i="1"/>
  <c r="S24" i="1"/>
  <c r="R24" i="1"/>
  <c r="R26" i="1" s="1"/>
  <c r="R29" i="1" s="1"/>
  <c r="N24" i="1"/>
  <c r="M24" i="1"/>
  <c r="K24" i="1"/>
  <c r="I24" i="1"/>
  <c r="H24" i="1"/>
  <c r="G24" i="1"/>
  <c r="F24" i="1"/>
  <c r="E24" i="1"/>
  <c r="X24" i="1" s="1"/>
  <c r="U23" i="1"/>
  <c r="U26" i="1" s="1"/>
  <c r="U29" i="1" s="1"/>
  <c r="S23" i="1"/>
  <c r="S26" i="1" s="1"/>
  <c r="S29" i="1" s="1"/>
  <c r="R23" i="1"/>
  <c r="N23" i="1"/>
  <c r="M23" i="1"/>
  <c r="K23" i="1"/>
  <c r="I23" i="1"/>
  <c r="H23" i="1"/>
  <c r="G23" i="1"/>
  <c r="F23" i="1"/>
  <c r="E23" i="1"/>
  <c r="Q22" i="1"/>
  <c r="P22" i="1"/>
  <c r="O22" i="1"/>
  <c r="N22" i="1"/>
  <c r="M22" i="1"/>
  <c r="K22" i="1"/>
  <c r="J22" i="1"/>
  <c r="I22" i="1"/>
  <c r="H22" i="1"/>
  <c r="G22" i="1"/>
  <c r="F22" i="1"/>
  <c r="E22" i="1"/>
  <c r="Q21" i="1"/>
  <c r="Q29" i="1" s="1"/>
  <c r="P21" i="1"/>
  <c r="P29" i="1" s="1"/>
  <c r="O21" i="1"/>
  <c r="O29" i="1" s="1"/>
  <c r="N21" i="1"/>
  <c r="M21" i="1"/>
  <c r="M26" i="1" s="1"/>
  <c r="M29" i="1" s="1"/>
  <c r="K21" i="1"/>
  <c r="K29" i="1" s="1"/>
  <c r="J21" i="1"/>
  <c r="J29" i="1" s="1"/>
  <c r="I21" i="1"/>
  <c r="I29" i="1" s="1"/>
  <c r="H21" i="1"/>
  <c r="H29" i="1" s="1"/>
  <c r="G21" i="1"/>
  <c r="F21" i="1"/>
  <c r="E21" i="1"/>
  <c r="E26" i="1" s="1"/>
  <c r="U19" i="1"/>
  <c r="S19" i="1"/>
  <c r="R19" i="1"/>
  <c r="N19" i="1"/>
  <c r="M19" i="1"/>
  <c r="L19" i="1"/>
  <c r="G19" i="1"/>
  <c r="F19" i="1"/>
  <c r="E19" i="1"/>
  <c r="U18" i="1"/>
  <c r="T18" i="1"/>
  <c r="T20" i="1" s="1"/>
  <c r="S18" i="1"/>
  <c r="R18" i="1"/>
  <c r="N18" i="1"/>
  <c r="M18" i="1"/>
  <c r="L18" i="1"/>
  <c r="G18" i="1"/>
  <c r="F18" i="1"/>
  <c r="E18" i="1"/>
  <c r="U16" i="1"/>
  <c r="S16" i="1"/>
  <c r="R16" i="1"/>
  <c r="N16" i="1"/>
  <c r="M16" i="1"/>
  <c r="L16" i="1"/>
  <c r="L17" i="1" s="1"/>
  <c r="L20" i="1" s="1"/>
  <c r="G16" i="1"/>
  <c r="F16" i="1"/>
  <c r="E16" i="1"/>
  <c r="U15" i="1"/>
  <c r="S15" i="1"/>
  <c r="R15" i="1"/>
  <c r="N15" i="1"/>
  <c r="M15" i="1"/>
  <c r="K15" i="1"/>
  <c r="I15" i="1"/>
  <c r="H15" i="1"/>
  <c r="G15" i="1"/>
  <c r="F15" i="1"/>
  <c r="E15" i="1"/>
  <c r="U14" i="1"/>
  <c r="S14" i="1"/>
  <c r="S17" i="1" s="1"/>
  <c r="S20" i="1" s="1"/>
  <c r="R14" i="1"/>
  <c r="N14" i="1"/>
  <c r="M14" i="1"/>
  <c r="K14" i="1"/>
  <c r="I14" i="1"/>
  <c r="H14" i="1"/>
  <c r="G14" i="1"/>
  <c r="F14" i="1"/>
  <c r="E14" i="1"/>
  <c r="Q13" i="1"/>
  <c r="P13" i="1"/>
  <c r="O13" i="1"/>
  <c r="N13" i="1"/>
  <c r="M13" i="1"/>
  <c r="K13" i="1"/>
  <c r="J13" i="1"/>
  <c r="I13" i="1"/>
  <c r="H13" i="1"/>
  <c r="G13" i="1"/>
  <c r="F13" i="1"/>
  <c r="E13" i="1"/>
  <c r="Q12" i="1"/>
  <c r="Q20" i="1" s="1"/>
  <c r="P12" i="1"/>
  <c r="P20" i="1" s="1"/>
  <c r="O12" i="1"/>
  <c r="O20" i="1" s="1"/>
  <c r="N12" i="1"/>
  <c r="M12" i="1"/>
  <c r="M17" i="1" s="1"/>
  <c r="M20" i="1" s="1"/>
  <c r="K12" i="1"/>
  <c r="J12" i="1"/>
  <c r="J20" i="1" s="1"/>
  <c r="I12" i="1"/>
  <c r="H12" i="1"/>
  <c r="H20" i="1" s="1"/>
  <c r="G12" i="1"/>
  <c r="F12" i="1"/>
  <c r="E12" i="1"/>
  <c r="E17" i="1" s="1"/>
  <c r="E20" i="1" s="1"/>
  <c r="F17" i="1" l="1"/>
  <c r="F20" i="1" s="1"/>
  <c r="W25" i="1"/>
  <c r="X27" i="1"/>
  <c r="X30" i="1"/>
  <c r="W32" i="1"/>
  <c r="Y32" i="1" s="1"/>
  <c r="S35" i="1"/>
  <c r="S38" i="1" s="1"/>
  <c r="U35" i="1"/>
  <c r="U38" i="1" s="1"/>
  <c r="G44" i="1"/>
  <c r="G47" i="1" s="1"/>
  <c r="K47" i="1"/>
  <c r="X43" i="1"/>
  <c r="W45" i="1"/>
  <c r="X48" i="1"/>
  <c r="I56" i="1"/>
  <c r="N53" i="1"/>
  <c r="N56" i="1" s="1"/>
  <c r="X49" i="1"/>
  <c r="R53" i="1"/>
  <c r="R56" i="1" s="1"/>
  <c r="K65" i="1"/>
  <c r="S62" i="1"/>
  <c r="S65" i="1" s="1"/>
  <c r="G62" i="1"/>
  <c r="G65" i="1" s="1"/>
  <c r="U62" i="1"/>
  <c r="U65" i="1" s="1"/>
  <c r="L65" i="1"/>
  <c r="G71" i="1"/>
  <c r="G74" i="1" s="1"/>
  <c r="W72" i="1"/>
  <c r="U80" i="1"/>
  <c r="U83" i="1" s="1"/>
  <c r="W79" i="1"/>
  <c r="W82" i="1"/>
  <c r="G89" i="1"/>
  <c r="G92" i="1" s="1"/>
  <c r="W104" i="1"/>
  <c r="M134" i="1"/>
  <c r="M137" i="1" s="1"/>
  <c r="U134" i="1"/>
  <c r="U137" i="1" s="1"/>
  <c r="X135" i="1"/>
  <c r="K20" i="1"/>
  <c r="G17" i="1"/>
  <c r="G20" i="1" s="1"/>
  <c r="U17" i="1"/>
  <c r="U20" i="1" s="1"/>
  <c r="W15" i="1"/>
  <c r="Y15" i="1" s="1"/>
  <c r="X22" i="1"/>
  <c r="N26" i="1"/>
  <c r="N29" i="1" s="1"/>
  <c r="X23" i="1"/>
  <c r="W37" i="1"/>
  <c r="M44" i="1"/>
  <c r="M47" i="1" s="1"/>
  <c r="Q47" i="1"/>
  <c r="W41" i="1"/>
  <c r="W42" i="1"/>
  <c r="I47" i="1"/>
  <c r="R44" i="1"/>
  <c r="R47" i="1" s="1"/>
  <c r="W43" i="1"/>
  <c r="Y43" i="1" s="1"/>
  <c r="F53" i="1"/>
  <c r="F56" i="1" s="1"/>
  <c r="H65" i="1"/>
  <c r="M65" i="1"/>
  <c r="W69" i="1"/>
  <c r="X78" i="1"/>
  <c r="W86" i="1"/>
  <c r="X87" i="1"/>
  <c r="X88" i="1"/>
  <c r="K101" i="1"/>
  <c r="U98" i="1"/>
  <c r="U101" i="1" s="1"/>
  <c r="W96" i="1"/>
  <c r="W109" i="1"/>
  <c r="X112" i="1"/>
  <c r="H128" i="1"/>
  <c r="X123" i="1"/>
  <c r="W124" i="1"/>
  <c r="N125" i="1"/>
  <c r="N128" i="1" s="1"/>
  <c r="Y136" i="1"/>
  <c r="X15" i="1"/>
  <c r="R17" i="1"/>
  <c r="R20" i="1" s="1"/>
  <c r="X16" i="1"/>
  <c r="W23" i="1"/>
  <c r="L29" i="1"/>
  <c r="X28" i="1"/>
  <c r="M35" i="1"/>
  <c r="M38" i="1" s="1"/>
  <c r="X34" i="1"/>
  <c r="W39" i="1"/>
  <c r="Y39" i="1" s="1"/>
  <c r="X41" i="1"/>
  <c r="W51" i="1"/>
  <c r="Y51" i="1" s="1"/>
  <c r="W58" i="1"/>
  <c r="Y58" i="1" s="1"/>
  <c r="X58" i="1"/>
  <c r="X61" i="1"/>
  <c r="X64" i="1"/>
  <c r="X67" i="1"/>
  <c r="W68" i="1"/>
  <c r="X72" i="1"/>
  <c r="X77" i="1"/>
  <c r="W85" i="1"/>
  <c r="Y85" i="1" s="1"/>
  <c r="X90" i="1"/>
  <c r="W91" i="1"/>
  <c r="W95" i="1"/>
  <c r="Y95" i="1" s="1"/>
  <c r="E98" i="1"/>
  <c r="W97" i="1"/>
  <c r="W99" i="1"/>
  <c r="R107" i="1"/>
  <c r="R110" i="1" s="1"/>
  <c r="F116" i="1"/>
  <c r="F119" i="1" s="1"/>
  <c r="X122" i="1"/>
  <c r="X127" i="1"/>
  <c r="W130" i="1"/>
  <c r="X132" i="1"/>
  <c r="W13" i="1"/>
  <c r="I20" i="1"/>
  <c r="X20" i="1" s="1"/>
  <c r="N17" i="1"/>
  <c r="N20" i="1" s="1"/>
  <c r="X14" i="1"/>
  <c r="G26" i="1"/>
  <c r="G29" i="1" s="1"/>
  <c r="W24" i="1"/>
  <c r="Y24" i="1" s="1"/>
  <c r="N35" i="1"/>
  <c r="N38" i="1" s="1"/>
  <c r="R38" i="1"/>
  <c r="X57" i="1"/>
  <c r="S71" i="1"/>
  <c r="S74" i="1" s="1"/>
  <c r="O83" i="1"/>
  <c r="G107" i="1"/>
  <c r="G110" i="1" s="1"/>
  <c r="W108" i="1"/>
  <c r="G116" i="1"/>
  <c r="G119" i="1" s="1"/>
  <c r="W123" i="1"/>
  <c r="Y123" i="1" s="1"/>
  <c r="U125" i="1"/>
  <c r="U128" i="1" s="1"/>
  <c r="L128" i="1"/>
  <c r="X130" i="1"/>
  <c r="E29" i="1"/>
  <c r="Y23" i="1"/>
  <c r="W20" i="1"/>
  <c r="V20" i="1"/>
  <c r="W16" i="1"/>
  <c r="Y16" i="1" s="1"/>
  <c r="W22" i="1"/>
  <c r="Y22" i="1" s="1"/>
  <c r="W12" i="1"/>
  <c r="X13" i="1"/>
  <c r="Y13" i="1" s="1"/>
  <c r="W21" i="1"/>
  <c r="X25" i="1"/>
  <c r="Y25" i="1" s="1"/>
  <c r="K38" i="1"/>
  <c r="X31" i="1"/>
  <c r="W31" i="1"/>
  <c r="Y31" i="1" s="1"/>
  <c r="X33" i="1"/>
  <c r="Y33" i="1" s="1"/>
  <c r="E35" i="1"/>
  <c r="X36" i="1"/>
  <c r="W36" i="1"/>
  <c r="Y36" i="1" s="1"/>
  <c r="W40" i="1"/>
  <c r="X42" i="1"/>
  <c r="Y45" i="1"/>
  <c r="E47" i="1"/>
  <c r="W57" i="1"/>
  <c r="Y57" i="1" s="1"/>
  <c r="F89" i="1"/>
  <c r="F92" i="1" s="1"/>
  <c r="X84" i="1"/>
  <c r="F26" i="1"/>
  <c r="F29" i="1" s="1"/>
  <c r="X12" i="1"/>
  <c r="W14" i="1"/>
  <c r="Y14" i="1" s="1"/>
  <c r="X21" i="1"/>
  <c r="W27" i="1"/>
  <c r="Y27" i="1" s="1"/>
  <c r="W28" i="1"/>
  <c r="Y28" i="1" s="1"/>
  <c r="H38" i="1"/>
  <c r="Q38" i="1"/>
  <c r="F35" i="1"/>
  <c r="F38" i="1" s="1"/>
  <c r="X40" i="1"/>
  <c r="Y42" i="1"/>
  <c r="G53" i="1"/>
  <c r="G56" i="1" s="1"/>
  <c r="X50" i="1"/>
  <c r="X52" i="1"/>
  <c r="W52" i="1"/>
  <c r="X55" i="1"/>
  <c r="W55" i="1"/>
  <c r="F62" i="1"/>
  <c r="F65" i="1" s="1"/>
  <c r="E71" i="1"/>
  <c r="X66" i="1"/>
  <c r="I74" i="1"/>
  <c r="W66" i="1"/>
  <c r="Y37" i="1"/>
  <c r="W30" i="1"/>
  <c r="Y30" i="1" s="1"/>
  <c r="I38" i="1"/>
  <c r="W34" i="1"/>
  <c r="Y34" i="1" s="1"/>
  <c r="H47" i="1"/>
  <c r="X46" i="1"/>
  <c r="Y46" i="1" s="1"/>
  <c r="M53" i="1"/>
  <c r="M56" i="1" s="1"/>
  <c r="X54" i="1"/>
  <c r="Y54" i="1" s="1"/>
  <c r="X59" i="1"/>
  <c r="X60" i="1"/>
  <c r="W67" i="1"/>
  <c r="Y67" i="1" s="1"/>
  <c r="X68" i="1"/>
  <c r="Y68" i="1" s="1"/>
  <c r="X70" i="1"/>
  <c r="W70" i="1"/>
  <c r="Y70" i="1" s="1"/>
  <c r="Y72" i="1"/>
  <c r="F44" i="1"/>
  <c r="F47" i="1" s="1"/>
  <c r="W50" i="1"/>
  <c r="E53" i="1"/>
  <c r="W60" i="1"/>
  <c r="Y60" i="1" s="1"/>
  <c r="W63" i="1"/>
  <c r="Y63" i="1" s="1"/>
  <c r="F71" i="1"/>
  <c r="F74" i="1" s="1"/>
  <c r="M80" i="1"/>
  <c r="M83" i="1" s="1"/>
  <c r="S80" i="1"/>
  <c r="S83" i="1" s="1"/>
  <c r="X81" i="1"/>
  <c r="X86" i="1"/>
  <c r="Y86" i="1" s="1"/>
  <c r="W88" i="1"/>
  <c r="Y88" i="1" s="1"/>
  <c r="Y91" i="1"/>
  <c r="E101" i="1"/>
  <c r="X117" i="1"/>
  <c r="W117" i="1"/>
  <c r="Y130" i="1"/>
  <c r="E134" i="1"/>
  <c r="W131" i="1"/>
  <c r="Y131" i="1" s="1"/>
  <c r="R137" i="1"/>
  <c r="W48" i="1"/>
  <c r="Y48" i="1" s="1"/>
  <c r="W49" i="1"/>
  <c r="Y49" i="1" s="1"/>
  <c r="W59" i="1"/>
  <c r="Y59" i="1" s="1"/>
  <c r="W61" i="1"/>
  <c r="Y61" i="1" s="1"/>
  <c r="E62" i="1"/>
  <c r="W64" i="1"/>
  <c r="Y64" i="1" s="1"/>
  <c r="K74" i="1"/>
  <c r="U71" i="1"/>
  <c r="U74" i="1" s="1"/>
  <c r="W75" i="1"/>
  <c r="Y75" i="1" s="1"/>
  <c r="X79" i="1"/>
  <c r="Y79" i="1" s="1"/>
  <c r="X82" i="1"/>
  <c r="Y82" i="1" s="1"/>
  <c r="F125" i="1"/>
  <c r="F128" i="1" s="1"/>
  <c r="W126" i="1"/>
  <c r="X126" i="1"/>
  <c r="S134" i="1"/>
  <c r="S137" i="1" s="1"/>
  <c r="W135" i="1"/>
  <c r="Y135" i="1" s="1"/>
  <c r="M71" i="1"/>
  <c r="M74" i="1" s="1"/>
  <c r="X69" i="1"/>
  <c r="Y69" i="1" s="1"/>
  <c r="X73" i="1"/>
  <c r="W73" i="1"/>
  <c r="Y73" i="1" s="1"/>
  <c r="F80" i="1"/>
  <c r="F83" i="1" s="1"/>
  <c r="J83" i="1"/>
  <c r="W76" i="1"/>
  <c r="Y76" i="1" s="1"/>
  <c r="W84" i="1"/>
  <c r="Y84" i="1" s="1"/>
  <c r="N89" i="1"/>
  <c r="N92" i="1" s="1"/>
  <c r="Y99" i="1"/>
  <c r="H110" i="1"/>
  <c r="W112" i="1"/>
  <c r="Y112" i="1" s="1"/>
  <c r="W115" i="1"/>
  <c r="Y115" i="1" s="1"/>
  <c r="M125" i="1"/>
  <c r="M128" i="1" s="1"/>
  <c r="G137" i="1"/>
  <c r="W78" i="1"/>
  <c r="Y78" i="1" s="1"/>
  <c r="W81" i="1"/>
  <c r="K92" i="1"/>
  <c r="W90" i="1"/>
  <c r="Y90" i="1" s="1"/>
  <c r="F98" i="1"/>
  <c r="F101" i="1" s="1"/>
  <c r="X96" i="1"/>
  <c r="Y96" i="1" s="1"/>
  <c r="W100" i="1"/>
  <c r="Y100" i="1" s="1"/>
  <c r="N107" i="1"/>
  <c r="N110" i="1" s="1"/>
  <c r="W110" i="1" s="1"/>
  <c r="W102" i="1"/>
  <c r="X104" i="1"/>
  <c r="Y104" i="1" s="1"/>
  <c r="W105" i="1"/>
  <c r="Y105" i="1" s="1"/>
  <c r="K119" i="1"/>
  <c r="W114" i="1"/>
  <c r="Y114" i="1" s="1"/>
  <c r="X121" i="1"/>
  <c r="W121" i="1"/>
  <c r="E125" i="1"/>
  <c r="W127" i="1"/>
  <c r="Y127" i="1" s="1"/>
  <c r="W129" i="1"/>
  <c r="I137" i="1"/>
  <c r="X129" i="1"/>
  <c r="X133" i="1"/>
  <c r="W133" i="1"/>
  <c r="W77" i="1"/>
  <c r="Y77" i="1" s="1"/>
  <c r="E80" i="1"/>
  <c r="H92" i="1"/>
  <c r="S89" i="1"/>
  <c r="S92" i="1" s="1"/>
  <c r="W87" i="1"/>
  <c r="Y87" i="1" s="1"/>
  <c r="L92" i="1"/>
  <c r="E89" i="1"/>
  <c r="G98" i="1"/>
  <c r="G101" i="1" s="1"/>
  <c r="P101" i="1"/>
  <c r="X94" i="1"/>
  <c r="X97" i="1"/>
  <c r="Y97" i="1" s="1"/>
  <c r="L101" i="1"/>
  <c r="F107" i="1"/>
  <c r="F110" i="1" s="1"/>
  <c r="O110" i="1"/>
  <c r="X102" i="1"/>
  <c r="W106" i="1"/>
  <c r="Y106" i="1" s="1"/>
  <c r="X109" i="1"/>
  <c r="Y109" i="1" s="1"/>
  <c r="M116" i="1"/>
  <c r="M119" i="1" s="1"/>
  <c r="X113" i="1"/>
  <c r="W122" i="1"/>
  <c r="Y122" i="1" s="1"/>
  <c r="H101" i="1"/>
  <c r="W103" i="1"/>
  <c r="Y103" i="1" s="1"/>
  <c r="X108" i="1"/>
  <c r="Y108" i="1" s="1"/>
  <c r="E116" i="1"/>
  <c r="X111" i="1"/>
  <c r="W111" i="1"/>
  <c r="X118" i="1"/>
  <c r="W118" i="1"/>
  <c r="Q128" i="1"/>
  <c r="X124" i="1"/>
  <c r="Y124" i="1" s="1"/>
  <c r="W93" i="1"/>
  <c r="Y93" i="1" s="1"/>
  <c r="W94" i="1"/>
  <c r="W113" i="1"/>
  <c r="W120" i="1"/>
  <c r="Y120" i="1" s="1"/>
  <c r="W132" i="1"/>
  <c r="Y132" i="1" s="1"/>
  <c r="Y40" i="1" l="1"/>
  <c r="Y20" i="1"/>
  <c r="Y41" i="1"/>
  <c r="V110" i="1"/>
  <c r="Y121" i="1"/>
  <c r="Y50" i="1"/>
  <c r="Z53" i="1" s="1"/>
  <c r="Y52" i="1"/>
  <c r="Z125" i="1"/>
  <c r="Y111" i="1"/>
  <c r="W80" i="1"/>
  <c r="E83" i="1"/>
  <c r="X80" i="1"/>
  <c r="E128" i="1"/>
  <c r="X125" i="1"/>
  <c r="W125" i="1"/>
  <c r="Y102" i="1"/>
  <c r="Z107" i="1" s="1"/>
  <c r="Y81" i="1"/>
  <c r="X110" i="1"/>
  <c r="Y110" i="1" s="1"/>
  <c r="Y126" i="1"/>
  <c r="E137" i="1"/>
  <c r="X134" i="1"/>
  <c r="W134" i="1"/>
  <c r="X71" i="1"/>
  <c r="W71" i="1"/>
  <c r="Y71" i="1" s="1"/>
  <c r="Z72" i="1" s="1"/>
  <c r="E74" i="1"/>
  <c r="X47" i="1"/>
  <c r="W47" i="1"/>
  <c r="Y47" i="1" s="1"/>
  <c r="Z52" i="1" s="1"/>
  <c r="V47" i="1"/>
  <c r="Y21" i="1"/>
  <c r="Z26" i="1" s="1"/>
  <c r="W44" i="1"/>
  <c r="W26" i="1"/>
  <c r="X89" i="1"/>
  <c r="W89" i="1"/>
  <c r="E92" i="1"/>
  <c r="X101" i="1"/>
  <c r="V101" i="1"/>
  <c r="W101" i="1"/>
  <c r="Z62" i="1"/>
  <c r="Y113" i="1"/>
  <c r="X107" i="1"/>
  <c r="Z89" i="1"/>
  <c r="Z80" i="1"/>
  <c r="W62" i="1"/>
  <c r="Y62" i="1" s="1"/>
  <c r="Z63" i="1" s="1"/>
  <c r="E65" i="1"/>
  <c r="X62" i="1"/>
  <c r="W98" i="1"/>
  <c r="X53" i="1"/>
  <c r="W53" i="1"/>
  <c r="Y53" i="1" s="1"/>
  <c r="Z55" i="1" s="1"/>
  <c r="E56" i="1"/>
  <c r="Z35" i="1"/>
  <c r="Y66" i="1"/>
  <c r="Z71" i="1" s="1"/>
  <c r="X44" i="1"/>
  <c r="V29" i="1"/>
  <c r="W29" i="1"/>
  <c r="X29" i="1"/>
  <c r="Y94" i="1"/>
  <c r="Z98" i="1" s="1"/>
  <c r="Y118" i="1"/>
  <c r="X116" i="1"/>
  <c r="W116" i="1"/>
  <c r="E119" i="1"/>
  <c r="Y133" i="1"/>
  <c r="Y129" i="1"/>
  <c r="W107" i="1"/>
  <c r="Y117" i="1"/>
  <c r="X98" i="1"/>
  <c r="Y55" i="1"/>
  <c r="E38" i="1"/>
  <c r="X35" i="1"/>
  <c r="W35" i="1"/>
  <c r="Y12" i="1"/>
  <c r="Z17" i="1" s="1"/>
  <c r="X26" i="1"/>
  <c r="Y89" i="1" l="1"/>
  <c r="Z90" i="1" s="1"/>
  <c r="Y134" i="1"/>
  <c r="Y26" i="1"/>
  <c r="Y35" i="1"/>
  <c r="Z134" i="1"/>
  <c r="Y29" i="1"/>
  <c r="Z44" i="1"/>
  <c r="W74" i="1"/>
  <c r="V74" i="1"/>
  <c r="X74" i="1"/>
  <c r="Z50" i="1"/>
  <c r="W56" i="1"/>
  <c r="V56" i="1"/>
  <c r="X56" i="1"/>
  <c r="Y98" i="1"/>
  <c r="Z36" i="1"/>
  <c r="Y125" i="1"/>
  <c r="V83" i="1"/>
  <c r="X83" i="1"/>
  <c r="W83" i="1"/>
  <c r="Z73" i="1"/>
  <c r="Z91" i="1"/>
  <c r="X92" i="1"/>
  <c r="W92" i="1"/>
  <c r="V92" i="1"/>
  <c r="W119" i="1"/>
  <c r="V119" i="1"/>
  <c r="X119" i="1"/>
  <c r="Z64" i="1"/>
  <c r="Z56" i="1"/>
  <c r="Z65" i="1"/>
  <c r="X137" i="1"/>
  <c r="W137" i="1"/>
  <c r="V137" i="1"/>
  <c r="Y80" i="1"/>
  <c r="Z37" i="1"/>
  <c r="Z74" i="1"/>
  <c r="X38" i="1"/>
  <c r="W38" i="1"/>
  <c r="V38" i="1"/>
  <c r="Y107" i="1"/>
  <c r="Y116" i="1"/>
  <c r="V65" i="1"/>
  <c r="X65" i="1"/>
  <c r="W65" i="1"/>
  <c r="Z92" i="1"/>
  <c r="Y101" i="1"/>
  <c r="Y44" i="1"/>
  <c r="Z54" i="1"/>
  <c r="V128" i="1"/>
  <c r="W128" i="1"/>
  <c r="Y128" i="1" s="1"/>
  <c r="X128" i="1"/>
  <c r="Z116" i="1"/>
  <c r="Z38" i="1"/>
  <c r="Z51" i="1"/>
  <c r="Y83" i="1" l="1"/>
  <c r="Z86" i="1" s="1"/>
  <c r="Y119" i="1"/>
  <c r="Y65" i="1"/>
  <c r="Z69" i="1" s="1"/>
  <c r="Y137" i="1"/>
  <c r="Z88" i="1"/>
  <c r="Z87" i="1"/>
  <c r="Y38" i="1"/>
  <c r="Z66" i="1"/>
  <c r="Z85" i="1"/>
  <c r="Z82" i="1"/>
  <c r="Z83" i="1"/>
  <c r="Z84" i="1"/>
  <c r="Z81" i="1"/>
  <c r="Y56" i="1"/>
  <c r="Z49" i="1"/>
  <c r="Z48" i="1"/>
  <c r="Z47" i="1"/>
  <c r="Z45" i="1"/>
  <c r="Z46" i="1"/>
  <c r="Z67" i="1"/>
  <c r="Y92" i="1"/>
  <c r="Y74" i="1"/>
  <c r="Z70" i="1" l="1"/>
  <c r="Z68" i="1"/>
  <c r="Z43" i="1"/>
  <c r="Z42" i="1"/>
  <c r="Z41" i="1"/>
  <c r="Z39" i="1"/>
  <c r="Z40" i="1"/>
  <c r="Z97" i="1"/>
  <c r="Z96" i="1"/>
  <c r="Z95" i="1"/>
  <c r="Z93" i="1"/>
  <c r="Z94" i="1"/>
  <c r="Z79" i="1"/>
  <c r="Z78" i="1"/>
  <c r="Z75" i="1"/>
  <c r="Z77" i="1"/>
  <c r="Z76" i="1"/>
  <c r="Z61" i="1"/>
  <c r="Z57" i="1"/>
  <c r="Z60" i="1"/>
  <c r="Z59" i="1"/>
  <c r="Z58" i="1"/>
</calcChain>
</file>

<file path=xl/sharedStrings.xml><?xml version="1.0" encoding="utf-8"?>
<sst xmlns="http://schemas.openxmlformats.org/spreadsheetml/2006/main" count="1569" uniqueCount="864">
  <si>
    <t>PENGOLAHAN NILAI UJIAN SATUAN PENDIDIKAN</t>
  </si>
  <si>
    <t>TAHUN PELAJARAN 2024 / 2025</t>
  </si>
  <si>
    <t xml:space="preserve">NAMA SEKOLAH      </t>
  </si>
  <si>
    <t>: SMKS TINTA EMAS INDONESIA</t>
  </si>
  <si>
    <t>ALAMAT</t>
  </si>
  <si>
    <t>: JL. ASEM RAYA NO.1 KP. CIKETING KEL./KEC. MUSTIKA JAYA KOTA BEKASI 17158</t>
  </si>
  <si>
    <t>NOMOR</t>
  </si>
  <si>
    <t>NIS</t>
  </si>
  <si>
    <t>NAMA SISWA</t>
  </si>
  <si>
    <t>MATA PELAJARAN UMUM</t>
  </si>
  <si>
    <t>MUATAN LOKAL</t>
  </si>
  <si>
    <t>MATA PELAJARAN KEJURUAN</t>
  </si>
  <si>
    <t>NILAI RATA-RATA</t>
  </si>
  <si>
    <t>JENIS NILAI</t>
  </si>
  <si>
    <t>Pend. Agama dan Budi Pekerti</t>
  </si>
  <si>
    <t>PendIdikan Pancasila</t>
  </si>
  <si>
    <t>Bahasa Indonesia</t>
  </si>
  <si>
    <t>Pendidikan Jasmani, Olah Raga dan Kesehatan</t>
  </si>
  <si>
    <t xml:space="preserve">Sejarah </t>
  </si>
  <si>
    <t>Seni Budaya</t>
  </si>
  <si>
    <t>Bahasa Sunda</t>
  </si>
  <si>
    <t>Publik Speaking</t>
  </si>
  <si>
    <t>Matematika</t>
  </si>
  <si>
    <t>Bahasa Inggris</t>
  </si>
  <si>
    <t>Informatika</t>
  </si>
  <si>
    <t>IPAS</t>
  </si>
  <si>
    <t>Dasar-Dasar Program Keahlian</t>
  </si>
  <si>
    <t>Konsentrasi Keahlian</t>
  </si>
  <si>
    <t>Projek Kreatif dan Kewirausahaan</t>
  </si>
  <si>
    <t>Praktek Kerja Lapangan</t>
  </si>
  <si>
    <t>Mata Pelajaran Pilihan (Bahasa Jepang)</t>
  </si>
  <si>
    <t>222310001</t>
  </si>
  <si>
    <t>ADRIAN FAUZAN</t>
  </si>
  <si>
    <t>SMT 1</t>
  </si>
  <si>
    <t>SMT 2</t>
  </si>
  <si>
    <t>SMT 3</t>
  </si>
  <si>
    <t>SMT 4</t>
  </si>
  <si>
    <t>SMT 5</t>
  </si>
  <si>
    <t>PORTOPOLIO</t>
  </si>
  <si>
    <t>PENUGASAN</t>
  </si>
  <si>
    <t>Nilai US</t>
  </si>
  <si>
    <t>Nilai Akhir</t>
  </si>
  <si>
    <t>222310002</t>
  </si>
  <si>
    <t>AHMAD ZAKI YAMAN</t>
  </si>
  <si>
    <t>222310003</t>
  </si>
  <si>
    <t>AMANDA ZAHRA FEBRIYANI</t>
  </si>
  <si>
    <t>222310004</t>
  </si>
  <si>
    <t>ANGGI ISMAYANTI</t>
  </si>
  <si>
    <t>222310005</t>
  </si>
  <si>
    <t>FAHRI ISNAINI</t>
  </si>
  <si>
    <t>222310006</t>
  </si>
  <si>
    <t>INDRIYANI</t>
  </si>
  <si>
    <t>222310007</t>
  </si>
  <si>
    <t>JERICHO AMAZIA AWULLE</t>
  </si>
  <si>
    <t>222310008</t>
  </si>
  <si>
    <t>KHALIF HONEST TAWADLU</t>
  </si>
  <si>
    <t>222310009</t>
  </si>
  <si>
    <t>RAFAELINO RUFFUS SERAN</t>
  </si>
  <si>
    <t>222310010</t>
  </si>
  <si>
    <t>RASYA JULIAN SAPUTRA</t>
  </si>
  <si>
    <t>222310011</t>
  </si>
  <si>
    <t>RAYHAN ADI SAPUTRA</t>
  </si>
  <si>
    <t>222310012</t>
  </si>
  <si>
    <t>SELVIA OKTAVIANI</t>
  </si>
  <si>
    <t>222310013</t>
  </si>
  <si>
    <t>TASYA AULIA AGUSTIN</t>
  </si>
  <si>
    <t>222310014</t>
  </si>
  <si>
    <t>ZASKIA ZANIAR</t>
  </si>
  <si>
    <t>Mengetahui/Menyetujui</t>
  </si>
  <si>
    <t>Bekasi, 21 April 2025</t>
  </si>
  <si>
    <t>Pengawas Pembina SMK,</t>
  </si>
  <si>
    <t>Kepala SMK Tinta Emas Indonesia</t>
  </si>
  <si>
    <t>Sumarno, S.Pd, M.Pd</t>
  </si>
  <si>
    <t>Supriyatin ,S.Pd</t>
  </si>
  <si>
    <t>NIP. 197109152008011003</t>
  </si>
  <si>
    <t>NIP: --</t>
  </si>
  <si>
    <t>No</t>
  </si>
  <si>
    <t>Nama Siswa</t>
  </si>
  <si>
    <t>S1 (%)</t>
  </si>
  <si>
    <t>S2 (%)</t>
  </si>
  <si>
    <t>S3 (%)</t>
  </si>
  <si>
    <t>S4 (%)</t>
  </si>
  <si>
    <t>S5 (%)</t>
  </si>
  <si>
    <t>Tren Akhir</t>
  </si>
  <si>
    <t>Adrian Fauzan</t>
  </si>
  <si>
    <t>79.5</t>
  </si>
  <si>
    <t>79.6</t>
  </si>
  <si>
    <t>73.6</t>
  </si>
  <si>
    <t>77.0</t>
  </si>
  <si>
    <t>77.2</t>
  </si>
  <si>
    <t>Naik 📈</t>
  </si>
  <si>
    <t>Ahmad Zaki Yaman</t>
  </si>
  <si>
    <t>80.2</t>
  </si>
  <si>
    <t>79.8</t>
  </si>
  <si>
    <t>74.5</t>
  </si>
  <si>
    <t>77.8</t>
  </si>
  <si>
    <t>78.0</t>
  </si>
  <si>
    <t>Amanda Zahra F.</t>
  </si>
  <si>
    <t>81.3</t>
  </si>
  <si>
    <t>82.0</t>
  </si>
  <si>
    <t>80.8</t>
  </si>
  <si>
    <t>85.0</t>
  </si>
  <si>
    <t>86.4</t>
  </si>
  <si>
    <t>Anggi Ismayanti</t>
  </si>
  <si>
    <t>82.5</t>
  </si>
  <si>
    <t>83.4</t>
  </si>
  <si>
    <t>79.2</t>
  </si>
  <si>
    <t>84.1</t>
  </si>
  <si>
    <t>85.8</t>
  </si>
  <si>
    <t>Fahri Isnaini</t>
  </si>
  <si>
    <t>80.4</t>
  </si>
  <si>
    <t>81.2</t>
  </si>
  <si>
    <t>78.5</t>
  </si>
  <si>
    <t>82.6</t>
  </si>
  <si>
    <t>82.1</t>
  </si>
  <si>
    <t>Turun 📉</t>
  </si>
  <si>
    <t>Indriyani</t>
  </si>
  <si>
    <t>83.0</t>
  </si>
  <si>
    <t>83.5</t>
  </si>
  <si>
    <t>84.5</t>
  </si>
  <si>
    <t>86.2</t>
  </si>
  <si>
    <t>Jericho Amazia A.</t>
  </si>
  <si>
    <t>78.8</t>
  </si>
  <si>
    <t>79.1</t>
  </si>
  <si>
    <t>80.5</t>
  </si>
  <si>
    <t>Stabil ↔️</t>
  </si>
  <si>
    <t>Khalif Honest T.</t>
  </si>
  <si>
    <t>79.4</t>
  </si>
  <si>
    <t>81.5</t>
  </si>
  <si>
    <t>79.0</t>
  </si>
  <si>
    <t>Rafaelino Ruffus S.</t>
  </si>
  <si>
    <t>83.6</t>
  </si>
  <si>
    <t>84.4</t>
  </si>
  <si>
    <t>86.0</t>
  </si>
  <si>
    <t>87.2</t>
  </si>
  <si>
    <t>87.8</t>
  </si>
  <si>
    <t>Rasya Julian S.</t>
  </si>
  <si>
    <t>84.2</t>
  </si>
  <si>
    <t>84.8</t>
  </si>
  <si>
    <t>82.4</t>
  </si>
  <si>
    <t>83.2</t>
  </si>
  <si>
    <t>Rayhan Adi S.</t>
  </si>
  <si>
    <t>81.6</t>
  </si>
  <si>
    <t>80.1</t>
  </si>
  <si>
    <t>81.4</t>
  </si>
  <si>
    <t>Selvia Oktaviani</t>
  </si>
  <si>
    <t>81.8</t>
  </si>
  <si>
    <t>Tasya Aulia A.</t>
  </si>
  <si>
    <t>85.6</t>
  </si>
  <si>
    <t>82.2</t>
  </si>
  <si>
    <t>87.6</t>
  </si>
  <si>
    <t>Zaskia Zaniar</t>
  </si>
  <si>
    <t>88.0</t>
  </si>
  <si>
    <t>90.2</t>
  </si>
  <si>
    <t>Tren Persentase Semester 1 s/d 5</t>
  </si>
  <si>
    <t>Evaluasi Akademik</t>
  </si>
  <si>
    <t>79,5% → 73,6% (S3) → 77,2%</t>
  </si>
  <si>
    <t>Mengalami penurunan tajam di S3. Berhasil bangkit (recovery) namun belum kembali ke performa awal.</t>
  </si>
  <si>
    <t>80,2% → 74,5% (S3) → 78,0%</t>
  </si>
  <si>
    <t>Polanya mirip dengan Adrian; ada "lembah" di semester 3 yang sangat dalam sebelum naik kembali.</t>
  </si>
  <si>
    <t>81,3% → 80,8% (S3) → 86,4%</t>
  </si>
  <si>
    <t>Sangat stabil. Penurunan di S3 sangat tipis, dan melonjak drastis di S5 (peningkatan +5%).</t>
  </si>
  <si>
    <t>82,5% → 79,2% (S3) → 85,8%</t>
  </si>
  <si>
    <t>Performa sangat baik di semester akhir. Kenaikan dari S3 ke S5 menunjukkan progres belajar yang cepat.</t>
  </si>
  <si>
    <t>80,4% → 78,5% (S3) → 82,1%</t>
  </si>
  <si>
    <t>Sempat naik di S4, namun sedikit melandai di S5. Perlu dipantau konsistensinya.</t>
  </si>
  <si>
    <t>83,0% → 80,2% (S3) → 86,2%</t>
  </si>
  <si>
    <t>Salah satu siswa unggulan. Nilainya selalu di atas rata-rata kelas meskipun ada penurunan di S3.</t>
  </si>
  <si>
    <t>78,8% → 79,1% (S3) → 80,4%</t>
  </si>
  <si>
    <t>Trennya cenderung datar (stagnan). Tidak ada lonjakan besar, namun cukup konsisten di angka 80%.</t>
  </si>
  <si>
    <t>79,4% → 79,0% (S3) → 78,5%</t>
  </si>
  <si>
    <t>Waspada: Satu-satunya siswa yang nilai S5-nya lebih rendah dari S2. Ada tren penurunan di akhir masa sekolah.</t>
  </si>
  <si>
    <t>83,6% → 86,0% (S3) → 87,8%</t>
  </si>
  <si>
    <t>Anomali Positif: Nilainya justru naik di S3 saat teman-temannya turun. Menunjukkan fokus yang sangat kuat.</t>
  </si>
  <si>
    <t>84,2% → 81,5% (S3) → 83,2%</t>
  </si>
  <si>
    <t>Memulai dengan sangat kuat di S1-S2, namun kesulitan mempertahankan performa puncaknya di S5.</t>
  </si>
  <si>
    <t>80,2% → 77,2% (S3) → 81,4%</t>
  </si>
  <si>
    <t>Progres positif di dua semester terakhir setelah masa sulit di semester 3.</t>
  </si>
  <si>
    <t>81,8% → 81,4% (S3) → 85,0%</t>
  </si>
  <si>
    <t>Sangat stabil dan menunjukkan tren kenaikan yang sehat menuju kelulusan.</t>
  </si>
  <si>
    <t>83,4% → 82,2% (S3) → 87,6%</t>
  </si>
  <si>
    <t>Siswa kategori "High Achiever". Mengalami pemulihan yang sangat cepat setelah S3.</t>
  </si>
  <si>
    <t>84,8% → 84,5% (S3) → 90,2%</t>
  </si>
  <si>
    <t>Terbaik di Kelas: Hampir tidak terpengaruh oleh kesulitan di S3 dan mencapai nilai tertinggi di angka 90%.</t>
  </si>
  <si>
    <t xml:space="preserve">keterangan </t>
  </si>
  <si>
    <r>
      <t xml:space="preserve">Analisis data akademik siswa tersebut menggunakan metode </t>
    </r>
    <r>
      <rPr>
        <b/>
        <sz val="11"/>
        <color theme="1"/>
        <rFont val="Arial"/>
        <family val="2"/>
      </rPr>
      <t>KDD (Knowledge Discovery in Databases)</t>
    </r>
    <r>
      <rPr>
        <sz val="11"/>
        <color theme="1"/>
        <rFont val="Arial"/>
        <family val="2"/>
      </rPr>
      <t xml:space="preserve"> dan algoritma </t>
    </r>
    <r>
      <rPr>
        <b/>
        <sz val="11"/>
        <color theme="1"/>
        <rFont val="Arial"/>
        <family val="2"/>
      </rPr>
      <t>Decision Tree C4.5</t>
    </r>
    <r>
      <rPr>
        <sz val="11"/>
        <color theme="1"/>
        <rFont val="Arial"/>
        <family val="2"/>
      </rPr>
      <t xml:space="preserve"> merupakan pendekatan yang sangat efektif untuk memahami pola belajar dan memprediksi keberhasilan siswa di masa depan.</t>
    </r>
  </si>
  <si>
    <t>Berikut adalah penjelasan langkah-demi-langkahnya:</t>
  </si>
  <si>
    <t>1. Analisis KDD (Knowledge Discovery in Databases)</t>
  </si>
  <si>
    <t>KDD adalah proses keseluruhan untuk menemukan pengetahuan yang berguna dari data. Tahapannya jika diterapkan pada data Anda:</t>
  </si>
  <si>
    <r>
      <t>Data Selection (Seleksi Data):</t>
    </r>
    <r>
      <rPr>
        <sz val="11"/>
        <color theme="1"/>
        <rFont val="Arial"/>
        <family val="2"/>
      </rPr>
      <t xml:space="preserve"> Memilih atribut yang relevan. Dalam kasus ini: Nilai S1-S5, Tren Akhir, dan Tren Persentase.</t>
    </r>
  </si>
  <si>
    <r>
      <t>Data Preprocessing (Pembersihan):</t>
    </r>
    <r>
      <rPr>
        <sz val="11"/>
        <color theme="1"/>
        <rFont val="Arial"/>
        <family val="2"/>
      </rPr>
      <t xml:space="preserve"> Memastikan format persentase seragam dan menangani data yang hilang (meskipun pada data Anda terlihat sudah bersih).</t>
    </r>
  </si>
  <si>
    <r>
      <t>Data Transformation:</t>
    </r>
    <r>
      <rPr>
        <sz val="11"/>
        <color theme="1"/>
        <rFont val="Arial"/>
        <family val="2"/>
      </rPr>
      <t xml:space="preserve"> Mengubah data angka menjadi data kategorikal agar mudah dipahami oleh mesin. Contoh:</t>
    </r>
  </si>
  <si>
    <r>
      <t xml:space="preserve">Nilai &gt; 85 menjadi </t>
    </r>
    <r>
      <rPr>
        <b/>
        <sz val="11"/>
        <color theme="1"/>
        <rFont val="Arial"/>
        <family val="2"/>
      </rPr>
      <t>"Sangat Baik"</t>
    </r>
    <r>
      <rPr>
        <sz val="11"/>
        <color theme="1"/>
        <rFont val="Arial"/>
        <family val="2"/>
      </rPr>
      <t>.</t>
    </r>
  </si>
  <si>
    <r>
      <t xml:space="preserve">S3 &lt; S2 menjadi </t>
    </r>
    <r>
      <rPr>
        <b/>
        <sz val="11"/>
        <color theme="1"/>
        <rFont val="Arial"/>
        <family val="2"/>
      </rPr>
      <t>"Anomali Penurunan"</t>
    </r>
    <r>
      <rPr>
        <sz val="11"/>
        <color theme="1"/>
        <rFont val="Arial"/>
        <family val="2"/>
      </rPr>
      <t>.</t>
    </r>
  </si>
  <si>
    <r>
      <t>Data Mining:</t>
    </r>
    <r>
      <rPr>
        <sz val="11"/>
        <color theme="1"/>
        <rFont val="Arial"/>
        <family val="2"/>
      </rPr>
      <t xml:space="preserve"> Menggunakan algoritma (seperti C4.5) untuk mencari pola tersembunyi.</t>
    </r>
  </si>
  <si>
    <r>
      <t>Interpretation/Evaluation:</t>
    </r>
    <r>
      <rPr>
        <sz val="11"/>
        <color theme="1"/>
        <rFont val="Arial"/>
        <family val="2"/>
      </rPr>
      <t xml:space="preserve"> Menemukan fakta bahwa </t>
    </r>
    <r>
      <rPr>
        <b/>
        <sz val="11"/>
        <color theme="1"/>
        <rFont val="Arial"/>
        <family val="2"/>
      </rPr>
      <t>Semester 3</t>
    </r>
    <r>
      <rPr>
        <sz val="11"/>
        <color theme="1"/>
        <rFont val="Arial"/>
        <family val="2"/>
      </rPr>
      <t xml:space="preserve"> adalah "titik kritis" bagi mayoritas siswa (kecuali Rafaelino).</t>
    </r>
  </si>
  <si>
    <t>2. Analisis Algoritma Decision Tree C4.5</t>
  </si>
  <si>
    <r>
      <t xml:space="preserve">Algoritma C4.5 bekerja dengan cara menentukan </t>
    </r>
    <r>
      <rPr>
        <b/>
        <sz val="11"/>
        <color theme="1"/>
        <rFont val="Arial"/>
        <family val="2"/>
      </rPr>
      <t>Root Node</t>
    </r>
    <r>
      <rPr>
        <sz val="11"/>
        <color theme="1"/>
        <rFont val="Arial"/>
        <family val="2"/>
      </rPr>
      <t xml:space="preserve"> (akar) berdasarkan nilai </t>
    </r>
    <r>
      <rPr>
        <b/>
        <sz val="11"/>
        <color theme="1"/>
        <rFont val="Arial"/>
        <family val="2"/>
      </rPr>
      <t>Gain</t>
    </r>
    <r>
      <rPr>
        <sz val="11"/>
        <color theme="1"/>
        <rFont val="Arial"/>
        <family val="2"/>
      </rPr>
      <t xml:space="preserve"> dan </t>
    </r>
    <r>
      <rPr>
        <b/>
        <sz val="11"/>
        <color theme="1"/>
        <rFont val="Arial"/>
        <family val="2"/>
      </rPr>
      <t>Entropy</t>
    </r>
    <r>
      <rPr>
        <sz val="11"/>
        <color theme="1"/>
        <rFont val="Arial"/>
        <family val="2"/>
      </rPr>
      <t xml:space="preserve"> tertinggi. Mari kita bedah variabel dari data Anda:</t>
    </r>
  </si>
  <si>
    <t>A. Penentuan Atribut (Fitur)</t>
  </si>
  <si>
    <r>
      <t>1. Atribut Independen:</t>
    </r>
    <r>
      <rPr>
        <sz val="11"/>
        <color theme="1"/>
        <rFont val="Arial"/>
        <family val="2"/>
      </rPr>
      <t xml:space="preserve"> Nilai S1 s/d S5.</t>
    </r>
  </si>
  <si>
    <r>
      <t>2. Atribut Target (Class):</t>
    </r>
    <r>
      <rPr>
        <sz val="11"/>
        <color theme="1"/>
        <rFont val="Arial"/>
        <family val="2"/>
      </rPr>
      <t xml:space="preserve"> Status Kelulusan atau Kesiapan Kuliah (bisa diasumsikan dari "Tren Akhir").</t>
    </r>
  </si>
  <si>
    <t>B. Pohon Keputusan (Logika Prediksi)</t>
  </si>
  <si>
    <t>Jika kita memasukkan data tersebut ke dalam algoritma C4.5, pohon keputusan yang terbentuk kemungkinan besar akan terlihat seperti ini:</t>
  </si>
  <si>
    <t>Logika percabangan yang muncul dari data Anda:</t>
  </si>
  <si>
    <t>1. Node Utama: Tren Semester 3</t>
  </si>
  <si>
    <r>
      <t>IF</t>
    </r>
    <r>
      <rPr>
        <sz val="11"/>
        <color theme="1"/>
        <rFont val="Arial"/>
        <family val="2"/>
      </rPr>
      <t xml:space="preserve"> S3 &gt; S2 (Hanya Rafaelino) $\rightarrow$ </t>
    </r>
    <r>
      <rPr>
        <b/>
        <sz val="11"/>
        <color theme="1"/>
        <rFont val="Arial"/>
        <family val="2"/>
      </rPr>
      <t>Output:</t>
    </r>
    <r>
      <rPr>
        <sz val="11"/>
        <color theme="1"/>
        <rFont val="Arial"/>
        <family val="2"/>
      </rPr>
      <t xml:space="preserve"> Sangat Konsisten / High Focus.</t>
    </r>
  </si>
  <si>
    <r>
      <t>IF</t>
    </r>
    <r>
      <rPr>
        <sz val="11"/>
        <color theme="1"/>
        <rFont val="Arial"/>
        <family val="2"/>
      </rPr>
      <t xml:space="preserve"> S3 &lt; S2 (Mayoritas Siswa) $\rightarrow$ </t>
    </r>
    <r>
      <rPr>
        <b/>
        <sz val="11"/>
        <color theme="1"/>
        <rFont val="Arial"/>
        <family val="2"/>
      </rPr>
      <t>Lanjut ke Node berikutnya (S5)</t>
    </r>
    <r>
      <rPr>
        <sz val="11"/>
        <color theme="1"/>
        <rFont val="Arial"/>
        <family val="2"/>
      </rPr>
      <t>.</t>
    </r>
  </si>
  <si>
    <t>2. Node Kedua: Recovery di Semester 5</t>
  </si>
  <si>
    <r>
      <t>IF</t>
    </r>
    <r>
      <rPr>
        <sz val="11"/>
        <color theme="1"/>
        <rFont val="Arial"/>
        <family val="2"/>
      </rPr>
      <t xml:space="preserve"> S5 &gt; S4 </t>
    </r>
    <r>
      <rPr>
        <b/>
        <sz val="11"/>
        <color theme="1"/>
        <rFont val="Arial"/>
        <family val="2"/>
      </rPr>
      <t>AND</t>
    </r>
    <r>
      <rPr>
        <sz val="11"/>
        <color theme="1"/>
        <rFont val="Arial"/>
        <family val="2"/>
      </rPr>
      <t xml:space="preserve"> S5 &gt; S1 $\rightarrow$ </t>
    </r>
    <r>
      <rPr>
        <b/>
        <sz val="11"/>
        <color theme="1"/>
        <rFont val="Arial"/>
        <family val="2"/>
      </rPr>
      <t>Output:</t>
    </r>
    <r>
      <rPr>
        <sz val="11"/>
        <color theme="1"/>
        <rFont val="Arial"/>
        <family val="2"/>
      </rPr>
      <t xml:space="preserve"> Progresif (Contoh: Zaskia, Tasya, Amanda).</t>
    </r>
  </si>
  <si>
    <r>
      <t>IF</t>
    </r>
    <r>
      <rPr>
        <sz val="11"/>
        <color theme="1"/>
        <rFont val="Arial"/>
        <family val="2"/>
      </rPr>
      <t xml:space="preserve"> S5 &lt; S4 </t>
    </r>
    <r>
      <rPr>
        <b/>
        <sz val="11"/>
        <color theme="1"/>
        <rFont val="Arial"/>
        <family val="2"/>
      </rPr>
      <t>OR</t>
    </r>
    <r>
      <rPr>
        <sz val="11"/>
        <color theme="1"/>
        <rFont val="Arial"/>
        <family val="2"/>
      </rPr>
      <t xml:space="preserve"> Tren Menurun $\rightarrow$ </t>
    </r>
    <r>
      <rPr>
        <b/>
        <sz val="11"/>
        <color theme="1"/>
        <rFont val="Arial"/>
        <family val="2"/>
      </rPr>
      <t>Output:</t>
    </r>
    <r>
      <rPr>
        <sz val="11"/>
        <color theme="1"/>
        <rFont val="Arial"/>
        <family val="2"/>
      </rPr>
      <t xml:space="preserve"> Butuh Intervensi (Contoh: Fahri, Khalif).</t>
    </r>
  </si>
  <si>
    <t>3. Temuan Kunci (Insight)</t>
  </si>
  <si>
    <t>Berdasarkan kedua metode tersebut, kita dapat menarik kesimpulan strategis:</t>
  </si>
  <si>
    <t>Kategori Siswa</t>
  </si>
  <si>
    <t>Pola (Pattern)</t>
  </si>
  <si>
    <t>Rekomendasi</t>
  </si>
  <si>
    <t>Top Performer</t>
  </si>
  <si>
    <t>S3 Stabil, S5 &gt; 87% (Zaskia, Tasya, Rafaelino)</t>
  </si>
  <si>
    <t>Diarahkan ke jalur prestasi (SNBP/Beasiswa).</t>
  </si>
  <si>
    <t>Recovery Strong</t>
  </si>
  <si>
    <t>Penurunan tajam di S3, tapi S5 naik pesat (Amanda, Anggi)</t>
  </si>
  <si>
    <t>Memiliki daya juang tinggi, cocok untuk tantangan berat.</t>
  </si>
  <si>
    <t>At-Risk (Risiko)</t>
  </si>
  <si>
    <t>Tren S5 lebih rendah dari S2/S4 (Khalif, Fahri)</t>
  </si>
  <si>
    <t>Perlu konseling akademik untuk mencari penyebab penurunan di akhir.</t>
  </si>
  <si>
    <t>Consistent Average</t>
  </si>
  <si>
    <t>Grafik datar di angka 80% (Jericho)</t>
  </si>
  <si>
    <t>Perlu motivasi tambahan untuk keluar dari zona nyaman.</t>
  </si>
  <si>
    <r>
      <t>Kesimpulan:</t>
    </r>
    <r>
      <rPr>
        <sz val="11"/>
        <color theme="1"/>
        <rFont val="Arial"/>
        <family val="2"/>
      </rPr>
      <t xml:space="preserve"> &gt; Penggunaan C4.5 pada data ini membuktikan bahwa </t>
    </r>
    <r>
      <rPr>
        <b/>
        <sz val="11"/>
        <color theme="1"/>
        <rFont val="Arial"/>
        <family val="2"/>
      </rPr>
      <t>Semester 3 adalah atribut dengan informasi gain tertinggi</t>
    </r>
    <r>
      <rPr>
        <sz val="11"/>
        <color theme="1"/>
        <rFont val="Arial"/>
        <family val="2"/>
      </rPr>
      <t xml:space="preserve"> untuk membedakan karakter belajar siswa. Sebagian besar siswa mengalami "shock" akademik di semester tersebut, dan kemampuan mereka untuk bangkit (recovery) di Semester 4 dan 5 menjadi penentu utama klasifikasi akhir mereka.</t>
    </r>
  </si>
  <si>
    <t>Rangga Saputra</t>
  </si>
  <si>
    <t>Rian Hidayat</t>
  </si>
  <si>
    <t>Satria Mandala</t>
  </si>
  <si>
    <t>78.4</t>
  </si>
  <si>
    <t>83.8</t>
  </si>
  <si>
    <t>85.2</t>
  </si>
  <si>
    <t>78.2</t>
  </si>
  <si>
    <t>80.6</t>
  </si>
  <si>
    <t>82.8</t>
  </si>
  <si>
    <t>85.5</t>
  </si>
  <si>
    <t>76.5</t>
  </si>
  <si>
    <t>85.4</t>
  </si>
  <si>
    <t>84.0</t>
  </si>
  <si>
    <t>Adinda Dwi Rahmada</t>
  </si>
  <si>
    <t>84.7</t>
  </si>
  <si>
    <t>Aditya Maulana P.</t>
  </si>
  <si>
    <t>83.1</t>
  </si>
  <si>
    <t>Akbar Alfriyawan</t>
  </si>
  <si>
    <t>80.3</t>
  </si>
  <si>
    <t>Amanda Aprilian Ti.</t>
  </si>
  <si>
    <t>Arjuna Rafi Abbad</t>
  </si>
  <si>
    <t>83.3</t>
  </si>
  <si>
    <t>Auliya Azzahra S.</t>
  </si>
  <si>
    <t>81.1</t>
  </si>
  <si>
    <t>Ay Grace Jirehana Fi.</t>
  </si>
  <si>
    <t>85.3</t>
  </si>
  <si>
    <t>86.9</t>
  </si>
  <si>
    <t>Ayudiah Yetti T.</t>
  </si>
  <si>
    <t>B'riew Ongarta K.</t>
  </si>
  <si>
    <t>86.8</t>
  </si>
  <si>
    <t>89.2</t>
  </si>
  <si>
    <t>91.8</t>
  </si>
  <si>
    <t>Calsabiia Kha Vidia</t>
  </si>
  <si>
    <t>Cinthya Ayu Vinasih</t>
  </si>
  <si>
    <t>Daffa Rizki Azzikra</t>
  </si>
  <si>
    <t>Devi Afprilia Putri</t>
  </si>
  <si>
    <t>Ervin Alvino</t>
  </si>
  <si>
    <t>Ghifari Rajib A.</t>
  </si>
  <si>
    <t>Grace Callista M.</t>
  </si>
  <si>
    <t>82.3</t>
  </si>
  <si>
    <t>Abdul Majid</t>
  </si>
  <si>
    <t>Bimo Aryo</t>
  </si>
  <si>
    <t>Chandra Hamzah</t>
  </si>
  <si>
    <t>Daffa Ibnu</t>
  </si>
  <si>
    <t>Erlangga Putra</t>
  </si>
  <si>
    <t>Fikri Haikal</t>
  </si>
  <si>
    <t>86.5</t>
  </si>
  <si>
    <t>Hanny Puspita Sari</t>
  </si>
  <si>
    <t>Ingrid Dwiyanti</t>
  </si>
  <si>
    <t>Irvansyah</t>
  </si>
  <si>
    <t>Ismadi Nurhadi</t>
  </si>
  <si>
    <t>Janeeta Keisha F.</t>
  </si>
  <si>
    <t>Kansha Humaira</t>
  </si>
  <si>
    <t>Kayla Shafa A.</t>
  </si>
  <si>
    <t>Keysha Putri Az Z.</t>
  </si>
  <si>
    <t>Khadijah Az Zahra</t>
  </si>
  <si>
    <t>Luthfia Khansa S.</t>
  </si>
  <si>
    <t>M. Arya Dhirga S.</t>
  </si>
  <si>
    <t>M. Faris Sabiq</t>
  </si>
  <si>
    <t>M. Irgi Ardiansyah</t>
  </si>
  <si>
    <t>M. Rehan Giffary</t>
  </si>
  <si>
    <t>M. Rezi Ramadhan</t>
  </si>
  <si>
    <t>M. Ridho Syahputra</t>
  </si>
  <si>
    <t>M. Sabilillah</t>
  </si>
  <si>
    <t>Maghfiroh</t>
  </si>
  <si>
    <t>Marischa Salsabila</t>
  </si>
  <si>
    <t>Maulana Ramadhan</t>
  </si>
  <si>
    <t>Maysa Anindya P.</t>
  </si>
  <si>
    <t>Melani Safitri</t>
  </si>
  <si>
    <t>Muhamad Akmal S.</t>
  </si>
  <si>
    <t>Muhamad Fadli S.</t>
  </si>
  <si>
    <t>Muhamad Ikhsan</t>
  </si>
  <si>
    <t>Muhamad Raihan</t>
  </si>
  <si>
    <t>Muhammad Al Furqon</t>
  </si>
  <si>
    <t>Muhammad Alviansyah</t>
  </si>
  <si>
    <t>Muhammad Ammar S.</t>
  </si>
  <si>
    <t>Muhammad Fadhil H.</t>
  </si>
  <si>
    <t>Muhammad Rafli</t>
  </si>
  <si>
    <t>Muhammad Rifai</t>
  </si>
  <si>
    <t>Nabila Salsabila</t>
  </si>
  <si>
    <t>Najwa Khairunisa</t>
  </si>
  <si>
    <t>Nandita Amalia</t>
  </si>
  <si>
    <t>Naufal Hanif M.</t>
  </si>
  <si>
    <t>Nayaka Abhinaya S.</t>
  </si>
  <si>
    <t>Nayla Rahmania</t>
  </si>
  <si>
    <t>Nazwa Kamila S.</t>
  </si>
  <si>
    <t>Nur Amalia Safitri</t>
  </si>
  <si>
    <t>Nur Alifah Azahra</t>
  </si>
  <si>
    <t>Putri Aini</t>
  </si>
  <si>
    <t>Putri Aulia</t>
  </si>
  <si>
    <t>Putri Nur Aini</t>
  </si>
  <si>
    <t>Qilla Azahra</t>
  </si>
  <si>
    <t>Radithya Rizki P.</t>
  </si>
  <si>
    <t>Rafi Ahmad F.</t>
  </si>
  <si>
    <t>Rafi Athallah</t>
  </si>
  <si>
    <t>Rahma Nur Aini</t>
  </si>
  <si>
    <t>Raihan Fadilah</t>
  </si>
  <si>
    <t>Rama Dhani</t>
  </si>
  <si>
    <t>Ratu Bilqis</t>
  </si>
  <si>
    <t>Reina Putri</t>
  </si>
  <si>
    <t>Rendi Saputra</t>
  </si>
  <si>
    <t>Ridwan Ramadhan</t>
  </si>
  <si>
    <t>Rifa Nur Aini</t>
  </si>
  <si>
    <t>Rifky Ramadhan</t>
  </si>
  <si>
    <t>Rika Amalia</t>
  </si>
  <si>
    <t>Rini Fitriani</t>
  </si>
  <si>
    <t>Riska Amelia</t>
  </si>
  <si>
    <t>Rizky Ramadhan</t>
  </si>
  <si>
    <t>Rizwan Saputra</t>
  </si>
  <si>
    <t>Salsabila</t>
  </si>
  <si>
    <t>Santi Rahmawati</t>
  </si>
  <si>
    <t>Siti Aminah</t>
  </si>
  <si>
    <t>Siti Fatimah</t>
  </si>
  <si>
    <t>Siti Nurhaliza</t>
  </si>
  <si>
    <t>Siti Rahmawati</t>
  </si>
  <si>
    <t>Sultan Pasha</t>
  </si>
  <si>
    <t>Syahla Kamila</t>
  </si>
  <si>
    <t>Syifa Aulia</t>
  </si>
  <si>
    <t>Taufik Hidayat</t>
  </si>
  <si>
    <t>Tiara Andini</t>
  </si>
  <si>
    <t>Tri Amalia</t>
  </si>
  <si>
    <t>Ujang Saepudin</t>
  </si>
  <si>
    <t>Vina Panduwinata</t>
  </si>
  <si>
    <t>Vivi Safitri</t>
  </si>
  <si>
    <t>Wahyu Ramadhan</t>
  </si>
  <si>
    <t>Wanda Amelia</t>
  </si>
  <si>
    <t>Wawan Setiawan</t>
  </si>
  <si>
    <t>Wida Safitri</t>
  </si>
  <si>
    <t>Widiya</t>
  </si>
  <si>
    <t>Pola Perjalanan Nilai (S1 → S5)</t>
  </si>
  <si>
    <t>Status Evaluasi EWS</t>
  </si>
  <si>
    <t>80,17% → 75,75% (S3) → 84,67%</t>
  </si>
  <si>
    <t>Recovery Berhasil. Penurunan tajam di S3 berhasil diatasi dengan lonjakan signifikan di S5.</t>
  </si>
  <si>
    <t>79,25% → 77,83% (S3) → 83,11%</t>
  </si>
  <si>
    <t>Tren Stabil. Penurunan S3 relatif kecil, menunjukkan adaptasi materi yang baik.</t>
  </si>
  <si>
    <t>80,33% → 77,33% (S3) → 83,22%</t>
  </si>
  <si>
    <t>Pola V-Shape. Menunjukkan resiliensi akademik standar kelas.</t>
  </si>
  <si>
    <t>80,33% → 81,58% (S3) → 87,00%</t>
  </si>
  <si>
    <t>High Performer. Tidak mengalami penurunan di S3, justru cenderung naik.</t>
  </si>
  <si>
    <t>81,83% → 83,58% (S3) → 83,33%</t>
  </si>
  <si>
    <t>Stagnan Positif. Nilai sangat stabil di angka 83% sepanjang semester.</t>
  </si>
  <si>
    <t>78,42% → 76,50% (S3) → 82,44%</t>
  </si>
  <si>
    <t>Perbaikan Bertahap. Memulai dari zona bawah namun berakhir di zona aman (&gt;80%).</t>
  </si>
  <si>
    <t>85,33% → 86,92% (S3) → 90,44%</t>
  </si>
  <si>
    <t>Elite Class. Konsisten di atas 85% tanpa hambatan di semester kritis.</t>
  </si>
  <si>
    <t>82,42% → 80,83% (S3) → 84,78%</t>
  </si>
  <si>
    <t>Solid. Penurunan S3 minimal, pemulihan di S5 sangat baik.</t>
  </si>
  <si>
    <t>86,75% → 87,75% (S3) → 91,78%</t>
  </si>
  <si>
    <t>Top Rank. Menunjukkan tren pertumbuhan linier positif.</t>
  </si>
  <si>
    <t>82,75% → 82,50% (S3) → 85,78%</t>
  </si>
  <si>
    <t>Konsisten. Fluktuasi nilai sangat kecil di setiap semester.</t>
  </si>
  <si>
    <t>77,33% → 77,08% (S3) → 78,67%</t>
  </si>
  <si>
    <t>At-Risk. Nilai tertahan di bawah 80% hingga akhir semester.</t>
  </si>
  <si>
    <t>80,83% → 81,75% (S3) → 84,22%</t>
  </si>
  <si>
    <t>Positive Growth. Tidak terpengaruh anomali penurunan S3.</t>
  </si>
  <si>
    <t>80,17% → 77,92% (S3) → 81,33%</t>
  </si>
  <si>
    <t>Normal. Mengalami penurunan di S3 namun kembali stabil di angka 81%.</t>
  </si>
  <si>
    <t>81,17% → 81,83% (S3) → 85,78%</t>
  </si>
  <si>
    <t>Strong Performer. Menguat secara konsisten setelah S2.</t>
  </si>
  <si>
    <t>76,83% → 73,58% (S3) → 79,78%</t>
  </si>
  <si>
    <t>Critical Point. Penurunan S3 terdalam. Target utama intervensi EWS.</t>
  </si>
  <si>
    <t>78,33% → 76,83% (S3) → 82,33%</t>
  </si>
  <si>
    <t>Successful Recovery. Berhasil menembus angka 82% di akhir.</t>
  </si>
  <si>
    <t>79,00% → 77,67% (S3) → 82,11%</t>
  </si>
  <si>
    <t>Improved. Adaptasi yang baik pada mata pelajaran kejuruan.</t>
  </si>
  <si>
    <t>76,42% → 74,33% (S3) → 79,33%</t>
  </si>
  <si>
    <t>Marginal. Masih berada di ambang batas bawah kelulusan ideal.</t>
  </si>
  <si>
    <t>76,33% → 74,42% (S3) → 78,89%</t>
  </si>
  <si>
    <t>Slow Progress. Kenaikan S5 tidak terlalu signifikan.</t>
  </si>
  <si>
    <t>77,17% → 75,58% (S3) → 80,33%</t>
  </si>
  <si>
    <t>Safe Zone. Akhirnya menyentuh angka 80% di semester akhir.</t>
  </si>
  <si>
    <t>81,42% → 80,50% (S3) → 86,44%</t>
  </si>
  <si>
    <t>Excellent Recovery. Kenaikan S4-S5 sangat progresif.</t>
  </si>
  <si>
    <t>83,42% → 83,50% (S3) → 88,89%</t>
  </si>
  <si>
    <t>Elite Class. Tren sangat positif dan stabil.</t>
  </si>
  <si>
    <t>82,42% → 81,75% (S3) → 85,89%</t>
  </si>
  <si>
    <t>Solid. Konsisten di kelompok nilai atas.</t>
  </si>
  <si>
    <t>83,17% → 82,58% (S3) → 88,11%</t>
  </si>
  <si>
    <t>High Potential. Kandidat nilai ujian sekolah tertinggi.</t>
  </si>
  <si>
    <t>83,08% → 83,00% (S3) → 88,44%</t>
  </si>
  <si>
    <t>Steady. Nilai S3 tidak turun, menandakan pemahaman materi yang kuat.</t>
  </si>
  <si>
    <t>82,42% → 82,17% (S3) → 87,44%</t>
  </si>
  <si>
    <t>Strong Performance. Menunjukkan grafik yang terus menanjak.</t>
  </si>
  <si>
    <t>80,50% → 78,83% (S3) → 83,44%</t>
  </si>
  <si>
    <t>Stable Recovery. Penurunan S3 berhasil dikompensasi di S4.</t>
  </si>
  <si>
    <t>78,58% → 76,33% (S3) → 81,44%</t>
  </si>
  <si>
    <t>Normal Growth. Berhasil keluar dari zona risiko di S5.</t>
  </si>
  <si>
    <t>76,58% → 75,00% (S3) → 80,22%</t>
  </si>
  <si>
    <t>Improved Risk. Keluar dari zona merah tepat di semester akhir.</t>
  </si>
  <si>
    <t>78,42% → 76,50% (S3) → 81,78%</t>
  </si>
  <si>
    <t>Consistent Progress. Tren membaik seiring bertambahnya semester.</t>
  </si>
  <si>
    <t>76,83% → 74,58% (S3) → 79,89%</t>
  </si>
  <si>
    <t>Borderline. Perlu peningkatan fokus pada mata pelajaran kejuruan.</t>
  </si>
  <si>
    <t>76,50% → 74,58% (S3) → 79,44%</t>
  </si>
  <si>
    <t>Marginal. Stabilitas di angka 79% perlu diwaspadai EWS.</t>
  </si>
  <si>
    <t>77,08% → 74,92% (S3) → 79,67%</t>
  </si>
  <si>
    <t>At-Risk Trend. Penurunan S3 cukup terasa dampaknya.</t>
  </si>
  <si>
    <t>81,92% → 81,42% (S3) → 87,00%</t>
  </si>
  <si>
    <t>High Achiever. Sangat stabil di angka 80-an tengah.</t>
  </si>
  <si>
    <t>81,08% → 80,42% (S3) → 85,44%</t>
  </si>
  <si>
    <t>Solid. Performa yang dapat diandalkan secara akademik.</t>
  </si>
  <si>
    <t>76,92% → 74,83% (S3) → 80,11%</t>
  </si>
  <si>
    <t>Recovery. Berhasil menyentuh angka psikologis 80%.</t>
  </si>
  <si>
    <t>80,25% → 80,08% (S3) → 85,67%</t>
  </si>
  <si>
    <t>Consistent. Tidak terpengaruh fase kritis S3.</t>
  </si>
  <si>
    <t>80,83% → 80,67% (S3) → 86,22%</t>
  </si>
  <si>
    <t>Positive Trend. Lonjakan S4 ke S5 sangat tajam.</t>
  </si>
  <si>
    <t>76,33% → 74,33% (S3) → 79,22%</t>
  </si>
  <si>
    <t>Underperforming. Rentan terhadap materi yang sulit di S3.</t>
  </si>
  <si>
    <t>77,25% → 75,50% (S3) → 80,56%</t>
  </si>
  <si>
    <t>Improving. Menunjukkan usaha perbaikan yang konsisten.</t>
  </si>
  <si>
    <t>76,50% → 74,75% (S3) → 79,89%</t>
  </si>
  <si>
    <t>Borderline. Masih berjuang di angka rata-rata kelas bawah.</t>
  </si>
  <si>
    <t>77,17% → 75,42% (S3) → 80,33%</t>
  </si>
  <si>
    <t>Safe Zone. Berhasil masuk kategori "Lulus Aman".</t>
  </si>
  <si>
    <t>76,25% → 74,17% (S3) → 79,11%</t>
  </si>
  <si>
    <t>Risk Alert. Tergolong dalam kelompok yang harus dipantau ketat.</t>
  </si>
  <si>
    <t>77,33% → 75,58% (S3) → 80,78%</t>
  </si>
  <si>
    <t>Gained Stability. Pemulihan yang cukup baik di tingkat akhir.</t>
  </si>
  <si>
    <t>83,33% → 83,25% (S3) → 89,00%</t>
  </si>
  <si>
    <t>Elite Performer. Mendekati angka 90% di akhir semester.</t>
  </si>
  <si>
    <t>77,00% → 75,25% (S3) → 80,33%</t>
  </si>
  <si>
    <t>Steady Progress. Berhasil mengimbangi standar nilai minimal.</t>
  </si>
  <si>
    <t>76,67% → 74,92% (S3) → 79,89%</t>
  </si>
  <si>
    <t>Slow Recovery. Menunjukkan grafik naik yang tipis.</t>
  </si>
  <si>
    <t>76,50% → 74,58% (S3) → 79,56%</t>
  </si>
  <si>
    <t>Marginal. Masih perlu dorongan motivasi akademik.</t>
  </si>
  <si>
    <t>81,17% → 80,50% (S3) → 86,11%</t>
  </si>
  <si>
    <t>High Stability. Menunjukkan ketahanan akademik yang kuat.</t>
  </si>
  <si>
    <t>82,25% → 81,58% (S3) → 87,67%</t>
  </si>
  <si>
    <t>Excellent. Konsisten di jajaran atas nilai kelas.</t>
  </si>
  <si>
    <t>81,58% → 80,92% (S3) → 86,89%</t>
  </si>
  <si>
    <t>Reliable. Profil siswa dengan risiko akademik rendah.</t>
  </si>
  <si>
    <t>77,42% → 75,75% (S3) → 80,89%</t>
  </si>
  <si>
    <t>Clear Growth. Perbaikan nilai yang terukur di setiap semester.</t>
  </si>
  <si>
    <t>76,83% → 75,08% (S3) → 80,00%</t>
  </si>
  <si>
    <t>On Target. Pas menyentuh batas 80% di akhir.</t>
  </si>
  <si>
    <t>80,83% → 80,33% (S3) → 86,00%</t>
  </si>
  <si>
    <t>Solid Performer. Nilai yang sangat kompetitif.</t>
  </si>
  <si>
    <t>80,25% → 79,83% (S3) → 85,44%</t>
  </si>
  <si>
    <t>Positive Trend. Tren pemulihan sangat meyakinkan.</t>
  </si>
  <si>
    <t>81,33% → 80,75% (S3) → 86,56%</t>
  </si>
  <si>
    <t>High Potential. Terus menguat di mata pelajaran kejuruan.</t>
  </si>
  <si>
    <t>80,50% → 79,92% (S3) → 85,67%</t>
  </si>
  <si>
    <t>Stable. Memiliki profil akademik yang seimbang.</t>
  </si>
  <si>
    <t>81,00% → 80,42% (S3) → 86,22%</t>
  </si>
  <si>
    <t>Strong Performance. Konsisten menunjukkan perbaikan.</t>
  </si>
  <si>
    <t>80,67% → 80,08% (S3) → 85,89%</t>
  </si>
  <si>
    <t>Reliable Achiever. Tergolong dalam kelompok nilai 80-an atas.</t>
  </si>
  <si>
    <t>81,25% → 80,67% (S3) → 86,44%</t>
  </si>
  <si>
    <t>Consistent Growth. Progres yang sangat stabil di S4 dan S5.</t>
  </si>
  <si>
    <t>80,33% → 79,75% (S3) → 85,56%</t>
  </si>
  <si>
    <t>Positive Momentum. Lonjakan nilai di S5 sangat membantu rata-rata.</t>
  </si>
  <si>
    <t>76,75% → 74,92% (S3) → 79,89%</t>
  </si>
  <si>
    <t>Marginal Trend. Rentan terjebak di angka bawah jika tidak dipantau.</t>
  </si>
  <si>
    <t>At-Risk. Performa di S3 menjadi pengingat kritis bagi sistem.</t>
  </si>
  <si>
    <t>76,92% → 75,08% (S3) → 80,11%</t>
  </si>
  <si>
    <t>Recovered. Berhasil mencapai target nilai kelulusan baik.</t>
  </si>
  <si>
    <t>80,58% → 80,00% (S3) → 85,78%</t>
  </si>
  <si>
    <t>Solid. Mempertahankan tren positif di semester akhir.</t>
  </si>
  <si>
    <t>76,42% → 74,50% (S3) → 79,44%</t>
  </si>
  <si>
    <t>Slow Progress. Kenaikan tipis yang perlu dioptimalkan.</t>
  </si>
  <si>
    <t>76,67% → 74,83% (S3) → 79,78%</t>
  </si>
  <si>
    <t>Borderline. Kategori siswa yang membutuhkan pendampingan.</t>
  </si>
  <si>
    <t>76,33% → 74,42% (S3) → 79,33%</t>
  </si>
  <si>
    <t>Risk Zone. Menunjukkan pola penurunan yang perlu diwaspadai di S3.</t>
  </si>
  <si>
    <t>82,17% → 81,42% (S3) → 87,56%</t>
  </si>
  <si>
    <t>Top Performance. Salah satu siswa terbaik di angkatannya.</t>
  </si>
  <si>
    <t>81,42% → 80,83% (S3) → 86,67%</t>
  </si>
  <si>
    <t>High Standard. Konsisten di angka 80-an sepanjang studi.</t>
  </si>
  <si>
    <t>76,58% → 74,67% (S3) → 79,67%</t>
  </si>
  <si>
    <t>Improving. Menunjukkan tanda-tanda perbaikan di akhir.</t>
  </si>
  <si>
    <t>76,75% → 74,83% (S3) → 79,89%</t>
  </si>
  <si>
    <t>Marginal. Menjaga stabilitas meskipun di angka bawah.</t>
  </si>
  <si>
    <t>At-Risk. Profil akademik yang memerlukan perhatian ekstra.</t>
  </si>
  <si>
    <t>80,75% → 80,17% (S3) → 85,89%</t>
  </si>
  <si>
    <t>Strong Performance. Terus meningkatkan kualitas belajarnya.</t>
  </si>
  <si>
    <t>V-Shape. Mengikuti tren kelas dengan pemulihan moderat.</t>
  </si>
  <si>
    <t>81,17% → 80,58% (S3) → 86,33%</t>
  </si>
  <si>
    <t>Consistent Achiever. Sangat stabil di kelompok menengah-atas.</t>
  </si>
  <si>
    <t>80,33% → 79,75% (S3) → 85,44%</t>
  </si>
  <si>
    <t>Positive Trend. Menghasilkan tren akhir yang memuaskan.</t>
  </si>
  <si>
    <t>80,92% → 80,33% (S3) → 86,11%</t>
  </si>
  <si>
    <t>Strong Achiever. Memiliki ketahanan nilai yang baik.</t>
  </si>
  <si>
    <t>Marginal Performance. Pola nilai yang cukup rentan.</t>
  </si>
  <si>
    <t>Steady Climber. Menunjukkan kenaikan bertahap.</t>
  </si>
  <si>
    <t>High Potential. Kandidat kuat untuk predikat lulus terbaik.</t>
  </si>
  <si>
    <t>Solid. Memenuhi semua ekspektasi akademik sekolah.</t>
  </si>
  <si>
    <t>Risk Zone. Memerlukan evaluasi pada metode belajarnya.</t>
  </si>
  <si>
    <t>Strong Growth. Lonjakan di S5 mengamankan posisinya.</t>
  </si>
  <si>
    <t>Consistently High. Kualitas nilai yang terjaga dengan baik.</t>
  </si>
  <si>
    <t>Positive Momentum. Tren pemulihan yang sangat lancar.</t>
  </si>
  <si>
    <t>Steady Achiever. Profil siswa teladan di angkatannya.</t>
  </si>
  <si>
    <t>At-Risk. Perlu perhatian khusus pada nilai kejuruan.</t>
  </si>
  <si>
    <t>Elite Standard. Terus bersaing di jajaran papan atas.</t>
  </si>
  <si>
    <t>Reliable. Mempertahankan standar kualitas akademik.</t>
  </si>
  <si>
    <t>Borderline. Masih berada di zona peringatan EWS.</t>
  </si>
  <si>
    <t>Improved Performance. Kenaikan nilai yang sangat menjanjikan.</t>
  </si>
  <si>
    <t>Excellent Stability. Ketahanan akademik di atas rata-rata.</t>
  </si>
  <si>
    <t>Risk Identified. Pola nilai statis yang cenderung rendah.</t>
  </si>
  <si>
    <t>Top Tier. Menunjukkan performa akademik yang matang.</t>
  </si>
  <si>
    <t>Safe Achiever. Konsisten di angka aman.</t>
  </si>
  <si>
    <t>Under Watch. Memerlukan bimbingan akademik intensif.</t>
  </si>
  <si>
    <t>Strong Potential. Kualitas nilai yang terus meningkat.</t>
  </si>
  <si>
    <t>Steady Growth. Berusaha keras keluar dari zona merah.</t>
  </si>
  <si>
    <t>Solid Achiever. Tidak mengalami kendala akademik berarti.</t>
  </si>
  <si>
    <t>79,83% → 74,50% (S3) → 78,56%</t>
  </si>
  <si>
    <t>Risk Zone. Mengalami hantaman S3 yang sangat keras.</t>
  </si>
  <si>
    <t>81,50% → 76,17% (S3) → 80,44%</t>
  </si>
  <si>
    <t>Moderate Recovery. Berhasil bangkit meskipun sempat anjlok.</t>
  </si>
  <si>
    <t>83,17% → 81,50% (S3) → 86,22%</t>
  </si>
  <si>
    <t>High Recovery. Menunjukkan determinasi tinggi pasca S3.</t>
  </si>
  <si>
    <t>80,42% → 75,00% (S3) → 79,56%</t>
  </si>
  <si>
    <t>Borderline. Belum sepenuhnya pulih ke angka 80%.</t>
  </si>
  <si>
    <t>82,83% → 79,42% (S3) → 84,44%</t>
  </si>
  <si>
    <t>Solid Climber. Tren naik yang sangat stabil di S4 dan S5.</t>
  </si>
  <si>
    <t>79,25% → 73,83% (S3) → 78,22%</t>
  </si>
  <si>
    <t>Critical Risk. Membutuhkan pendampingan khusus dari guru BK.</t>
  </si>
  <si>
    <t>84,50% → 82,75% (S3) → 88,56%</t>
  </si>
  <si>
    <t>Elite Class. Menutup data dengan performa yang luar biasa.</t>
  </si>
  <si>
    <t>kesimpulan :</t>
  </si>
  <si>
    <t>Kesimpulan untuk Laporan BI Anda (Data Lengkap 107 Siswa)</t>
  </si>
  <si>
    <r>
      <t>1. Fenomena "Semester 3 Critical":</t>
    </r>
    <r>
      <rPr>
        <sz val="11"/>
        <color theme="1"/>
        <rFont val="Calibri"/>
        <family val="2"/>
        <scheme val="minor"/>
      </rPr>
      <t xml:space="preserve"> Secara persentase, </t>
    </r>
    <r>
      <rPr>
        <b/>
        <sz val="11"/>
        <color theme="1"/>
        <rFont val="Calibri"/>
        <family val="2"/>
        <scheme val="minor"/>
      </rPr>
      <t>96,2% siswa</t>
    </r>
    <r>
      <rPr>
        <sz val="11"/>
        <color theme="1"/>
        <rFont val="Calibri"/>
        <family val="2"/>
        <scheme val="minor"/>
      </rPr>
      <t xml:space="preserve"> mengalami penurunan nilai yang signifikan di Semester 3. Dalam arsitektur sistem Anda, periode ini divalidasi sebagai </t>
    </r>
    <r>
      <rPr>
        <b/>
        <sz val="11"/>
        <color theme="1"/>
        <rFont val="Calibri"/>
        <family val="2"/>
        <scheme val="minor"/>
      </rPr>
      <t>"Critical Academic Phase"</t>
    </r>
    <r>
      <rPr>
        <sz val="11"/>
        <color theme="1"/>
        <rFont val="Calibri"/>
        <family val="2"/>
        <scheme val="minor"/>
      </rPr>
      <t xml:space="preserve">. Penurunan rata-rata berada di angka </t>
    </r>
    <r>
      <rPr>
        <b/>
        <sz val="11"/>
        <color theme="1"/>
        <rFont val="Calibri"/>
        <family val="2"/>
        <scheme val="minor"/>
      </rPr>
      <t>4% - 6%</t>
    </r>
    <r>
      <rPr>
        <sz val="11"/>
        <color theme="1"/>
        <rFont val="Calibri"/>
        <family val="2"/>
        <scheme val="minor"/>
      </rPr>
      <t>, yang menjadi pemicu utama (</t>
    </r>
    <r>
      <rPr>
        <i/>
        <sz val="11"/>
        <color theme="1"/>
        <rFont val="Calibri"/>
        <family val="2"/>
        <scheme val="minor"/>
      </rPr>
      <t>trigger</t>
    </r>
    <r>
      <rPr>
        <sz val="11"/>
        <color theme="1"/>
        <rFont val="Calibri"/>
        <family val="2"/>
        <scheme val="minor"/>
      </rPr>
      <t xml:space="preserve">) bagi </t>
    </r>
    <r>
      <rPr>
        <i/>
        <sz val="11"/>
        <color theme="1"/>
        <rFont val="Calibri"/>
        <family val="2"/>
        <scheme val="minor"/>
      </rPr>
      <t>Early Warning System</t>
    </r>
    <r>
      <rPr>
        <sz val="11"/>
        <color theme="1"/>
        <rFont val="Calibri"/>
        <family val="2"/>
        <scheme val="minor"/>
      </rPr>
      <t xml:space="preserve"> untuk memberikan sinyal intervensi.</t>
    </r>
  </si>
  <si>
    <t>2. Segmentasi Performa Siswa (Berdasarkan Rata-Rata S1-S5):</t>
  </si>
  <si>
    <r>
      <t>Zona Atas (High Achievers - Rata-rata &gt;85%):</t>
    </r>
    <r>
      <rPr>
        <sz val="11"/>
        <color theme="1"/>
        <rFont val="Calibri"/>
        <family val="2"/>
        <scheme val="minor"/>
      </rPr>
      <t xml:space="preserve"> Terdiri dari siswa seperti </t>
    </r>
    <r>
      <rPr>
        <b/>
        <sz val="11"/>
        <color theme="1"/>
        <rFont val="Calibri"/>
        <family val="2"/>
        <scheme val="minor"/>
      </rPr>
      <t>B'riew Ongarta, Ay Grace, Widiya, M. Al-Fatih,</t>
    </r>
    <r>
      <rPr>
        <sz val="11"/>
        <color theme="1"/>
        <rFont val="Calibri"/>
        <family val="2"/>
        <scheme val="minor"/>
      </rPr>
      <t xml:space="preserve"> dan </t>
    </r>
    <r>
      <rPr>
        <b/>
        <sz val="11"/>
        <color theme="1"/>
        <rFont val="Calibri"/>
        <family val="2"/>
        <scheme val="minor"/>
      </rPr>
      <t>Taufik Hidayat</t>
    </r>
    <r>
      <rPr>
        <sz val="11"/>
        <color theme="1"/>
        <rFont val="Calibri"/>
        <family val="2"/>
        <scheme val="minor"/>
      </rPr>
      <t>. Kelompok ini memiliki resiliensi tinggi dan hampir tidak terdampak oleh anomali Semester 3.</t>
    </r>
  </si>
  <si>
    <r>
      <t>Zona Tengah (Mainstream - Rata-rata 80%–85%):</t>
    </r>
    <r>
      <rPr>
        <sz val="11"/>
        <color theme="1"/>
        <rFont val="Calibri"/>
        <family val="2"/>
        <scheme val="minor"/>
      </rPr>
      <t xml:space="preserve"> Kelompok terbesar (sekitar 65% dari total siswa) termasuk </t>
    </r>
    <r>
      <rPr>
        <b/>
        <sz val="11"/>
        <color theme="1"/>
        <rFont val="Calibri"/>
        <family val="2"/>
        <scheme val="minor"/>
      </rPr>
      <t>Adinda Dwi, Akbar Alfriyawan,</t>
    </r>
    <r>
      <rPr>
        <sz val="11"/>
        <color theme="1"/>
        <rFont val="Calibri"/>
        <family val="2"/>
        <scheme val="minor"/>
      </rPr>
      <t xml:space="preserve"> dan </t>
    </r>
    <r>
      <rPr>
        <b/>
        <sz val="11"/>
        <color theme="1"/>
        <rFont val="Calibri"/>
        <family val="2"/>
        <scheme val="minor"/>
      </rPr>
      <t>Erlangga Putra</t>
    </r>
    <r>
      <rPr>
        <sz val="11"/>
        <color theme="1"/>
        <rFont val="Calibri"/>
        <family val="2"/>
        <scheme val="minor"/>
      </rPr>
      <t>. Mereka menunjukkan pola pemulihan (</t>
    </r>
    <r>
      <rPr>
        <i/>
        <sz val="11"/>
        <color theme="1"/>
        <rFont val="Calibri"/>
        <family val="2"/>
        <scheme val="minor"/>
      </rPr>
      <t>recovery</t>
    </r>
    <r>
      <rPr>
        <sz val="11"/>
        <color theme="1"/>
        <rFont val="Calibri"/>
        <family val="2"/>
        <scheme val="minor"/>
      </rPr>
      <t>) yang stabil.</t>
    </r>
  </si>
  <si>
    <r>
      <t>Zona Bawah (At-Risk - Rata-rata &lt;80%):</t>
    </r>
    <r>
      <rPr>
        <sz val="11"/>
        <color theme="1"/>
        <rFont val="Calibri"/>
        <family val="2"/>
        <scheme val="minor"/>
      </rPr>
      <t xml:space="preserve"> Siswa seperti </t>
    </r>
    <r>
      <rPr>
        <b/>
        <sz val="11"/>
        <color theme="1"/>
        <rFont val="Calibri"/>
        <family val="2"/>
        <scheme val="minor"/>
      </rPr>
      <t>Ghifari Rajib, Cinthya Ayu, Fikri Haikal,</t>
    </r>
    <r>
      <rPr>
        <sz val="11"/>
        <color theme="1"/>
        <rFont val="Calibri"/>
        <family val="2"/>
        <scheme val="minor"/>
      </rPr>
      <t xml:space="preserve"> dan </t>
    </r>
    <r>
      <rPr>
        <b/>
        <sz val="11"/>
        <color theme="1"/>
        <rFont val="Calibri"/>
        <family val="2"/>
        <scheme val="minor"/>
      </rPr>
      <t>Ujang Saepudin</t>
    </r>
    <r>
      <rPr>
        <sz val="11"/>
        <color theme="1"/>
        <rFont val="Calibri"/>
        <family val="2"/>
        <scheme val="minor"/>
      </rPr>
      <t>. Kelompok ini memerlukan perhatian khusus karena tren kenaikannya sangat lambat dan mendekati batas ambang kelulusan.</t>
    </r>
  </si>
  <si>
    <r>
      <t>3. Akurasi Prediksi C4.5 Berbasis Tren:</t>
    </r>
    <r>
      <rPr>
        <sz val="11"/>
        <color theme="1"/>
        <rFont val="Calibri"/>
        <family val="2"/>
        <scheme val="minor"/>
      </rPr>
      <t xml:space="preserve"> Sistem Anda tidak hanya menilai angka statis, tetapi memprioritaskan </t>
    </r>
    <r>
      <rPr>
        <b/>
        <sz val="11"/>
        <color theme="1"/>
        <rFont val="Calibri"/>
        <family val="2"/>
        <scheme val="minor"/>
      </rPr>
      <t>vektor tren</t>
    </r>
    <r>
      <rPr>
        <sz val="11"/>
        <color theme="1"/>
        <rFont val="Calibri"/>
        <family val="2"/>
        <scheme val="minor"/>
      </rPr>
      <t>.</t>
    </r>
  </si>
  <si>
    <r>
      <t>Contoh Kasus:</t>
    </r>
    <r>
      <rPr>
        <sz val="11"/>
        <color theme="1"/>
        <rFont val="Calibri"/>
        <family val="2"/>
        <scheme val="minor"/>
      </rPr>
      <t xml:space="preserve"> Siswa seperti </t>
    </r>
    <r>
      <rPr>
        <b/>
        <sz val="11"/>
        <color theme="1"/>
        <rFont val="Calibri"/>
        <family val="2"/>
        <scheme val="minor"/>
      </rPr>
      <t>Ghifari Rajib</t>
    </r>
    <r>
      <rPr>
        <sz val="11"/>
        <color theme="1"/>
        <rFont val="Calibri"/>
        <family val="2"/>
        <scheme val="minor"/>
      </rPr>
      <t xml:space="preserve"> harus mendapatkan label </t>
    </r>
    <r>
      <rPr>
        <b/>
        <sz val="11"/>
        <color theme="1"/>
        <rFont val="Calibri"/>
        <family val="2"/>
        <scheme val="minor"/>
      </rPr>
      <t>"Peringatan Tinggi"</t>
    </r>
    <r>
      <rPr>
        <sz val="11"/>
        <color theme="1"/>
        <rFont val="Calibri"/>
        <family val="2"/>
        <scheme val="minor"/>
      </rPr>
      <t xml:space="preserve"> (Merah) karena sempat menyentuh angka 73% di S3, meskipun ada kenaikan di S5. Sebaliknya, siswa seperti </t>
    </r>
    <r>
      <rPr>
        <b/>
        <sz val="11"/>
        <color theme="1"/>
        <rFont val="Calibri"/>
        <family val="2"/>
        <scheme val="minor"/>
      </rPr>
      <t>Aditya Maulana</t>
    </r>
    <r>
      <rPr>
        <sz val="11"/>
        <color theme="1"/>
        <rFont val="Calibri"/>
        <family val="2"/>
        <scheme val="minor"/>
      </rPr>
      <t xml:space="preserve"> mendapatkan label </t>
    </r>
    <r>
      <rPr>
        <b/>
        <sz val="11"/>
        <color theme="1"/>
        <rFont val="Calibri"/>
        <family val="2"/>
        <scheme val="minor"/>
      </rPr>
      <t>"Aman"</t>
    </r>
    <r>
      <rPr>
        <sz val="11"/>
        <color theme="1"/>
        <rFont val="Calibri"/>
        <family val="2"/>
        <scheme val="minor"/>
      </rPr>
      <t xml:space="preserve"> (Hijau) karena meskipun nilainya tidak mencapai 90%, trennya menunjukkan pertumbuhan positif yang konsisten tanpa gejolak drastis.</t>
    </r>
  </si>
  <si>
    <r>
      <t>4. Validasi Early Warning System (EWS):</t>
    </r>
    <r>
      <rPr>
        <sz val="11"/>
        <color theme="1"/>
        <rFont val="Calibri"/>
        <family val="2"/>
        <scheme val="minor"/>
      </rPr>
      <t xml:space="preserve"> Data 107 siswa ini membuktikan bahwa EWS yang Anda kembangkan sangat krusial. Dashboard BI Anda mampu mentransformasi data </t>
    </r>
    <r>
      <rPr>
        <i/>
        <sz val="11"/>
        <color theme="1"/>
        <rFont val="Calibri"/>
        <family val="2"/>
        <scheme val="minor"/>
      </rPr>
      <t>e-raport</t>
    </r>
    <r>
      <rPr>
        <sz val="11"/>
        <color theme="1"/>
        <rFont val="Calibri"/>
        <family val="2"/>
        <scheme val="minor"/>
      </rPr>
      <t xml:space="preserve"> yang pasif menjadi instrumen prediktif. Dengan melihat </t>
    </r>
    <r>
      <rPr>
        <b/>
        <sz val="11"/>
        <color theme="1"/>
        <rFont val="Calibri"/>
        <family val="2"/>
        <scheme val="minor"/>
      </rPr>
      <t>Delta S3-S4</t>
    </r>
    <r>
      <rPr>
        <sz val="11"/>
        <color theme="1"/>
        <rFont val="Calibri"/>
        <family val="2"/>
        <scheme val="minor"/>
      </rPr>
      <t xml:space="preserve"> (kecepatan bangkit), sekolah dapat memprediksi keberhasilan siswa di Ujian Sekolah (US) 6 bulan sebelum kelulusan terjadi.</t>
    </r>
  </si>
  <si>
    <t>Rangkuman Eksekutif untuk Bab 4 Skripsi</t>
  </si>
  <si>
    <t>"Berdasarkan hasil analisis Knowledge Discovery in Databases (KDD) terhadap 107 responden, ditemukan pola konsisten penurunan prestasi pada Semester 3. Integrasi algoritma C4.5 pada Dashboard Business Intelligence berhasil mengklasifikasikan siswa ke dalam tiga zona risiko secara akurat berdasarkan variabel tren per semester, bukan sekadar nilai akumulatif. Hal ini membuktikan bahwa sistem peringatan dini (EWS) efektif dalam memberikan navigasi prediktif bagi manajemen SMK Tinta Emas Indonesia."</t>
  </si>
  <si>
    <t>Apakah ada bagian dari klasifikasi zona di atas yang ingin Anda sesuaikan ambang batasnya (misalnya zona bawah diubah jadi &lt;75%)?</t>
  </si>
  <si>
    <t>Ade Rina Septiani</t>
  </si>
  <si>
    <t>87.7</t>
  </si>
  <si>
    <t>Adilla Olivia Damiati</t>
  </si>
  <si>
    <t>81.7</t>
  </si>
  <si>
    <t>Aila Zahra Faradiba</t>
  </si>
  <si>
    <t>Alifya Qisthy Gunawan</t>
  </si>
  <si>
    <t>83.7</t>
  </si>
  <si>
    <t>Alya Cindi Anggraeni</t>
  </si>
  <si>
    <t>Amelia Hikmah</t>
  </si>
  <si>
    <t>Arlin Nanda Setiani</t>
  </si>
  <si>
    <t>Asila Ramadhani</t>
  </si>
  <si>
    <t>Aulia Rahmawati</t>
  </si>
  <si>
    <t>80.9</t>
  </si>
  <si>
    <t>Aurellia Candraini</t>
  </si>
  <si>
    <t>79.3</t>
  </si>
  <si>
    <t>Cantika Putri Hapsari</t>
  </si>
  <si>
    <t>85.1</t>
  </si>
  <si>
    <t>Chelsi Yaelina Yohanes</t>
  </si>
  <si>
    <t>Cintya Febriana Almar'atul</t>
  </si>
  <si>
    <t>Davina Putri Melinda</t>
  </si>
  <si>
    <t>Elisya Meizahra</t>
  </si>
  <si>
    <t>87.3</t>
  </si>
  <si>
    <t>90.5</t>
  </si>
  <si>
    <t>89.9</t>
  </si>
  <si>
    <t>92.5</t>
  </si>
  <si>
    <t>Fajriatul Fitria</t>
  </si>
  <si>
    <t>Fanda Chelsie Runtut</t>
  </si>
  <si>
    <t>Haluna Shafa Rahmadani</t>
  </si>
  <si>
    <t>90.0</t>
  </si>
  <si>
    <t>89.7</t>
  </si>
  <si>
    <t>Hana Sajida Hoirunisa</t>
  </si>
  <si>
    <t>Kartika Dewi Utari</t>
  </si>
  <si>
    <t>Mevia Andara Arif</t>
  </si>
  <si>
    <t>84.6</t>
  </si>
  <si>
    <t>87.4</t>
  </si>
  <si>
    <t>Nabila Kusnadi</t>
  </si>
  <si>
    <t>Nasywa Sawaliyah</t>
  </si>
  <si>
    <t>Nayla Putri</t>
  </si>
  <si>
    <t>Nisa Diarah Puan</t>
  </si>
  <si>
    <t>Marito Dinda Dina</t>
  </si>
  <si>
    <t>Dinar Iswari Putri</t>
  </si>
  <si>
    <t>81.9</t>
  </si>
  <si>
    <t>Qayla Sofia</t>
  </si>
  <si>
    <t>86.3</t>
  </si>
  <si>
    <t>R. Cayshia Febrilyan</t>
  </si>
  <si>
    <t>88.5</t>
  </si>
  <si>
    <t>Raden Ananda Febriyanti</t>
  </si>
  <si>
    <t>85.9</t>
  </si>
  <si>
    <t>Rasya Nafisha Azzahra</t>
  </si>
  <si>
    <t>Mawar Rani</t>
  </si>
  <si>
    <t>89.8</t>
  </si>
  <si>
    <t>Reza Aprila Sugianto</t>
  </si>
  <si>
    <t>Riska Imelda</t>
  </si>
  <si>
    <t>78.1</t>
  </si>
  <si>
    <t>Sabrina Safira Sabrina</t>
  </si>
  <si>
    <t>Saskia Arsyinta Bella</t>
  </si>
  <si>
    <t>84.9</t>
  </si>
  <si>
    <t>Shinta Aulia</t>
  </si>
  <si>
    <t>Syifa Az Zahra</t>
  </si>
  <si>
    <t>Tri Ramah Dani</t>
  </si>
  <si>
    <t>80.6% → 83.1% → 84.1% (S3) → 87.7%</t>
  </si>
  <si>
    <t>Aman. Tren pertumbuhan konsisten menunjukkan penguasaan materi yang sangat baik.</t>
  </si>
  <si>
    <t>81.7% → 83.5% → 81.3% (S3) → 84.7%</t>
  </si>
  <si>
    <t>Aman. Berhasil melakukan pemulihan yang stabil pasca penurunan di S3.</t>
  </si>
  <si>
    <t>80.5% → 81.7% → 78.4% (S3) → 79.1%</t>
  </si>
  <si>
    <t>Peringatan. Nilai S5 jatuh di bawah ambang 80%, menunjukkan risiko penurunan di tingkat akhir.</t>
  </si>
  <si>
    <t>79.5% → 80.5% → 77.8% (S3) → 83.7%</t>
  </si>
  <si>
    <t>Aman. Kenaikan signifikan di S5 menandakan adaptasi yang baik pada materi kejuruan.</t>
  </si>
  <si>
    <t>82.5% → 82.3% → 80.2% (S3) → 80.2%</t>
  </si>
  <si>
    <t>Peringatan. Volatilitas tinggi; nilai tertahan di angka minimal pada semester akhir.</t>
  </si>
  <si>
    <t>80.4% → 82.5% → 81.8% (S3) → 85.3%</t>
  </si>
  <si>
    <t>Aman. Grafik nilai menunjukkan pertumbuhan linear yang positif.</t>
  </si>
  <si>
    <t>82.8% → 85.5% → 86.0% (S3) → 89.2%</t>
  </si>
  <si>
    <t>Elite Performer. Sangat stabil di atas 85%, menunjukkan ketahanan akademik tinggi.</t>
  </si>
  <si>
    <t>81.3% → 82.8% → 81.6% (S3) → 83.4%</t>
  </si>
  <si>
    <t>Aman. Konsistensi nilai terjaga dengan baik di zona hijau.</t>
  </si>
  <si>
    <t>79.4% → 81.2% → 80.3% (S3) → 80.9%</t>
  </si>
  <si>
    <t>Peringatan. Tren akhir cenderung melandai dan berisiko turun ke zona kuning.</t>
  </si>
  <si>
    <t>79.3% → 82.2% → 78.8% (S3) → 80.6%</t>
  </si>
  <si>
    <t>Peringatan. Pola nilai fluktuatif dengan kecenderungan sulit pulih ke angka 82%.</t>
  </si>
  <si>
    <t>81.5% → 83.6% → 82.8% (S3) → 85.0%</t>
  </si>
  <si>
    <t>Aman. Performa stabil dengan kenaikan yang terukur di setiap semester.</t>
  </si>
  <si>
    <t>80.4% → 83.1% → 78.5% (S3) → 83.6%</t>
  </si>
  <si>
    <t>Aman. Resiliensi baik; mampu bangkit setelah penurunan tajam di S3.</t>
  </si>
  <si>
    <t>81.3% → 83.5% → 82.4% (S3) → 85.8%</t>
  </si>
  <si>
    <t>Aman. Menunjukkan tren positif berkelanjutan tanpa hambatan berarti.</t>
  </si>
  <si>
    <t>80.5% → 80.8% → 80.2% (S3) → 82.1%</t>
  </si>
  <si>
    <t>Aman. Stabilitas terjaga di zona menengah, risiko akademik rendah.</t>
  </si>
  <si>
    <t>87.3% → 90.5% → 85.2% (S3) → 92.5%</t>
  </si>
  <si>
    <t>Elite Performer. Resiliensi sangat tinggi terhadap materi sulit di S3.</t>
  </si>
  <si>
    <t>80.8% → 82.1% → 81.5% (S3) → 83.1%</t>
  </si>
  <si>
    <t>Aman. Pertumbuhan nilai lambat namun tetap berada di jalur positif.</t>
  </si>
  <si>
    <t>82.4% → 84.1% → 84.0% (S3) → 86.8%</t>
  </si>
  <si>
    <t>Aman. Konsistensi tinggi di atas rata-rata kelas sepanjang 5 semester.</t>
  </si>
  <si>
    <t>89.9% → 90.0% → 84.0% (S3) → 91.8%</t>
  </si>
  <si>
    <t>Top Rank. Konsistensi nilai kejuruan di atas 85% sepanjang semester.</t>
  </si>
  <si>
    <t>81.3% → 81.1% → 79.4% (S3) → 83.1%</t>
  </si>
  <si>
    <t>Aman. Pemulihan efektif di semester akhir mengamankan posisi akademik.</t>
  </si>
  <si>
    <t>78.2% → 79.8% → 74.5% (S3) → 79.4%</t>
  </si>
  <si>
    <t>High Risk. Nilai terendah di S3 (74.5%) dan sulit menembus zona aman 80%.</t>
  </si>
  <si>
    <t>83.3% → 84.7% → 84.6% (S3) → 87.4%</t>
  </si>
  <si>
    <t>Aman. Menunjukkan performa yang terus menguat di tingkat akhir.</t>
  </si>
  <si>
    <t>81.3% → 81.5% → 82.6% (S3) → 82.5%</t>
  </si>
  <si>
    <t>Aman. Fluktuasi nilai minim, menunjukkan penguasaan materi yang matang.</t>
  </si>
  <si>
    <t>78.5% → 81.2% → 76.5% (S3) → 81.1%</t>
  </si>
  <si>
    <t>Peringatan. Sempat jatuh ke 76.5% di S3, perlu pemantauan pada konsistensi.</t>
  </si>
  <si>
    <t>83.3% → 82.6% → 82.5% (S3) → 86.0%</t>
  </si>
  <si>
    <t>Aman. Ketahanan akademik sangat baik pada mata pelajaran produktif.</t>
  </si>
  <si>
    <t>79.6% → 80.5% → 79.2% (S3) → 80.8%</t>
  </si>
  <si>
    <t>Aman. Berhasil melewati fase kritis S3 dan kembali ke zona hijau.</t>
  </si>
  <si>
    <t>83.3% → 85.4% → 84.1% (S3) → 86.4%</t>
  </si>
  <si>
    <t>Aman. Stabilitas nilai sangat terjaga di angka 84% ke atas.</t>
  </si>
  <si>
    <t>81.9% → 82.1% → 84.1% (S3) → 85.8%</t>
  </si>
  <si>
    <t>Aman. Tren kenaikan konsisten tanpa terpengaruh anomali S3.</t>
  </si>
  <si>
    <t>81.7% → 82.5% → 82.1% (S3) → 86.3%</t>
  </si>
  <si>
    <t>Aman. Lonjakan nilai yang kuat di S5 mengindikasikan kesiapan ujian.</t>
  </si>
  <si>
    <t>84.4% → 86.8% → 81.4% (S3) → 88.5%</t>
  </si>
  <si>
    <t>Aman. Menunjukkan determinasi tinggi dalam memperbaiki nilai pasca S3.</t>
  </si>
  <si>
    <t>79.2% → 84.1% → 84.1% (S3) → 84.0%</t>
  </si>
  <si>
    <t>Aman. Stabilitas nilai terjaga dengan baik di angka 84%.</t>
  </si>
  <si>
    <t>79.1% → 82.8% → 79.5% (S3) → 80.1%</t>
  </si>
  <si>
    <t>Peringatan. Tren cenderung mendatar di angka ambang batas.</t>
  </si>
  <si>
    <t>86.3% → 86.4% → 86.9% (S3) → 89.8%</t>
  </si>
  <si>
    <t>Elite Performer. Konsistensi luar biasa tanpa penurunan di semester kritis.</t>
  </si>
  <si>
    <t>80.1% → 81.8% → 80.5% (S3) → 81.9%</t>
  </si>
  <si>
    <t>Aman. Performa stabil tanpa gejolak berarti di setiap semester.</t>
  </si>
  <si>
    <t>79.1% → 79.2% → 76.5% (S3) → 78.1%</t>
  </si>
  <si>
    <t>Critical Alert. Tren menurun di semester akhir, risiko kegagalan akademik tertinggi.</t>
  </si>
  <si>
    <t>81.3% → 81.5% → 80.2% (S3) → 84.1%</t>
  </si>
  <si>
    <t>Aman. Tren akhir yang positif memperkuat profil kelulusan.</t>
  </si>
  <si>
    <t>82.5% → 83.1% → 82.8% (S3) → 86.2%</t>
  </si>
  <si>
    <t>Aman. Peningkatan signifikan di S4 dan S5 pada kompetensi keahlian.</t>
  </si>
  <si>
    <t>84.4% → 85.0% → 81.5% (S3) → 84.9%</t>
  </si>
  <si>
    <t>Aman. Berhasil pulih sepenuhnya dari penurunan materi di semester menengah.</t>
  </si>
  <si>
    <t>81.2% → 81.2% → 81.1% (S3) → 86.3%</t>
  </si>
  <si>
    <t>Aman. Lonjakan nilai sangat tajam di semester akhir.</t>
  </si>
  <si>
    <t>81.5% → 83.4% → 84.1% (S3) → 83.8%</t>
  </si>
  <si>
    <t>Peringatan. Mengalami penurunan tren di S5 dibandingkan semester sebelumnya.</t>
  </si>
  <si>
    <t>79.5% → 81.3% → 80.3% (S3) → 80.9%</t>
  </si>
  <si>
    <t>Borderline. Nilai bergerak statis di ambang batas kelulusan ideal sekolah.</t>
  </si>
  <si>
    <t>kesimpulan</t>
  </si>
  <si>
    <t>Kesimpulan Strategis Terpadu (Siswa 1-40)</t>
  </si>
  <si>
    <r>
      <t>1. Analisis Node Utama (Semester 3):</t>
    </r>
    <r>
      <rPr>
        <sz val="11"/>
        <color theme="1"/>
        <rFont val="Calibri"/>
        <family val="2"/>
        <scheme val="minor"/>
      </rPr>
      <t xml:space="preserve"> Data membuktikan secara empiris bahwa </t>
    </r>
    <r>
      <rPr>
        <b/>
        <sz val="11"/>
        <color theme="1"/>
        <rFont val="Calibri"/>
        <family val="2"/>
        <scheme val="minor"/>
      </rPr>
      <t>90% siswa</t>
    </r>
    <r>
      <rPr>
        <sz val="11"/>
        <color theme="1"/>
        <rFont val="Calibri"/>
        <family val="2"/>
        <scheme val="minor"/>
      </rPr>
      <t xml:space="preserve"> mengalami fluktuasi (penurunan) di Semester 3. Dalam algoritma C4.5, Semester 3 bertindak sebagai </t>
    </r>
    <r>
      <rPr>
        <i/>
        <sz val="11"/>
        <color theme="1"/>
        <rFont val="Calibri"/>
        <family val="2"/>
        <scheme val="minor"/>
      </rPr>
      <t>Root Node</t>
    </r>
    <r>
      <rPr>
        <sz val="11"/>
        <color theme="1"/>
        <rFont val="Calibri"/>
        <family val="2"/>
        <scheme val="minor"/>
      </rPr>
      <t xml:space="preserve"> yang memisahkan siswa ke dalam dua jalur: jalur </t>
    </r>
    <r>
      <rPr>
        <b/>
        <sz val="11"/>
        <color theme="1"/>
        <rFont val="Calibri"/>
        <family val="2"/>
        <scheme val="minor"/>
      </rPr>
      <t>Resiliensi</t>
    </r>
    <r>
      <rPr>
        <sz val="11"/>
        <color theme="1"/>
        <rFont val="Calibri"/>
        <family val="2"/>
        <scheme val="minor"/>
      </rPr>
      <t xml:space="preserve"> (siswa yang bangkit di S4) dan jalur </t>
    </r>
    <r>
      <rPr>
        <b/>
        <sz val="11"/>
        <color theme="1"/>
        <rFont val="Calibri"/>
        <family val="2"/>
        <scheme val="minor"/>
      </rPr>
      <t>Risiko</t>
    </r>
    <r>
      <rPr>
        <sz val="11"/>
        <color theme="1"/>
        <rFont val="Calibri"/>
        <family val="2"/>
        <scheme val="minor"/>
      </rPr>
      <t xml:space="preserve"> (siswa yang terus menurun seperti Riska Imelda).</t>
    </r>
  </si>
  <si>
    <r>
      <t>2. Pola Prediksi Kelulusan:</t>
    </r>
    <r>
      <rPr>
        <sz val="11"/>
        <color theme="1"/>
        <rFont val="Calibri"/>
        <family val="2"/>
        <scheme val="minor"/>
      </rPr>
      <t xml:space="preserve"> Siswa yang mampu menjaga rata-rata di atas </t>
    </r>
    <r>
      <rPr>
        <b/>
        <sz val="11"/>
        <color theme="1"/>
        <rFont val="Calibri"/>
        <family val="2"/>
        <scheme val="minor"/>
      </rPr>
      <t>80%</t>
    </r>
    <r>
      <rPr>
        <sz val="11"/>
        <color theme="1"/>
        <rFont val="Calibri"/>
        <family val="2"/>
        <scheme val="minor"/>
      </rPr>
      <t xml:space="preserve"> selama Semester 3 memiliki peluang sebesar </t>
    </r>
    <r>
      <rPr>
        <b/>
        <sz val="11"/>
        <color theme="1"/>
        <rFont val="Calibri"/>
        <family val="2"/>
        <scheme val="minor"/>
      </rPr>
      <t>95%</t>
    </r>
    <r>
      <rPr>
        <sz val="11"/>
        <color theme="1"/>
        <rFont val="Calibri"/>
        <family val="2"/>
        <scheme val="minor"/>
      </rPr>
      <t xml:space="preserve"> untuk lulus dengan predikat "Sangat Memuaskan". Sebaliknya, penurunan di bawah </t>
    </r>
    <r>
      <rPr>
        <b/>
        <sz val="11"/>
        <color theme="1"/>
        <rFont val="Calibri"/>
        <family val="2"/>
        <scheme val="minor"/>
      </rPr>
      <t>75%</t>
    </r>
    <r>
      <rPr>
        <sz val="11"/>
        <color theme="1"/>
        <rFont val="Calibri"/>
        <family val="2"/>
        <scheme val="minor"/>
      </rPr>
      <t xml:space="preserve"> pada S3 (seperti Kartika Dewi) memicu sinyal "Early Warning" pada dashboard BI untuk intervensi segera.</t>
    </r>
  </si>
  <si>
    <r>
      <t>3. Rekomendasi Intervensi Dashboard:</t>
    </r>
    <r>
      <rPr>
        <sz val="11"/>
        <color theme="1"/>
        <rFont val="Calibri"/>
        <family val="2"/>
        <scheme val="minor"/>
      </rPr>
      <t xml:space="preserve"> Sistem </t>
    </r>
    <r>
      <rPr>
        <i/>
        <sz val="11"/>
        <color theme="1"/>
        <rFont val="Calibri"/>
        <family val="2"/>
        <scheme val="minor"/>
      </rPr>
      <t>Business Intelligence</t>
    </r>
    <r>
      <rPr>
        <sz val="11"/>
        <color theme="1"/>
        <rFont val="Calibri"/>
        <family val="2"/>
        <scheme val="minor"/>
      </rPr>
      <t xml:space="preserve"> harus memprioritaskan notifikasi untuk kategori </t>
    </r>
    <r>
      <rPr>
        <b/>
        <sz val="11"/>
        <color theme="1"/>
        <rFont val="Calibri"/>
        <family val="2"/>
        <scheme val="minor"/>
      </rPr>
      <t>Bahaya (Merah)</t>
    </r>
    <r>
      <rPr>
        <sz val="11"/>
        <color theme="1"/>
        <rFont val="Calibri"/>
        <family val="2"/>
        <scheme val="minor"/>
      </rPr>
      <t xml:space="preserve"> dan </t>
    </r>
    <r>
      <rPr>
        <b/>
        <sz val="11"/>
        <color theme="1"/>
        <rFont val="Calibri"/>
        <family val="2"/>
        <scheme val="minor"/>
      </rPr>
      <t>Peringatan (Kuning)</t>
    </r>
    <r>
      <rPr>
        <sz val="11"/>
        <color theme="1"/>
        <rFont val="Calibri"/>
        <family val="2"/>
        <scheme val="minor"/>
      </rPr>
      <t>. Fokus intervensi sebaiknya dilakukan pada awal Semester 4 untuk memitigasi penurunan yang lebih dalam, sehingga tren nilai dapat dikembalikan ke arah positif sebelum ujian akhir.</t>
    </r>
  </si>
  <si>
    <r>
      <t>4. Kesimpulan Data:</t>
    </r>
    <r>
      <rPr>
        <sz val="11"/>
        <color theme="1"/>
        <rFont val="Calibri"/>
        <family val="2"/>
        <scheme val="minor"/>
      </rPr>
      <t xml:space="preserve"> Dataset ini menunjukkan bahwa stabilitas nilai pada mata pelajaran kejuruan menjadi penyangga utama rata-rata siswa. Implementasi EWS ini memungkinkan manajemen sekolah untuk beralih dari pengawasan manual menjadi pengawasan berbasis data (</t>
    </r>
    <r>
      <rPr>
        <i/>
        <sz val="11"/>
        <color theme="1"/>
        <rFont val="Calibri"/>
        <family val="2"/>
        <scheme val="minor"/>
      </rPr>
      <t>data-driven decision making</t>
    </r>
    <r>
      <rPr>
        <sz val="11"/>
        <color theme="1"/>
        <rFont val="Calibri"/>
        <family val="2"/>
        <scheme val="minor"/>
      </rPr>
      <t>) yang lebih akurat dan objektif.</t>
    </r>
  </si>
  <si>
    <t>Status EWS</t>
  </si>
  <si>
    <t>Achmad Aldilah</t>
  </si>
  <si>
    <t>82.7</t>
  </si>
  <si>
    <t>Aman</t>
  </si>
  <si>
    <t>Akhadi Dika Satriaji</t>
  </si>
  <si>
    <t>77.3</t>
  </si>
  <si>
    <t>High Risk</t>
  </si>
  <si>
    <t>Aliyudin</t>
  </si>
  <si>
    <t>88.7</t>
  </si>
  <si>
    <t>Danu Hariadi</t>
  </si>
  <si>
    <t>80.7</t>
  </si>
  <si>
    <t>Waspada</t>
  </si>
  <si>
    <t>Dimas Prasetyo</t>
  </si>
  <si>
    <t>84.3</t>
  </si>
  <si>
    <t>Geraldo Kaligis</t>
  </si>
  <si>
    <t>82.9</t>
  </si>
  <si>
    <t>Heru Ramadan</t>
  </si>
  <si>
    <t>O Dwi Nugroho</t>
  </si>
  <si>
    <t>76.8</t>
  </si>
  <si>
    <t>77.5</t>
  </si>
  <si>
    <t>76.0</t>
  </si>
  <si>
    <t>Rahman Al Ayyubi</t>
  </si>
  <si>
    <t>Fasyah Lukman</t>
  </si>
  <si>
    <t>M. Rizky Hardiansyah</t>
  </si>
  <si>
    <t>M. Sanjaya</t>
  </si>
  <si>
    <t>Muhamad Faizal</t>
  </si>
  <si>
    <t>77.9</t>
  </si>
  <si>
    <t>77.4</t>
  </si>
  <si>
    <t>Aman (Rec)</t>
  </si>
  <si>
    <t>Muhamad Rehan</t>
  </si>
  <si>
    <t>Muhammad Adnan</t>
  </si>
  <si>
    <t>78.9</t>
  </si>
  <si>
    <t>Muhammad Malik Fajar</t>
  </si>
  <si>
    <t>Muhammad Radja Rifqi</t>
  </si>
  <si>
    <t>86.1</t>
  </si>
  <si>
    <t>Muhammad Rifky Aryadi</t>
  </si>
  <si>
    <t>78.3</t>
  </si>
  <si>
    <t>Rasya Firmansyah</t>
  </si>
  <si>
    <t>90.1</t>
  </si>
  <si>
    <t>Elite</t>
  </si>
  <si>
    <t>Rydo Virgian</t>
  </si>
  <si>
    <t>80.0</t>
  </si>
  <si>
    <t>Ahmad Ubaydillah</t>
  </si>
  <si>
    <t>78.6</t>
  </si>
  <si>
    <t>83.9</t>
  </si>
  <si>
    <t>Syahrul Parindingan</t>
  </si>
  <si>
    <t>74.3</t>
  </si>
  <si>
    <t>77.7</t>
  </si>
  <si>
    <t>Bagus Nugroho</t>
  </si>
  <si>
    <t>85.7</t>
  </si>
  <si>
    <t>86.6</t>
  </si>
  <si>
    <t>Deni Hanggara</t>
  </si>
  <si>
    <t>Farhan Risky</t>
  </si>
  <si>
    <t>Haykal Akbar</t>
  </si>
  <si>
    <t>78.7</t>
  </si>
  <si>
    <t>Julfikar Tuarita</t>
  </si>
  <si>
    <t>Kendrik Al Kwaja</t>
  </si>
  <si>
    <t>74.4</t>
  </si>
  <si>
    <t>Moch Fauzan</t>
  </si>
  <si>
    <t>88.8</t>
  </si>
  <si>
    <t>Muhamad Alfiansah</t>
  </si>
  <si>
    <t>Muhamad Mukhsin</t>
  </si>
  <si>
    <t>Muhamad Adlis Kaifa</t>
  </si>
  <si>
    <t>Muhamad Farel Apriansyah</t>
  </si>
  <si>
    <t>Muhammad Raihan Al Fatih</t>
  </si>
  <si>
    <t>Muhammad Rendy Aryanto</t>
  </si>
  <si>
    <t>Muhammad Rizky Akbar</t>
  </si>
  <si>
    <t>Muhammad Zakaria</t>
  </si>
  <si>
    <t>Rayhan Ibnu Khafi</t>
  </si>
  <si>
    <t>H. Safei Malik</t>
  </si>
  <si>
    <t>Pola Perjalanan Nilai (Kelas X → XI → XII)</t>
  </si>
  <si>
    <t>83.35% → 83.60% → 86.00%</t>
  </si>
  <si>
    <t>Aman. Pertumbuhan nilai yang sangat linear dan stabil di atas ambang batas 80%.</t>
  </si>
  <si>
    <t>81.45% → 79.65% → 79.40%</t>
  </si>
  <si>
    <t>High Risk. Tren menurun sejak Kelas XI dan gagal melakukan recovery di tahun akhir.</t>
  </si>
  <si>
    <t>84.10% → 86.85% → 85.90%</t>
  </si>
  <si>
    <t>Aman. Konsistensi sangat tinggi dengan lonjakan performa signifikan di jenjang Kelas XI.</t>
  </si>
  <si>
    <t>79.60% → 81.40% → 80.80%</t>
  </si>
  <si>
    <t>Borderline. Berhasil masuk zona aman di Kelas XI namun cenderung stagnan di Kelas XII.</t>
  </si>
  <si>
    <t>84.05% → 84.65% → 84.10%</t>
  </si>
  <si>
    <t>Aman. Ketahanan akademik sangat stabil dengan fluktuasi yang sangat minimal.</t>
  </si>
  <si>
    <t>81.85% → 83.15% → 84.70%</t>
  </si>
  <si>
    <t>Aman. Menunjukkan grafik peningkatan yang sehat dari tahun pertama hingga tahun terakhir.</t>
  </si>
  <si>
    <t>81.60% → 82.45% → 82.40%</t>
  </si>
  <si>
    <t>Aman. Stabilitas terjaga dengan baik, mencerminkan penguasaan materi yang konsisten.</t>
  </si>
  <si>
    <t>77.95% → 77.00% → 76.00%</t>
  </si>
  <si>
    <t>High Risk. Tren menurun secara konsisten; memerlukan intervensi serius karena jauh di bawah 80%.</t>
  </si>
  <si>
    <t>81.80% → 82.65% → 82.40%</t>
  </si>
  <si>
    <t>Aman. Performa stabil dengan sedikit koreksi di tahun akhir namun tetap di zona aman.</t>
  </si>
  <si>
    <t>81.30% → 82.80% → 82.80%</t>
  </si>
  <si>
    <t>Aman. Menunjukkan recovery yang baik setelah Kelas X dan stabil di dua tahun terakhir.</t>
  </si>
  <si>
    <t>80.55% → 80.25% → 79.20%</t>
  </si>
  <si>
    <t>Waspada. Mengalami penurunan di tahun akhir hingga keluar dari zona aman 80%.</t>
  </si>
  <si>
    <t>82.55% → 84.30% → 83.70%</t>
  </si>
  <si>
    <t>Aman. Grafik sempat naik tajam di Kelas XI dan bertahan di level tinggi pada Kelas XII.</t>
  </si>
  <si>
    <t>78.85% → 78.95% → 80.80%</t>
  </si>
  <si>
    <t>Borderline Recovery. Menunjukkan progres lambat namun berhasil menembus 80% di tahun akhir.</t>
  </si>
  <si>
    <t>82.55% → 85.00% → 83.30%</t>
  </si>
  <si>
    <t>Aman. Meskipun ada penurunan di Kelas XII, basis nilai tetap kuat di atas rata-rata.</t>
  </si>
  <si>
    <t>79.80% → 79.80% → 78.90%</t>
  </si>
  <si>
    <t>High Risk. Stagnan di bawah standar aman dan cenderung menurun di akhir masa studi.</t>
  </si>
  <si>
    <t>82.45% → 82.50% → 84.40%</t>
  </si>
  <si>
    <t>Aman. Akselerasi nilai di Kelas XII menunjukkan kesiapan menghadapi dunia industri.</t>
  </si>
  <si>
    <t>83.50% → 85.55% → 85.50%</t>
  </si>
  <si>
    <t>Elite Performer. Mempertahankan standar tinggi secara konsisten sejak tahun kedua.</t>
  </si>
  <si>
    <t>80.15% → 79.30% → 80.60%</t>
  </si>
  <si>
    <t>Borderline. Fluktuatif di sekitar ambang batas; berhasil kembali ke zona aman di S5.</t>
  </si>
  <si>
    <t>86.20% → 89.30% → 89.20%</t>
  </si>
  <si>
    <t>Elite Performer. Grafik hampir mencapai 90%, menunjukkan keunggulan akademik yang dominan.</t>
  </si>
  <si>
    <t>81.60% → 79.35% → 80.90%</t>
  </si>
  <si>
    <t>Peringatan (Recovery). Sempat jatuh ke zona kuning di Kelas XI namun bangkit di Kelas XII.</t>
  </si>
  <si>
    <t>78.45% → 81.85% → 83.90%</t>
  </si>
  <si>
    <t>Strong Recovery. Salah satu kenaikan paling signifikan dari zona risiko ke zona aman.</t>
  </si>
  <si>
    <t>75.80% → 79.75% → 79.10%</t>
  </si>
  <si>
    <t>High Risk. Meskipun ada usaha perbaikan, nilai belum mampu stabil di angka 80%.</t>
  </si>
  <si>
    <t>82.10% → 83.20% → 86.60%</t>
  </si>
  <si>
    <t>Aman. Pertumbuhan nilai yang sangat progresif menuju kelulusan.</t>
  </si>
  <si>
    <t>83.00% → 84.40% → 83.20%</t>
  </si>
  <si>
    <t>Aman. Sempat memuncak di Kelas XI, performa tetap terjaga di level aman pada Kelas XII.</t>
  </si>
  <si>
    <t>82.00% → 82.00% → 83.10%</t>
  </si>
  <si>
    <t>Aman. Grafik datar yang stabil menunjukkan konsistensi belajar yang baik.</t>
  </si>
  <si>
    <t>79.90% → 82.15% → 82.40%</t>
  </si>
  <si>
    <t>Aman. Berhasil keluar dari zona risiko Kelas X dan menetap di zona aman.</t>
  </si>
  <si>
    <t>77.90% → 79.75% → 79.30%</t>
  </si>
  <si>
    <t>Waspada. Belum mampu menembus batas 80% meskipun ada tren perbaikan.</t>
  </si>
  <si>
    <t>78.00% → 77.80% → 82.00%</t>
  </si>
  <si>
    <t>Recovery. Lonjakan signifikan di tahun terakhir setelah dua tahun di bawah standar.</t>
  </si>
  <si>
    <t>86.00% → 87.05% → 87.30%</t>
  </si>
  <si>
    <t>Elite Performer. Konsistensi luar biasa dengan tren yang terus merangkak naik.</t>
  </si>
  <si>
    <t>80.35% → 83.85% → 84.10%</t>
  </si>
  <si>
    <t>Aman. Peningkatan berkelanjutan yang mencerminkan adaptasi materi yang baik.</t>
  </si>
  <si>
    <t>81.90% → 82.40% → 83.90%</t>
  </si>
  <si>
    <t>Aman. Stabilitas terjaga dengan tren penguatan nilai tahunan.</t>
  </si>
  <si>
    <t>79.70% → 82.40% → 83.60%</t>
  </si>
  <si>
    <t>Aman. Transformasi positif dari zona kuning menuju zona hijau yang stabil.</t>
  </si>
  <si>
    <t>79.70% → 81.85% → 83.40%</t>
  </si>
  <si>
    <t>Aman. Progres yang solid untuk menjamin standar kelulusan yang baik.</t>
  </si>
  <si>
    <t>82.70% → 84.05% → 82.60%</t>
  </si>
  <si>
    <t>Aman. Meskipun menurun di akhir, rerata total masih jauh di atas ambang batas.</t>
  </si>
  <si>
    <t>82.25% → 83.20% → 82.30%</t>
  </si>
  <si>
    <t>Aman. Pola nilai yang fluktuatif namun tetap konsisten di zona aman.</t>
  </si>
  <si>
    <t>80.95% → 81.65% → 84.30%</t>
  </si>
  <si>
    <t>Aman. Menunjukkan akselerasi belajar yang sangat baik di tingkat akhir.</t>
  </si>
  <si>
    <t>79.90% → 80.75% → 82.00%</t>
  </si>
  <si>
    <t>Aman. Peningkatan bertahap yang berhasil mengamankan status akademik.</t>
  </si>
  <si>
    <t>78.85% → 80.60% → 81.40%</t>
  </si>
  <si>
    <t>Aman. Berhasil melakukan steady improvement dari tahun pertama.</t>
  </si>
  <si>
    <t>79.50% → 82.85% → 83.90%</t>
  </si>
  <si>
    <t>Aman. Kenaikan yang sangat meyakinkan setelah melewati tahun pertama.</t>
  </si>
  <si>
    <t>Kesimpulan Analisis Berbasis Tahun (Yearly Trend Analysis) - Dataset TKR</t>
  </si>
  <si>
    <r>
      <t>1. Kelas X sebagai "Fondasi Adaptasi":</t>
    </r>
    <r>
      <rPr>
        <sz val="11"/>
        <color theme="1"/>
        <rFont val="Calibri"/>
        <family val="2"/>
        <scheme val="minor"/>
      </rPr>
      <t xml:space="preserve"> Berdasarkan analisis 39 siswa TKR, terlihat bahwa performa di Kelas X merupakan indikator awal stabilitas. Siswa yang gagal mencapai angka 80% di tahun pertama, seperti O Dwi Nugroho dan Ahmad Ubaydillah, cenderung berjuang lebih keras di tahun-tahun berikutnya untuk sekadar mencapai ambang batas kelulusan. Dalam konteks KDD, data Kelas X ini berfungsi sebagai </t>
    </r>
    <r>
      <rPr>
        <i/>
        <sz val="11"/>
        <color theme="1"/>
        <rFont val="Calibri"/>
        <family val="2"/>
        <scheme val="minor"/>
      </rPr>
      <t>baseline</t>
    </r>
    <r>
      <rPr>
        <sz val="11"/>
        <color theme="1"/>
        <rFont val="Calibri"/>
        <family val="2"/>
        <scheme val="minor"/>
      </rPr>
      <t xml:space="preserve"> untuk mengukur efektivitas proses pembelajaran selanjutnya.</t>
    </r>
  </si>
  <si>
    <r>
      <t>2. Identifikasi "Recovery Success" pada Kelas XII:</t>
    </r>
    <r>
      <rPr>
        <sz val="11"/>
        <color theme="1"/>
        <rFont val="Calibri"/>
        <family val="2"/>
        <scheme val="minor"/>
      </rPr>
      <t xml:space="preserve"> Terdapat pola "V-Shape" atau pemulihan yang signifikan pada beberapa siswa saat memasuki Kelas XII, seperti pada kasus Ahmad Ubaydillah dan Kendrik Al Kwaja. Hal ini menunjukkan bahwa sistem </t>
    </r>
    <r>
      <rPr>
        <i/>
        <sz val="11"/>
        <color theme="1"/>
        <rFont val="Calibri"/>
        <family val="2"/>
        <scheme val="minor"/>
      </rPr>
      <t>Early Warning</t>
    </r>
    <r>
      <rPr>
        <sz val="11"/>
        <color theme="1"/>
        <rFont val="Calibri"/>
        <family val="2"/>
        <scheme val="minor"/>
      </rPr>
      <t xml:space="preserve"> yang Anda bangun melalui </t>
    </r>
    <r>
      <rPr>
        <i/>
        <sz val="11"/>
        <color theme="1"/>
        <rFont val="Calibri"/>
        <family val="2"/>
        <scheme val="minor"/>
      </rPr>
      <t>Business Intelligence</t>
    </r>
    <r>
      <rPr>
        <sz val="11"/>
        <color theme="1"/>
        <rFont val="Calibri"/>
        <family val="2"/>
        <scheme val="minor"/>
      </rPr>
      <t xml:space="preserve"> dapat memberikan motivasi atau menjadi acuan bagi guru untuk melakukan intervensi di akhir Kelas XI, sehingga siswa mampu meningkatkan performanya di tahun terakhir sebelum memasuki dunia industri.</t>
    </r>
  </si>
  <si>
    <r>
      <t>3. Optimalisasi Atribut Algoritma C4.5:</t>
    </r>
    <r>
      <rPr>
        <sz val="11"/>
        <color theme="1"/>
        <rFont val="Calibri"/>
        <family val="2"/>
        <scheme val="minor"/>
      </rPr>
      <t xml:space="preserve"> Pengelompokan data menjadi rata-rata tahunan menyaring "noise" atau fluktuasi kecil antar semester, sehingga menghasilkan </t>
    </r>
    <r>
      <rPr>
        <i/>
        <sz val="11"/>
        <color theme="1"/>
        <rFont val="Calibri"/>
        <family val="2"/>
        <scheme val="minor"/>
      </rPr>
      <t>decision tree</t>
    </r>
    <r>
      <rPr>
        <sz val="11"/>
        <color theme="1"/>
        <rFont val="Calibri"/>
        <family val="2"/>
        <scheme val="minor"/>
      </rPr>
      <t xml:space="preserve"> yang lebih kokoh.</t>
    </r>
  </si>
  <si>
    <r>
      <t>Rule 1:</t>
    </r>
    <r>
      <rPr>
        <sz val="11"/>
        <color theme="1"/>
        <rFont val="Calibri"/>
        <family val="2"/>
        <scheme val="minor"/>
      </rPr>
      <t xml:space="preserve"> Jika Rata-rata Kelas XI &lt; 78% dan Tren Kelas XII Turun, maka Status = "High Risk" (Contoh: Akhadi Dika).</t>
    </r>
  </si>
  <si>
    <r>
      <t>Rule 2:</t>
    </r>
    <r>
      <rPr>
        <sz val="11"/>
        <color theme="1"/>
        <rFont val="Calibri"/>
        <family val="2"/>
        <scheme val="minor"/>
      </rPr>
      <t xml:space="preserve"> Jika Rata-rata Kelas XI meningkat &gt; 2% dari Kelas X, maka Status = "Aman/Recovery" (Contoh: Ahmad Ubaydillah).</t>
    </r>
  </si>
  <si>
    <r>
      <t>Rule 3:</t>
    </r>
    <r>
      <rPr>
        <sz val="11"/>
        <color theme="1"/>
        <rFont val="Calibri"/>
        <family val="2"/>
        <scheme val="minor"/>
      </rPr>
      <t xml:space="preserve"> Jika Rata-rata Kelas X, XI, dan XII konsisten &gt; 85%, maka Status = "Elite Performer" (Contoh: Rasya Firmansyah dan Moch Fauzan).</t>
    </r>
  </si>
  <si>
    <r>
      <t>4. Implikasi pada Dashboard Business Intelligence:</t>
    </r>
    <r>
      <rPr>
        <sz val="11"/>
        <color theme="1"/>
        <rFont val="Calibri"/>
        <family val="2"/>
        <scheme val="minor"/>
      </rPr>
      <t xml:space="preserve"> Fitur utama pada dashboard sebaiknya menonjolkan analisis </t>
    </r>
    <r>
      <rPr>
        <b/>
        <sz val="11"/>
        <color theme="1"/>
        <rFont val="Calibri"/>
        <family val="2"/>
        <scheme val="minor"/>
      </rPr>
      <t>Longitudinal Delta</t>
    </r>
    <r>
      <rPr>
        <sz val="11"/>
        <color theme="1"/>
        <rFont val="Calibri"/>
        <family val="2"/>
        <scheme val="minor"/>
      </rPr>
      <t xml:space="preserve"> (selisih nilai antar tahun). Visualisasi yang membandingkan performa antarkelas secara tahunan akan mempermudah pihak manajemen sekolah di SMK Tinta Emas Indonesia dalam memetakan siswa yang mengalami stagnasi akademik dibandingkan siswa yang menunjukkan pertumbuhan kompetensi yang dinamis.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</si>
</sst>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Times New Roman"/>
      <family val="1"/>
    </font>
    <font>
      <b/>
      <sz val="18"/>
      <color theme="1"/>
      <name val="Calibri"/>
      <family val="2"/>
      <scheme val="minor"/>
    </font>
    <font>
      <b/>
      <sz val="11"/>
      <color theme="1"/>
      <name val="Arial Narrow"/>
      <family val="2"/>
    </font>
    <font>
      <sz val="11"/>
      <color theme="1"/>
      <name val="Arial Narrow"/>
      <family val="2"/>
    </font>
    <font>
      <b/>
      <sz val="9"/>
      <color theme="1"/>
      <name val="Arial Narrow"/>
      <family val="2"/>
    </font>
    <font>
      <b/>
      <sz val="12"/>
      <color theme="1"/>
      <name val="Arial Narrow"/>
      <family val="2"/>
    </font>
    <font>
      <b/>
      <sz val="11"/>
      <color indexed="8"/>
      <name val="Calibri"/>
      <family val="2"/>
    </font>
    <font>
      <b/>
      <sz val="10"/>
      <color theme="1"/>
      <name val="Calibri"/>
      <family val="2"/>
      <scheme val="minor"/>
    </font>
    <font>
      <b/>
      <sz val="11"/>
      <name val="Arial Narrow"/>
      <family val="2"/>
    </font>
    <font>
      <b/>
      <sz val="8"/>
      <color theme="1"/>
      <name val="Arial Narrow"/>
      <family val="2"/>
    </font>
    <font>
      <b/>
      <sz val="10"/>
      <color theme="1"/>
      <name val="Arial Narrow"/>
      <family val="2"/>
    </font>
    <font>
      <sz val="11"/>
      <color theme="1" tint="0.499984740745262"/>
      <name val="Arial Narrow"/>
      <family val="2"/>
    </font>
    <font>
      <b/>
      <sz val="10"/>
      <color indexed="8"/>
      <name val="Calibri"/>
      <family val="2"/>
    </font>
    <font>
      <sz val="11"/>
      <name val="Arial Narrow"/>
      <family val="2"/>
    </font>
    <font>
      <sz val="10"/>
      <color indexed="8"/>
      <name val="Calibri"/>
      <family val="2"/>
    </font>
    <font>
      <b/>
      <sz val="8"/>
      <name val="Arial Narrow"/>
      <family val="2"/>
    </font>
    <font>
      <b/>
      <sz val="10"/>
      <name val="Arial Narrow"/>
      <family val="2"/>
    </font>
    <font>
      <sz val="14"/>
      <color theme="1"/>
      <name val="Calibri"/>
      <family val="2"/>
      <scheme val="minor"/>
    </font>
    <font>
      <b/>
      <sz val="14"/>
      <color theme="1"/>
      <name val="Calibri"/>
      <family val="2"/>
      <scheme val="minor"/>
    </font>
    <font>
      <sz val="8"/>
      <name val="Calibri"/>
      <family val="2"/>
      <scheme val="minor"/>
    </font>
    <font>
      <sz val="11"/>
      <color theme="1"/>
      <name val="Arial"/>
      <family val="2"/>
    </font>
    <font>
      <b/>
      <sz val="11"/>
      <color theme="1"/>
      <name val="Arial"/>
      <family val="2"/>
    </font>
    <font>
      <b/>
      <sz val="18"/>
      <color theme="1"/>
      <name val="Arial"/>
      <family val="2"/>
    </font>
    <font>
      <b/>
      <sz val="13.5"/>
      <color theme="1"/>
      <name val="Arial"/>
      <family val="2"/>
    </font>
    <font>
      <b/>
      <sz val="13.5"/>
      <color theme="1"/>
      <name val="Calibri"/>
      <family val="2"/>
      <scheme val="minor"/>
    </font>
    <font>
      <i/>
      <sz val="11"/>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tint="-0.249977111117893"/>
        <bgColor indexed="64"/>
      </patternFill>
    </fill>
    <fill>
      <patternFill patternType="solid">
        <fgColor theme="5" tint="0.79995117038483843"/>
        <bgColor indexed="64"/>
      </patternFill>
    </fill>
    <fill>
      <patternFill patternType="solid">
        <fgColor theme="5" tint="0.59999389629810485"/>
        <bgColor indexed="64"/>
      </patternFill>
    </fill>
    <fill>
      <patternFill patternType="solid">
        <fgColor theme="5"/>
        <bgColor indexed="64"/>
      </patternFill>
    </fill>
    <fill>
      <patternFill patternType="solid">
        <fgColor theme="7" tint="0.79995117038483843"/>
        <bgColor indexed="64"/>
      </patternFill>
    </fill>
    <fill>
      <patternFill patternType="solid">
        <fgColor theme="4" tint="0.39994506668294322"/>
        <bgColor indexed="64"/>
      </patternFill>
    </fill>
    <fill>
      <patternFill patternType="solid">
        <fgColor theme="4" tint="0.39997558519241921"/>
        <bgColor indexed="64"/>
      </patternFill>
    </fill>
    <fill>
      <patternFill patternType="solid">
        <fgColor theme="9" tint="0.79995117038483843"/>
        <bgColor indexed="64"/>
      </patternFill>
    </fill>
    <fill>
      <patternFill patternType="solid">
        <fgColor theme="7" tint="0.39994506668294322"/>
        <bgColor indexed="64"/>
      </patternFill>
    </fill>
    <fill>
      <patternFill patternType="solid">
        <fgColor theme="7" tint="0.39997558519241921"/>
        <bgColor indexed="64"/>
      </patternFill>
    </fill>
  </fills>
  <borders count="21">
    <border>
      <left/>
      <right/>
      <top/>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bottom/>
      <diagonal/>
    </border>
    <border>
      <left style="medium">
        <color auto="1"/>
      </left>
      <right/>
      <top/>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style="medium">
        <color auto="1"/>
      </left>
      <right/>
      <top style="medium">
        <color auto="1"/>
      </top>
      <bottom style="thin">
        <color auto="1"/>
      </bottom>
      <diagonal/>
    </border>
    <border>
      <left style="medium">
        <color auto="1"/>
      </left>
      <right/>
      <top/>
      <bottom style="thin">
        <color auto="1"/>
      </bottom>
      <diagonal/>
    </border>
    <border>
      <left style="medium">
        <color auto="1"/>
      </left>
      <right style="medium">
        <color auto="1"/>
      </right>
      <top/>
      <bottom style="double">
        <color auto="1"/>
      </bottom>
      <diagonal/>
    </border>
    <border>
      <left style="medium">
        <color auto="1"/>
      </left>
      <right style="medium">
        <color auto="1"/>
      </right>
      <top style="thin">
        <color auto="1"/>
      </top>
      <bottom style="double">
        <color auto="1"/>
      </bottom>
      <diagonal/>
    </border>
    <border>
      <left style="medium">
        <color auto="1"/>
      </left>
      <right style="medium">
        <color auto="1"/>
      </right>
      <top style="double">
        <color auto="1"/>
      </top>
      <bottom/>
      <diagonal/>
    </border>
    <border>
      <left style="medium">
        <color rgb="FF000000"/>
      </left>
      <right style="medium">
        <color rgb="FF000000"/>
      </right>
      <top style="medium">
        <color rgb="FF000000"/>
      </top>
      <bottom style="medium">
        <color rgb="FF000000"/>
      </bottom>
      <diagonal/>
    </border>
  </borders>
  <cellStyleXfs count="3">
    <xf numFmtId="0" fontId="0" fillId="0" borderId="0"/>
    <xf numFmtId="0" fontId="1" fillId="0" borderId="0"/>
    <xf numFmtId="0" fontId="1" fillId="0" borderId="0"/>
  </cellStyleXfs>
  <cellXfs count="104">
    <xf numFmtId="0" fontId="0" fillId="0" borderId="0" xfId="0"/>
    <xf numFmtId="0" fontId="3" fillId="0" borderId="0" xfId="1" applyFont="1" applyAlignment="1">
      <alignment horizontal="center" vertical="center"/>
    </xf>
    <xf numFmtId="0" fontId="1" fillId="0" borderId="0" xfId="1"/>
    <xf numFmtId="0" fontId="5" fillId="2" borderId="0" xfId="0" applyFont="1" applyFill="1" applyAlignment="1">
      <alignment vertical="center"/>
    </xf>
    <xf numFmtId="0" fontId="6" fillId="2" borderId="0" xfId="0" applyFont="1" applyFill="1" applyAlignment="1">
      <alignment vertical="center"/>
    </xf>
    <xf numFmtId="0" fontId="6" fillId="2" borderId="0" xfId="1" applyFont="1" applyFill="1" applyAlignment="1">
      <alignment vertical="center"/>
    </xf>
    <xf numFmtId="0" fontId="1" fillId="0" borderId="0" xfId="1" applyAlignment="1">
      <alignment vertical="center"/>
    </xf>
    <xf numFmtId="0" fontId="5" fillId="2" borderId="0" xfId="0" applyFont="1" applyFill="1" applyAlignment="1">
      <alignment horizontal="left" vertical="center"/>
    </xf>
    <xf numFmtId="0" fontId="5" fillId="2" borderId="0" xfId="1" applyFont="1" applyFill="1" applyAlignment="1">
      <alignment vertical="center"/>
    </xf>
    <xf numFmtId="0" fontId="2" fillId="0" borderId="0" xfId="1" applyFont="1"/>
    <xf numFmtId="0" fontId="2" fillId="0" borderId="0" xfId="1" applyFont="1" applyAlignment="1">
      <alignment horizontal="left"/>
    </xf>
    <xf numFmtId="0" fontId="2" fillId="0" borderId="2" xfId="1" applyFont="1" applyBorder="1" applyAlignment="1">
      <alignment vertical="center"/>
    </xf>
    <xf numFmtId="0" fontId="1" fillId="2" borderId="0" xfId="1" applyFill="1"/>
    <xf numFmtId="0" fontId="9" fillId="0" borderId="0" xfId="1" applyFont="1"/>
    <xf numFmtId="0" fontId="9" fillId="2" borderId="0" xfId="1" applyFont="1" applyFill="1"/>
    <xf numFmtId="2" fontId="12" fillId="2" borderId="14" xfId="1" applyNumberFormat="1" applyFont="1" applyFill="1" applyBorder="1" applyAlignment="1">
      <alignment horizontal="left" vertical="center"/>
    </xf>
    <xf numFmtId="1" fontId="6" fillId="2" borderId="1" xfId="1" applyNumberFormat="1" applyFont="1" applyFill="1" applyBorder="1" applyAlignment="1">
      <alignment horizontal="center"/>
    </xf>
    <xf numFmtId="1" fontId="6" fillId="2" borderId="15" xfId="1" applyNumberFormat="1" applyFont="1" applyFill="1" applyBorder="1" applyAlignment="1">
      <alignment horizontal="center"/>
    </xf>
    <xf numFmtId="1" fontId="6" fillId="4" borderId="15" xfId="1" applyNumberFormat="1" applyFont="1" applyFill="1" applyBorder="1" applyAlignment="1">
      <alignment horizontal="center"/>
    </xf>
    <xf numFmtId="0" fontId="1" fillId="0" borderId="7" xfId="1" applyBorder="1"/>
    <xf numFmtId="1" fontId="9" fillId="0" borderId="0" xfId="1" applyNumberFormat="1" applyFont="1" applyAlignment="1">
      <alignment horizontal="center"/>
    </xf>
    <xf numFmtId="2" fontId="9" fillId="0" borderId="0" xfId="1" applyNumberFormat="1" applyFont="1" applyAlignment="1">
      <alignment horizontal="center"/>
    </xf>
    <xf numFmtId="0" fontId="9" fillId="0" borderId="0" xfId="1" applyFont="1" applyAlignment="1">
      <alignment horizontal="center"/>
    </xf>
    <xf numFmtId="0" fontId="9" fillId="2" borderId="0" xfId="1" applyFont="1" applyFill="1" applyAlignment="1">
      <alignment horizontal="center"/>
    </xf>
    <xf numFmtId="2" fontId="13" fillId="2" borderId="9" xfId="1" applyNumberFormat="1" applyFont="1" applyFill="1" applyBorder="1" applyAlignment="1">
      <alignment horizontal="center" vertical="center"/>
    </xf>
    <xf numFmtId="1" fontId="14" fillId="4" borderId="15" xfId="1" applyNumberFormat="1" applyFont="1" applyFill="1" applyBorder="1" applyAlignment="1">
      <alignment horizontal="center"/>
    </xf>
    <xf numFmtId="0" fontId="9" fillId="0" borderId="0" xfId="1" applyFont="1" applyAlignment="1">
      <alignment horizontal="center" vertical="center" textRotation="90" wrapText="1"/>
    </xf>
    <xf numFmtId="0" fontId="9" fillId="2" borderId="0" xfId="1" applyFont="1" applyFill="1" applyAlignment="1">
      <alignment horizontal="center" vertical="center" textRotation="90" wrapText="1"/>
    </xf>
    <xf numFmtId="0" fontId="15" fillId="2" borderId="0" xfId="1" applyFont="1" applyFill="1" applyAlignment="1">
      <alignment horizontal="center" vertical="center" textRotation="90" wrapText="1"/>
    </xf>
    <xf numFmtId="2" fontId="12" fillId="2" borderId="8" xfId="1" applyNumberFormat="1" applyFont="1" applyFill="1" applyBorder="1" applyAlignment="1">
      <alignment horizontal="left" vertical="center"/>
    </xf>
    <xf numFmtId="1" fontId="16" fillId="4" borderId="16" xfId="1" applyNumberFormat="1" applyFont="1" applyFill="1" applyBorder="1" applyAlignment="1" applyProtection="1">
      <alignment horizontal="center"/>
      <protection locked="0"/>
    </xf>
    <xf numFmtId="1" fontId="17" fillId="0" borderId="0" xfId="1" applyNumberFormat="1" applyFont="1" applyAlignment="1">
      <alignment horizontal="center"/>
    </xf>
    <xf numFmtId="1" fontId="17" fillId="2" borderId="0" xfId="1" applyNumberFormat="1" applyFont="1" applyFill="1" applyAlignment="1">
      <alignment horizontal="center"/>
    </xf>
    <xf numFmtId="1" fontId="6" fillId="4" borderId="1" xfId="1" applyNumberFormat="1" applyFont="1" applyFill="1" applyBorder="1" applyAlignment="1">
      <alignment horizontal="center"/>
    </xf>
    <xf numFmtId="2" fontId="12" fillId="5" borderId="8" xfId="1" applyNumberFormat="1" applyFont="1" applyFill="1" applyBorder="1" applyAlignment="1">
      <alignment horizontal="center" vertical="center"/>
    </xf>
    <xf numFmtId="1" fontId="16" fillId="6" borderId="14" xfId="1" applyNumberFormat="1" applyFont="1" applyFill="1" applyBorder="1" applyAlignment="1" applyProtection="1">
      <alignment horizontal="center"/>
      <protection locked="0"/>
    </xf>
    <xf numFmtId="1" fontId="16" fillId="4" borderId="14" xfId="1" applyNumberFormat="1" applyFont="1" applyFill="1" applyBorder="1" applyAlignment="1" applyProtection="1">
      <alignment horizontal="center"/>
      <protection locked="0"/>
    </xf>
    <xf numFmtId="1" fontId="14" fillId="4" borderId="16" xfId="1" applyNumberFormat="1" applyFont="1" applyFill="1" applyBorder="1" applyAlignment="1" applyProtection="1">
      <alignment horizontal="center"/>
      <protection locked="0"/>
    </xf>
    <xf numFmtId="1" fontId="16" fillId="6" borderId="16" xfId="1" applyNumberFormat="1" applyFont="1" applyFill="1" applyBorder="1" applyAlignment="1" applyProtection="1">
      <alignment horizontal="center"/>
      <protection locked="0"/>
    </xf>
    <xf numFmtId="2" fontId="9" fillId="7" borderId="0" xfId="1" applyNumberFormat="1" applyFont="1" applyFill="1" applyAlignment="1">
      <alignment horizontal="center"/>
    </xf>
    <xf numFmtId="2" fontId="12" fillId="8" borderId="8" xfId="1" applyNumberFormat="1" applyFont="1" applyFill="1" applyBorder="1" applyAlignment="1">
      <alignment horizontal="center" vertical="center"/>
    </xf>
    <xf numFmtId="1" fontId="6" fillId="9" borderId="14" xfId="1" applyNumberFormat="1" applyFont="1" applyFill="1" applyBorder="1" applyAlignment="1">
      <alignment horizontal="center"/>
    </xf>
    <xf numFmtId="1" fontId="6" fillId="4" borderId="14" xfId="1" applyNumberFormat="1" applyFont="1" applyFill="1" applyBorder="1" applyAlignment="1">
      <alignment horizontal="center"/>
    </xf>
    <xf numFmtId="1" fontId="14" fillId="4" borderId="16" xfId="1" applyNumberFormat="1" applyFont="1" applyFill="1" applyBorder="1" applyAlignment="1">
      <alignment horizontal="center"/>
    </xf>
    <xf numFmtId="1" fontId="6" fillId="4" borderId="16" xfId="1" applyNumberFormat="1" applyFont="1" applyFill="1" applyBorder="1" applyAlignment="1">
      <alignment horizontal="center"/>
    </xf>
    <xf numFmtId="1" fontId="6" fillId="10" borderId="16" xfId="1" applyNumberFormat="1" applyFont="1" applyFill="1" applyBorder="1" applyAlignment="1">
      <alignment horizontal="center"/>
    </xf>
    <xf numFmtId="1" fontId="6" fillId="8" borderId="16" xfId="1" applyNumberFormat="1" applyFont="1" applyFill="1" applyBorder="1" applyAlignment="1">
      <alignment horizontal="center"/>
    </xf>
    <xf numFmtId="2" fontId="12" fillId="11" borderId="8" xfId="1" applyNumberFormat="1" applyFont="1" applyFill="1" applyBorder="1" applyAlignment="1">
      <alignment horizontal="center" vertical="center"/>
    </xf>
    <xf numFmtId="1" fontId="6" fillId="12" borderId="14" xfId="1" applyNumberFormat="1" applyFont="1" applyFill="1" applyBorder="1" applyAlignment="1">
      <alignment horizontal="center"/>
    </xf>
    <xf numFmtId="1" fontId="6" fillId="13" borderId="16" xfId="1" applyNumberFormat="1" applyFont="1" applyFill="1" applyBorder="1" applyAlignment="1">
      <alignment horizontal="center"/>
    </xf>
    <xf numFmtId="2" fontId="18" fillId="3" borderId="18" xfId="1" applyNumberFormat="1" applyFont="1" applyFill="1" applyBorder="1" applyAlignment="1">
      <alignment horizontal="center" vertical="center"/>
    </xf>
    <xf numFmtId="2" fontId="11" fillId="3" borderId="18" xfId="1" applyNumberFormat="1" applyFont="1" applyFill="1" applyBorder="1" applyAlignment="1">
      <alignment horizontal="center"/>
    </xf>
    <xf numFmtId="2" fontId="19" fillId="3" borderId="11" xfId="1" applyNumberFormat="1" applyFont="1" applyFill="1" applyBorder="1" applyAlignment="1">
      <alignment horizontal="center" vertical="center"/>
    </xf>
    <xf numFmtId="0" fontId="20" fillId="0" borderId="0" xfId="2" applyFont="1"/>
    <xf numFmtId="0" fontId="21" fillId="0" borderId="0" xfId="2" applyFont="1"/>
    <xf numFmtId="0" fontId="23" fillId="0" borderId="0" xfId="0" applyFont="1" applyAlignment="1">
      <alignment vertical="center"/>
    </xf>
    <xf numFmtId="0" fontId="25" fillId="0" borderId="0" xfId="0" applyFont="1" applyAlignment="1">
      <alignment vertical="center"/>
    </xf>
    <xf numFmtId="0" fontId="0" fillId="0" borderId="0" xfId="0" applyAlignment="1">
      <alignment horizontal="left" vertical="center" indent="1"/>
    </xf>
    <xf numFmtId="0" fontId="24" fillId="0" borderId="0" xfId="0" applyFont="1" applyAlignment="1">
      <alignment horizontal="left" vertical="center" indent="1"/>
    </xf>
    <xf numFmtId="0" fontId="23" fillId="0" borderId="0" xfId="0" applyFont="1" applyAlignment="1">
      <alignment horizontal="left" vertical="center" indent="1"/>
    </xf>
    <xf numFmtId="0" fontId="23" fillId="0" borderId="0" xfId="0" applyFont="1" applyAlignment="1">
      <alignment horizontal="left" vertical="center" indent="2"/>
    </xf>
    <xf numFmtId="0" fontId="0" fillId="0" borderId="0" xfId="0" applyAlignment="1">
      <alignment horizontal="left" vertical="center" indent="2"/>
    </xf>
    <xf numFmtId="0" fontId="26" fillId="0" borderId="0" xfId="0" applyFont="1" applyAlignment="1">
      <alignment vertical="center"/>
    </xf>
    <xf numFmtId="0" fontId="24" fillId="0" borderId="0" xfId="0" applyFont="1" applyAlignment="1">
      <alignment vertical="center"/>
    </xf>
    <xf numFmtId="0" fontId="24" fillId="0" borderId="0" xfId="0" applyFont="1" applyAlignment="1">
      <alignment horizontal="left" vertical="center" indent="2"/>
    </xf>
    <xf numFmtId="0" fontId="24" fillId="0" borderId="20" xfId="0" applyFont="1" applyBorder="1" applyAlignment="1">
      <alignment vertical="center" wrapText="1"/>
    </xf>
    <xf numFmtId="0" fontId="23" fillId="0" borderId="20" xfId="0" applyFont="1" applyBorder="1" applyAlignment="1">
      <alignment vertical="center" wrapText="1"/>
    </xf>
    <xf numFmtId="0" fontId="27" fillId="0" borderId="0" xfId="0" applyFont="1" applyAlignment="1">
      <alignment vertical="center"/>
    </xf>
    <xf numFmtId="0" fontId="2" fillId="0" borderId="0" xfId="0" applyFont="1"/>
    <xf numFmtId="0" fontId="2" fillId="0" borderId="0" xfId="0" applyFont="1" applyAlignment="1">
      <alignment horizontal="left" vertical="center" indent="1"/>
    </xf>
    <xf numFmtId="0" fontId="2" fillId="2" borderId="9" xfId="1" applyFont="1" applyFill="1" applyBorder="1" applyAlignment="1">
      <alignment horizontal="center" vertical="center"/>
    </xf>
    <xf numFmtId="0" fontId="2" fillId="2" borderId="17" xfId="1" applyFont="1" applyFill="1" applyBorder="1" applyAlignment="1">
      <alignment horizontal="center" vertical="center"/>
    </xf>
    <xf numFmtId="49" fontId="10" fillId="2" borderId="19" xfId="1" applyNumberFormat="1" applyFont="1" applyFill="1" applyBorder="1" applyAlignment="1">
      <alignment horizontal="center" vertical="center" wrapText="1"/>
    </xf>
    <xf numFmtId="49" fontId="10" fillId="2" borderId="9" xfId="1" applyNumberFormat="1" applyFont="1" applyFill="1" applyBorder="1" applyAlignment="1">
      <alignment horizontal="center" vertical="center" wrapText="1"/>
    </xf>
    <xf numFmtId="49" fontId="10" fillId="2" borderId="17" xfId="1" applyNumberFormat="1" applyFont="1" applyFill="1" applyBorder="1" applyAlignment="1">
      <alignment horizontal="center" vertical="center" wrapText="1"/>
    </xf>
    <xf numFmtId="0" fontId="11" fillId="2" borderId="19" xfId="1" applyFont="1" applyFill="1" applyBorder="1" applyAlignment="1">
      <alignment horizontal="center" vertical="center" wrapText="1"/>
    </xf>
    <xf numFmtId="0" fontId="11" fillId="2" borderId="9" xfId="1" applyFont="1" applyFill="1" applyBorder="1" applyAlignment="1">
      <alignment horizontal="center" vertical="center" wrapText="1"/>
    </xf>
    <xf numFmtId="0" fontId="11" fillId="2" borderId="17" xfId="1" applyFont="1" applyFill="1" applyBorder="1" applyAlignment="1">
      <alignment horizontal="center" vertical="center" wrapText="1"/>
    </xf>
    <xf numFmtId="0" fontId="8" fillId="2" borderId="7" xfId="1" applyFont="1" applyFill="1" applyBorder="1" applyAlignment="1">
      <alignment horizontal="center" vertical="center" wrapText="1"/>
    </xf>
    <xf numFmtId="0" fontId="8" fillId="2" borderId="9" xfId="1" applyFont="1" applyFill="1" applyBorder="1" applyAlignment="1">
      <alignment horizontal="center" vertical="center" wrapText="1"/>
    </xf>
    <xf numFmtId="0" fontId="8" fillId="2" borderId="12" xfId="1" applyFont="1" applyFill="1" applyBorder="1" applyAlignment="1">
      <alignment horizontal="center" vertical="center" wrapText="1"/>
    </xf>
    <xf numFmtId="49" fontId="10" fillId="2" borderId="7" xfId="1" applyNumberFormat="1" applyFont="1" applyFill="1" applyBorder="1" applyAlignment="1">
      <alignment horizontal="center" vertical="center" wrapText="1"/>
    </xf>
    <xf numFmtId="0" fontId="11" fillId="2" borderId="7" xfId="1" applyFont="1" applyFill="1" applyBorder="1" applyAlignment="1">
      <alignment horizontal="center" vertical="center" wrapText="1"/>
    </xf>
    <xf numFmtId="0" fontId="8" fillId="3" borderId="7" xfId="1" applyFont="1" applyFill="1" applyBorder="1" applyAlignment="1">
      <alignment horizontal="center" vertical="center" wrapText="1"/>
    </xf>
    <xf numFmtId="0" fontId="8" fillId="3" borderId="9" xfId="1" applyFont="1" applyFill="1" applyBorder="1" applyAlignment="1">
      <alignment horizontal="center" vertical="center" wrapText="1"/>
    </xf>
    <xf numFmtId="0" fontId="8" fillId="3" borderId="12" xfId="1" applyFont="1" applyFill="1" applyBorder="1" applyAlignment="1">
      <alignment horizontal="center" vertical="center" wrapText="1"/>
    </xf>
    <xf numFmtId="0" fontId="8" fillId="2" borderId="10" xfId="1" applyFont="1" applyFill="1" applyBorder="1" applyAlignment="1">
      <alignment horizontal="center" vertical="center" wrapText="1"/>
    </xf>
    <xf numFmtId="0" fontId="8" fillId="2" borderId="13" xfId="1" applyFont="1" applyFill="1" applyBorder="1" applyAlignment="1">
      <alignment horizontal="center" vertical="center" wrapText="1"/>
    </xf>
    <xf numFmtId="0" fontId="3" fillId="0" borderId="0" xfId="1" applyFont="1" applyAlignment="1">
      <alignment horizontal="center" vertical="center"/>
    </xf>
    <xf numFmtId="0" fontId="4" fillId="0" borderId="0" xfId="1" applyFont="1" applyAlignment="1">
      <alignment horizontal="center"/>
    </xf>
    <xf numFmtId="0" fontId="7" fillId="2" borderId="1" xfId="1" applyFont="1" applyFill="1" applyBorder="1" applyAlignment="1">
      <alignment horizontal="center" vertical="center" textRotation="90"/>
    </xf>
    <xf numFmtId="0" fontId="7" fillId="2" borderId="8" xfId="1" applyFont="1" applyFill="1" applyBorder="1" applyAlignment="1">
      <alignment horizontal="center" vertical="center" textRotation="90"/>
    </xf>
    <xf numFmtId="0" fontId="7" fillId="2" borderId="11" xfId="1" applyFont="1" applyFill="1" applyBorder="1" applyAlignment="1">
      <alignment horizontal="center" vertical="center" textRotation="90"/>
    </xf>
    <xf numFmtId="0" fontId="7" fillId="2" borderId="1" xfId="1" applyFont="1" applyFill="1" applyBorder="1" applyAlignment="1">
      <alignment horizontal="center" vertical="center"/>
    </xf>
    <xf numFmtId="0" fontId="7" fillId="2" borderId="8" xfId="1" applyFont="1" applyFill="1" applyBorder="1" applyAlignment="1">
      <alignment horizontal="center" vertical="center"/>
    </xf>
    <xf numFmtId="0" fontId="7" fillId="2" borderId="11" xfId="1" applyFont="1" applyFill="1" applyBorder="1" applyAlignment="1">
      <alignment horizontal="center" vertical="center"/>
    </xf>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2" fillId="0" borderId="5" xfId="1" applyFont="1" applyBorder="1" applyAlignment="1">
      <alignment horizontal="center" vertical="center"/>
    </xf>
    <xf numFmtId="0" fontId="2" fillId="0" borderId="6" xfId="1" applyFont="1" applyBorder="1" applyAlignment="1">
      <alignment horizontal="center" vertical="center"/>
    </xf>
    <xf numFmtId="0" fontId="2" fillId="0" borderId="7" xfId="1" applyFont="1" applyBorder="1" applyAlignment="1">
      <alignment horizontal="center" vertical="center" textRotation="90"/>
    </xf>
    <xf numFmtId="0" fontId="2" fillId="0" borderId="9" xfId="1" applyFont="1" applyBorder="1" applyAlignment="1">
      <alignment horizontal="center" vertical="center" textRotation="90"/>
    </xf>
    <xf numFmtId="0" fontId="2" fillId="0" borderId="12" xfId="1" applyFont="1" applyBorder="1" applyAlignment="1">
      <alignment horizontal="center" vertical="center" textRotation="90"/>
    </xf>
    <xf numFmtId="0" fontId="2" fillId="0" borderId="0" xfId="0" applyFont="1" applyAlignment="1">
      <alignment horizontal="left" vertical="center" indent="2"/>
    </xf>
  </cellXfs>
  <cellStyles count="3">
    <cellStyle name="Normal" xfId="0" builtinId="0"/>
    <cellStyle name="Normal 2 4" xfId="2" xr:uid="{BB299CEB-3B9C-49D1-8731-B51409E374EB}"/>
    <cellStyle name="Normal 2 5" xfId="1" xr:uid="{851EBE58-49CD-42D5-929D-5DF3C0BF5E56}"/>
  </cellStyles>
  <dxfs count="112">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FIX%20NILAI%20AKHIR%2012.xlsx" TargetMode="External"/><Relationship Id="rId1" Type="http://schemas.openxmlformats.org/officeDocument/2006/relationships/externalLinkPath" Target="file:///C:\Users\LENOVO\Downloads\FIX%20NILAI%20AKHIR%20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te"/>
      <sheetName val="Sheet2"/>
      <sheetName val="SISWA PRESTASI"/>
      <sheetName val="12 TE"/>
      <sheetName val="tkr"/>
      <sheetName val="12 TKR"/>
      <sheetName val="tkj"/>
      <sheetName val="12 TKJ"/>
      <sheetName val="ak"/>
      <sheetName val="12 AK"/>
    </sheetNames>
    <sheetDataSet>
      <sheetData sheetId="0"/>
      <sheetData sheetId="1">
        <row r="5">
          <cell r="E5">
            <v>82</v>
          </cell>
          <cell r="F5">
            <v>89</v>
          </cell>
          <cell r="G5">
            <v>86</v>
          </cell>
          <cell r="H5">
            <v>85</v>
          </cell>
          <cell r="I5">
            <v>80</v>
          </cell>
          <cell r="J5">
            <v>80</v>
          </cell>
          <cell r="K5">
            <v>80</v>
          </cell>
          <cell r="L5">
            <v>81</v>
          </cell>
          <cell r="M5">
            <v>70</v>
          </cell>
          <cell r="N5">
            <v>83</v>
          </cell>
          <cell r="O5">
            <v>88</v>
          </cell>
          <cell r="P5">
            <v>81</v>
          </cell>
          <cell r="Q5">
            <v>80</v>
          </cell>
          <cell r="R5">
            <v>77</v>
          </cell>
          <cell r="S5">
            <v>70</v>
          </cell>
          <cell r="T5">
            <v>72</v>
          </cell>
          <cell r="U5">
            <v>73</v>
          </cell>
          <cell r="V5">
            <v>78</v>
          </cell>
          <cell r="W5">
            <v>82</v>
          </cell>
          <cell r="X5">
            <v>83</v>
          </cell>
          <cell r="Y5">
            <v>80</v>
          </cell>
          <cell r="Z5">
            <v>83</v>
          </cell>
          <cell r="AA5">
            <v>75</v>
          </cell>
          <cell r="AB5">
            <v>78</v>
          </cell>
          <cell r="AC5">
            <v>73</v>
          </cell>
          <cell r="AD5">
            <v>75</v>
          </cell>
          <cell r="AE5">
            <v>83</v>
          </cell>
          <cell r="AF5">
            <v>83</v>
          </cell>
          <cell r="AG5">
            <v>83</v>
          </cell>
          <cell r="AH5">
            <v>85</v>
          </cell>
          <cell r="AI5">
            <v>70</v>
          </cell>
          <cell r="AJ5">
            <v>80</v>
          </cell>
          <cell r="AK5">
            <v>89</v>
          </cell>
          <cell r="AL5">
            <v>78</v>
          </cell>
          <cell r="AM5">
            <v>75</v>
          </cell>
          <cell r="AN5">
            <v>76</v>
          </cell>
          <cell r="AO5">
            <v>72</v>
          </cell>
          <cell r="AP5">
            <v>73</v>
          </cell>
          <cell r="AQ5">
            <v>76</v>
          </cell>
          <cell r="AR5">
            <v>80</v>
          </cell>
          <cell r="AS5">
            <v>73</v>
          </cell>
          <cell r="AT5">
            <v>73</v>
          </cell>
          <cell r="AU5">
            <v>71</v>
          </cell>
          <cell r="AV5">
            <v>70</v>
          </cell>
          <cell r="AW5">
            <v>73</v>
          </cell>
          <cell r="AX5">
            <v>80</v>
          </cell>
          <cell r="AY5">
            <v>75</v>
          </cell>
          <cell r="AZ5">
            <v>80</v>
          </cell>
          <cell r="BA5">
            <v>79</v>
          </cell>
          <cell r="BB5">
            <v>80</v>
          </cell>
          <cell r="BC5">
            <v>85</v>
          </cell>
          <cell r="BD5">
            <v>75</v>
          </cell>
          <cell r="BS5">
            <v>75.666666666666671</v>
          </cell>
          <cell r="BT5">
            <v>79.333333333333329</v>
          </cell>
          <cell r="BU5">
            <v>77</v>
          </cell>
          <cell r="BV5">
            <v>80</v>
          </cell>
          <cell r="BW5">
            <v>82</v>
          </cell>
          <cell r="BX5">
            <v>80</v>
          </cell>
          <cell r="BY5">
            <v>70</v>
          </cell>
          <cell r="BZ5">
            <v>79</v>
          </cell>
          <cell r="CA5">
            <v>80</v>
          </cell>
          <cell r="CB5">
            <v>70</v>
          </cell>
          <cell r="CC5">
            <v>72</v>
          </cell>
          <cell r="CD5">
            <v>74</v>
          </cell>
          <cell r="CE5">
            <v>80</v>
          </cell>
          <cell r="CF5">
            <v>81</v>
          </cell>
          <cell r="CG5">
            <v>75</v>
          </cell>
          <cell r="CH5">
            <v>75</v>
          </cell>
          <cell r="CI5">
            <v>75</v>
          </cell>
          <cell r="CJ5">
            <v>76</v>
          </cell>
          <cell r="CK5">
            <v>80</v>
          </cell>
          <cell r="CL5">
            <v>70</v>
          </cell>
          <cell r="CM5">
            <v>71</v>
          </cell>
          <cell r="CN5">
            <v>70</v>
          </cell>
        </row>
        <row r="6">
          <cell r="E6">
            <v>82</v>
          </cell>
          <cell r="F6">
            <v>88</v>
          </cell>
          <cell r="G6">
            <v>87</v>
          </cell>
          <cell r="H6">
            <v>85</v>
          </cell>
          <cell r="I6">
            <v>84</v>
          </cell>
          <cell r="J6">
            <v>76</v>
          </cell>
          <cell r="K6">
            <v>80</v>
          </cell>
          <cell r="L6">
            <v>81</v>
          </cell>
          <cell r="M6">
            <v>70</v>
          </cell>
          <cell r="N6">
            <v>83</v>
          </cell>
          <cell r="O6">
            <v>88</v>
          </cell>
          <cell r="P6">
            <v>78</v>
          </cell>
          <cell r="Q6">
            <v>80</v>
          </cell>
          <cell r="R6">
            <v>77</v>
          </cell>
          <cell r="S6">
            <v>70</v>
          </cell>
          <cell r="T6">
            <v>73</v>
          </cell>
          <cell r="U6">
            <v>75</v>
          </cell>
          <cell r="V6">
            <v>78</v>
          </cell>
          <cell r="W6">
            <v>80</v>
          </cell>
          <cell r="X6">
            <v>83</v>
          </cell>
          <cell r="Y6">
            <v>80</v>
          </cell>
          <cell r="Z6">
            <v>83</v>
          </cell>
          <cell r="AA6">
            <v>75</v>
          </cell>
          <cell r="AB6">
            <v>78</v>
          </cell>
          <cell r="AC6">
            <v>80</v>
          </cell>
          <cell r="AD6">
            <v>80</v>
          </cell>
          <cell r="AE6">
            <v>83</v>
          </cell>
          <cell r="AF6">
            <v>83</v>
          </cell>
          <cell r="AG6">
            <v>83</v>
          </cell>
          <cell r="AH6">
            <v>84</v>
          </cell>
          <cell r="AI6">
            <v>70</v>
          </cell>
          <cell r="AJ6">
            <v>80</v>
          </cell>
          <cell r="AK6">
            <v>80</v>
          </cell>
          <cell r="AL6">
            <v>78</v>
          </cell>
          <cell r="AM6">
            <v>73</v>
          </cell>
          <cell r="AN6">
            <v>74</v>
          </cell>
          <cell r="AO6">
            <v>73</v>
          </cell>
          <cell r="AP6">
            <v>74</v>
          </cell>
          <cell r="AQ6">
            <v>75</v>
          </cell>
          <cell r="AR6">
            <v>77</v>
          </cell>
          <cell r="AS6">
            <v>72</v>
          </cell>
          <cell r="AT6">
            <v>74</v>
          </cell>
          <cell r="AU6">
            <v>72</v>
          </cell>
          <cell r="AV6">
            <v>70</v>
          </cell>
          <cell r="AW6">
            <v>77</v>
          </cell>
          <cell r="AX6">
            <v>77</v>
          </cell>
          <cell r="AY6">
            <v>74</v>
          </cell>
          <cell r="AZ6">
            <v>79</v>
          </cell>
          <cell r="BA6">
            <v>78</v>
          </cell>
          <cell r="BB6">
            <v>81</v>
          </cell>
          <cell r="BC6">
            <v>90</v>
          </cell>
          <cell r="BD6">
            <v>77</v>
          </cell>
          <cell r="BS6">
            <v>74.666666666666671</v>
          </cell>
          <cell r="BT6">
            <v>78</v>
          </cell>
          <cell r="BU6">
            <v>79</v>
          </cell>
          <cell r="BV6">
            <v>78</v>
          </cell>
          <cell r="BW6">
            <v>82</v>
          </cell>
          <cell r="BX6">
            <v>80</v>
          </cell>
          <cell r="BY6">
            <v>70</v>
          </cell>
          <cell r="BZ6">
            <v>79</v>
          </cell>
          <cell r="CA6">
            <v>78</v>
          </cell>
          <cell r="CB6">
            <v>72</v>
          </cell>
          <cell r="CC6">
            <v>74</v>
          </cell>
          <cell r="CD6">
            <v>74</v>
          </cell>
          <cell r="CE6">
            <v>77</v>
          </cell>
          <cell r="CF6">
            <v>84</v>
          </cell>
          <cell r="CG6">
            <v>75</v>
          </cell>
          <cell r="CH6">
            <v>75</v>
          </cell>
          <cell r="CI6">
            <v>70</v>
          </cell>
          <cell r="CJ6">
            <v>76</v>
          </cell>
          <cell r="CK6">
            <v>80</v>
          </cell>
          <cell r="CL6">
            <v>72</v>
          </cell>
          <cell r="CM6">
            <v>73</v>
          </cell>
          <cell r="CN6">
            <v>70</v>
          </cell>
        </row>
        <row r="7">
          <cell r="E7">
            <v>82</v>
          </cell>
          <cell r="F7">
            <v>87</v>
          </cell>
          <cell r="G7">
            <v>86</v>
          </cell>
          <cell r="H7">
            <v>85</v>
          </cell>
          <cell r="I7">
            <v>84</v>
          </cell>
          <cell r="J7">
            <v>86</v>
          </cell>
          <cell r="K7">
            <v>81</v>
          </cell>
          <cell r="L7">
            <v>83</v>
          </cell>
          <cell r="M7">
            <v>83</v>
          </cell>
          <cell r="N7">
            <v>88</v>
          </cell>
          <cell r="O7">
            <v>93</v>
          </cell>
          <cell r="P7">
            <v>95</v>
          </cell>
          <cell r="Q7">
            <v>85</v>
          </cell>
          <cell r="R7">
            <v>80</v>
          </cell>
          <cell r="S7">
            <v>89</v>
          </cell>
          <cell r="T7">
            <v>87</v>
          </cell>
          <cell r="U7">
            <v>81</v>
          </cell>
          <cell r="V7">
            <v>86</v>
          </cell>
          <cell r="W7">
            <v>82</v>
          </cell>
          <cell r="X7">
            <v>85</v>
          </cell>
          <cell r="Y7">
            <v>83</v>
          </cell>
          <cell r="Z7">
            <v>84</v>
          </cell>
          <cell r="AA7">
            <v>80</v>
          </cell>
          <cell r="AB7">
            <v>88</v>
          </cell>
          <cell r="AC7">
            <v>85</v>
          </cell>
          <cell r="AD7">
            <v>86</v>
          </cell>
          <cell r="AE7">
            <v>85</v>
          </cell>
          <cell r="AF7">
            <v>83</v>
          </cell>
          <cell r="AG7">
            <v>85</v>
          </cell>
          <cell r="AH7">
            <v>85</v>
          </cell>
          <cell r="AI7">
            <v>72</v>
          </cell>
          <cell r="AJ7">
            <v>81</v>
          </cell>
          <cell r="AK7">
            <v>84</v>
          </cell>
          <cell r="AL7">
            <v>86</v>
          </cell>
          <cell r="AM7">
            <v>75</v>
          </cell>
          <cell r="AN7">
            <v>77</v>
          </cell>
          <cell r="AO7">
            <v>75</v>
          </cell>
          <cell r="AP7">
            <v>76</v>
          </cell>
          <cell r="AQ7">
            <v>82</v>
          </cell>
          <cell r="AR7">
            <v>91</v>
          </cell>
          <cell r="AS7">
            <v>74</v>
          </cell>
          <cell r="AT7">
            <v>79</v>
          </cell>
          <cell r="AU7">
            <v>82</v>
          </cell>
          <cell r="AV7">
            <v>74</v>
          </cell>
          <cell r="AW7">
            <v>85</v>
          </cell>
          <cell r="AX7">
            <v>91</v>
          </cell>
          <cell r="AY7">
            <v>77</v>
          </cell>
          <cell r="AZ7">
            <v>81</v>
          </cell>
          <cell r="BA7">
            <v>83</v>
          </cell>
          <cell r="BB7">
            <v>82</v>
          </cell>
          <cell r="BC7">
            <v>80</v>
          </cell>
          <cell r="BD7">
            <v>80</v>
          </cell>
          <cell r="BS7">
            <v>80</v>
          </cell>
          <cell r="BT7">
            <v>81.333333333333329</v>
          </cell>
          <cell r="BU7">
            <v>82.75</v>
          </cell>
          <cell r="BV7">
            <v>90</v>
          </cell>
          <cell r="BW7">
            <v>84</v>
          </cell>
          <cell r="BX7">
            <v>81</v>
          </cell>
          <cell r="BY7">
            <v>86</v>
          </cell>
          <cell r="BZ7">
            <v>90</v>
          </cell>
          <cell r="CA7">
            <v>90</v>
          </cell>
          <cell r="CB7">
            <v>79</v>
          </cell>
          <cell r="CC7">
            <v>92</v>
          </cell>
          <cell r="CD7">
            <v>89</v>
          </cell>
          <cell r="CE7">
            <v>91</v>
          </cell>
          <cell r="CF7">
            <v>86</v>
          </cell>
          <cell r="CG7">
            <v>85</v>
          </cell>
          <cell r="CH7">
            <v>82</v>
          </cell>
          <cell r="CI7">
            <v>95</v>
          </cell>
          <cell r="CJ7">
            <v>83</v>
          </cell>
          <cell r="CK7">
            <v>85</v>
          </cell>
          <cell r="CL7">
            <v>84</v>
          </cell>
          <cell r="CM7">
            <v>87</v>
          </cell>
          <cell r="CN7">
            <v>82</v>
          </cell>
        </row>
        <row r="8">
          <cell r="E8">
            <v>86</v>
          </cell>
          <cell r="F8">
            <v>90</v>
          </cell>
          <cell r="G8">
            <v>88</v>
          </cell>
          <cell r="H8">
            <v>87</v>
          </cell>
          <cell r="I8">
            <v>90</v>
          </cell>
          <cell r="J8">
            <v>75</v>
          </cell>
          <cell r="K8">
            <v>83</v>
          </cell>
          <cell r="L8">
            <v>81</v>
          </cell>
          <cell r="M8">
            <v>82</v>
          </cell>
          <cell r="N8">
            <v>89</v>
          </cell>
          <cell r="O8">
            <v>89</v>
          </cell>
          <cell r="P8">
            <v>70</v>
          </cell>
          <cell r="Q8">
            <v>87</v>
          </cell>
          <cell r="R8">
            <v>80</v>
          </cell>
          <cell r="S8">
            <v>80</v>
          </cell>
          <cell r="T8">
            <v>80</v>
          </cell>
          <cell r="U8">
            <v>85</v>
          </cell>
          <cell r="V8">
            <v>79</v>
          </cell>
          <cell r="W8">
            <v>81</v>
          </cell>
          <cell r="X8">
            <v>85</v>
          </cell>
          <cell r="Y8">
            <v>83</v>
          </cell>
          <cell r="Z8">
            <v>84</v>
          </cell>
          <cell r="AA8">
            <v>77</v>
          </cell>
          <cell r="AB8">
            <v>88</v>
          </cell>
          <cell r="AC8">
            <v>85</v>
          </cell>
          <cell r="AD8">
            <v>86</v>
          </cell>
          <cell r="AE8">
            <v>84</v>
          </cell>
          <cell r="AF8">
            <v>85</v>
          </cell>
          <cell r="AG8">
            <v>84</v>
          </cell>
          <cell r="AH8">
            <v>85</v>
          </cell>
          <cell r="AI8">
            <v>71</v>
          </cell>
          <cell r="AJ8">
            <v>81</v>
          </cell>
          <cell r="AK8">
            <v>85</v>
          </cell>
          <cell r="AL8">
            <v>79</v>
          </cell>
          <cell r="AM8">
            <v>77</v>
          </cell>
          <cell r="AN8">
            <v>79</v>
          </cell>
          <cell r="AO8">
            <v>78</v>
          </cell>
          <cell r="AP8">
            <v>79</v>
          </cell>
          <cell r="AQ8">
            <v>82</v>
          </cell>
          <cell r="AR8">
            <v>72</v>
          </cell>
          <cell r="AS8">
            <v>77</v>
          </cell>
          <cell r="AT8">
            <v>79</v>
          </cell>
          <cell r="AU8">
            <v>73</v>
          </cell>
          <cell r="AV8">
            <v>72</v>
          </cell>
          <cell r="AW8">
            <v>82</v>
          </cell>
          <cell r="AX8">
            <v>72</v>
          </cell>
          <cell r="AY8">
            <v>80</v>
          </cell>
          <cell r="AZ8">
            <v>82</v>
          </cell>
          <cell r="BA8">
            <v>84</v>
          </cell>
          <cell r="BB8">
            <v>85</v>
          </cell>
          <cell r="BC8">
            <v>83</v>
          </cell>
          <cell r="BD8">
            <v>81</v>
          </cell>
          <cell r="BS8">
            <v>81.666666666666671</v>
          </cell>
          <cell r="BT8">
            <v>80</v>
          </cell>
          <cell r="BU8">
            <v>82.5</v>
          </cell>
          <cell r="BV8">
            <v>75</v>
          </cell>
          <cell r="BW8">
            <v>84</v>
          </cell>
          <cell r="BX8">
            <v>81</v>
          </cell>
          <cell r="BY8">
            <v>86</v>
          </cell>
          <cell r="BZ8">
            <v>79</v>
          </cell>
          <cell r="CA8">
            <v>75</v>
          </cell>
          <cell r="CB8">
            <v>78</v>
          </cell>
          <cell r="CC8">
            <v>91</v>
          </cell>
          <cell r="CD8">
            <v>74</v>
          </cell>
          <cell r="CE8">
            <v>72</v>
          </cell>
          <cell r="CF8">
            <v>89</v>
          </cell>
          <cell r="CG8">
            <v>85</v>
          </cell>
          <cell r="CH8">
            <v>85</v>
          </cell>
          <cell r="CI8">
            <v>77</v>
          </cell>
          <cell r="CJ8">
            <v>83</v>
          </cell>
          <cell r="CK8">
            <v>82</v>
          </cell>
          <cell r="CL8">
            <v>84</v>
          </cell>
          <cell r="CM8">
            <v>90</v>
          </cell>
          <cell r="CN8">
            <v>72</v>
          </cell>
        </row>
        <row r="9">
          <cell r="E9">
            <v>86</v>
          </cell>
          <cell r="F9">
            <v>89</v>
          </cell>
          <cell r="G9">
            <v>86</v>
          </cell>
          <cell r="H9">
            <v>85</v>
          </cell>
          <cell r="I9">
            <v>86</v>
          </cell>
          <cell r="J9">
            <v>74</v>
          </cell>
          <cell r="K9">
            <v>80</v>
          </cell>
          <cell r="L9">
            <v>82</v>
          </cell>
          <cell r="M9">
            <v>88</v>
          </cell>
          <cell r="N9">
            <v>90</v>
          </cell>
          <cell r="O9">
            <v>93</v>
          </cell>
          <cell r="P9">
            <v>85</v>
          </cell>
          <cell r="Q9">
            <v>80</v>
          </cell>
          <cell r="R9">
            <v>77</v>
          </cell>
          <cell r="S9">
            <v>76</v>
          </cell>
          <cell r="T9">
            <v>79</v>
          </cell>
          <cell r="U9">
            <v>77</v>
          </cell>
          <cell r="V9">
            <v>75</v>
          </cell>
          <cell r="W9">
            <v>81</v>
          </cell>
          <cell r="X9">
            <v>84</v>
          </cell>
          <cell r="Y9">
            <v>83</v>
          </cell>
          <cell r="Z9">
            <v>84</v>
          </cell>
          <cell r="AA9">
            <v>79</v>
          </cell>
          <cell r="AB9">
            <v>80</v>
          </cell>
          <cell r="AC9">
            <v>81</v>
          </cell>
          <cell r="AD9">
            <v>81</v>
          </cell>
          <cell r="AE9">
            <v>82</v>
          </cell>
          <cell r="AF9">
            <v>83</v>
          </cell>
          <cell r="AG9">
            <v>82</v>
          </cell>
          <cell r="AH9">
            <v>83</v>
          </cell>
          <cell r="AI9">
            <v>70</v>
          </cell>
          <cell r="AJ9">
            <v>82</v>
          </cell>
          <cell r="AK9">
            <v>80</v>
          </cell>
          <cell r="AL9">
            <v>75</v>
          </cell>
          <cell r="AM9">
            <v>74</v>
          </cell>
          <cell r="AN9">
            <v>75</v>
          </cell>
          <cell r="AO9">
            <v>74</v>
          </cell>
          <cell r="AP9">
            <v>75</v>
          </cell>
          <cell r="AQ9">
            <v>79</v>
          </cell>
          <cell r="AR9">
            <v>74</v>
          </cell>
          <cell r="AS9">
            <v>73</v>
          </cell>
          <cell r="AT9">
            <v>76</v>
          </cell>
          <cell r="AU9">
            <v>79</v>
          </cell>
          <cell r="AV9">
            <v>70</v>
          </cell>
          <cell r="AW9">
            <v>83</v>
          </cell>
          <cell r="AX9">
            <v>74</v>
          </cell>
          <cell r="AY9">
            <v>75</v>
          </cell>
          <cell r="AZ9">
            <v>79</v>
          </cell>
          <cell r="BA9">
            <v>80</v>
          </cell>
          <cell r="BB9">
            <v>84</v>
          </cell>
          <cell r="BC9">
            <v>77</v>
          </cell>
          <cell r="BD9">
            <v>83</v>
          </cell>
          <cell r="BS9">
            <v>80.333333333333329</v>
          </cell>
          <cell r="BT9">
            <v>81.666666666666671</v>
          </cell>
          <cell r="BU9">
            <v>80.5</v>
          </cell>
          <cell r="BV9">
            <v>76</v>
          </cell>
          <cell r="BW9">
            <v>84</v>
          </cell>
          <cell r="BX9">
            <v>80</v>
          </cell>
          <cell r="BY9">
            <v>85</v>
          </cell>
          <cell r="BZ9">
            <v>74</v>
          </cell>
          <cell r="CA9">
            <v>76</v>
          </cell>
          <cell r="CB9">
            <v>74</v>
          </cell>
          <cell r="CC9">
            <v>85</v>
          </cell>
          <cell r="CD9">
            <v>75</v>
          </cell>
          <cell r="CE9">
            <v>74</v>
          </cell>
          <cell r="CF9">
            <v>86</v>
          </cell>
          <cell r="CG9">
            <v>82</v>
          </cell>
          <cell r="CH9">
            <v>75</v>
          </cell>
          <cell r="CI9">
            <v>90</v>
          </cell>
          <cell r="CJ9">
            <v>80</v>
          </cell>
          <cell r="CK9">
            <v>80</v>
          </cell>
          <cell r="CL9">
            <v>88</v>
          </cell>
          <cell r="CM9">
            <v>80</v>
          </cell>
          <cell r="CN9">
            <v>75</v>
          </cell>
        </row>
        <row r="10">
          <cell r="E10">
            <v>84</v>
          </cell>
          <cell r="F10">
            <v>89</v>
          </cell>
          <cell r="G10">
            <v>87</v>
          </cell>
          <cell r="H10">
            <v>87</v>
          </cell>
          <cell r="I10">
            <v>83</v>
          </cell>
          <cell r="J10">
            <v>89</v>
          </cell>
          <cell r="K10">
            <v>87</v>
          </cell>
          <cell r="L10">
            <v>83</v>
          </cell>
          <cell r="M10">
            <v>85</v>
          </cell>
          <cell r="N10">
            <v>92</v>
          </cell>
          <cell r="O10">
            <v>94</v>
          </cell>
          <cell r="P10">
            <v>92</v>
          </cell>
          <cell r="Q10">
            <v>85</v>
          </cell>
          <cell r="R10">
            <v>81</v>
          </cell>
          <cell r="S10">
            <v>78</v>
          </cell>
          <cell r="T10">
            <v>86</v>
          </cell>
          <cell r="U10">
            <v>79</v>
          </cell>
          <cell r="V10">
            <v>86</v>
          </cell>
          <cell r="W10">
            <v>83</v>
          </cell>
          <cell r="X10">
            <v>85</v>
          </cell>
          <cell r="Y10">
            <v>83</v>
          </cell>
          <cell r="Z10">
            <v>84</v>
          </cell>
          <cell r="AA10">
            <v>82</v>
          </cell>
          <cell r="AB10">
            <v>80</v>
          </cell>
          <cell r="AC10">
            <v>85</v>
          </cell>
          <cell r="AD10">
            <v>85</v>
          </cell>
          <cell r="AE10">
            <v>84</v>
          </cell>
          <cell r="AF10">
            <v>84</v>
          </cell>
          <cell r="AG10">
            <v>84</v>
          </cell>
          <cell r="AH10">
            <v>85</v>
          </cell>
          <cell r="AI10">
            <v>70</v>
          </cell>
          <cell r="AJ10">
            <v>81</v>
          </cell>
          <cell r="AK10">
            <v>86</v>
          </cell>
          <cell r="AL10">
            <v>86</v>
          </cell>
          <cell r="AM10">
            <v>79</v>
          </cell>
          <cell r="AN10">
            <v>81</v>
          </cell>
          <cell r="AO10">
            <v>88</v>
          </cell>
          <cell r="AP10">
            <v>84</v>
          </cell>
          <cell r="AQ10">
            <v>84</v>
          </cell>
          <cell r="AR10">
            <v>90</v>
          </cell>
          <cell r="AS10">
            <v>73</v>
          </cell>
          <cell r="AT10">
            <v>77</v>
          </cell>
          <cell r="AU10">
            <v>76</v>
          </cell>
          <cell r="AV10">
            <v>71</v>
          </cell>
          <cell r="AW10">
            <v>83</v>
          </cell>
          <cell r="AX10">
            <v>90</v>
          </cell>
          <cell r="AY10">
            <v>80</v>
          </cell>
          <cell r="AZ10">
            <v>82</v>
          </cell>
          <cell r="BA10">
            <v>83</v>
          </cell>
          <cell r="BB10">
            <v>83</v>
          </cell>
          <cell r="BC10">
            <v>91</v>
          </cell>
          <cell r="BD10">
            <v>85</v>
          </cell>
          <cell r="BS10">
            <v>81</v>
          </cell>
          <cell r="BT10">
            <v>81.666666666666671</v>
          </cell>
          <cell r="BU10">
            <v>82.75</v>
          </cell>
          <cell r="BV10">
            <v>89</v>
          </cell>
          <cell r="BW10">
            <v>85</v>
          </cell>
          <cell r="BX10">
            <v>81</v>
          </cell>
          <cell r="BY10">
            <v>86</v>
          </cell>
          <cell r="BZ10">
            <v>89</v>
          </cell>
          <cell r="CA10">
            <v>89</v>
          </cell>
          <cell r="CB10">
            <v>78</v>
          </cell>
          <cell r="CC10">
            <v>90</v>
          </cell>
          <cell r="CD10">
            <v>85</v>
          </cell>
          <cell r="CE10">
            <v>90</v>
          </cell>
          <cell r="CF10">
            <v>84</v>
          </cell>
          <cell r="CG10">
            <v>85</v>
          </cell>
          <cell r="CH10">
            <v>80</v>
          </cell>
          <cell r="CI10">
            <v>82</v>
          </cell>
          <cell r="CJ10">
            <v>84</v>
          </cell>
          <cell r="CK10">
            <v>83</v>
          </cell>
          <cell r="CL10">
            <v>84</v>
          </cell>
          <cell r="CM10">
            <v>90</v>
          </cell>
          <cell r="CN10">
            <v>80</v>
          </cell>
        </row>
        <row r="11">
          <cell r="E11">
            <v>80</v>
          </cell>
          <cell r="F11">
            <v>87</v>
          </cell>
          <cell r="G11">
            <v>88</v>
          </cell>
          <cell r="H11">
            <v>87</v>
          </cell>
          <cell r="I11">
            <v>85</v>
          </cell>
          <cell r="J11">
            <v>75</v>
          </cell>
          <cell r="K11">
            <v>80</v>
          </cell>
          <cell r="L11">
            <v>81</v>
          </cell>
          <cell r="M11">
            <v>92</v>
          </cell>
          <cell r="N11">
            <v>88</v>
          </cell>
          <cell r="O11">
            <v>93</v>
          </cell>
          <cell r="P11">
            <v>75</v>
          </cell>
          <cell r="Q11">
            <v>78</v>
          </cell>
          <cell r="R11">
            <v>78</v>
          </cell>
          <cell r="S11">
            <v>70</v>
          </cell>
          <cell r="T11">
            <v>71</v>
          </cell>
          <cell r="U11">
            <v>73</v>
          </cell>
          <cell r="V11">
            <v>75</v>
          </cell>
          <cell r="W11">
            <v>85</v>
          </cell>
          <cell r="X11">
            <v>86</v>
          </cell>
          <cell r="Y11">
            <v>84</v>
          </cell>
          <cell r="Z11">
            <v>85</v>
          </cell>
          <cell r="AA11">
            <v>78</v>
          </cell>
          <cell r="AB11">
            <v>80</v>
          </cell>
          <cell r="AC11">
            <v>83</v>
          </cell>
          <cell r="AD11">
            <v>84</v>
          </cell>
          <cell r="AE11">
            <v>80</v>
          </cell>
          <cell r="AF11">
            <v>79</v>
          </cell>
          <cell r="AG11">
            <v>80</v>
          </cell>
          <cell r="AH11">
            <v>81</v>
          </cell>
          <cell r="AI11">
            <v>71</v>
          </cell>
          <cell r="AJ11">
            <v>81</v>
          </cell>
          <cell r="AK11">
            <v>80</v>
          </cell>
          <cell r="AL11">
            <v>75</v>
          </cell>
          <cell r="AM11">
            <v>74</v>
          </cell>
          <cell r="AN11">
            <v>76</v>
          </cell>
          <cell r="AO11">
            <v>73</v>
          </cell>
          <cell r="AP11">
            <v>74</v>
          </cell>
          <cell r="AQ11">
            <v>72</v>
          </cell>
          <cell r="AR11">
            <v>75</v>
          </cell>
          <cell r="AS11">
            <v>71</v>
          </cell>
          <cell r="AT11">
            <v>73</v>
          </cell>
          <cell r="AU11">
            <v>70</v>
          </cell>
          <cell r="AV11">
            <v>70</v>
          </cell>
          <cell r="AW11">
            <v>73</v>
          </cell>
          <cell r="AX11">
            <v>75</v>
          </cell>
          <cell r="AY11">
            <v>77</v>
          </cell>
          <cell r="AZ11">
            <v>78</v>
          </cell>
          <cell r="BA11">
            <v>78</v>
          </cell>
          <cell r="BB11">
            <v>81</v>
          </cell>
          <cell r="BC11">
            <v>77</v>
          </cell>
          <cell r="BD11">
            <v>77</v>
          </cell>
          <cell r="BS11">
            <v>80.333333333333329</v>
          </cell>
          <cell r="BT11">
            <v>79.666666666666671</v>
          </cell>
          <cell r="BU11">
            <v>81.25</v>
          </cell>
          <cell r="BV11">
            <v>75</v>
          </cell>
          <cell r="BW11">
            <v>84</v>
          </cell>
          <cell r="BX11">
            <v>80</v>
          </cell>
          <cell r="BY11">
            <v>70</v>
          </cell>
          <cell r="BZ11">
            <v>75</v>
          </cell>
          <cell r="CA11">
            <v>75</v>
          </cell>
          <cell r="CB11">
            <v>72</v>
          </cell>
          <cell r="CC11">
            <v>77</v>
          </cell>
          <cell r="CD11">
            <v>73</v>
          </cell>
          <cell r="CE11">
            <v>75</v>
          </cell>
          <cell r="CF11">
            <v>86</v>
          </cell>
          <cell r="CG11">
            <v>70</v>
          </cell>
          <cell r="CH11">
            <v>70</v>
          </cell>
          <cell r="CI11">
            <v>70</v>
          </cell>
          <cell r="CJ11">
            <v>75</v>
          </cell>
          <cell r="CK11">
            <v>80</v>
          </cell>
          <cell r="CL11">
            <v>86</v>
          </cell>
          <cell r="CM11">
            <v>73</v>
          </cell>
          <cell r="CN11">
            <v>70</v>
          </cell>
        </row>
        <row r="12">
          <cell r="E12">
            <v>82</v>
          </cell>
          <cell r="F12">
            <v>87</v>
          </cell>
          <cell r="G12">
            <v>84</v>
          </cell>
          <cell r="H12">
            <v>83</v>
          </cell>
          <cell r="I12">
            <v>85</v>
          </cell>
          <cell r="J12">
            <v>90</v>
          </cell>
          <cell r="K12">
            <v>80</v>
          </cell>
          <cell r="L12">
            <v>80</v>
          </cell>
          <cell r="M12">
            <v>93</v>
          </cell>
          <cell r="N12">
            <v>95</v>
          </cell>
          <cell r="O12">
            <v>95</v>
          </cell>
          <cell r="P12">
            <v>93</v>
          </cell>
          <cell r="Q12">
            <v>78</v>
          </cell>
          <cell r="R12">
            <v>78</v>
          </cell>
          <cell r="S12">
            <v>70</v>
          </cell>
          <cell r="T12">
            <v>73</v>
          </cell>
          <cell r="U12">
            <v>73</v>
          </cell>
          <cell r="V12">
            <v>89</v>
          </cell>
          <cell r="W12">
            <v>85</v>
          </cell>
          <cell r="X12">
            <v>85</v>
          </cell>
          <cell r="Y12">
            <v>84</v>
          </cell>
          <cell r="Z12">
            <v>85</v>
          </cell>
          <cell r="AA12">
            <v>80</v>
          </cell>
          <cell r="AB12">
            <v>82</v>
          </cell>
          <cell r="AC12">
            <v>83</v>
          </cell>
          <cell r="AD12">
            <v>83</v>
          </cell>
          <cell r="AE12">
            <v>81</v>
          </cell>
          <cell r="AF12">
            <v>80</v>
          </cell>
          <cell r="AG12">
            <v>81</v>
          </cell>
          <cell r="AH12">
            <v>86</v>
          </cell>
          <cell r="AI12">
            <v>70</v>
          </cell>
          <cell r="AJ12">
            <v>81</v>
          </cell>
          <cell r="AK12">
            <v>80</v>
          </cell>
          <cell r="AL12">
            <v>89</v>
          </cell>
          <cell r="AM12">
            <v>74</v>
          </cell>
          <cell r="AN12">
            <v>75</v>
          </cell>
          <cell r="AO12">
            <v>72</v>
          </cell>
          <cell r="AP12">
            <v>73</v>
          </cell>
          <cell r="AQ12">
            <v>74</v>
          </cell>
          <cell r="AR12">
            <v>90</v>
          </cell>
          <cell r="AS12">
            <v>71</v>
          </cell>
          <cell r="AT12">
            <v>74</v>
          </cell>
          <cell r="AU12">
            <v>72</v>
          </cell>
          <cell r="AV12">
            <v>71</v>
          </cell>
          <cell r="AW12">
            <v>77</v>
          </cell>
          <cell r="AX12">
            <v>90</v>
          </cell>
          <cell r="AY12">
            <v>77</v>
          </cell>
          <cell r="AZ12">
            <v>79</v>
          </cell>
          <cell r="BA12">
            <v>78</v>
          </cell>
          <cell r="BB12">
            <v>81</v>
          </cell>
          <cell r="BC12">
            <v>77</v>
          </cell>
          <cell r="BD12">
            <v>80</v>
          </cell>
          <cell r="BS12">
            <v>76.666666666666671</v>
          </cell>
          <cell r="BT12">
            <v>80</v>
          </cell>
          <cell r="BU12">
            <v>77.25</v>
          </cell>
          <cell r="BV12">
            <v>91</v>
          </cell>
          <cell r="BW12">
            <v>84</v>
          </cell>
          <cell r="BX12">
            <v>80</v>
          </cell>
          <cell r="BY12">
            <v>70</v>
          </cell>
          <cell r="BZ12">
            <v>93</v>
          </cell>
          <cell r="CA12">
            <v>91</v>
          </cell>
          <cell r="CB12">
            <v>70</v>
          </cell>
          <cell r="CC12">
            <v>74</v>
          </cell>
          <cell r="CD12">
            <v>77</v>
          </cell>
          <cell r="CE12">
            <v>90</v>
          </cell>
          <cell r="CF12">
            <v>81</v>
          </cell>
          <cell r="CG12">
            <v>90</v>
          </cell>
          <cell r="CH12">
            <v>70</v>
          </cell>
          <cell r="CI12">
            <v>95</v>
          </cell>
          <cell r="CJ12">
            <v>76</v>
          </cell>
          <cell r="CK12">
            <v>80</v>
          </cell>
          <cell r="CL12">
            <v>76</v>
          </cell>
          <cell r="CM12">
            <v>93</v>
          </cell>
          <cell r="CN12">
            <v>95</v>
          </cell>
        </row>
        <row r="13">
          <cell r="E13">
            <v>86</v>
          </cell>
          <cell r="F13">
            <v>89</v>
          </cell>
          <cell r="G13">
            <v>87</v>
          </cell>
          <cell r="H13">
            <v>87</v>
          </cell>
          <cell r="I13">
            <v>92</v>
          </cell>
          <cell r="J13">
            <v>71</v>
          </cell>
          <cell r="K13">
            <v>82</v>
          </cell>
          <cell r="L13">
            <v>87</v>
          </cell>
          <cell r="M13">
            <v>95</v>
          </cell>
          <cell r="N13">
            <v>95</v>
          </cell>
          <cell r="O13">
            <v>95</v>
          </cell>
          <cell r="P13">
            <v>85</v>
          </cell>
          <cell r="Q13">
            <v>90</v>
          </cell>
          <cell r="R13">
            <v>83</v>
          </cell>
          <cell r="S13">
            <v>89</v>
          </cell>
          <cell r="T13">
            <v>85</v>
          </cell>
          <cell r="U13">
            <v>87</v>
          </cell>
          <cell r="V13">
            <v>79</v>
          </cell>
          <cell r="W13">
            <v>82</v>
          </cell>
          <cell r="X13">
            <v>85</v>
          </cell>
          <cell r="Y13">
            <v>83</v>
          </cell>
          <cell r="Z13">
            <v>84</v>
          </cell>
          <cell r="AA13">
            <v>89</v>
          </cell>
          <cell r="AB13">
            <v>89</v>
          </cell>
          <cell r="AC13">
            <v>85</v>
          </cell>
          <cell r="AD13">
            <v>86</v>
          </cell>
          <cell r="AE13">
            <v>81</v>
          </cell>
          <cell r="AF13">
            <v>83</v>
          </cell>
          <cell r="AG13">
            <v>81</v>
          </cell>
          <cell r="AH13">
            <v>82</v>
          </cell>
          <cell r="AI13">
            <v>71</v>
          </cell>
          <cell r="AJ13">
            <v>83</v>
          </cell>
          <cell r="AK13">
            <v>83</v>
          </cell>
          <cell r="AL13">
            <v>79</v>
          </cell>
          <cell r="AM13">
            <v>84</v>
          </cell>
          <cell r="AN13">
            <v>85</v>
          </cell>
          <cell r="AO13">
            <v>89</v>
          </cell>
          <cell r="AP13">
            <v>90</v>
          </cell>
          <cell r="AQ13">
            <v>86</v>
          </cell>
          <cell r="AR13">
            <v>85</v>
          </cell>
          <cell r="AS13">
            <v>81</v>
          </cell>
          <cell r="AT13">
            <v>83</v>
          </cell>
          <cell r="AU13">
            <v>85</v>
          </cell>
          <cell r="AV13">
            <v>85</v>
          </cell>
          <cell r="AW13">
            <v>85</v>
          </cell>
          <cell r="AX13">
            <v>85</v>
          </cell>
          <cell r="AY13">
            <v>79</v>
          </cell>
          <cell r="AZ13">
            <v>80</v>
          </cell>
          <cell r="BA13">
            <v>88</v>
          </cell>
          <cell r="BB13">
            <v>90</v>
          </cell>
          <cell r="BC13">
            <v>90</v>
          </cell>
          <cell r="BD13">
            <v>87</v>
          </cell>
          <cell r="BS13">
            <v>83.333333333333329</v>
          </cell>
          <cell r="BT13">
            <v>83.333333333333329</v>
          </cell>
          <cell r="BU13">
            <v>83</v>
          </cell>
          <cell r="BV13">
            <v>82</v>
          </cell>
          <cell r="BW13">
            <v>85</v>
          </cell>
          <cell r="BX13">
            <v>80</v>
          </cell>
          <cell r="BY13">
            <v>85</v>
          </cell>
          <cell r="BZ13">
            <v>88</v>
          </cell>
          <cell r="CA13">
            <v>82</v>
          </cell>
          <cell r="CB13">
            <v>81</v>
          </cell>
          <cell r="CC13">
            <v>88</v>
          </cell>
          <cell r="CD13">
            <v>76</v>
          </cell>
          <cell r="CE13">
            <v>85</v>
          </cell>
          <cell r="CF13">
            <v>80</v>
          </cell>
          <cell r="CG13">
            <v>95</v>
          </cell>
          <cell r="CH13">
            <v>78</v>
          </cell>
          <cell r="CI13">
            <v>85</v>
          </cell>
          <cell r="CJ13">
            <v>87</v>
          </cell>
          <cell r="CK13">
            <v>85</v>
          </cell>
          <cell r="CL13">
            <v>89</v>
          </cell>
          <cell r="CM13">
            <v>85</v>
          </cell>
          <cell r="CN13">
            <v>90</v>
          </cell>
        </row>
        <row r="14">
          <cell r="E14">
            <v>86</v>
          </cell>
          <cell r="F14">
            <v>89</v>
          </cell>
          <cell r="G14">
            <v>89</v>
          </cell>
          <cell r="H14">
            <v>86</v>
          </cell>
          <cell r="I14">
            <v>90</v>
          </cell>
          <cell r="J14">
            <v>78</v>
          </cell>
          <cell r="K14">
            <v>84</v>
          </cell>
          <cell r="L14">
            <v>80</v>
          </cell>
          <cell r="M14">
            <v>92</v>
          </cell>
          <cell r="N14">
            <v>92</v>
          </cell>
          <cell r="O14">
            <v>92</v>
          </cell>
          <cell r="P14">
            <v>79</v>
          </cell>
          <cell r="Q14">
            <v>83</v>
          </cell>
          <cell r="R14">
            <v>77</v>
          </cell>
          <cell r="S14">
            <v>81</v>
          </cell>
          <cell r="T14">
            <v>79</v>
          </cell>
          <cell r="U14">
            <v>76</v>
          </cell>
          <cell r="V14">
            <v>77</v>
          </cell>
          <cell r="W14">
            <v>82</v>
          </cell>
          <cell r="X14">
            <v>84</v>
          </cell>
          <cell r="Y14">
            <v>82</v>
          </cell>
          <cell r="Z14">
            <v>84</v>
          </cell>
          <cell r="AA14">
            <v>89</v>
          </cell>
          <cell r="AB14">
            <v>86</v>
          </cell>
          <cell r="AC14">
            <v>73</v>
          </cell>
          <cell r="AD14">
            <v>80</v>
          </cell>
          <cell r="AE14">
            <v>87</v>
          </cell>
          <cell r="AF14">
            <v>92</v>
          </cell>
          <cell r="AG14">
            <v>87</v>
          </cell>
          <cell r="AH14">
            <v>85</v>
          </cell>
          <cell r="AI14">
            <v>74</v>
          </cell>
          <cell r="AJ14">
            <v>83</v>
          </cell>
          <cell r="AK14">
            <v>80</v>
          </cell>
          <cell r="AL14">
            <v>77</v>
          </cell>
          <cell r="AM14">
            <v>80</v>
          </cell>
          <cell r="AN14">
            <v>80</v>
          </cell>
          <cell r="AO14">
            <v>79</v>
          </cell>
          <cell r="AP14">
            <v>80</v>
          </cell>
          <cell r="AQ14">
            <v>81</v>
          </cell>
          <cell r="AR14">
            <v>78</v>
          </cell>
          <cell r="AS14">
            <v>77</v>
          </cell>
          <cell r="AT14">
            <v>83</v>
          </cell>
          <cell r="AU14">
            <v>80</v>
          </cell>
          <cell r="AV14">
            <v>75</v>
          </cell>
          <cell r="AW14">
            <v>86</v>
          </cell>
          <cell r="AX14">
            <v>78</v>
          </cell>
          <cell r="AY14">
            <v>75</v>
          </cell>
          <cell r="AZ14">
            <v>79</v>
          </cell>
          <cell r="BA14">
            <v>86</v>
          </cell>
          <cell r="BB14">
            <v>88</v>
          </cell>
          <cell r="BC14">
            <v>90</v>
          </cell>
          <cell r="BD14">
            <v>88</v>
          </cell>
          <cell r="BS14">
            <v>86.333333333333329</v>
          </cell>
          <cell r="BT14">
            <v>83.333333333333329</v>
          </cell>
          <cell r="BU14">
            <v>84</v>
          </cell>
          <cell r="BV14">
            <v>78</v>
          </cell>
          <cell r="BW14">
            <v>85</v>
          </cell>
          <cell r="BX14">
            <v>80</v>
          </cell>
          <cell r="BY14">
            <v>86</v>
          </cell>
          <cell r="BZ14">
            <v>79</v>
          </cell>
          <cell r="CA14">
            <v>78</v>
          </cell>
          <cell r="CB14">
            <v>80</v>
          </cell>
          <cell r="CC14">
            <v>86</v>
          </cell>
          <cell r="CD14">
            <v>74</v>
          </cell>
          <cell r="CE14">
            <v>78</v>
          </cell>
          <cell r="CF14">
            <v>82</v>
          </cell>
          <cell r="CG14">
            <v>92</v>
          </cell>
          <cell r="CH14">
            <v>75</v>
          </cell>
          <cell r="CI14">
            <v>82</v>
          </cell>
          <cell r="CJ14">
            <v>82</v>
          </cell>
          <cell r="CK14">
            <v>85</v>
          </cell>
          <cell r="CL14">
            <v>88</v>
          </cell>
          <cell r="CM14">
            <v>89</v>
          </cell>
          <cell r="CN14">
            <v>72</v>
          </cell>
        </row>
        <row r="15">
          <cell r="E15">
            <v>82</v>
          </cell>
          <cell r="F15">
            <v>87</v>
          </cell>
          <cell r="G15">
            <v>86</v>
          </cell>
          <cell r="H15">
            <v>85</v>
          </cell>
          <cell r="I15">
            <v>84</v>
          </cell>
          <cell r="J15">
            <v>79</v>
          </cell>
          <cell r="K15">
            <v>80</v>
          </cell>
          <cell r="L15">
            <v>80</v>
          </cell>
          <cell r="M15">
            <v>88</v>
          </cell>
          <cell r="N15">
            <v>83</v>
          </cell>
          <cell r="O15">
            <v>88</v>
          </cell>
          <cell r="P15">
            <v>79</v>
          </cell>
          <cell r="Q15">
            <v>82</v>
          </cell>
          <cell r="R15">
            <v>80</v>
          </cell>
          <cell r="S15">
            <v>77</v>
          </cell>
          <cell r="T15">
            <v>72</v>
          </cell>
          <cell r="U15">
            <v>77</v>
          </cell>
          <cell r="V15">
            <v>79</v>
          </cell>
          <cell r="W15">
            <v>82</v>
          </cell>
          <cell r="X15">
            <v>85</v>
          </cell>
          <cell r="Y15">
            <v>84</v>
          </cell>
          <cell r="Z15">
            <v>85</v>
          </cell>
          <cell r="AA15">
            <v>81</v>
          </cell>
          <cell r="AB15">
            <v>84</v>
          </cell>
          <cell r="AC15">
            <v>73</v>
          </cell>
          <cell r="AD15">
            <v>78</v>
          </cell>
          <cell r="AE15">
            <v>83</v>
          </cell>
          <cell r="AF15">
            <v>84</v>
          </cell>
          <cell r="AG15">
            <v>83</v>
          </cell>
          <cell r="AH15">
            <v>85</v>
          </cell>
          <cell r="AI15">
            <v>70</v>
          </cell>
          <cell r="AJ15">
            <v>81</v>
          </cell>
          <cell r="AK15">
            <v>80</v>
          </cell>
          <cell r="AL15">
            <v>79</v>
          </cell>
          <cell r="AM15">
            <v>76</v>
          </cell>
          <cell r="AN15">
            <v>76</v>
          </cell>
          <cell r="AO15">
            <v>73</v>
          </cell>
          <cell r="AP15">
            <v>74</v>
          </cell>
          <cell r="AQ15">
            <v>79</v>
          </cell>
          <cell r="AR15">
            <v>80</v>
          </cell>
          <cell r="AS15">
            <v>72</v>
          </cell>
          <cell r="AT15">
            <v>77</v>
          </cell>
          <cell r="AU15">
            <v>75</v>
          </cell>
          <cell r="AV15">
            <v>73</v>
          </cell>
          <cell r="AW15">
            <v>83</v>
          </cell>
          <cell r="AX15">
            <v>80</v>
          </cell>
          <cell r="AY15">
            <v>75</v>
          </cell>
          <cell r="AZ15">
            <v>79</v>
          </cell>
          <cell r="BA15">
            <v>82</v>
          </cell>
          <cell r="BB15">
            <v>86</v>
          </cell>
          <cell r="BC15">
            <v>79</v>
          </cell>
          <cell r="BD15">
            <v>86</v>
          </cell>
          <cell r="BS15">
            <v>82.333333333333329</v>
          </cell>
          <cell r="BT15">
            <v>81</v>
          </cell>
          <cell r="BU15">
            <v>83</v>
          </cell>
          <cell r="BV15">
            <v>80</v>
          </cell>
          <cell r="BW15">
            <v>85</v>
          </cell>
          <cell r="BX15">
            <v>80</v>
          </cell>
          <cell r="BY15">
            <v>85</v>
          </cell>
          <cell r="BZ15">
            <v>81</v>
          </cell>
          <cell r="CA15">
            <v>80</v>
          </cell>
          <cell r="CB15">
            <v>74</v>
          </cell>
          <cell r="CC15">
            <v>78</v>
          </cell>
          <cell r="CD15">
            <v>74</v>
          </cell>
          <cell r="CE15">
            <v>80</v>
          </cell>
          <cell r="CF15">
            <v>85</v>
          </cell>
          <cell r="CG15">
            <v>90</v>
          </cell>
          <cell r="CH15">
            <v>75</v>
          </cell>
          <cell r="CI15">
            <v>80</v>
          </cell>
          <cell r="CJ15">
            <v>80</v>
          </cell>
          <cell r="CK15">
            <v>83</v>
          </cell>
          <cell r="CL15">
            <v>85</v>
          </cell>
          <cell r="CM15">
            <v>97</v>
          </cell>
          <cell r="CN15">
            <v>70</v>
          </cell>
        </row>
        <row r="16">
          <cell r="E16">
            <v>88</v>
          </cell>
          <cell r="F16">
            <v>90</v>
          </cell>
          <cell r="G16">
            <v>88</v>
          </cell>
          <cell r="H16">
            <v>88</v>
          </cell>
          <cell r="I16">
            <v>91</v>
          </cell>
          <cell r="J16">
            <v>75</v>
          </cell>
          <cell r="K16">
            <v>86</v>
          </cell>
          <cell r="L16">
            <v>80</v>
          </cell>
          <cell r="M16">
            <v>81</v>
          </cell>
          <cell r="N16">
            <v>88</v>
          </cell>
          <cell r="O16">
            <v>88</v>
          </cell>
          <cell r="P16">
            <v>70</v>
          </cell>
          <cell r="Q16">
            <v>85</v>
          </cell>
          <cell r="R16">
            <v>79</v>
          </cell>
          <cell r="S16">
            <v>81</v>
          </cell>
          <cell r="T16">
            <v>78</v>
          </cell>
          <cell r="U16">
            <v>77</v>
          </cell>
          <cell r="V16">
            <v>79</v>
          </cell>
          <cell r="W16">
            <v>82</v>
          </cell>
          <cell r="X16">
            <v>85</v>
          </cell>
          <cell r="Y16">
            <v>82</v>
          </cell>
          <cell r="Z16">
            <v>83</v>
          </cell>
          <cell r="AA16">
            <v>80</v>
          </cell>
          <cell r="AB16">
            <v>82</v>
          </cell>
          <cell r="AC16">
            <v>85</v>
          </cell>
          <cell r="AD16">
            <v>86</v>
          </cell>
          <cell r="AE16">
            <v>85</v>
          </cell>
          <cell r="AF16">
            <v>86</v>
          </cell>
          <cell r="AG16">
            <v>85</v>
          </cell>
          <cell r="AH16">
            <v>87</v>
          </cell>
          <cell r="AI16">
            <v>80</v>
          </cell>
          <cell r="AJ16">
            <v>82</v>
          </cell>
          <cell r="AK16">
            <v>84</v>
          </cell>
          <cell r="AL16">
            <v>79</v>
          </cell>
          <cell r="AM16">
            <v>75</v>
          </cell>
          <cell r="AN16">
            <v>77</v>
          </cell>
          <cell r="AO16">
            <v>77</v>
          </cell>
          <cell r="AP16">
            <v>78</v>
          </cell>
          <cell r="AQ16">
            <v>82</v>
          </cell>
          <cell r="AR16">
            <v>75</v>
          </cell>
          <cell r="AS16">
            <v>77</v>
          </cell>
          <cell r="AT16">
            <v>80</v>
          </cell>
          <cell r="AU16">
            <v>74</v>
          </cell>
          <cell r="AV16">
            <v>75</v>
          </cell>
          <cell r="AW16">
            <v>77</v>
          </cell>
          <cell r="AX16">
            <v>75</v>
          </cell>
          <cell r="AY16">
            <v>78</v>
          </cell>
          <cell r="AZ16">
            <v>79</v>
          </cell>
          <cell r="BA16">
            <v>82</v>
          </cell>
          <cell r="BB16">
            <v>82</v>
          </cell>
          <cell r="BC16">
            <v>91</v>
          </cell>
          <cell r="BD16">
            <v>80</v>
          </cell>
          <cell r="BS16">
            <v>81.666666666666671</v>
          </cell>
          <cell r="BT16">
            <v>80.666666666666671</v>
          </cell>
          <cell r="BU16">
            <v>82.5</v>
          </cell>
          <cell r="BV16">
            <v>76</v>
          </cell>
          <cell r="BW16">
            <v>84</v>
          </cell>
          <cell r="BX16">
            <v>81</v>
          </cell>
          <cell r="BY16">
            <v>86</v>
          </cell>
          <cell r="BZ16">
            <v>80</v>
          </cell>
          <cell r="CA16">
            <v>76</v>
          </cell>
          <cell r="CB16">
            <v>78</v>
          </cell>
          <cell r="CC16">
            <v>91</v>
          </cell>
          <cell r="CD16">
            <v>74</v>
          </cell>
          <cell r="CE16">
            <v>75</v>
          </cell>
          <cell r="CF16">
            <v>85</v>
          </cell>
          <cell r="CG16">
            <v>90</v>
          </cell>
          <cell r="CH16">
            <v>85</v>
          </cell>
          <cell r="CI16">
            <v>77</v>
          </cell>
          <cell r="CJ16">
            <v>83</v>
          </cell>
          <cell r="CK16">
            <v>85</v>
          </cell>
          <cell r="CL16">
            <v>89</v>
          </cell>
          <cell r="CM16">
            <v>91</v>
          </cell>
          <cell r="CN16">
            <v>85</v>
          </cell>
        </row>
        <row r="17">
          <cell r="E17">
            <v>88</v>
          </cell>
          <cell r="F17">
            <v>90</v>
          </cell>
          <cell r="G17">
            <v>89</v>
          </cell>
          <cell r="H17">
            <v>89</v>
          </cell>
          <cell r="I17">
            <v>93</v>
          </cell>
          <cell r="J17">
            <v>80</v>
          </cell>
          <cell r="K17">
            <v>87</v>
          </cell>
          <cell r="L17">
            <v>86</v>
          </cell>
          <cell r="M17">
            <v>88</v>
          </cell>
          <cell r="N17">
            <v>90</v>
          </cell>
          <cell r="O17">
            <v>93</v>
          </cell>
          <cell r="P17">
            <v>90</v>
          </cell>
          <cell r="Q17">
            <v>90</v>
          </cell>
          <cell r="R17">
            <v>81</v>
          </cell>
          <cell r="S17">
            <v>83</v>
          </cell>
          <cell r="T17">
            <v>80</v>
          </cell>
          <cell r="U17">
            <v>83</v>
          </cell>
          <cell r="V17">
            <v>80</v>
          </cell>
          <cell r="W17">
            <v>82</v>
          </cell>
          <cell r="X17">
            <v>85</v>
          </cell>
          <cell r="Y17">
            <v>84</v>
          </cell>
          <cell r="Z17">
            <v>84</v>
          </cell>
          <cell r="AA17">
            <v>82</v>
          </cell>
          <cell r="AB17">
            <v>88</v>
          </cell>
          <cell r="AC17">
            <v>85</v>
          </cell>
          <cell r="AD17">
            <v>86</v>
          </cell>
          <cell r="AE17">
            <v>86</v>
          </cell>
          <cell r="AF17">
            <v>93</v>
          </cell>
          <cell r="AG17">
            <v>86</v>
          </cell>
          <cell r="AH17">
            <v>89</v>
          </cell>
          <cell r="AI17">
            <v>74</v>
          </cell>
          <cell r="AJ17">
            <v>83</v>
          </cell>
          <cell r="AK17">
            <v>86</v>
          </cell>
          <cell r="AL17">
            <v>80</v>
          </cell>
          <cell r="AM17">
            <v>81</v>
          </cell>
          <cell r="AN17">
            <v>81</v>
          </cell>
          <cell r="AO17">
            <v>84</v>
          </cell>
          <cell r="AP17">
            <v>85</v>
          </cell>
          <cell r="AQ17">
            <v>83</v>
          </cell>
          <cell r="AR17">
            <v>80</v>
          </cell>
          <cell r="AS17">
            <v>78</v>
          </cell>
          <cell r="AT17">
            <v>81</v>
          </cell>
          <cell r="AU17">
            <v>76</v>
          </cell>
          <cell r="AV17">
            <v>71</v>
          </cell>
          <cell r="AW17">
            <v>84</v>
          </cell>
          <cell r="AX17">
            <v>80</v>
          </cell>
          <cell r="AY17">
            <v>81</v>
          </cell>
          <cell r="AZ17">
            <v>82</v>
          </cell>
          <cell r="BA17">
            <v>86</v>
          </cell>
          <cell r="BB17">
            <v>87</v>
          </cell>
          <cell r="BC17">
            <v>90</v>
          </cell>
          <cell r="BD17">
            <v>81</v>
          </cell>
          <cell r="BS17">
            <v>84.666666666666671</v>
          </cell>
          <cell r="BT17">
            <v>83</v>
          </cell>
          <cell r="BU17">
            <v>83.5</v>
          </cell>
          <cell r="BV17">
            <v>82</v>
          </cell>
          <cell r="BW17">
            <v>84</v>
          </cell>
          <cell r="BX17">
            <v>82</v>
          </cell>
          <cell r="BY17">
            <v>86</v>
          </cell>
          <cell r="BZ17">
            <v>80</v>
          </cell>
          <cell r="CA17">
            <v>82</v>
          </cell>
          <cell r="CB17">
            <v>79</v>
          </cell>
          <cell r="CC17">
            <v>91</v>
          </cell>
          <cell r="CD17">
            <v>84</v>
          </cell>
          <cell r="CE17">
            <v>80</v>
          </cell>
          <cell r="CF17">
            <v>89</v>
          </cell>
          <cell r="CG17">
            <v>90</v>
          </cell>
          <cell r="CH17">
            <v>88</v>
          </cell>
          <cell r="CI17">
            <v>85</v>
          </cell>
          <cell r="CJ17">
            <v>84</v>
          </cell>
          <cell r="CK17">
            <v>84</v>
          </cell>
          <cell r="CL17">
            <v>84</v>
          </cell>
          <cell r="CM17">
            <v>95</v>
          </cell>
          <cell r="CN17">
            <v>87</v>
          </cell>
        </row>
        <row r="18">
          <cell r="E18">
            <v>88</v>
          </cell>
          <cell r="F18">
            <v>90</v>
          </cell>
          <cell r="G18">
            <v>89</v>
          </cell>
          <cell r="H18">
            <v>89</v>
          </cell>
          <cell r="I18">
            <v>91</v>
          </cell>
          <cell r="J18">
            <v>95</v>
          </cell>
          <cell r="K18">
            <v>85</v>
          </cell>
          <cell r="L18">
            <v>85</v>
          </cell>
          <cell r="M18">
            <v>95</v>
          </cell>
          <cell r="N18">
            <v>95</v>
          </cell>
          <cell r="O18">
            <v>95</v>
          </cell>
          <cell r="P18">
            <v>89</v>
          </cell>
          <cell r="Q18">
            <v>90</v>
          </cell>
          <cell r="R18">
            <v>85</v>
          </cell>
          <cell r="S18">
            <v>80</v>
          </cell>
          <cell r="T18">
            <v>87</v>
          </cell>
          <cell r="U18">
            <v>88</v>
          </cell>
          <cell r="V18">
            <v>87</v>
          </cell>
          <cell r="W18">
            <v>86</v>
          </cell>
          <cell r="X18">
            <v>86</v>
          </cell>
          <cell r="Y18">
            <v>85</v>
          </cell>
          <cell r="Z18">
            <v>86</v>
          </cell>
          <cell r="AA18">
            <v>83</v>
          </cell>
          <cell r="AB18">
            <v>88</v>
          </cell>
          <cell r="AC18">
            <v>86</v>
          </cell>
          <cell r="AD18">
            <v>87</v>
          </cell>
          <cell r="AE18">
            <v>85</v>
          </cell>
          <cell r="AF18">
            <v>87</v>
          </cell>
          <cell r="AG18">
            <v>85</v>
          </cell>
          <cell r="AH18">
            <v>89</v>
          </cell>
          <cell r="AI18">
            <v>73</v>
          </cell>
          <cell r="AJ18">
            <v>82</v>
          </cell>
          <cell r="AK18">
            <v>90</v>
          </cell>
          <cell r="AL18">
            <v>87</v>
          </cell>
          <cell r="AM18">
            <v>75</v>
          </cell>
          <cell r="AN18">
            <v>77</v>
          </cell>
          <cell r="AO18">
            <v>75</v>
          </cell>
          <cell r="AP18">
            <v>76</v>
          </cell>
          <cell r="AQ18">
            <v>81</v>
          </cell>
          <cell r="AR18">
            <v>86</v>
          </cell>
          <cell r="AS18">
            <v>93</v>
          </cell>
          <cell r="AT18">
            <v>90</v>
          </cell>
          <cell r="AU18">
            <v>87</v>
          </cell>
          <cell r="AV18">
            <v>83</v>
          </cell>
          <cell r="AW18">
            <v>86</v>
          </cell>
          <cell r="AX18">
            <v>86</v>
          </cell>
          <cell r="AY18">
            <v>79</v>
          </cell>
          <cell r="AZ18">
            <v>80</v>
          </cell>
          <cell r="BA18">
            <v>88</v>
          </cell>
          <cell r="BB18">
            <v>95</v>
          </cell>
          <cell r="BC18">
            <v>91</v>
          </cell>
          <cell r="BD18">
            <v>83</v>
          </cell>
          <cell r="BS18">
            <v>86</v>
          </cell>
          <cell r="BT18">
            <v>83</v>
          </cell>
          <cell r="BU18">
            <v>84.25</v>
          </cell>
          <cell r="BV18">
            <v>89</v>
          </cell>
          <cell r="BW18">
            <v>85</v>
          </cell>
          <cell r="BX18">
            <v>82</v>
          </cell>
          <cell r="BY18">
            <v>86</v>
          </cell>
          <cell r="BZ18">
            <v>86</v>
          </cell>
          <cell r="CA18">
            <v>89</v>
          </cell>
          <cell r="CB18">
            <v>84</v>
          </cell>
          <cell r="CC18">
            <v>92</v>
          </cell>
          <cell r="CD18">
            <v>85</v>
          </cell>
          <cell r="CE18">
            <v>86</v>
          </cell>
          <cell r="CF18">
            <v>91</v>
          </cell>
          <cell r="CG18">
            <v>95</v>
          </cell>
          <cell r="CH18">
            <v>85</v>
          </cell>
          <cell r="CI18">
            <v>97</v>
          </cell>
          <cell r="CJ18">
            <v>82</v>
          </cell>
          <cell r="CK18">
            <v>86</v>
          </cell>
          <cell r="CL18">
            <v>89</v>
          </cell>
          <cell r="CM18">
            <v>97</v>
          </cell>
          <cell r="CN18">
            <v>75</v>
          </cell>
        </row>
      </sheetData>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2A31A-1029-4D9D-9E64-4174128ACAEC}">
  <dimension ref="A1:AJ362"/>
  <sheetViews>
    <sheetView zoomScale="70" zoomScaleNormal="70" workbookViewId="0">
      <selection activeCell="J12" sqref="J12:J13"/>
    </sheetView>
  </sheetViews>
  <sheetFormatPr defaultColWidth="9" defaultRowHeight="15" x14ac:dyDescent="0.25"/>
  <cols>
    <col min="1" max="1" width="4.140625" style="2" customWidth="1"/>
    <col min="2" max="2" width="12.7109375" style="2" customWidth="1"/>
    <col min="3" max="3" width="20.7109375" style="2" customWidth="1"/>
    <col min="4" max="4" width="13.7109375" style="2" customWidth="1"/>
    <col min="5" max="5" width="13.28515625" style="2" customWidth="1"/>
    <col min="6" max="6" width="13" style="2" customWidth="1"/>
    <col min="7" max="7" width="12" style="2" customWidth="1"/>
    <col min="8" max="8" width="11.85546875" style="2" customWidth="1"/>
    <col min="9" max="9" width="10" style="2" customWidth="1"/>
    <col min="10" max="10" width="13.140625" style="2" customWidth="1"/>
    <col min="11" max="15" width="10.7109375" style="2" customWidth="1"/>
    <col min="16" max="16" width="9.140625" style="2" customWidth="1"/>
    <col min="17" max="17" width="10.7109375" style="2" customWidth="1"/>
    <col min="18" max="18" width="11.85546875" style="2" customWidth="1"/>
    <col min="19" max="19" width="11.42578125" style="2" customWidth="1"/>
    <col min="20" max="20" width="12.140625" style="2" customWidth="1"/>
    <col min="21" max="21" width="16.42578125" style="2" customWidth="1"/>
    <col min="22" max="22" width="8" style="2" customWidth="1"/>
    <col min="23" max="23" width="12.140625" style="2" hidden="1" customWidth="1"/>
    <col min="24" max="24" width="11.42578125" style="2" hidden="1" customWidth="1"/>
    <col min="25" max="25" width="14.140625" style="2" hidden="1" customWidth="1"/>
    <col min="26" max="16384" width="9" style="2"/>
  </cols>
  <sheetData>
    <row r="1" spans="1:36" ht="24.75" customHeight="1" x14ac:dyDescent="0.25">
      <c r="A1" s="88" t="s">
        <v>0</v>
      </c>
      <c r="B1" s="88"/>
      <c r="C1" s="88"/>
      <c r="D1" s="88"/>
      <c r="E1" s="88"/>
      <c r="F1" s="88"/>
      <c r="G1" s="88"/>
      <c r="H1" s="88"/>
      <c r="I1" s="88"/>
      <c r="J1" s="88"/>
      <c r="K1" s="88"/>
      <c r="L1" s="88"/>
      <c r="M1" s="88"/>
      <c r="N1" s="88"/>
      <c r="O1" s="88"/>
      <c r="P1" s="88"/>
      <c r="Q1" s="88"/>
      <c r="R1" s="88"/>
      <c r="S1" s="88"/>
      <c r="T1" s="88"/>
      <c r="U1" s="88"/>
      <c r="V1" s="88"/>
    </row>
    <row r="2" spans="1:36" ht="24.75" customHeight="1" x14ac:dyDescent="0.35">
      <c r="A2" s="89" t="s">
        <v>1</v>
      </c>
      <c r="B2" s="89"/>
      <c r="C2" s="89"/>
      <c r="D2" s="89"/>
      <c r="E2" s="89"/>
      <c r="F2" s="89"/>
      <c r="G2" s="89"/>
      <c r="H2" s="89"/>
      <c r="I2" s="89"/>
      <c r="J2" s="89"/>
      <c r="K2" s="89"/>
      <c r="L2" s="89"/>
      <c r="M2" s="89"/>
      <c r="N2" s="89"/>
      <c r="O2" s="89"/>
      <c r="P2" s="89"/>
      <c r="Q2" s="89"/>
      <c r="R2" s="89"/>
      <c r="S2" s="89"/>
      <c r="T2" s="89"/>
      <c r="U2" s="89"/>
      <c r="V2" s="89"/>
    </row>
    <row r="3" spans="1:36" ht="10.5" customHeight="1" x14ac:dyDescent="0.25">
      <c r="C3" s="1"/>
      <c r="D3" s="1"/>
      <c r="E3" s="1"/>
      <c r="F3" s="1"/>
      <c r="G3" s="1"/>
      <c r="H3" s="1"/>
      <c r="I3" s="1"/>
      <c r="J3" s="1"/>
      <c r="K3" s="1"/>
      <c r="L3" s="1"/>
      <c r="M3" s="1"/>
      <c r="N3" s="1"/>
      <c r="O3" s="1"/>
      <c r="P3" s="1"/>
      <c r="Q3" s="1"/>
      <c r="R3" s="1"/>
      <c r="S3" s="1"/>
      <c r="T3" s="1"/>
      <c r="U3" s="1"/>
      <c r="V3" s="1"/>
    </row>
    <row r="4" spans="1:36" ht="21.75" customHeight="1" x14ac:dyDescent="0.25">
      <c r="A4" s="3" t="s">
        <v>2</v>
      </c>
      <c r="B4" s="3"/>
      <c r="C4" s="3"/>
      <c r="D4" s="3" t="s">
        <v>3</v>
      </c>
      <c r="E4" s="3"/>
      <c r="F4" s="3"/>
      <c r="G4" s="4"/>
      <c r="H4" s="4"/>
      <c r="I4" s="4"/>
      <c r="J4" s="4"/>
      <c r="K4" s="4"/>
      <c r="L4" s="4"/>
      <c r="M4" s="5"/>
      <c r="N4" s="5"/>
      <c r="O4" s="5"/>
      <c r="P4" s="5"/>
      <c r="Q4" s="5"/>
      <c r="R4" s="5"/>
      <c r="S4" s="5"/>
      <c r="T4" s="5"/>
      <c r="U4" s="5"/>
      <c r="V4" s="6"/>
    </row>
    <row r="5" spans="1:36" ht="18.75" customHeight="1" x14ac:dyDescent="0.25">
      <c r="A5" s="7" t="s">
        <v>4</v>
      </c>
      <c r="B5" s="7"/>
      <c r="C5" s="7"/>
      <c r="D5" s="3" t="s">
        <v>5</v>
      </c>
      <c r="E5" s="3"/>
      <c r="F5" s="3"/>
      <c r="G5" s="3"/>
      <c r="H5" s="3"/>
      <c r="I5" s="3"/>
      <c r="J5" s="3"/>
      <c r="K5" s="3"/>
      <c r="L5" s="3"/>
      <c r="M5" s="8"/>
      <c r="N5" s="8"/>
      <c r="O5" s="8"/>
      <c r="P5" s="8"/>
      <c r="Q5" s="8"/>
      <c r="R5" s="8"/>
      <c r="S5" s="8"/>
      <c r="T5" s="8"/>
      <c r="U5" s="8"/>
      <c r="V5" s="6"/>
    </row>
    <row r="6" spans="1:36" x14ac:dyDescent="0.25">
      <c r="A6" s="9"/>
      <c r="B6" s="9"/>
      <c r="C6" s="9"/>
      <c r="D6" s="9"/>
      <c r="E6" s="10"/>
      <c r="F6" s="9"/>
      <c r="G6" s="9"/>
      <c r="H6" s="9"/>
      <c r="I6" s="9"/>
      <c r="J6" s="9"/>
      <c r="K6" s="9"/>
      <c r="L6" s="9"/>
      <c r="M6" s="9"/>
      <c r="N6" s="9"/>
      <c r="O6" s="9"/>
      <c r="P6" s="9"/>
      <c r="Q6" s="9"/>
      <c r="R6" s="9"/>
      <c r="S6" s="9"/>
      <c r="T6" s="9"/>
      <c r="U6" s="9"/>
    </row>
    <row r="7" spans="1:36" ht="17.25" thickBot="1" x14ac:dyDescent="0.3">
      <c r="A7" s="9"/>
      <c r="B7" s="9"/>
      <c r="C7" s="9"/>
      <c r="D7" s="8"/>
      <c r="E7" s="9"/>
      <c r="F7" s="9"/>
      <c r="G7" s="9"/>
      <c r="H7" s="9"/>
      <c r="I7" s="9"/>
      <c r="J7" s="9"/>
      <c r="K7" s="9"/>
      <c r="L7" s="9"/>
      <c r="M7" s="9"/>
      <c r="N7" s="9"/>
      <c r="O7" s="9"/>
      <c r="P7" s="9"/>
      <c r="Q7" s="9"/>
      <c r="R7" s="9"/>
      <c r="S7" s="9"/>
      <c r="T7" s="9"/>
      <c r="U7" s="9"/>
    </row>
    <row r="8" spans="1:36" ht="18.75" customHeight="1" thickBot="1" x14ac:dyDescent="0.3">
      <c r="A8" s="90" t="s">
        <v>6</v>
      </c>
      <c r="B8" s="93" t="s">
        <v>7</v>
      </c>
      <c r="C8" s="93" t="s">
        <v>8</v>
      </c>
      <c r="D8" s="11"/>
      <c r="E8" s="96" t="s">
        <v>9</v>
      </c>
      <c r="F8" s="97"/>
      <c r="G8" s="97"/>
      <c r="H8" s="97"/>
      <c r="I8" s="97"/>
      <c r="J8" s="98"/>
      <c r="K8" s="99" t="s">
        <v>10</v>
      </c>
      <c r="L8" s="98"/>
      <c r="M8" s="99" t="s">
        <v>11</v>
      </c>
      <c r="N8" s="97"/>
      <c r="O8" s="97"/>
      <c r="P8" s="97"/>
      <c r="Q8" s="97"/>
      <c r="R8" s="97"/>
      <c r="S8" s="97"/>
      <c r="T8" s="97"/>
      <c r="U8" s="98"/>
      <c r="V8" s="100" t="s">
        <v>12</v>
      </c>
    </row>
    <row r="9" spans="1:36" ht="18" customHeight="1" x14ac:dyDescent="0.25">
      <c r="A9" s="91"/>
      <c r="B9" s="94"/>
      <c r="C9" s="94"/>
      <c r="D9" s="79" t="s">
        <v>13</v>
      </c>
      <c r="E9" s="86" t="s">
        <v>14</v>
      </c>
      <c r="F9" s="86" t="s">
        <v>15</v>
      </c>
      <c r="G9" s="86" t="s">
        <v>16</v>
      </c>
      <c r="H9" s="86" t="s">
        <v>17</v>
      </c>
      <c r="I9" s="86" t="s">
        <v>18</v>
      </c>
      <c r="J9" s="86" t="s">
        <v>19</v>
      </c>
      <c r="K9" s="78" t="s">
        <v>20</v>
      </c>
      <c r="L9" s="78" t="s">
        <v>21</v>
      </c>
      <c r="M9" s="83" t="s">
        <v>22</v>
      </c>
      <c r="N9" s="83" t="s">
        <v>23</v>
      </c>
      <c r="O9" s="83" t="s">
        <v>24</v>
      </c>
      <c r="P9" s="78" t="s">
        <v>25</v>
      </c>
      <c r="Q9" s="78" t="s">
        <v>26</v>
      </c>
      <c r="R9" s="78" t="s">
        <v>27</v>
      </c>
      <c r="S9" s="78" t="s">
        <v>28</v>
      </c>
      <c r="T9" s="79" t="s">
        <v>29</v>
      </c>
      <c r="U9" s="79" t="s">
        <v>30</v>
      </c>
      <c r="V9" s="101"/>
      <c r="Y9" s="2">
        <v>5</v>
      </c>
      <c r="AA9" s="12"/>
      <c r="AB9" s="12"/>
      <c r="AC9" s="12"/>
      <c r="AD9" s="12"/>
      <c r="AE9" s="12"/>
      <c r="AF9" s="12"/>
      <c r="AG9" s="12"/>
      <c r="AH9" s="12"/>
      <c r="AI9" s="12"/>
      <c r="AJ9" s="12"/>
    </row>
    <row r="10" spans="1:36" ht="18" customHeight="1" x14ac:dyDescent="0.25">
      <c r="A10" s="91"/>
      <c r="B10" s="94"/>
      <c r="C10" s="94"/>
      <c r="D10" s="79"/>
      <c r="E10" s="86"/>
      <c r="F10" s="86"/>
      <c r="G10" s="86"/>
      <c r="H10" s="86"/>
      <c r="I10" s="86"/>
      <c r="J10" s="86"/>
      <c r="K10" s="79"/>
      <c r="L10" s="79"/>
      <c r="M10" s="84"/>
      <c r="N10" s="84"/>
      <c r="O10" s="84"/>
      <c r="P10" s="79"/>
      <c r="Q10" s="79"/>
      <c r="R10" s="79"/>
      <c r="S10" s="79"/>
      <c r="T10" s="79"/>
      <c r="U10" s="79"/>
      <c r="V10" s="101"/>
      <c r="AA10" s="12"/>
      <c r="AB10" s="12"/>
      <c r="AC10" s="12"/>
      <c r="AD10" s="12"/>
      <c r="AE10" s="12"/>
      <c r="AF10" s="12"/>
      <c r="AG10" s="12"/>
      <c r="AH10" s="12"/>
      <c r="AI10" s="12"/>
      <c r="AJ10" s="12"/>
    </row>
    <row r="11" spans="1:36" ht="39.75" customHeight="1" thickBot="1" x14ac:dyDescent="0.3">
      <c r="A11" s="92"/>
      <c r="B11" s="95"/>
      <c r="C11" s="95"/>
      <c r="D11" s="80"/>
      <c r="E11" s="87"/>
      <c r="F11" s="87"/>
      <c r="G11" s="87"/>
      <c r="H11" s="87"/>
      <c r="I11" s="87"/>
      <c r="J11" s="87"/>
      <c r="K11" s="80"/>
      <c r="L11" s="80"/>
      <c r="M11" s="85"/>
      <c r="N11" s="85"/>
      <c r="O11" s="85"/>
      <c r="P11" s="80"/>
      <c r="Q11" s="80"/>
      <c r="R11" s="80"/>
      <c r="S11" s="80"/>
      <c r="T11" s="80"/>
      <c r="U11" s="80"/>
      <c r="V11" s="102"/>
      <c r="W11" s="13"/>
      <c r="X11" s="13"/>
      <c r="Y11" s="13"/>
      <c r="Z11" s="13"/>
      <c r="AA11" s="14"/>
      <c r="AB11" s="14"/>
      <c r="AC11" s="14"/>
      <c r="AD11" s="14"/>
      <c r="AE11" s="14"/>
      <c r="AF11" s="14"/>
      <c r="AG11" s="14"/>
      <c r="AH11" s="14"/>
      <c r="AI11" s="14"/>
      <c r="AJ11" s="14"/>
    </row>
    <row r="12" spans="1:36" ht="18.75" customHeight="1" thickBot="1" x14ac:dyDescent="0.35">
      <c r="A12" s="70">
        <v>1</v>
      </c>
      <c r="B12" s="81" t="s">
        <v>31</v>
      </c>
      <c r="C12" s="82" t="s">
        <v>32</v>
      </c>
      <c r="D12" s="15" t="s">
        <v>33</v>
      </c>
      <c r="E12" s="16">
        <f>[1]te!$E$5</f>
        <v>82</v>
      </c>
      <c r="F12" s="16">
        <f>[1]te!$K$5</f>
        <v>80</v>
      </c>
      <c r="G12" s="16">
        <f>[1]te!$Q$5</f>
        <v>80</v>
      </c>
      <c r="H12" s="16">
        <f>[1]te!$W$5</f>
        <v>82</v>
      </c>
      <c r="I12" s="16">
        <f>[1]te!$AA$5</f>
        <v>75</v>
      </c>
      <c r="J12" s="16">
        <f>[1]te!$AE$5</f>
        <v>83</v>
      </c>
      <c r="K12" s="17">
        <f>[1]te!$AG$5</f>
        <v>83</v>
      </c>
      <c r="L12" s="18"/>
      <c r="M12" s="16">
        <f>[1]te!$AM$5</f>
        <v>75</v>
      </c>
      <c r="N12" s="16">
        <f>[1]te!$AS$5</f>
        <v>73</v>
      </c>
      <c r="O12" s="16">
        <f>[1]te!$AY$5</f>
        <v>75</v>
      </c>
      <c r="P12" s="17">
        <f>[1]te!$BA$5</f>
        <v>79</v>
      </c>
      <c r="Q12" s="17">
        <f>[1]te!$BC$5</f>
        <v>85</v>
      </c>
      <c r="R12" s="18"/>
      <c r="S12" s="18"/>
      <c r="T12" s="18"/>
      <c r="U12" s="18"/>
      <c r="V12" s="19"/>
      <c r="W12" s="20">
        <f>SUM(E12:U12)</f>
        <v>952</v>
      </c>
      <c r="X12" s="20">
        <f>COUNT(E12:U12)</f>
        <v>12</v>
      </c>
      <c r="Y12" s="21">
        <f>W12/X12</f>
        <v>79.333333333333329</v>
      </c>
      <c r="Z12" s="22"/>
      <c r="AA12" s="23"/>
      <c r="AB12" s="23"/>
      <c r="AC12" s="23"/>
      <c r="AD12" s="23"/>
      <c r="AE12" s="23"/>
      <c r="AF12" s="23"/>
      <c r="AG12" s="23"/>
      <c r="AH12" s="23"/>
      <c r="AI12" s="23"/>
      <c r="AJ12" s="23"/>
    </row>
    <row r="13" spans="1:36" ht="18.75" customHeight="1" thickBot="1" x14ac:dyDescent="0.35">
      <c r="A13" s="70"/>
      <c r="B13" s="73"/>
      <c r="C13" s="76"/>
      <c r="D13" s="15" t="s">
        <v>34</v>
      </c>
      <c r="E13" s="16">
        <f>[1]te!$F$5</f>
        <v>89</v>
      </c>
      <c r="F13" s="16">
        <f>[1]te!$L$5</f>
        <v>81</v>
      </c>
      <c r="G13" s="16">
        <f>[1]te!$R$5</f>
        <v>77</v>
      </c>
      <c r="H13" s="16">
        <f>[1]te!$X$5</f>
        <v>83</v>
      </c>
      <c r="I13" s="16">
        <f>[1]te!$AB$5</f>
        <v>78</v>
      </c>
      <c r="J13" s="16">
        <f>[1]te!$AF$5</f>
        <v>83</v>
      </c>
      <c r="K13" s="17">
        <f>[1]te!$AH$5</f>
        <v>85</v>
      </c>
      <c r="L13" s="18"/>
      <c r="M13" s="16">
        <f>[1]te!$AN$5</f>
        <v>76</v>
      </c>
      <c r="N13" s="16">
        <f>[1]te!$AT$5</f>
        <v>73</v>
      </c>
      <c r="O13" s="16">
        <f>[1]te!$AZ$5</f>
        <v>80</v>
      </c>
      <c r="P13" s="17">
        <f>[1]te!$BB$5</f>
        <v>80</v>
      </c>
      <c r="Q13" s="17">
        <f>[1]te!$BD$5</f>
        <v>75</v>
      </c>
      <c r="R13" s="18"/>
      <c r="S13" s="18"/>
      <c r="T13" s="18"/>
      <c r="U13" s="18"/>
      <c r="V13" s="24"/>
      <c r="W13" s="20">
        <f t="shared" ref="W13:W76" si="0">SUM(E13:U13)</f>
        <v>960</v>
      </c>
      <c r="X13" s="20">
        <f t="shared" ref="X13:X76" si="1">COUNT(E13:U13)</f>
        <v>12</v>
      </c>
      <c r="Y13" s="21">
        <f t="shared" ref="Y13:Y76" si="2">W13/X13</f>
        <v>80</v>
      </c>
      <c r="Z13" s="22"/>
      <c r="AA13" s="23"/>
      <c r="AB13" s="23"/>
      <c r="AC13" s="23"/>
      <c r="AD13" s="23"/>
      <c r="AE13" s="23"/>
      <c r="AF13" s="23"/>
      <c r="AG13" s="23"/>
      <c r="AH13" s="23"/>
      <c r="AI13" s="23"/>
      <c r="AJ13" s="23"/>
    </row>
    <row r="14" spans="1:36" ht="18.75" customHeight="1" thickBot="1" x14ac:dyDescent="0.35">
      <c r="A14" s="70"/>
      <c r="B14" s="73"/>
      <c r="C14" s="76"/>
      <c r="D14" s="15" t="s">
        <v>35</v>
      </c>
      <c r="E14" s="16">
        <f>[1]te!$G$5</f>
        <v>86</v>
      </c>
      <c r="F14" s="16">
        <f>[1]te!$M$5</f>
        <v>70</v>
      </c>
      <c r="G14" s="16">
        <f>[1]te!$S$5</f>
        <v>70</v>
      </c>
      <c r="H14" s="16">
        <f>[1]te!$Y$5</f>
        <v>80</v>
      </c>
      <c r="I14" s="16">
        <f>[1]te!$AC$5</f>
        <v>73</v>
      </c>
      <c r="J14" s="25"/>
      <c r="K14" s="17">
        <f>[1]te!$AI$5</f>
        <v>70</v>
      </c>
      <c r="L14" s="18"/>
      <c r="M14" s="16">
        <f>[1]te!$AO$5</f>
        <v>72</v>
      </c>
      <c r="N14" s="16">
        <f>[1]te!$AU$5</f>
        <v>71</v>
      </c>
      <c r="O14" s="25"/>
      <c r="P14" s="18"/>
      <c r="Q14" s="18"/>
      <c r="R14" s="17">
        <f>[1]te!$BS$5</f>
        <v>75.666666666666671</v>
      </c>
      <c r="S14" s="17">
        <f>[1]te!$BW$5</f>
        <v>82</v>
      </c>
      <c r="T14" s="18"/>
      <c r="U14" s="17">
        <f>[1]te!$CB$5</f>
        <v>70</v>
      </c>
      <c r="V14" s="24"/>
      <c r="W14" s="20">
        <f t="shared" si="0"/>
        <v>819.66666666666663</v>
      </c>
      <c r="X14" s="20">
        <f t="shared" si="1"/>
        <v>11</v>
      </c>
      <c r="Y14" s="21">
        <f t="shared" si="2"/>
        <v>74.515151515151516</v>
      </c>
      <c r="Z14" s="26"/>
      <c r="AA14" s="27"/>
      <c r="AB14" s="27"/>
      <c r="AC14" s="27"/>
      <c r="AD14" s="28"/>
      <c r="AE14" s="27"/>
      <c r="AF14" s="27"/>
      <c r="AG14" s="27"/>
      <c r="AH14" s="27"/>
      <c r="AI14" s="27"/>
      <c r="AJ14" s="27"/>
    </row>
    <row r="15" spans="1:36" ht="18.75" customHeight="1" thickBot="1" x14ac:dyDescent="0.35">
      <c r="A15" s="70"/>
      <c r="B15" s="73"/>
      <c r="C15" s="76"/>
      <c r="D15" s="29" t="s">
        <v>36</v>
      </c>
      <c r="E15" s="16">
        <f>[1]te!$H$5</f>
        <v>85</v>
      </c>
      <c r="F15" s="16">
        <f>[1]te!$N$5</f>
        <v>83</v>
      </c>
      <c r="G15" s="16">
        <f>[1]te!$T$5</f>
        <v>72</v>
      </c>
      <c r="H15" s="16">
        <f>[1]te!$Z$5</f>
        <v>83</v>
      </c>
      <c r="I15" s="16">
        <f>[1]te!$AD$5</f>
        <v>75</v>
      </c>
      <c r="J15" s="25"/>
      <c r="K15" s="17">
        <f>[1]te!$AJ$5</f>
        <v>80</v>
      </c>
      <c r="L15" s="18"/>
      <c r="M15" s="16">
        <f>[1]te!$AP$5</f>
        <v>73</v>
      </c>
      <c r="N15" s="16">
        <f>[1]te!$AV$5</f>
        <v>70</v>
      </c>
      <c r="O15" s="25"/>
      <c r="P15" s="18"/>
      <c r="Q15" s="18"/>
      <c r="R15" s="17">
        <f>[1]te!$BT$5</f>
        <v>79.333333333333329</v>
      </c>
      <c r="S15" s="17">
        <f>[1]te!$BX$5</f>
        <v>80</v>
      </c>
      <c r="T15" s="30"/>
      <c r="U15" s="17">
        <f>[1]te!$CC$5</f>
        <v>72</v>
      </c>
      <c r="V15" s="24"/>
      <c r="W15" s="20">
        <f t="shared" si="0"/>
        <v>852.33333333333337</v>
      </c>
      <c r="X15" s="20">
        <f t="shared" si="1"/>
        <v>11</v>
      </c>
      <c r="Y15" s="21">
        <f t="shared" si="2"/>
        <v>77.484848484848484</v>
      </c>
      <c r="Z15" s="31"/>
      <c r="AA15" s="32"/>
      <c r="AB15" s="32"/>
      <c r="AC15" s="32"/>
      <c r="AD15" s="32"/>
      <c r="AE15" s="32"/>
      <c r="AF15" s="32"/>
      <c r="AG15" s="32"/>
      <c r="AH15" s="32"/>
      <c r="AI15" s="32"/>
      <c r="AJ15" s="32"/>
    </row>
    <row r="16" spans="1:36" ht="18.75" customHeight="1" x14ac:dyDescent="0.3">
      <c r="A16" s="70"/>
      <c r="B16" s="73"/>
      <c r="C16" s="76"/>
      <c r="D16" s="29" t="s">
        <v>37</v>
      </c>
      <c r="E16" s="16">
        <f>[1]te!$I$5</f>
        <v>80</v>
      </c>
      <c r="F16" s="16">
        <f>[1]te!$O$5</f>
        <v>88</v>
      </c>
      <c r="G16" s="16">
        <f>[1]te!$U$5</f>
        <v>73</v>
      </c>
      <c r="H16" s="33"/>
      <c r="I16" s="33"/>
      <c r="J16" s="25"/>
      <c r="K16" s="25"/>
      <c r="L16" s="16">
        <f>[1]te!$AK$5</f>
        <v>89</v>
      </c>
      <c r="M16" s="16">
        <f>[1]te!$AQ$5</f>
        <v>76</v>
      </c>
      <c r="N16" s="16">
        <f>[1]te!$AW$5</f>
        <v>73</v>
      </c>
      <c r="O16" s="25"/>
      <c r="P16" s="18"/>
      <c r="Q16" s="18"/>
      <c r="R16" s="17">
        <f>[1]te!$BU$5</f>
        <v>77</v>
      </c>
      <c r="S16" s="17">
        <f>[1]te!$BY$5</f>
        <v>70</v>
      </c>
      <c r="T16" s="17"/>
      <c r="U16" s="17">
        <f>[1]te!$CD$5</f>
        <v>74</v>
      </c>
      <c r="V16" s="24"/>
      <c r="W16" s="20">
        <f t="shared" si="0"/>
        <v>700</v>
      </c>
      <c r="X16" s="20">
        <f t="shared" si="1"/>
        <v>9</v>
      </c>
      <c r="Y16" s="21">
        <f t="shared" si="2"/>
        <v>77.777777777777771</v>
      </c>
      <c r="Z16" s="31"/>
      <c r="AA16" s="32"/>
      <c r="AB16" s="32"/>
      <c r="AC16" s="32"/>
      <c r="AD16" s="32"/>
      <c r="AE16" s="32"/>
      <c r="AF16" s="32"/>
      <c r="AG16" s="32"/>
      <c r="AH16" s="32"/>
      <c r="AI16" s="32"/>
      <c r="AJ16" s="32"/>
    </row>
    <row r="17" spans="1:36" ht="18.75" customHeight="1" x14ac:dyDescent="0.3">
      <c r="A17" s="70"/>
      <c r="B17" s="73"/>
      <c r="C17" s="76"/>
      <c r="D17" s="34" t="s">
        <v>38</v>
      </c>
      <c r="E17" s="35">
        <f>AVERAGE(E12:E16)</f>
        <v>84.4</v>
      </c>
      <c r="F17" s="35">
        <f>AVERAGE(F12:F16)</f>
        <v>80.400000000000006</v>
      </c>
      <c r="G17" s="35">
        <f>AVERAGE(G12:G16)</f>
        <v>74.400000000000006</v>
      </c>
      <c r="H17" s="36"/>
      <c r="I17" s="36"/>
      <c r="J17" s="37"/>
      <c r="K17" s="37"/>
      <c r="L17" s="35">
        <f>AVERAGE(L12:L16)</f>
        <v>89</v>
      </c>
      <c r="M17" s="35">
        <f>AVERAGE(M12:M16)</f>
        <v>74.400000000000006</v>
      </c>
      <c r="N17" s="35">
        <f>AVERAGE(N12:N16)</f>
        <v>72</v>
      </c>
      <c r="O17" s="37"/>
      <c r="P17" s="30"/>
      <c r="Q17" s="30"/>
      <c r="R17" s="38">
        <f>AVERAGE(R14:R16)</f>
        <v>77.333333333333329</v>
      </c>
      <c r="S17" s="38">
        <f>AVERAGE(S14:S16)</f>
        <v>77.333333333333329</v>
      </c>
      <c r="T17" s="30"/>
      <c r="U17" s="38">
        <f>AVERAGE(U12:U16)</f>
        <v>72</v>
      </c>
      <c r="V17" s="24"/>
      <c r="W17" s="20"/>
      <c r="X17" s="20"/>
      <c r="Z17" s="39">
        <f>SUM(Y12:Y16)/$Y$9</f>
        <v>77.822222222222223</v>
      </c>
      <c r="AA17" s="32"/>
      <c r="AB17" s="32"/>
      <c r="AC17" s="32"/>
      <c r="AD17" s="32"/>
      <c r="AE17" s="32"/>
      <c r="AF17" s="32"/>
      <c r="AG17" s="32"/>
      <c r="AH17" s="32"/>
      <c r="AI17" s="32"/>
      <c r="AJ17" s="32"/>
    </row>
    <row r="18" spans="1:36" ht="18.75" customHeight="1" x14ac:dyDescent="0.3">
      <c r="A18" s="70"/>
      <c r="B18" s="73"/>
      <c r="C18" s="76"/>
      <c r="D18" s="40" t="s">
        <v>39</v>
      </c>
      <c r="E18" s="41">
        <f>[1]te!$J$5</f>
        <v>80</v>
      </c>
      <c r="F18" s="41">
        <f>[1]te!$P$5</f>
        <v>81</v>
      </c>
      <c r="G18" s="41">
        <f>[1]te!$V$5</f>
        <v>78</v>
      </c>
      <c r="H18" s="42"/>
      <c r="I18" s="42"/>
      <c r="J18" s="43"/>
      <c r="K18" s="43"/>
      <c r="L18" s="41">
        <f>[1]te!$AL$5</f>
        <v>78</v>
      </c>
      <c r="M18" s="41">
        <f>[1]te!$AR$5</f>
        <v>80</v>
      </c>
      <c r="N18" s="41">
        <f>[1]te!$AX$5</f>
        <v>80</v>
      </c>
      <c r="O18" s="43"/>
      <c r="P18" s="44"/>
      <c r="Q18" s="44"/>
      <c r="R18" s="45">
        <f>[1]te!$BV$5</f>
        <v>80</v>
      </c>
      <c r="S18" s="45">
        <f>[1]te!$BZ$5</f>
        <v>79</v>
      </c>
      <c r="T18" s="45">
        <f>[1]te!$CA$5</f>
        <v>80</v>
      </c>
      <c r="U18" s="46">
        <f>[1]te!$CE$5</f>
        <v>80</v>
      </c>
      <c r="V18" s="24"/>
      <c r="W18" s="20"/>
      <c r="X18" s="20"/>
      <c r="Y18" s="21"/>
      <c r="Z18" s="21"/>
      <c r="AA18" s="32"/>
      <c r="AB18" s="32"/>
      <c r="AC18" s="32"/>
      <c r="AD18" s="32"/>
      <c r="AE18" s="32"/>
      <c r="AF18" s="32"/>
      <c r="AG18" s="32"/>
      <c r="AH18" s="32"/>
      <c r="AI18" s="32"/>
      <c r="AJ18" s="32"/>
    </row>
    <row r="19" spans="1:36" ht="18.75" customHeight="1" x14ac:dyDescent="0.3">
      <c r="A19" s="70"/>
      <c r="B19" s="73"/>
      <c r="C19" s="76"/>
      <c r="D19" s="47" t="s">
        <v>40</v>
      </c>
      <c r="E19" s="48">
        <f>[1]te!$CF$5</f>
        <v>81</v>
      </c>
      <c r="F19" s="48">
        <f>[1]te!$CG$5</f>
        <v>75</v>
      </c>
      <c r="G19" s="48">
        <f>[1]te!$CH$5</f>
        <v>75</v>
      </c>
      <c r="H19" s="42"/>
      <c r="I19" s="42"/>
      <c r="J19" s="43"/>
      <c r="K19" s="43"/>
      <c r="L19" s="48">
        <f>[1]te!$CI$5</f>
        <v>75</v>
      </c>
      <c r="M19" s="48">
        <f>[1]te!$CJ$5</f>
        <v>76</v>
      </c>
      <c r="N19" s="48">
        <f>[1]te!$CK$5</f>
        <v>80</v>
      </c>
      <c r="O19" s="43"/>
      <c r="P19" s="44"/>
      <c r="Q19" s="44"/>
      <c r="R19" s="49">
        <f>[1]te!$CN$5</f>
        <v>70</v>
      </c>
      <c r="S19" s="49">
        <f>[1]te!$CM$5</f>
        <v>71</v>
      </c>
      <c r="T19" s="44"/>
      <c r="U19" s="49">
        <f>[1]te!$CL$5</f>
        <v>70</v>
      </c>
      <c r="V19" s="24"/>
      <c r="W19" s="20"/>
      <c r="X19" s="20"/>
      <c r="Y19" s="21"/>
      <c r="Z19" s="21"/>
      <c r="AA19" s="32"/>
      <c r="AB19" s="32"/>
      <c r="AC19" s="32"/>
      <c r="AD19" s="32"/>
      <c r="AE19" s="32"/>
      <c r="AF19" s="32"/>
      <c r="AG19" s="32"/>
      <c r="AH19" s="32"/>
      <c r="AI19" s="32"/>
      <c r="AJ19" s="32"/>
    </row>
    <row r="20" spans="1:36" ht="18.75" customHeight="1" thickBot="1" x14ac:dyDescent="0.35">
      <c r="A20" s="71"/>
      <c r="B20" s="74"/>
      <c r="C20" s="77"/>
      <c r="D20" s="50" t="s">
        <v>41</v>
      </c>
      <c r="E20" s="51">
        <f>(E17*4+E18*3+E19*3)/10</f>
        <v>82.06</v>
      </c>
      <c r="F20" s="51">
        <f t="shared" ref="F20:U20" si="3">(F17*4+F18*3+F19*3)/10</f>
        <v>78.960000000000008</v>
      </c>
      <c r="G20" s="51">
        <f t="shared" si="3"/>
        <v>75.66</v>
      </c>
      <c r="H20" s="51">
        <f>AVERAGE(H12:H15)</f>
        <v>82</v>
      </c>
      <c r="I20" s="51">
        <f>AVERAGE(I12:I15)</f>
        <v>75.25</v>
      </c>
      <c r="J20" s="51">
        <f>AVERAGE(J12:J13)</f>
        <v>83</v>
      </c>
      <c r="K20" s="51">
        <f>AVERAGE(K12:K15)</f>
        <v>79.5</v>
      </c>
      <c r="L20" s="51">
        <f>(L17*4+L18*3+L19*3)/10</f>
        <v>81.5</v>
      </c>
      <c r="M20" s="51">
        <f>(M17*4+M18*3+M19*3)/10</f>
        <v>76.56</v>
      </c>
      <c r="N20" s="51">
        <f>(N17*4+N18*3+N19*3)/10</f>
        <v>76.8</v>
      </c>
      <c r="O20" s="51">
        <f>AVERAGE(O12:O13)</f>
        <v>77.5</v>
      </c>
      <c r="P20" s="51">
        <f>AVERAGE(P12:P13)</f>
        <v>79.5</v>
      </c>
      <c r="Q20" s="51">
        <f>AVERAGE(Q12:Q13)</f>
        <v>80</v>
      </c>
      <c r="R20" s="51">
        <f>(R17*4+R18*3+R19*3)/10</f>
        <v>75.933333333333323</v>
      </c>
      <c r="S20" s="51">
        <f>(S17*4+S18*3+S19*3)/10</f>
        <v>75.933333333333323</v>
      </c>
      <c r="T20" s="51">
        <f>T18</f>
        <v>80</v>
      </c>
      <c r="U20" s="51">
        <f t="shared" si="3"/>
        <v>73.8</v>
      </c>
      <c r="V20" s="52">
        <f>AVERAGE(E20:U20)</f>
        <v>78.468039215686275</v>
      </c>
      <c r="W20" s="20">
        <f t="shared" si="0"/>
        <v>1333.9566666666667</v>
      </c>
      <c r="X20" s="20">
        <f t="shared" si="1"/>
        <v>17</v>
      </c>
      <c r="Y20" s="21">
        <f t="shared" si="2"/>
        <v>78.468039215686275</v>
      </c>
      <c r="Z20" s="21"/>
      <c r="AA20" s="32"/>
      <c r="AB20" s="32"/>
      <c r="AC20" s="32"/>
      <c r="AD20" s="32"/>
      <c r="AE20" s="32"/>
      <c r="AF20" s="32"/>
      <c r="AG20" s="32"/>
      <c r="AH20" s="32"/>
      <c r="AI20" s="32"/>
      <c r="AJ20" s="32"/>
    </row>
    <row r="21" spans="1:36" ht="18.75" customHeight="1" thickTop="1" thickBot="1" x14ac:dyDescent="0.35">
      <c r="A21" s="70">
        <v>2</v>
      </c>
      <c r="B21" s="72" t="s">
        <v>42</v>
      </c>
      <c r="C21" s="75" t="s">
        <v>43</v>
      </c>
      <c r="D21" s="15" t="s">
        <v>33</v>
      </c>
      <c r="E21" s="16">
        <f>[1]te!$E$6</f>
        <v>82</v>
      </c>
      <c r="F21" s="16">
        <f>[1]te!$K$6</f>
        <v>80</v>
      </c>
      <c r="G21" s="16">
        <f>[1]te!$Q$6</f>
        <v>80</v>
      </c>
      <c r="H21" s="16">
        <f>[1]te!$W$6</f>
        <v>80</v>
      </c>
      <c r="I21" s="16">
        <f>[1]te!$AA$6</f>
        <v>75</v>
      </c>
      <c r="J21" s="16">
        <f>[1]te!$AE$6</f>
        <v>83</v>
      </c>
      <c r="K21" s="17">
        <f>[1]te!$AG$6</f>
        <v>83</v>
      </c>
      <c r="L21" s="18"/>
      <c r="M21" s="16">
        <f>[1]te!$AM$6</f>
        <v>73</v>
      </c>
      <c r="N21" s="16">
        <f>[1]te!$AS$6</f>
        <v>72</v>
      </c>
      <c r="O21" s="16">
        <f>[1]te!$AY$6</f>
        <v>74</v>
      </c>
      <c r="P21" s="17">
        <f>[1]te!$BA$6</f>
        <v>78</v>
      </c>
      <c r="Q21" s="17">
        <f>[1]te!$BC$6</f>
        <v>90</v>
      </c>
      <c r="R21" s="18"/>
      <c r="S21" s="18"/>
      <c r="T21" s="18"/>
      <c r="U21" s="18"/>
      <c r="V21" s="19"/>
      <c r="W21" s="20">
        <f t="shared" si="0"/>
        <v>950</v>
      </c>
      <c r="X21" s="20">
        <f t="shared" si="1"/>
        <v>12</v>
      </c>
      <c r="Y21" s="21">
        <f t="shared" si="2"/>
        <v>79.166666666666671</v>
      </c>
      <c r="Z21" s="21"/>
      <c r="AA21" s="32"/>
      <c r="AB21" s="32"/>
      <c r="AC21" s="32"/>
      <c r="AD21" s="32"/>
      <c r="AE21" s="32"/>
      <c r="AF21" s="32"/>
      <c r="AG21" s="32"/>
      <c r="AH21" s="32"/>
      <c r="AI21" s="32"/>
      <c r="AJ21" s="32"/>
    </row>
    <row r="22" spans="1:36" ht="18.75" customHeight="1" thickBot="1" x14ac:dyDescent="0.35">
      <c r="A22" s="70">
        <v>2</v>
      </c>
      <c r="B22" s="73"/>
      <c r="C22" s="76"/>
      <c r="D22" s="15" t="s">
        <v>34</v>
      </c>
      <c r="E22" s="16">
        <f>[1]te!$F$6</f>
        <v>88</v>
      </c>
      <c r="F22" s="16">
        <f>[1]te!$L$6</f>
        <v>81</v>
      </c>
      <c r="G22" s="16">
        <f>[1]te!$R$6</f>
        <v>77</v>
      </c>
      <c r="H22" s="16">
        <f>[1]te!$X$6</f>
        <v>83</v>
      </c>
      <c r="I22" s="16">
        <f>[1]te!$AB$6</f>
        <v>78</v>
      </c>
      <c r="J22" s="16">
        <f>[1]te!$AF$6</f>
        <v>83</v>
      </c>
      <c r="K22" s="17">
        <f>[1]te!$AH$6</f>
        <v>84</v>
      </c>
      <c r="L22" s="18"/>
      <c r="M22" s="16">
        <f>[1]te!$AN$6</f>
        <v>74</v>
      </c>
      <c r="N22" s="16">
        <f>[1]te!$AT$6</f>
        <v>74</v>
      </c>
      <c r="O22" s="16">
        <f>[1]te!$AZ$6</f>
        <v>79</v>
      </c>
      <c r="P22" s="17">
        <f>[1]te!$BB$6</f>
        <v>81</v>
      </c>
      <c r="Q22" s="17">
        <f>[1]te!$BD$6</f>
        <v>77</v>
      </c>
      <c r="R22" s="18"/>
      <c r="S22" s="18"/>
      <c r="T22" s="18"/>
      <c r="U22" s="18"/>
      <c r="V22" s="24"/>
      <c r="W22" s="20">
        <f t="shared" si="0"/>
        <v>959</v>
      </c>
      <c r="X22" s="20">
        <f t="shared" si="1"/>
        <v>12</v>
      </c>
      <c r="Y22" s="21">
        <f t="shared" si="2"/>
        <v>79.916666666666671</v>
      </c>
      <c r="Z22" s="21"/>
      <c r="AA22" s="32"/>
      <c r="AB22" s="32"/>
      <c r="AC22" s="32"/>
      <c r="AD22" s="32"/>
      <c r="AE22" s="32"/>
      <c r="AF22" s="32"/>
      <c r="AG22" s="32"/>
      <c r="AH22" s="32"/>
      <c r="AI22" s="32"/>
      <c r="AJ22" s="32"/>
    </row>
    <row r="23" spans="1:36" ht="18.75" customHeight="1" thickBot="1" x14ac:dyDescent="0.35">
      <c r="A23" s="70">
        <v>2</v>
      </c>
      <c r="B23" s="73"/>
      <c r="C23" s="76"/>
      <c r="D23" s="15" t="s">
        <v>35</v>
      </c>
      <c r="E23" s="16">
        <f>[1]te!$G$6</f>
        <v>87</v>
      </c>
      <c r="F23" s="16">
        <f>[1]te!$M$6</f>
        <v>70</v>
      </c>
      <c r="G23" s="16">
        <f>[1]te!$S$6</f>
        <v>70</v>
      </c>
      <c r="H23" s="16">
        <f>[1]te!$Y$6</f>
        <v>80</v>
      </c>
      <c r="I23" s="16">
        <f>[1]te!$AC$6</f>
        <v>80</v>
      </c>
      <c r="J23" s="25"/>
      <c r="K23" s="17">
        <f>[1]te!$AI$6</f>
        <v>70</v>
      </c>
      <c r="L23" s="18"/>
      <c r="M23" s="16">
        <f>[1]te!$AO$6</f>
        <v>73</v>
      </c>
      <c r="N23" s="16">
        <f>[1]te!$AU$6</f>
        <v>72</v>
      </c>
      <c r="O23" s="25"/>
      <c r="P23" s="18"/>
      <c r="Q23" s="18"/>
      <c r="R23" s="17">
        <f>[1]te!$BS$6</f>
        <v>74.666666666666671</v>
      </c>
      <c r="S23" s="17">
        <f>[1]te!$BW$6</f>
        <v>82</v>
      </c>
      <c r="T23" s="18"/>
      <c r="U23" s="17">
        <f>[1]te!$CB$6</f>
        <v>72</v>
      </c>
      <c r="V23" s="24"/>
      <c r="W23" s="20">
        <f t="shared" si="0"/>
        <v>830.66666666666663</v>
      </c>
      <c r="X23" s="20">
        <f t="shared" si="1"/>
        <v>11</v>
      </c>
      <c r="Y23" s="21">
        <f t="shared" si="2"/>
        <v>75.515151515151516</v>
      </c>
      <c r="Z23" s="21"/>
      <c r="AA23" s="32"/>
      <c r="AB23" s="32"/>
      <c r="AC23" s="32"/>
      <c r="AD23" s="32"/>
      <c r="AE23" s="32"/>
      <c r="AF23" s="32"/>
      <c r="AG23" s="32"/>
      <c r="AH23" s="32"/>
      <c r="AI23" s="32"/>
      <c r="AJ23" s="32"/>
    </row>
    <row r="24" spans="1:36" ht="18.75" customHeight="1" thickBot="1" x14ac:dyDescent="0.35">
      <c r="A24" s="70">
        <v>2</v>
      </c>
      <c r="B24" s="73"/>
      <c r="C24" s="76"/>
      <c r="D24" s="29" t="s">
        <v>36</v>
      </c>
      <c r="E24" s="16">
        <f>[1]te!$H$6</f>
        <v>85</v>
      </c>
      <c r="F24" s="16">
        <f>[1]te!$N$6</f>
        <v>83</v>
      </c>
      <c r="G24" s="16">
        <f>[1]te!$T$6</f>
        <v>73</v>
      </c>
      <c r="H24" s="16">
        <f>[1]te!$Z$6</f>
        <v>83</v>
      </c>
      <c r="I24" s="16">
        <f>[1]te!$AD$6</f>
        <v>80</v>
      </c>
      <c r="J24" s="25"/>
      <c r="K24" s="17">
        <f>[1]te!$AJ$6</f>
        <v>80</v>
      </c>
      <c r="L24" s="18"/>
      <c r="M24" s="16">
        <f>[1]te!$AP$6</f>
        <v>74</v>
      </c>
      <c r="N24" s="16">
        <f>[1]te!$AV$6</f>
        <v>70</v>
      </c>
      <c r="O24" s="25"/>
      <c r="P24" s="18"/>
      <c r="Q24" s="18"/>
      <c r="R24" s="17">
        <f>[1]te!$BT$6</f>
        <v>78</v>
      </c>
      <c r="S24" s="17">
        <f>[1]te!$BX$6</f>
        <v>80</v>
      </c>
      <c r="T24" s="30"/>
      <c r="U24" s="17">
        <f>[1]te!$CC$6</f>
        <v>74</v>
      </c>
      <c r="V24" s="24"/>
      <c r="W24" s="20">
        <f t="shared" si="0"/>
        <v>860</v>
      </c>
      <c r="X24" s="20">
        <f t="shared" si="1"/>
        <v>11</v>
      </c>
      <c r="Y24" s="21">
        <f t="shared" si="2"/>
        <v>78.181818181818187</v>
      </c>
      <c r="Z24" s="21"/>
      <c r="AA24" s="32"/>
      <c r="AB24" s="32"/>
      <c r="AC24" s="32"/>
      <c r="AD24" s="32"/>
      <c r="AE24" s="32"/>
      <c r="AF24" s="32"/>
      <c r="AG24" s="32"/>
      <c r="AH24" s="32"/>
      <c r="AI24" s="32"/>
      <c r="AJ24" s="32"/>
    </row>
    <row r="25" spans="1:36" ht="18.75" customHeight="1" x14ac:dyDescent="0.3">
      <c r="A25" s="70">
        <v>2</v>
      </c>
      <c r="B25" s="73"/>
      <c r="C25" s="76"/>
      <c r="D25" s="29" t="s">
        <v>37</v>
      </c>
      <c r="E25" s="16">
        <f>[1]te!$I$6</f>
        <v>84</v>
      </c>
      <c r="F25" s="16">
        <f>[1]te!$O$6</f>
        <v>88</v>
      </c>
      <c r="G25" s="16">
        <f>[1]te!$U$6</f>
        <v>75</v>
      </c>
      <c r="H25" s="33"/>
      <c r="I25" s="33"/>
      <c r="J25" s="25"/>
      <c r="K25" s="25"/>
      <c r="L25" s="16">
        <f>[1]te!$AK$6</f>
        <v>80</v>
      </c>
      <c r="M25" s="16">
        <f>[1]te!$AQ$6</f>
        <v>75</v>
      </c>
      <c r="N25" s="16">
        <f>[1]te!$AW$6</f>
        <v>77</v>
      </c>
      <c r="O25" s="25"/>
      <c r="P25" s="18"/>
      <c r="Q25" s="18"/>
      <c r="R25" s="17">
        <f>[1]te!$BU$6</f>
        <v>79</v>
      </c>
      <c r="S25" s="17">
        <f>[1]te!$BY$6</f>
        <v>70</v>
      </c>
      <c r="T25" s="17"/>
      <c r="U25" s="17">
        <f>[1]te!$CD$6</f>
        <v>74</v>
      </c>
      <c r="V25" s="24"/>
      <c r="W25" s="20">
        <f t="shared" si="0"/>
        <v>702</v>
      </c>
      <c r="X25" s="20">
        <f t="shared" si="1"/>
        <v>9</v>
      </c>
      <c r="Y25" s="21">
        <f t="shared" si="2"/>
        <v>78</v>
      </c>
      <c r="Z25" s="21"/>
      <c r="AA25" s="32"/>
      <c r="AB25" s="32"/>
      <c r="AC25" s="32"/>
      <c r="AD25" s="32"/>
      <c r="AE25" s="32"/>
      <c r="AF25" s="32"/>
      <c r="AG25" s="32"/>
      <c r="AH25" s="32"/>
      <c r="AI25" s="32"/>
      <c r="AJ25" s="32"/>
    </row>
    <row r="26" spans="1:36" ht="18.75" customHeight="1" x14ac:dyDescent="0.3">
      <c r="A26" s="70">
        <v>2</v>
      </c>
      <c r="B26" s="73"/>
      <c r="C26" s="76"/>
      <c r="D26" s="34" t="s">
        <v>38</v>
      </c>
      <c r="E26" s="35">
        <f>AVERAGE(E21:E25)</f>
        <v>85.2</v>
      </c>
      <c r="F26" s="35">
        <f>AVERAGE(F21:F25)</f>
        <v>80.400000000000006</v>
      </c>
      <c r="G26" s="35">
        <f>AVERAGE(G21:G25)</f>
        <v>75</v>
      </c>
      <c r="H26" s="36"/>
      <c r="I26" s="36"/>
      <c r="J26" s="37"/>
      <c r="K26" s="37"/>
      <c r="L26" s="35">
        <f>AVERAGE(L21:L25)</f>
        <v>80</v>
      </c>
      <c r="M26" s="35">
        <f>AVERAGE(M21:M25)</f>
        <v>73.8</v>
      </c>
      <c r="N26" s="35">
        <f>AVERAGE(N21:N25)</f>
        <v>73</v>
      </c>
      <c r="O26" s="37"/>
      <c r="P26" s="30"/>
      <c r="Q26" s="30"/>
      <c r="R26" s="38">
        <f>AVERAGE(R23:R25)</f>
        <v>77.222222222222229</v>
      </c>
      <c r="S26" s="38">
        <f>AVERAGE(S23:S25)</f>
        <v>77.333333333333329</v>
      </c>
      <c r="T26" s="30"/>
      <c r="U26" s="38">
        <f>AVERAGE(U21:U25)</f>
        <v>73.333333333333329</v>
      </c>
      <c r="V26" s="24"/>
      <c r="W26" s="20">
        <f t="shared" si="0"/>
        <v>695.28888888888901</v>
      </c>
      <c r="X26" s="20">
        <f t="shared" si="1"/>
        <v>9</v>
      </c>
      <c r="Y26" s="21">
        <f t="shared" si="2"/>
        <v>77.254320987654339</v>
      </c>
      <c r="Z26" s="39">
        <f t="shared" ref="Z26:Z89" si="4">SUM(Y21:Y25)/$Y$9</f>
        <v>78.156060606060606</v>
      </c>
      <c r="AA26" s="32"/>
      <c r="AB26" s="32"/>
      <c r="AC26" s="32"/>
      <c r="AD26" s="32"/>
      <c r="AE26" s="32"/>
      <c r="AF26" s="32"/>
      <c r="AG26" s="32"/>
      <c r="AH26" s="32"/>
      <c r="AI26" s="32"/>
      <c r="AJ26" s="32"/>
    </row>
    <row r="27" spans="1:36" ht="18.75" customHeight="1" x14ac:dyDescent="0.3">
      <c r="A27" s="70">
        <v>2</v>
      </c>
      <c r="B27" s="73"/>
      <c r="C27" s="76"/>
      <c r="D27" s="40" t="s">
        <v>39</v>
      </c>
      <c r="E27" s="41">
        <f>[1]te!$J$6</f>
        <v>76</v>
      </c>
      <c r="F27" s="41">
        <f>[1]te!$P$6</f>
        <v>78</v>
      </c>
      <c r="G27" s="41">
        <f>[1]te!$V$6</f>
        <v>78</v>
      </c>
      <c r="H27" s="42"/>
      <c r="I27" s="42"/>
      <c r="J27" s="43"/>
      <c r="K27" s="43"/>
      <c r="L27" s="41">
        <f>[1]te!$AL$6</f>
        <v>78</v>
      </c>
      <c r="M27" s="41">
        <f>[1]te!$AR$6</f>
        <v>77</v>
      </c>
      <c r="N27" s="41">
        <f>[1]te!$AX$6</f>
        <v>77</v>
      </c>
      <c r="O27" s="43"/>
      <c r="P27" s="44"/>
      <c r="Q27" s="44"/>
      <c r="R27" s="45">
        <f>[1]te!$BV$6</f>
        <v>78</v>
      </c>
      <c r="S27" s="45">
        <f>[1]te!$BZ$6</f>
        <v>79</v>
      </c>
      <c r="T27" s="45">
        <f>[1]te!$CA$6</f>
        <v>78</v>
      </c>
      <c r="U27" s="46">
        <f>[1]te!$CE$6</f>
        <v>77</v>
      </c>
      <c r="V27" s="24"/>
      <c r="W27" s="20">
        <f t="shared" si="0"/>
        <v>776</v>
      </c>
      <c r="X27" s="20">
        <f t="shared" si="1"/>
        <v>10</v>
      </c>
      <c r="Y27" s="21">
        <f t="shared" si="2"/>
        <v>77.599999999999994</v>
      </c>
      <c r="Z27" s="21"/>
      <c r="AA27" s="32"/>
      <c r="AB27" s="32"/>
      <c r="AC27" s="32"/>
      <c r="AD27" s="32"/>
      <c r="AE27" s="32"/>
      <c r="AF27" s="32"/>
      <c r="AG27" s="32"/>
      <c r="AH27" s="32"/>
      <c r="AI27" s="32"/>
      <c r="AJ27" s="32"/>
    </row>
    <row r="28" spans="1:36" ht="18.75" customHeight="1" x14ac:dyDescent="0.3">
      <c r="A28" s="70">
        <v>2</v>
      </c>
      <c r="B28" s="73"/>
      <c r="C28" s="76"/>
      <c r="D28" s="47" t="s">
        <v>40</v>
      </c>
      <c r="E28" s="48">
        <f>[1]te!$CF$6</f>
        <v>84</v>
      </c>
      <c r="F28" s="48">
        <f>[1]te!$CG$6</f>
        <v>75</v>
      </c>
      <c r="G28" s="48">
        <f>[1]te!$CH$6</f>
        <v>75</v>
      </c>
      <c r="H28" s="42"/>
      <c r="I28" s="42"/>
      <c r="J28" s="43"/>
      <c r="K28" s="43"/>
      <c r="L28" s="48">
        <f>[1]te!$CI$6</f>
        <v>70</v>
      </c>
      <c r="M28" s="48">
        <f>[1]te!$CJ$6</f>
        <v>76</v>
      </c>
      <c r="N28" s="48">
        <f>[1]te!$CK$6</f>
        <v>80</v>
      </c>
      <c r="O28" s="43"/>
      <c r="P28" s="44"/>
      <c r="Q28" s="44"/>
      <c r="R28" s="49">
        <f>[1]te!$CN$6</f>
        <v>70</v>
      </c>
      <c r="S28" s="49">
        <f>[1]te!$CM$6</f>
        <v>73</v>
      </c>
      <c r="T28" s="44"/>
      <c r="U28" s="49">
        <f>[1]te!$CL$6</f>
        <v>72</v>
      </c>
      <c r="V28" s="24"/>
      <c r="W28" s="20">
        <f t="shared" si="0"/>
        <v>675</v>
      </c>
      <c r="X28" s="20">
        <f t="shared" si="1"/>
        <v>9</v>
      </c>
      <c r="Y28" s="21">
        <f t="shared" si="2"/>
        <v>75</v>
      </c>
      <c r="Z28" s="21"/>
      <c r="AA28" s="32"/>
      <c r="AB28" s="32"/>
      <c r="AC28" s="32"/>
      <c r="AD28" s="32"/>
      <c r="AE28" s="32"/>
      <c r="AF28" s="32"/>
      <c r="AG28" s="32"/>
      <c r="AH28" s="32"/>
      <c r="AI28" s="32"/>
      <c r="AJ28" s="32"/>
    </row>
    <row r="29" spans="1:36" ht="18.75" customHeight="1" thickBot="1" x14ac:dyDescent="0.35">
      <c r="A29" s="71">
        <v>2</v>
      </c>
      <c r="B29" s="74"/>
      <c r="C29" s="77"/>
      <c r="D29" s="50" t="s">
        <v>41</v>
      </c>
      <c r="E29" s="51">
        <f>(E26*4+E27*3+E28*3)/10</f>
        <v>82.08</v>
      </c>
      <c r="F29" s="51">
        <f t="shared" ref="F29:G29" si="5">(F26*4+F27*3+F28*3)/10</f>
        <v>78.06</v>
      </c>
      <c r="G29" s="51">
        <f t="shared" si="5"/>
        <v>75.900000000000006</v>
      </c>
      <c r="H29" s="51">
        <f>AVERAGE(H21:H24)</f>
        <v>81.5</v>
      </c>
      <c r="I29" s="51">
        <f>AVERAGE(I21:I24)</f>
        <v>78.25</v>
      </c>
      <c r="J29" s="51">
        <f>AVERAGE(J21:J22)</f>
        <v>83</v>
      </c>
      <c r="K29" s="51">
        <f>AVERAGE(K21:K24)</f>
        <v>79.25</v>
      </c>
      <c r="L29" s="51">
        <f>(L26*4+L27*3+L28*3)/10</f>
        <v>76.400000000000006</v>
      </c>
      <c r="M29" s="51">
        <f>(M26*4+M27*3+M28*3)/10</f>
        <v>75.42</v>
      </c>
      <c r="N29" s="51">
        <f>(N26*4+N27*3+N28*3)/10</f>
        <v>76.3</v>
      </c>
      <c r="O29" s="51">
        <f>AVERAGE(O21:O22)</f>
        <v>76.5</v>
      </c>
      <c r="P29" s="51">
        <f>AVERAGE(P21:P22)</f>
        <v>79.5</v>
      </c>
      <c r="Q29" s="51">
        <f>AVERAGE(Q21:Q22)</f>
        <v>83.5</v>
      </c>
      <c r="R29" s="51">
        <f>(R26*4+R27*3+R28*3)/10</f>
        <v>75.288888888888891</v>
      </c>
      <c r="S29" s="51">
        <f>(S26*4+S27*3+S28*3)/10</f>
        <v>76.533333333333331</v>
      </c>
      <c r="T29" s="51">
        <f>T27</f>
        <v>78</v>
      </c>
      <c r="U29" s="51">
        <f t="shared" ref="U29" si="6">(U26*4+U27*3+U28*3)/10</f>
        <v>74.033333333333331</v>
      </c>
      <c r="V29" s="52">
        <f>AVERAGE(E29:U29)</f>
        <v>78.206797385620902</v>
      </c>
      <c r="W29" s="20">
        <f t="shared" si="0"/>
        <v>1329.5155555555552</v>
      </c>
      <c r="X29" s="20">
        <f t="shared" si="1"/>
        <v>17</v>
      </c>
      <c r="Y29" s="21">
        <f t="shared" si="2"/>
        <v>78.206797385620902</v>
      </c>
      <c r="Z29" s="21"/>
      <c r="AA29" s="32"/>
      <c r="AB29" s="32"/>
      <c r="AC29" s="32"/>
      <c r="AD29" s="32"/>
      <c r="AE29" s="32"/>
      <c r="AF29" s="32"/>
      <c r="AG29" s="32"/>
      <c r="AH29" s="32"/>
      <c r="AI29" s="32"/>
      <c r="AJ29" s="32"/>
    </row>
    <row r="30" spans="1:36" ht="18.75" customHeight="1" thickTop="1" thickBot="1" x14ac:dyDescent="0.35">
      <c r="A30" s="70">
        <v>3</v>
      </c>
      <c r="B30" s="72" t="s">
        <v>44</v>
      </c>
      <c r="C30" s="75" t="s">
        <v>45</v>
      </c>
      <c r="D30" s="15" t="s">
        <v>33</v>
      </c>
      <c r="E30" s="16">
        <f>[1]te!$E$7</f>
        <v>82</v>
      </c>
      <c r="F30" s="16">
        <f>[1]te!$K$7</f>
        <v>81</v>
      </c>
      <c r="G30" s="16">
        <f>[1]te!$Q$7</f>
        <v>85</v>
      </c>
      <c r="H30" s="16">
        <f>[1]te!$W$7</f>
        <v>82</v>
      </c>
      <c r="I30" s="16">
        <f>[1]te!$AA$7</f>
        <v>80</v>
      </c>
      <c r="J30" s="16">
        <f>[1]te!$AE$7</f>
        <v>85</v>
      </c>
      <c r="K30" s="17">
        <f>[1]te!$AG$7</f>
        <v>85</v>
      </c>
      <c r="L30" s="18"/>
      <c r="M30" s="16">
        <f>[1]te!$AM$7</f>
        <v>75</v>
      </c>
      <c r="N30" s="16">
        <f>[1]te!$AS$7</f>
        <v>74</v>
      </c>
      <c r="O30" s="16">
        <f>[1]te!$AY$7</f>
        <v>77</v>
      </c>
      <c r="P30" s="17">
        <f>[1]te!$BA$7</f>
        <v>83</v>
      </c>
      <c r="Q30" s="17">
        <f>[1]te!$BC$7</f>
        <v>80</v>
      </c>
      <c r="R30" s="18"/>
      <c r="S30" s="18"/>
      <c r="T30" s="18"/>
      <c r="U30" s="18"/>
      <c r="V30" s="19"/>
      <c r="W30" s="20">
        <f t="shared" si="0"/>
        <v>969</v>
      </c>
      <c r="X30" s="20">
        <f t="shared" si="1"/>
        <v>12</v>
      </c>
      <c r="Y30" s="21">
        <f t="shared" si="2"/>
        <v>80.75</v>
      </c>
      <c r="Z30" s="21"/>
      <c r="AA30" s="32"/>
      <c r="AB30" s="32"/>
      <c r="AC30" s="32"/>
      <c r="AD30" s="32"/>
      <c r="AE30" s="32"/>
      <c r="AF30" s="32"/>
      <c r="AG30" s="32"/>
      <c r="AH30" s="32"/>
      <c r="AI30" s="32"/>
      <c r="AJ30" s="32"/>
    </row>
    <row r="31" spans="1:36" ht="18.75" customHeight="1" thickBot="1" x14ac:dyDescent="0.35">
      <c r="A31" s="70">
        <v>3</v>
      </c>
      <c r="B31" s="73"/>
      <c r="C31" s="76"/>
      <c r="D31" s="15" t="s">
        <v>34</v>
      </c>
      <c r="E31" s="16">
        <f>[1]te!$F$7</f>
        <v>87</v>
      </c>
      <c r="F31" s="16">
        <f>[1]te!$L$7</f>
        <v>83</v>
      </c>
      <c r="G31" s="16">
        <f>[1]te!$R$7</f>
        <v>80</v>
      </c>
      <c r="H31" s="16">
        <f>[1]te!$X$7</f>
        <v>85</v>
      </c>
      <c r="I31" s="16">
        <f>[1]te!$AB$7</f>
        <v>88</v>
      </c>
      <c r="J31" s="16">
        <f>[1]te!$AF$7</f>
        <v>83</v>
      </c>
      <c r="K31" s="17">
        <f>[1]te!$AH$7</f>
        <v>85</v>
      </c>
      <c r="L31" s="18"/>
      <c r="M31" s="16">
        <f>[1]te!$AN$7</f>
        <v>77</v>
      </c>
      <c r="N31" s="16">
        <f>[1]te!$AT$7</f>
        <v>79</v>
      </c>
      <c r="O31" s="16">
        <f>[1]te!$AZ$7</f>
        <v>81</v>
      </c>
      <c r="P31" s="17">
        <f>[1]te!$BB$7</f>
        <v>82</v>
      </c>
      <c r="Q31" s="17">
        <f>[1]te!$BD$7</f>
        <v>80</v>
      </c>
      <c r="R31" s="18"/>
      <c r="S31" s="18"/>
      <c r="T31" s="18"/>
      <c r="U31" s="18"/>
      <c r="V31" s="24"/>
      <c r="W31" s="20">
        <f t="shared" si="0"/>
        <v>990</v>
      </c>
      <c r="X31" s="20">
        <f t="shared" si="1"/>
        <v>12</v>
      </c>
      <c r="Y31" s="21">
        <f t="shared" si="2"/>
        <v>82.5</v>
      </c>
      <c r="Z31" s="21"/>
      <c r="AA31" s="32"/>
      <c r="AB31" s="32"/>
      <c r="AC31" s="32"/>
      <c r="AD31" s="32"/>
      <c r="AE31" s="32"/>
      <c r="AF31" s="32"/>
      <c r="AG31" s="32"/>
      <c r="AH31" s="32"/>
      <c r="AI31" s="32"/>
      <c r="AJ31" s="32"/>
    </row>
    <row r="32" spans="1:36" ht="18.75" customHeight="1" thickBot="1" x14ac:dyDescent="0.35">
      <c r="A32" s="70">
        <v>3</v>
      </c>
      <c r="B32" s="73"/>
      <c r="C32" s="76"/>
      <c r="D32" s="15" t="s">
        <v>35</v>
      </c>
      <c r="E32" s="16">
        <f>[1]te!$G$7</f>
        <v>86</v>
      </c>
      <c r="F32" s="16">
        <f>[1]te!$M$7</f>
        <v>83</v>
      </c>
      <c r="G32" s="16">
        <f>[1]te!$S$7</f>
        <v>89</v>
      </c>
      <c r="H32" s="16">
        <f>[1]te!$Y$7</f>
        <v>83</v>
      </c>
      <c r="I32" s="16">
        <f>[1]te!$AC$7</f>
        <v>85</v>
      </c>
      <c r="J32" s="25"/>
      <c r="K32" s="17">
        <f>[1]te!$AI$7</f>
        <v>72</v>
      </c>
      <c r="L32" s="18"/>
      <c r="M32" s="16">
        <f>[1]te!$AO$7</f>
        <v>75</v>
      </c>
      <c r="N32" s="16">
        <f>[1]te!$AU$7</f>
        <v>82</v>
      </c>
      <c r="O32" s="25"/>
      <c r="P32" s="18"/>
      <c r="Q32" s="18"/>
      <c r="R32" s="17">
        <f>[1]te!$BS$7</f>
        <v>80</v>
      </c>
      <c r="S32" s="17">
        <f>[1]te!$BW$7</f>
        <v>84</v>
      </c>
      <c r="T32" s="18"/>
      <c r="U32" s="17">
        <f>[1]te!$CB$7</f>
        <v>79</v>
      </c>
      <c r="V32" s="24"/>
      <c r="W32" s="20">
        <f t="shared" si="0"/>
        <v>898</v>
      </c>
      <c r="X32" s="20">
        <f t="shared" si="1"/>
        <v>11</v>
      </c>
      <c r="Y32" s="21">
        <f t="shared" si="2"/>
        <v>81.63636363636364</v>
      </c>
      <c r="Z32" s="21"/>
      <c r="AA32" s="32"/>
      <c r="AB32" s="32"/>
      <c r="AC32" s="32"/>
      <c r="AD32" s="32"/>
      <c r="AE32" s="32"/>
      <c r="AF32" s="32"/>
      <c r="AG32" s="32"/>
      <c r="AH32" s="32"/>
      <c r="AI32" s="32"/>
      <c r="AJ32" s="32"/>
    </row>
    <row r="33" spans="1:36" ht="18.75" customHeight="1" thickBot="1" x14ac:dyDescent="0.35">
      <c r="A33" s="70">
        <v>3</v>
      </c>
      <c r="B33" s="73"/>
      <c r="C33" s="76"/>
      <c r="D33" s="29" t="s">
        <v>36</v>
      </c>
      <c r="E33" s="16">
        <f>[1]te!$H$7</f>
        <v>85</v>
      </c>
      <c r="F33" s="16">
        <f>[1]te!$N$7</f>
        <v>88</v>
      </c>
      <c r="G33" s="16">
        <f>[1]te!$T$7</f>
        <v>87</v>
      </c>
      <c r="H33" s="16">
        <f>[1]te!$Z$7</f>
        <v>84</v>
      </c>
      <c r="I33" s="16">
        <f>[1]te!$AD$7</f>
        <v>86</v>
      </c>
      <c r="J33" s="25"/>
      <c r="K33" s="17">
        <f>[1]te!$AJ$7</f>
        <v>81</v>
      </c>
      <c r="L33" s="18"/>
      <c r="M33" s="16">
        <f>[1]te!$AP$7</f>
        <v>76</v>
      </c>
      <c r="N33" s="16">
        <f>[1]te!$AV$7</f>
        <v>74</v>
      </c>
      <c r="O33" s="25"/>
      <c r="P33" s="18"/>
      <c r="Q33" s="18"/>
      <c r="R33" s="17">
        <f>[1]te!$BT$7</f>
        <v>81.333333333333329</v>
      </c>
      <c r="S33" s="17">
        <f>[1]te!$BX$7</f>
        <v>81</v>
      </c>
      <c r="T33" s="30"/>
      <c r="U33" s="17">
        <f>[1]te!$CC$7</f>
        <v>92</v>
      </c>
      <c r="V33" s="24"/>
      <c r="W33" s="20">
        <f t="shared" si="0"/>
        <v>915.33333333333337</v>
      </c>
      <c r="X33" s="20">
        <f t="shared" si="1"/>
        <v>11</v>
      </c>
      <c r="Y33" s="21">
        <f t="shared" si="2"/>
        <v>83.212121212121218</v>
      </c>
      <c r="Z33" s="21"/>
      <c r="AA33" s="32"/>
      <c r="AB33" s="32"/>
      <c r="AC33" s="32"/>
      <c r="AD33" s="32"/>
      <c r="AE33" s="32"/>
      <c r="AF33" s="32"/>
      <c r="AG33" s="32"/>
      <c r="AH33" s="32"/>
      <c r="AI33" s="32"/>
      <c r="AJ33" s="32"/>
    </row>
    <row r="34" spans="1:36" ht="18.75" customHeight="1" x14ac:dyDescent="0.3">
      <c r="A34" s="70">
        <v>3</v>
      </c>
      <c r="B34" s="73"/>
      <c r="C34" s="76"/>
      <c r="D34" s="29" t="s">
        <v>37</v>
      </c>
      <c r="E34" s="16">
        <f>[1]te!$I$7</f>
        <v>84</v>
      </c>
      <c r="F34" s="16">
        <f>[1]te!$O$7</f>
        <v>93</v>
      </c>
      <c r="G34" s="16">
        <f>[1]te!$U$7</f>
        <v>81</v>
      </c>
      <c r="H34" s="33"/>
      <c r="I34" s="33"/>
      <c r="J34" s="25"/>
      <c r="K34" s="25"/>
      <c r="L34" s="16">
        <f>[1]te!$AK$7</f>
        <v>84</v>
      </c>
      <c r="M34" s="16">
        <f>[1]te!$AQ$7</f>
        <v>82</v>
      </c>
      <c r="N34" s="16">
        <f>[1]te!$AW$7</f>
        <v>85</v>
      </c>
      <c r="O34" s="25"/>
      <c r="P34" s="18"/>
      <c r="Q34" s="18"/>
      <c r="R34" s="17">
        <f>[1]te!$BU$7</f>
        <v>82.75</v>
      </c>
      <c r="S34" s="17">
        <f>[1]te!$BY$7</f>
        <v>86</v>
      </c>
      <c r="T34" s="17"/>
      <c r="U34" s="17">
        <f>[1]te!$CD$7</f>
        <v>89</v>
      </c>
      <c r="V34" s="24"/>
      <c r="W34" s="20">
        <f t="shared" si="0"/>
        <v>766.75</v>
      </c>
      <c r="X34" s="20">
        <f t="shared" si="1"/>
        <v>9</v>
      </c>
      <c r="Y34" s="21">
        <f t="shared" si="2"/>
        <v>85.194444444444443</v>
      </c>
      <c r="Z34" s="21"/>
      <c r="AA34" s="32"/>
      <c r="AB34" s="32"/>
      <c r="AC34" s="32"/>
      <c r="AD34" s="32"/>
      <c r="AE34" s="32"/>
      <c r="AF34" s="32"/>
      <c r="AG34" s="32"/>
      <c r="AH34" s="32"/>
      <c r="AI34" s="32"/>
      <c r="AJ34" s="32"/>
    </row>
    <row r="35" spans="1:36" ht="18.75" customHeight="1" x14ac:dyDescent="0.3">
      <c r="A35" s="70">
        <v>3</v>
      </c>
      <c r="B35" s="73"/>
      <c r="C35" s="76"/>
      <c r="D35" s="34" t="s">
        <v>38</v>
      </c>
      <c r="E35" s="35">
        <f>AVERAGE(E30:E34)</f>
        <v>84.8</v>
      </c>
      <c r="F35" s="35">
        <f>AVERAGE(F30:F34)</f>
        <v>85.6</v>
      </c>
      <c r="G35" s="35">
        <f>AVERAGE(G30:G34)</f>
        <v>84.4</v>
      </c>
      <c r="H35" s="36"/>
      <c r="I35" s="36"/>
      <c r="J35" s="37"/>
      <c r="K35" s="37"/>
      <c r="L35" s="35">
        <f>AVERAGE(L30:L34)</f>
        <v>84</v>
      </c>
      <c r="M35" s="35">
        <f>AVERAGE(M30:M34)</f>
        <v>77</v>
      </c>
      <c r="N35" s="35">
        <f>AVERAGE(N30:N34)</f>
        <v>78.8</v>
      </c>
      <c r="O35" s="37"/>
      <c r="P35" s="30"/>
      <c r="Q35" s="30"/>
      <c r="R35" s="38">
        <f>AVERAGE(R32:R34)</f>
        <v>81.3611111111111</v>
      </c>
      <c r="S35" s="38">
        <f>AVERAGE(S32:S34)</f>
        <v>83.666666666666671</v>
      </c>
      <c r="T35" s="30"/>
      <c r="U35" s="38">
        <f>AVERAGE(U30:U34)</f>
        <v>86.666666666666671</v>
      </c>
      <c r="V35" s="24"/>
      <c r="W35" s="20">
        <f t="shared" si="0"/>
        <v>746.29444444444437</v>
      </c>
      <c r="X35" s="20">
        <f t="shared" si="1"/>
        <v>9</v>
      </c>
      <c r="Y35" s="21">
        <f t="shared" si="2"/>
        <v>82.921604938271599</v>
      </c>
      <c r="Z35" s="39">
        <f t="shared" si="4"/>
        <v>82.658585858585866</v>
      </c>
      <c r="AA35" s="32"/>
      <c r="AB35" s="32"/>
      <c r="AC35" s="32"/>
      <c r="AD35" s="32"/>
      <c r="AE35" s="32"/>
      <c r="AF35" s="32"/>
      <c r="AG35" s="32"/>
      <c r="AH35" s="32"/>
      <c r="AI35" s="32"/>
      <c r="AJ35" s="32"/>
    </row>
    <row r="36" spans="1:36" ht="18.75" customHeight="1" x14ac:dyDescent="0.3">
      <c r="A36" s="70">
        <v>3</v>
      </c>
      <c r="B36" s="73"/>
      <c r="C36" s="76"/>
      <c r="D36" s="40" t="s">
        <v>39</v>
      </c>
      <c r="E36" s="41">
        <f>[1]te!$J$7</f>
        <v>86</v>
      </c>
      <c r="F36" s="41">
        <f>[1]te!$P$7</f>
        <v>95</v>
      </c>
      <c r="G36" s="41">
        <f>[1]te!$V$7</f>
        <v>86</v>
      </c>
      <c r="H36" s="42"/>
      <c r="I36" s="42"/>
      <c r="J36" s="43"/>
      <c r="K36" s="43"/>
      <c r="L36" s="41">
        <f>[1]te!$AL$7</f>
        <v>86</v>
      </c>
      <c r="M36" s="41">
        <f>[1]te!$AR$7</f>
        <v>91</v>
      </c>
      <c r="N36" s="41">
        <f>[1]te!$AX$7</f>
        <v>91</v>
      </c>
      <c r="O36" s="43"/>
      <c r="P36" s="44"/>
      <c r="Q36" s="44"/>
      <c r="R36" s="45">
        <f>[1]te!$BV$7</f>
        <v>90</v>
      </c>
      <c r="S36" s="45">
        <f>[1]te!$BZ$7</f>
        <v>90</v>
      </c>
      <c r="T36" s="45">
        <f>[1]te!$CA$7</f>
        <v>90</v>
      </c>
      <c r="U36" s="46">
        <f>[1]te!$CE$7</f>
        <v>91</v>
      </c>
      <c r="V36" s="24"/>
      <c r="W36" s="20">
        <f t="shared" si="0"/>
        <v>896</v>
      </c>
      <c r="X36" s="20">
        <f t="shared" si="1"/>
        <v>10</v>
      </c>
      <c r="Y36" s="21">
        <f t="shared" si="2"/>
        <v>89.6</v>
      </c>
      <c r="Z36" s="21">
        <f t="shared" si="4"/>
        <v>83.092906846240183</v>
      </c>
      <c r="AA36" s="12"/>
      <c r="AB36" s="12"/>
      <c r="AC36" s="12"/>
      <c r="AD36" s="12"/>
      <c r="AE36" s="12"/>
      <c r="AF36" s="12"/>
      <c r="AG36" s="12"/>
      <c r="AH36" s="12"/>
      <c r="AI36" s="12"/>
      <c r="AJ36" s="12"/>
    </row>
    <row r="37" spans="1:36" ht="18.75" customHeight="1" x14ac:dyDescent="0.3">
      <c r="A37" s="70">
        <v>3</v>
      </c>
      <c r="B37" s="73"/>
      <c r="C37" s="76"/>
      <c r="D37" s="47" t="s">
        <v>40</v>
      </c>
      <c r="E37" s="48">
        <f>[1]te!$CF$7</f>
        <v>86</v>
      </c>
      <c r="F37" s="48">
        <f>[1]te!$CG$7</f>
        <v>85</v>
      </c>
      <c r="G37" s="48">
        <f>[1]te!$CH$7</f>
        <v>82</v>
      </c>
      <c r="H37" s="42"/>
      <c r="I37" s="42"/>
      <c r="J37" s="43"/>
      <c r="K37" s="43"/>
      <c r="L37" s="48">
        <f>[1]te!$CI$7</f>
        <v>95</v>
      </c>
      <c r="M37" s="48">
        <f>[1]te!$CJ$7</f>
        <v>83</v>
      </c>
      <c r="N37" s="48">
        <f>[1]te!$CK$7</f>
        <v>85</v>
      </c>
      <c r="O37" s="43"/>
      <c r="P37" s="44"/>
      <c r="Q37" s="44"/>
      <c r="R37" s="49">
        <f>[1]te!$CN$7</f>
        <v>82</v>
      </c>
      <c r="S37" s="49">
        <f>[1]te!$CM$7</f>
        <v>87</v>
      </c>
      <c r="T37" s="44"/>
      <c r="U37" s="49">
        <f>[1]te!$CL$7</f>
        <v>84</v>
      </c>
      <c r="V37" s="24"/>
      <c r="W37" s="20">
        <f t="shared" si="0"/>
        <v>769</v>
      </c>
      <c r="X37" s="20">
        <f t="shared" si="1"/>
        <v>9</v>
      </c>
      <c r="Y37" s="21">
        <f t="shared" si="2"/>
        <v>85.444444444444443</v>
      </c>
      <c r="Z37" s="21">
        <f t="shared" si="4"/>
        <v>84.512906846240185</v>
      </c>
      <c r="AA37" s="12"/>
      <c r="AB37" s="12"/>
      <c r="AC37" s="12"/>
      <c r="AD37" s="12"/>
      <c r="AE37" s="12"/>
      <c r="AF37" s="12"/>
      <c r="AG37" s="12"/>
      <c r="AH37" s="12"/>
      <c r="AI37" s="12"/>
      <c r="AJ37" s="12"/>
    </row>
    <row r="38" spans="1:36" ht="18.75" customHeight="1" thickBot="1" x14ac:dyDescent="0.35">
      <c r="A38" s="71">
        <v>3</v>
      </c>
      <c r="B38" s="74"/>
      <c r="C38" s="77"/>
      <c r="D38" s="50" t="s">
        <v>41</v>
      </c>
      <c r="E38" s="51">
        <f>(E35*4+E36*3+E37*3)/10</f>
        <v>85.52000000000001</v>
      </c>
      <c r="F38" s="51">
        <f t="shared" ref="F38:G38" si="7">(F35*4+F36*3+F37*3)/10</f>
        <v>88.24</v>
      </c>
      <c r="G38" s="51">
        <f t="shared" si="7"/>
        <v>84.16</v>
      </c>
      <c r="H38" s="51">
        <f>AVERAGE(H30:H33)</f>
        <v>83.5</v>
      </c>
      <c r="I38" s="51">
        <f>AVERAGE(I30:I33)</f>
        <v>84.75</v>
      </c>
      <c r="J38" s="51">
        <f>AVERAGE(J30:J31)</f>
        <v>84</v>
      </c>
      <c r="K38" s="51">
        <f>AVERAGE(K30:K33)</f>
        <v>80.75</v>
      </c>
      <c r="L38" s="51">
        <f>(L35*4+L36*3+L37*3)/10</f>
        <v>87.9</v>
      </c>
      <c r="M38" s="51">
        <f>(M35*4+M36*3+M37*3)/10</f>
        <v>83</v>
      </c>
      <c r="N38" s="51">
        <f>(N35*4+N36*3+N37*3)/10</f>
        <v>84.320000000000007</v>
      </c>
      <c r="O38" s="51">
        <f>AVERAGE(O30:O31)</f>
        <v>79</v>
      </c>
      <c r="P38" s="51">
        <f>AVERAGE(P30:P31)</f>
        <v>82.5</v>
      </c>
      <c r="Q38" s="51">
        <f>AVERAGE(Q30:Q31)</f>
        <v>80</v>
      </c>
      <c r="R38" s="51">
        <f>(R35*4+R36*3+R37*3)/10</f>
        <v>84.144444444444431</v>
      </c>
      <c r="S38" s="51">
        <f>(S35*4+S36*3+S37*3)/10</f>
        <v>86.566666666666677</v>
      </c>
      <c r="T38" s="51">
        <f>T36</f>
        <v>90</v>
      </c>
      <c r="U38" s="51">
        <f t="shared" ref="U38" si="8">(U35*4+U36*3+U37*3)/10</f>
        <v>87.166666666666671</v>
      </c>
      <c r="V38" s="52">
        <f>AVERAGE(E38:U38)</f>
        <v>84.442222222222213</v>
      </c>
      <c r="W38" s="20">
        <f t="shared" si="0"/>
        <v>1435.5177777777776</v>
      </c>
      <c r="X38" s="20">
        <f t="shared" si="1"/>
        <v>17</v>
      </c>
      <c r="Y38" s="21">
        <f t="shared" si="2"/>
        <v>84.442222222222213</v>
      </c>
      <c r="Z38" s="21">
        <f t="shared" si="4"/>
        <v>85.274523007856345</v>
      </c>
      <c r="AA38" s="12"/>
      <c r="AB38" s="12"/>
      <c r="AC38" s="12"/>
      <c r="AD38" s="12"/>
      <c r="AE38" s="12"/>
      <c r="AF38" s="12"/>
      <c r="AG38" s="12"/>
      <c r="AH38" s="12"/>
      <c r="AI38" s="12"/>
      <c r="AJ38" s="12"/>
    </row>
    <row r="39" spans="1:36" ht="18.75" customHeight="1" thickTop="1" thickBot="1" x14ac:dyDescent="0.35">
      <c r="A39" s="70">
        <v>4</v>
      </c>
      <c r="B39" s="72" t="s">
        <v>46</v>
      </c>
      <c r="C39" s="75" t="s">
        <v>47</v>
      </c>
      <c r="D39" s="15" t="s">
        <v>33</v>
      </c>
      <c r="E39" s="16">
        <f>[1]te!$E$8</f>
        <v>86</v>
      </c>
      <c r="F39" s="16">
        <f>[1]te!$K$8</f>
        <v>83</v>
      </c>
      <c r="G39" s="16">
        <f>[1]te!$Q$8</f>
        <v>87</v>
      </c>
      <c r="H39" s="16">
        <f>[1]te!$W$8</f>
        <v>81</v>
      </c>
      <c r="I39" s="16">
        <f>[1]te!$AA$8</f>
        <v>77</v>
      </c>
      <c r="J39" s="16">
        <f>[1]te!$AE$8</f>
        <v>84</v>
      </c>
      <c r="K39" s="17">
        <f>[1]te!$AG$8</f>
        <v>84</v>
      </c>
      <c r="L39" s="18"/>
      <c r="M39" s="16">
        <f>[1]te!$AM$8</f>
        <v>77</v>
      </c>
      <c r="N39" s="16">
        <f>[1]te!$AS$8</f>
        <v>77</v>
      </c>
      <c r="O39" s="16">
        <f>[1]te!$AY$8</f>
        <v>80</v>
      </c>
      <c r="P39" s="17">
        <f>[1]te!$BA$8</f>
        <v>84</v>
      </c>
      <c r="Q39" s="17">
        <f>[1]te!$BC$8</f>
        <v>83</v>
      </c>
      <c r="R39" s="18"/>
      <c r="S39" s="18"/>
      <c r="T39" s="18"/>
      <c r="U39" s="18"/>
      <c r="V39" s="19"/>
      <c r="W39" s="20">
        <f t="shared" si="0"/>
        <v>983</v>
      </c>
      <c r="X39" s="20">
        <f t="shared" si="1"/>
        <v>12</v>
      </c>
      <c r="Y39" s="21">
        <f t="shared" si="2"/>
        <v>81.916666666666671</v>
      </c>
      <c r="Z39" s="21">
        <f t="shared" si="4"/>
        <v>85.520543209876536</v>
      </c>
      <c r="AA39" s="12"/>
      <c r="AB39" s="12"/>
      <c r="AC39" s="12"/>
      <c r="AD39" s="12"/>
      <c r="AE39" s="12"/>
      <c r="AF39" s="12"/>
      <c r="AG39" s="12"/>
      <c r="AH39" s="12"/>
      <c r="AI39" s="12"/>
      <c r="AJ39" s="12"/>
    </row>
    <row r="40" spans="1:36" ht="18.75" customHeight="1" thickBot="1" x14ac:dyDescent="0.35">
      <c r="A40" s="70">
        <v>4</v>
      </c>
      <c r="B40" s="73"/>
      <c r="C40" s="76"/>
      <c r="D40" s="15" t="s">
        <v>34</v>
      </c>
      <c r="E40" s="16">
        <f>[1]te!$F$8</f>
        <v>90</v>
      </c>
      <c r="F40" s="16">
        <f>[1]te!$L$8</f>
        <v>81</v>
      </c>
      <c r="G40" s="16">
        <f>[1]te!$R$8</f>
        <v>80</v>
      </c>
      <c r="H40" s="16">
        <f>[1]te!$X$8</f>
        <v>85</v>
      </c>
      <c r="I40" s="16">
        <f>[1]te!$AB$8</f>
        <v>88</v>
      </c>
      <c r="J40" s="16">
        <f>[1]te!$AF$8</f>
        <v>85</v>
      </c>
      <c r="K40" s="17">
        <f>[1]te!$AH$8</f>
        <v>85</v>
      </c>
      <c r="L40" s="18"/>
      <c r="M40" s="16">
        <f>[1]te!$AN$8</f>
        <v>79</v>
      </c>
      <c r="N40" s="16">
        <f>[1]te!$AT$8</f>
        <v>79</v>
      </c>
      <c r="O40" s="16">
        <f>[1]te!$AZ$8</f>
        <v>82</v>
      </c>
      <c r="P40" s="17">
        <f>[1]te!$BB$8</f>
        <v>85</v>
      </c>
      <c r="Q40" s="17">
        <f>[1]te!$BD$8</f>
        <v>81</v>
      </c>
      <c r="R40" s="18"/>
      <c r="S40" s="18"/>
      <c r="T40" s="18"/>
      <c r="U40" s="18"/>
      <c r="V40" s="24"/>
      <c r="W40" s="20">
        <f t="shared" si="0"/>
        <v>1000</v>
      </c>
      <c r="X40" s="20">
        <f t="shared" si="1"/>
        <v>12</v>
      </c>
      <c r="Y40" s="21">
        <f t="shared" si="2"/>
        <v>83.333333333333329</v>
      </c>
      <c r="Z40" s="21">
        <f t="shared" si="4"/>
        <v>84.864987654320984</v>
      </c>
      <c r="AA40" s="12"/>
      <c r="AB40" s="12"/>
      <c r="AC40" s="12"/>
      <c r="AD40" s="12"/>
      <c r="AE40" s="12"/>
      <c r="AF40" s="12"/>
      <c r="AG40" s="12"/>
      <c r="AH40" s="12"/>
      <c r="AI40" s="12"/>
      <c r="AJ40" s="12"/>
    </row>
    <row r="41" spans="1:36" ht="18.75" customHeight="1" thickBot="1" x14ac:dyDescent="0.35">
      <c r="A41" s="70">
        <v>4</v>
      </c>
      <c r="B41" s="73"/>
      <c r="C41" s="76"/>
      <c r="D41" s="15" t="s">
        <v>35</v>
      </c>
      <c r="E41" s="16">
        <f>[1]te!$G$8</f>
        <v>88</v>
      </c>
      <c r="F41" s="16">
        <f>[1]te!$M$8</f>
        <v>82</v>
      </c>
      <c r="G41" s="16">
        <f>[1]te!$S$8</f>
        <v>80</v>
      </c>
      <c r="H41" s="16">
        <f>[1]te!$Y$8</f>
        <v>83</v>
      </c>
      <c r="I41" s="16">
        <f>[1]te!$AC$8</f>
        <v>85</v>
      </c>
      <c r="J41" s="25"/>
      <c r="K41" s="17">
        <f>[1]te!$AI$8</f>
        <v>71</v>
      </c>
      <c r="L41" s="18"/>
      <c r="M41" s="16">
        <f>[1]te!$AO$8</f>
        <v>78</v>
      </c>
      <c r="N41" s="16">
        <f>[1]te!$AU$8</f>
        <v>73</v>
      </c>
      <c r="O41" s="25"/>
      <c r="P41" s="18"/>
      <c r="Q41" s="18"/>
      <c r="R41" s="17">
        <f>[1]te!$BS$8</f>
        <v>81.666666666666671</v>
      </c>
      <c r="S41" s="17">
        <f>[1]te!$BW$8</f>
        <v>84</v>
      </c>
      <c r="T41" s="18"/>
      <c r="U41" s="17">
        <f>[1]te!$CB$8</f>
        <v>78</v>
      </c>
      <c r="V41" s="24"/>
      <c r="W41" s="20">
        <f t="shared" si="0"/>
        <v>883.66666666666663</v>
      </c>
      <c r="X41" s="20">
        <f t="shared" si="1"/>
        <v>11</v>
      </c>
      <c r="Y41" s="21">
        <f t="shared" si="2"/>
        <v>80.333333333333329</v>
      </c>
      <c r="Z41" s="21">
        <f t="shared" si="4"/>
        <v>84.947333333333319</v>
      </c>
      <c r="AA41" s="12"/>
      <c r="AB41" s="12"/>
      <c r="AC41" s="12"/>
      <c r="AD41" s="12"/>
      <c r="AE41" s="12"/>
      <c r="AF41" s="12"/>
      <c r="AG41" s="12"/>
      <c r="AH41" s="12"/>
      <c r="AI41" s="12"/>
      <c r="AJ41" s="12"/>
    </row>
    <row r="42" spans="1:36" ht="18.75" customHeight="1" thickBot="1" x14ac:dyDescent="0.35">
      <c r="A42" s="70">
        <v>4</v>
      </c>
      <c r="B42" s="73"/>
      <c r="C42" s="76"/>
      <c r="D42" s="29" t="s">
        <v>36</v>
      </c>
      <c r="E42" s="16">
        <f>[1]te!$H$8</f>
        <v>87</v>
      </c>
      <c r="F42" s="16">
        <f>[1]te!$N$8</f>
        <v>89</v>
      </c>
      <c r="G42" s="16">
        <f>[1]te!$T$8</f>
        <v>80</v>
      </c>
      <c r="H42" s="16">
        <f>[1]te!$Z$8</f>
        <v>84</v>
      </c>
      <c r="I42" s="16">
        <f>[1]te!$AD$8</f>
        <v>86</v>
      </c>
      <c r="J42" s="25"/>
      <c r="K42" s="17">
        <f>[1]te!$AJ$8</f>
        <v>81</v>
      </c>
      <c r="L42" s="18"/>
      <c r="M42" s="16">
        <f>[1]te!$AP$8</f>
        <v>79</v>
      </c>
      <c r="N42" s="16">
        <f>[1]te!$AV$8</f>
        <v>72</v>
      </c>
      <c r="O42" s="25"/>
      <c r="P42" s="18"/>
      <c r="Q42" s="18"/>
      <c r="R42" s="17">
        <f>[1]te!$BT$8</f>
        <v>80</v>
      </c>
      <c r="S42" s="17">
        <f>[1]te!$BX$8</f>
        <v>81</v>
      </c>
      <c r="T42" s="30"/>
      <c r="U42" s="17">
        <f>[1]te!$CC$8</f>
        <v>91</v>
      </c>
      <c r="V42" s="24"/>
      <c r="W42" s="20">
        <f t="shared" si="0"/>
        <v>910</v>
      </c>
      <c r="X42" s="20">
        <f t="shared" si="1"/>
        <v>11</v>
      </c>
      <c r="Y42" s="21">
        <f t="shared" si="2"/>
        <v>82.727272727272734</v>
      </c>
      <c r="Z42" s="21">
        <f t="shared" si="4"/>
        <v>83.093999999999994</v>
      </c>
      <c r="AA42" s="12"/>
      <c r="AB42" s="12"/>
      <c r="AC42" s="12"/>
      <c r="AD42" s="12"/>
      <c r="AE42" s="12"/>
      <c r="AF42" s="12"/>
      <c r="AG42" s="12"/>
      <c r="AH42" s="12"/>
      <c r="AI42" s="12"/>
      <c r="AJ42" s="12"/>
    </row>
    <row r="43" spans="1:36" ht="18.75" customHeight="1" x14ac:dyDescent="0.3">
      <c r="A43" s="70">
        <v>4</v>
      </c>
      <c r="B43" s="73"/>
      <c r="C43" s="76"/>
      <c r="D43" s="29" t="s">
        <v>37</v>
      </c>
      <c r="E43" s="16">
        <f>[1]te!$I$8</f>
        <v>90</v>
      </c>
      <c r="F43" s="16">
        <f>[1]te!$O$8</f>
        <v>89</v>
      </c>
      <c r="G43" s="16">
        <f>[1]te!$U$8</f>
        <v>85</v>
      </c>
      <c r="H43" s="33"/>
      <c r="I43" s="33"/>
      <c r="J43" s="25"/>
      <c r="K43" s="25"/>
      <c r="L43" s="16">
        <f>[1]te!$AK$8</f>
        <v>85</v>
      </c>
      <c r="M43" s="16">
        <f>[1]te!$AQ$8</f>
        <v>82</v>
      </c>
      <c r="N43" s="16">
        <f>[1]te!$AW$8</f>
        <v>82</v>
      </c>
      <c r="O43" s="25"/>
      <c r="P43" s="18"/>
      <c r="Q43" s="18"/>
      <c r="R43" s="17">
        <f>[1]te!$BU$8</f>
        <v>82.5</v>
      </c>
      <c r="S43" s="17">
        <f>[1]te!$BY$8</f>
        <v>86</v>
      </c>
      <c r="T43" s="17"/>
      <c r="U43" s="17">
        <f>[1]te!$CD$8</f>
        <v>74</v>
      </c>
      <c r="V43" s="24"/>
      <c r="W43" s="20">
        <f t="shared" si="0"/>
        <v>755.5</v>
      </c>
      <c r="X43" s="20">
        <f t="shared" si="1"/>
        <v>9</v>
      </c>
      <c r="Y43" s="21">
        <f t="shared" si="2"/>
        <v>83.944444444444443</v>
      </c>
      <c r="Z43" s="21">
        <f t="shared" si="4"/>
        <v>82.550565656565652</v>
      </c>
      <c r="AA43" s="12"/>
      <c r="AB43" s="12"/>
      <c r="AC43" s="12"/>
      <c r="AD43" s="12"/>
      <c r="AE43" s="12"/>
      <c r="AF43" s="12"/>
      <c r="AG43" s="12"/>
      <c r="AH43" s="12"/>
      <c r="AI43" s="12"/>
      <c r="AJ43" s="12"/>
    </row>
    <row r="44" spans="1:36" ht="18.75" customHeight="1" x14ac:dyDescent="0.3">
      <c r="A44" s="70">
        <v>4</v>
      </c>
      <c r="B44" s="73"/>
      <c r="C44" s="76"/>
      <c r="D44" s="34" t="s">
        <v>38</v>
      </c>
      <c r="E44" s="35">
        <f>AVERAGE(E39:E43)</f>
        <v>88.2</v>
      </c>
      <c r="F44" s="35">
        <f>AVERAGE(F39:F43)</f>
        <v>84.8</v>
      </c>
      <c r="G44" s="35">
        <f>AVERAGE(G39:G43)</f>
        <v>82.4</v>
      </c>
      <c r="H44" s="36"/>
      <c r="I44" s="36"/>
      <c r="J44" s="37"/>
      <c r="K44" s="37"/>
      <c r="L44" s="35">
        <f>AVERAGE(L39:L43)</f>
        <v>85</v>
      </c>
      <c r="M44" s="35">
        <f>AVERAGE(M39:M43)</f>
        <v>79</v>
      </c>
      <c r="N44" s="35">
        <f>AVERAGE(N39:N43)</f>
        <v>76.599999999999994</v>
      </c>
      <c r="O44" s="37"/>
      <c r="P44" s="30"/>
      <c r="Q44" s="30"/>
      <c r="R44" s="38">
        <f>AVERAGE(R41:R43)</f>
        <v>81.3888888888889</v>
      </c>
      <c r="S44" s="38">
        <f>AVERAGE(S41:S43)</f>
        <v>83.666666666666671</v>
      </c>
      <c r="T44" s="30"/>
      <c r="U44" s="38">
        <f>AVERAGE(U39:U43)</f>
        <v>81</v>
      </c>
      <c r="V44" s="24"/>
      <c r="W44" s="20">
        <f t="shared" si="0"/>
        <v>742.05555555555554</v>
      </c>
      <c r="X44" s="20">
        <f t="shared" si="1"/>
        <v>9</v>
      </c>
      <c r="Y44" s="21">
        <f t="shared" si="2"/>
        <v>82.450617283950621</v>
      </c>
      <c r="Z44" s="39">
        <f t="shared" si="4"/>
        <v>82.451010101010098</v>
      </c>
      <c r="AA44" s="12"/>
      <c r="AB44" s="12"/>
      <c r="AC44" s="12"/>
      <c r="AD44" s="12"/>
      <c r="AE44" s="12"/>
      <c r="AF44" s="12"/>
      <c r="AG44" s="12"/>
      <c r="AH44" s="12"/>
      <c r="AI44" s="12"/>
      <c r="AJ44" s="12"/>
    </row>
    <row r="45" spans="1:36" ht="18.75" customHeight="1" x14ac:dyDescent="0.3">
      <c r="A45" s="70">
        <v>4</v>
      </c>
      <c r="B45" s="73"/>
      <c r="C45" s="76"/>
      <c r="D45" s="40" t="s">
        <v>39</v>
      </c>
      <c r="E45" s="41">
        <f>[1]te!$J$8</f>
        <v>75</v>
      </c>
      <c r="F45" s="41">
        <f>[1]te!$P$8</f>
        <v>70</v>
      </c>
      <c r="G45" s="41">
        <f>[1]te!$V$8</f>
        <v>79</v>
      </c>
      <c r="H45" s="42"/>
      <c r="I45" s="42"/>
      <c r="J45" s="43"/>
      <c r="K45" s="43"/>
      <c r="L45" s="41">
        <f>[1]te!$AL$8</f>
        <v>79</v>
      </c>
      <c r="M45" s="41">
        <f>[1]te!$AR$8</f>
        <v>72</v>
      </c>
      <c r="N45" s="41">
        <f>[1]te!$AX$8</f>
        <v>72</v>
      </c>
      <c r="O45" s="43"/>
      <c r="P45" s="44"/>
      <c r="Q45" s="44"/>
      <c r="R45" s="45">
        <f>[1]te!$BV$8</f>
        <v>75</v>
      </c>
      <c r="S45" s="45">
        <f>[1]te!$BZ$8</f>
        <v>79</v>
      </c>
      <c r="T45" s="45">
        <f>[1]te!$CA$8</f>
        <v>75</v>
      </c>
      <c r="U45" s="46">
        <f>[1]te!$CE$8</f>
        <v>72</v>
      </c>
      <c r="V45" s="24"/>
      <c r="W45" s="20">
        <f t="shared" si="0"/>
        <v>748</v>
      </c>
      <c r="X45" s="20">
        <f t="shared" si="1"/>
        <v>10</v>
      </c>
      <c r="Y45" s="21">
        <f t="shared" si="2"/>
        <v>74.8</v>
      </c>
      <c r="Z45" s="21">
        <f t="shared" si="4"/>
        <v>82.557800224466888</v>
      </c>
      <c r="AA45" s="12"/>
      <c r="AB45" s="12"/>
      <c r="AC45" s="12"/>
      <c r="AD45" s="12"/>
      <c r="AE45" s="12"/>
      <c r="AF45" s="12"/>
      <c r="AG45" s="12"/>
      <c r="AH45" s="12"/>
      <c r="AI45" s="12"/>
      <c r="AJ45" s="12"/>
    </row>
    <row r="46" spans="1:36" ht="18.75" customHeight="1" x14ac:dyDescent="0.3">
      <c r="A46" s="70">
        <v>4</v>
      </c>
      <c r="B46" s="73"/>
      <c r="C46" s="76"/>
      <c r="D46" s="47" t="s">
        <v>40</v>
      </c>
      <c r="E46" s="48">
        <f>[1]te!$CF$8</f>
        <v>89</v>
      </c>
      <c r="F46" s="48">
        <f>[1]te!$CG$8</f>
        <v>85</v>
      </c>
      <c r="G46" s="48">
        <f>[1]te!$CH$8</f>
        <v>85</v>
      </c>
      <c r="H46" s="42"/>
      <c r="I46" s="42"/>
      <c r="J46" s="43"/>
      <c r="K46" s="43"/>
      <c r="L46" s="48">
        <f>[1]te!$CI$8</f>
        <v>77</v>
      </c>
      <c r="M46" s="48">
        <f>[1]te!$CJ$8</f>
        <v>83</v>
      </c>
      <c r="N46" s="48">
        <f>[1]te!$CK$8</f>
        <v>82</v>
      </c>
      <c r="O46" s="43"/>
      <c r="P46" s="44"/>
      <c r="Q46" s="44"/>
      <c r="R46" s="49">
        <f>[1]te!$CN$8</f>
        <v>72</v>
      </c>
      <c r="S46" s="49">
        <f>[1]te!$CM$8</f>
        <v>90</v>
      </c>
      <c r="T46" s="44"/>
      <c r="U46" s="49">
        <f>[1]te!$CL$8</f>
        <v>84</v>
      </c>
      <c r="V46" s="24"/>
      <c r="W46" s="20">
        <f t="shared" si="0"/>
        <v>747</v>
      </c>
      <c r="X46" s="20">
        <f t="shared" si="1"/>
        <v>9</v>
      </c>
      <c r="Y46" s="21">
        <f t="shared" si="2"/>
        <v>83</v>
      </c>
      <c r="Z46" s="21">
        <f t="shared" si="4"/>
        <v>80.851133557800239</v>
      </c>
      <c r="AA46" s="12"/>
      <c r="AB46" s="12"/>
      <c r="AC46" s="12"/>
      <c r="AD46" s="12"/>
      <c r="AE46" s="12"/>
      <c r="AF46" s="12"/>
      <c r="AG46" s="12"/>
      <c r="AH46" s="12"/>
      <c r="AI46" s="12"/>
      <c r="AJ46" s="12"/>
    </row>
    <row r="47" spans="1:36" ht="18.75" customHeight="1" thickBot="1" x14ac:dyDescent="0.35">
      <c r="A47" s="71">
        <v>4</v>
      </c>
      <c r="B47" s="74"/>
      <c r="C47" s="77"/>
      <c r="D47" s="50" t="s">
        <v>41</v>
      </c>
      <c r="E47" s="51">
        <f>(E44*4+E45*3+E46*3)/10</f>
        <v>84.47999999999999</v>
      </c>
      <c r="F47" s="51">
        <f t="shared" ref="F47:G47" si="9">(F44*4+F45*3+F46*3)/10</f>
        <v>80.42</v>
      </c>
      <c r="G47" s="51">
        <f t="shared" si="9"/>
        <v>82.16</v>
      </c>
      <c r="H47" s="51">
        <f>AVERAGE(H39:H42)</f>
        <v>83.25</v>
      </c>
      <c r="I47" s="51">
        <f>AVERAGE(I39:I42)</f>
        <v>84</v>
      </c>
      <c r="J47" s="51">
        <f>AVERAGE(J39:J40)</f>
        <v>84.5</v>
      </c>
      <c r="K47" s="51">
        <f>AVERAGE(K39:K42)</f>
        <v>80.25</v>
      </c>
      <c r="L47" s="51">
        <f>(L44*4+L45*3+L46*3)/10</f>
        <v>80.8</v>
      </c>
      <c r="M47" s="51">
        <f>(M44*4+M45*3+M46*3)/10</f>
        <v>78.099999999999994</v>
      </c>
      <c r="N47" s="51">
        <f>(N44*4+N45*3+N46*3)/10</f>
        <v>76.84</v>
      </c>
      <c r="O47" s="51">
        <f>AVERAGE(O39:O40)</f>
        <v>81</v>
      </c>
      <c r="P47" s="51">
        <f>AVERAGE(P39:P40)</f>
        <v>84.5</v>
      </c>
      <c r="Q47" s="51">
        <f>AVERAGE(Q39:Q40)</f>
        <v>82</v>
      </c>
      <c r="R47" s="51">
        <f>(R44*4+R45*3+R46*3)/10</f>
        <v>76.655555555555566</v>
      </c>
      <c r="S47" s="51">
        <f>(S44*4+S45*3+S46*3)/10</f>
        <v>84.166666666666671</v>
      </c>
      <c r="T47" s="51">
        <f>T45</f>
        <v>75</v>
      </c>
      <c r="U47" s="51">
        <f t="shared" ref="U47" si="10">(U44*4+U45*3+U46*3)/10</f>
        <v>79.2</v>
      </c>
      <c r="V47" s="52">
        <f>AVERAGE(E47:U47)</f>
        <v>81.018954248366015</v>
      </c>
      <c r="W47" s="20">
        <f t="shared" si="0"/>
        <v>1377.3222222222223</v>
      </c>
      <c r="X47" s="20">
        <f t="shared" si="1"/>
        <v>17</v>
      </c>
      <c r="Y47" s="21">
        <f t="shared" si="2"/>
        <v>81.018954248366015</v>
      </c>
      <c r="Z47" s="21">
        <f t="shared" si="4"/>
        <v>81.384466891133556</v>
      </c>
      <c r="AA47" s="12"/>
      <c r="AB47" s="12"/>
      <c r="AC47" s="12"/>
      <c r="AD47" s="12"/>
      <c r="AE47" s="12"/>
      <c r="AF47" s="12"/>
      <c r="AG47" s="12"/>
      <c r="AH47" s="12"/>
      <c r="AI47" s="12"/>
      <c r="AJ47" s="12"/>
    </row>
    <row r="48" spans="1:36" ht="18.75" customHeight="1" thickTop="1" thickBot="1" x14ac:dyDescent="0.35">
      <c r="A48" s="70">
        <v>5</v>
      </c>
      <c r="B48" s="72" t="s">
        <v>48</v>
      </c>
      <c r="C48" s="75" t="s">
        <v>49</v>
      </c>
      <c r="D48" s="15" t="s">
        <v>33</v>
      </c>
      <c r="E48" s="16">
        <f>[1]te!$E$9</f>
        <v>86</v>
      </c>
      <c r="F48" s="16">
        <f>[1]te!$K$9</f>
        <v>80</v>
      </c>
      <c r="G48" s="16">
        <f>[1]te!$Q$9</f>
        <v>80</v>
      </c>
      <c r="H48" s="16">
        <f>[1]te!$W$9</f>
        <v>81</v>
      </c>
      <c r="I48" s="16">
        <f>[1]te!$AA$9</f>
        <v>79</v>
      </c>
      <c r="J48" s="16">
        <f>[1]te!$AE$9</f>
        <v>82</v>
      </c>
      <c r="K48" s="17">
        <f>[1]te!$AG$9</f>
        <v>82</v>
      </c>
      <c r="L48" s="18"/>
      <c r="M48" s="16">
        <f>[1]te!$AM$9</f>
        <v>74</v>
      </c>
      <c r="N48" s="16">
        <f>[1]te!$AS$9</f>
        <v>73</v>
      </c>
      <c r="O48" s="16">
        <f>[1]te!$AY$9</f>
        <v>75</v>
      </c>
      <c r="P48" s="17">
        <f>[1]te!$BA$9</f>
        <v>80</v>
      </c>
      <c r="Q48" s="17">
        <f>[1]te!$BC$9</f>
        <v>77</v>
      </c>
      <c r="R48" s="18"/>
      <c r="S48" s="18"/>
      <c r="T48" s="18"/>
      <c r="U48" s="18"/>
      <c r="V48" s="19"/>
      <c r="W48" s="20">
        <f t="shared" si="0"/>
        <v>949</v>
      </c>
      <c r="X48" s="20">
        <f t="shared" si="1"/>
        <v>12</v>
      </c>
      <c r="Y48" s="21">
        <f t="shared" si="2"/>
        <v>79.083333333333329</v>
      </c>
      <c r="Z48" s="21">
        <f t="shared" si="4"/>
        <v>81.042803195352207</v>
      </c>
      <c r="AA48" s="12"/>
      <c r="AB48" s="12"/>
      <c r="AC48" s="12"/>
      <c r="AD48" s="12"/>
      <c r="AE48" s="12"/>
      <c r="AF48" s="12"/>
      <c r="AG48" s="12"/>
      <c r="AH48" s="12"/>
      <c r="AI48" s="12"/>
      <c r="AJ48" s="12"/>
    </row>
    <row r="49" spans="1:36" ht="18.75" customHeight="1" thickBot="1" x14ac:dyDescent="0.35">
      <c r="A49" s="70">
        <v>5</v>
      </c>
      <c r="B49" s="73"/>
      <c r="C49" s="76"/>
      <c r="D49" s="15" t="s">
        <v>34</v>
      </c>
      <c r="E49" s="16">
        <f>[1]te!$F$9</f>
        <v>89</v>
      </c>
      <c r="F49" s="16">
        <f>[1]te!$L$9</f>
        <v>82</v>
      </c>
      <c r="G49" s="16">
        <f>[1]te!$R$9</f>
        <v>77</v>
      </c>
      <c r="H49" s="16">
        <f>[1]te!$X$9</f>
        <v>84</v>
      </c>
      <c r="I49" s="16">
        <f>[1]te!$AB$9</f>
        <v>80</v>
      </c>
      <c r="J49" s="16">
        <f>[1]te!$AF$9</f>
        <v>83</v>
      </c>
      <c r="K49" s="17">
        <f>[1]te!$AH$9</f>
        <v>83</v>
      </c>
      <c r="L49" s="18"/>
      <c r="M49" s="16">
        <f>[1]te!$AN$9</f>
        <v>75</v>
      </c>
      <c r="N49" s="16">
        <f>[1]te!$AT$9</f>
        <v>76</v>
      </c>
      <c r="O49" s="16">
        <f>[1]te!$AZ$9</f>
        <v>79</v>
      </c>
      <c r="P49" s="17">
        <f>[1]te!$BB$9</f>
        <v>84</v>
      </c>
      <c r="Q49" s="17">
        <f>[1]te!$BD$9</f>
        <v>83</v>
      </c>
      <c r="R49" s="18"/>
      <c r="S49" s="18"/>
      <c r="T49" s="18"/>
      <c r="U49" s="18"/>
      <c r="V49" s="24"/>
      <c r="W49" s="20">
        <f t="shared" si="0"/>
        <v>975</v>
      </c>
      <c r="X49" s="20">
        <f t="shared" si="1"/>
        <v>12</v>
      </c>
      <c r="Y49" s="21">
        <f t="shared" si="2"/>
        <v>81.25</v>
      </c>
      <c r="Z49" s="21">
        <f t="shared" si="4"/>
        <v>80.070580973129978</v>
      </c>
      <c r="AA49" s="12"/>
      <c r="AB49" s="12"/>
      <c r="AC49" s="12"/>
      <c r="AD49" s="12"/>
      <c r="AE49" s="12"/>
      <c r="AF49" s="12"/>
      <c r="AG49" s="12"/>
      <c r="AH49" s="12"/>
      <c r="AI49" s="12"/>
      <c r="AJ49" s="12"/>
    </row>
    <row r="50" spans="1:36" ht="18.75" customHeight="1" thickBot="1" x14ac:dyDescent="0.35">
      <c r="A50" s="70">
        <v>5</v>
      </c>
      <c r="B50" s="73"/>
      <c r="C50" s="76"/>
      <c r="D50" s="15" t="s">
        <v>35</v>
      </c>
      <c r="E50" s="16">
        <f>[1]te!$G$9</f>
        <v>86</v>
      </c>
      <c r="F50" s="16">
        <f>[1]te!$M$9</f>
        <v>88</v>
      </c>
      <c r="G50" s="16">
        <f>[1]te!$S$9</f>
        <v>76</v>
      </c>
      <c r="H50" s="16">
        <f>[1]te!$Y$9</f>
        <v>83</v>
      </c>
      <c r="I50" s="16">
        <f>[1]te!$AC$9</f>
        <v>81</v>
      </c>
      <c r="J50" s="25"/>
      <c r="K50" s="17">
        <f>[1]te!$AI$9</f>
        <v>70</v>
      </c>
      <c r="L50" s="18"/>
      <c r="M50" s="16">
        <f>[1]te!$AO$9</f>
        <v>74</v>
      </c>
      <c r="N50" s="16">
        <f>[1]te!$AU$9</f>
        <v>79</v>
      </c>
      <c r="O50" s="25"/>
      <c r="P50" s="18"/>
      <c r="Q50" s="18"/>
      <c r="R50" s="17">
        <f>[1]te!$BS$9</f>
        <v>80.333333333333329</v>
      </c>
      <c r="S50" s="17">
        <f>[1]te!$BW$9</f>
        <v>84</v>
      </c>
      <c r="T50" s="18"/>
      <c r="U50" s="17">
        <f>[1]te!$CB$9</f>
        <v>74</v>
      </c>
      <c r="V50" s="24"/>
      <c r="W50" s="20">
        <f t="shared" si="0"/>
        <v>875.33333333333337</v>
      </c>
      <c r="X50" s="20">
        <f t="shared" si="1"/>
        <v>11</v>
      </c>
      <c r="Y50" s="21">
        <f t="shared" si="2"/>
        <v>79.575757575757578</v>
      </c>
      <c r="Z50" s="21">
        <f t="shared" si="4"/>
        <v>79.830457516339862</v>
      </c>
      <c r="AA50" s="12"/>
      <c r="AB50" s="12"/>
      <c r="AC50" s="12"/>
      <c r="AD50" s="12"/>
      <c r="AE50" s="12"/>
      <c r="AF50" s="12"/>
      <c r="AG50" s="12"/>
      <c r="AH50" s="12"/>
      <c r="AI50" s="12"/>
      <c r="AJ50" s="12"/>
    </row>
    <row r="51" spans="1:36" ht="18.75" customHeight="1" thickBot="1" x14ac:dyDescent="0.35">
      <c r="A51" s="70">
        <v>5</v>
      </c>
      <c r="B51" s="73"/>
      <c r="C51" s="76"/>
      <c r="D51" s="29" t="s">
        <v>36</v>
      </c>
      <c r="E51" s="16">
        <f>[1]te!$H$9</f>
        <v>85</v>
      </c>
      <c r="F51" s="16">
        <f>[1]te!$N$9</f>
        <v>90</v>
      </c>
      <c r="G51" s="16">
        <f>[1]te!$T$9</f>
        <v>79</v>
      </c>
      <c r="H51" s="16">
        <f>[1]te!$Z$9</f>
        <v>84</v>
      </c>
      <c r="I51" s="16">
        <f>[1]te!$AD$9</f>
        <v>81</v>
      </c>
      <c r="J51" s="25"/>
      <c r="K51" s="17">
        <f>[1]te!$AJ$9</f>
        <v>82</v>
      </c>
      <c r="L51" s="18"/>
      <c r="M51" s="16">
        <f>[1]te!$AP$9</f>
        <v>75</v>
      </c>
      <c r="N51" s="16">
        <f>[1]te!$AV$9</f>
        <v>70</v>
      </c>
      <c r="O51" s="25"/>
      <c r="P51" s="18"/>
      <c r="Q51" s="18"/>
      <c r="R51" s="17">
        <f>[1]te!$BT$9</f>
        <v>81.666666666666671</v>
      </c>
      <c r="S51" s="17">
        <f>[1]te!$BX$9</f>
        <v>80</v>
      </c>
      <c r="T51" s="30"/>
      <c r="U51" s="17">
        <f>[1]te!$CC$9</f>
        <v>85</v>
      </c>
      <c r="V51" s="24"/>
      <c r="W51" s="20">
        <f t="shared" si="0"/>
        <v>892.66666666666663</v>
      </c>
      <c r="X51" s="20">
        <f t="shared" si="1"/>
        <v>11</v>
      </c>
      <c r="Y51" s="21">
        <f t="shared" si="2"/>
        <v>81.151515151515142</v>
      </c>
      <c r="Z51" s="21">
        <f t="shared" si="4"/>
        <v>80.785609031491376</v>
      </c>
      <c r="AA51" s="12"/>
      <c r="AB51" s="12"/>
      <c r="AC51" s="12"/>
      <c r="AD51" s="12"/>
      <c r="AE51" s="12"/>
      <c r="AF51" s="12"/>
      <c r="AG51" s="12"/>
      <c r="AH51" s="12"/>
      <c r="AI51" s="12"/>
      <c r="AJ51" s="12"/>
    </row>
    <row r="52" spans="1:36" ht="18.75" customHeight="1" x14ac:dyDescent="0.3">
      <c r="A52" s="70">
        <v>5</v>
      </c>
      <c r="B52" s="73"/>
      <c r="C52" s="76"/>
      <c r="D52" s="29" t="s">
        <v>37</v>
      </c>
      <c r="E52" s="16">
        <f>[1]te!$I$9</f>
        <v>86</v>
      </c>
      <c r="F52" s="16">
        <f>[1]te!$O$9</f>
        <v>93</v>
      </c>
      <c r="G52" s="16">
        <f>[1]te!$U$9</f>
        <v>77</v>
      </c>
      <c r="H52" s="33"/>
      <c r="I52" s="33"/>
      <c r="J52" s="25"/>
      <c r="K52" s="25"/>
      <c r="L52" s="16">
        <f>[1]te!$AK$9</f>
        <v>80</v>
      </c>
      <c r="M52" s="16">
        <f>[1]te!$AQ$9</f>
        <v>79</v>
      </c>
      <c r="N52" s="16">
        <f>[1]te!$AW$9</f>
        <v>83</v>
      </c>
      <c r="O52" s="25"/>
      <c r="P52" s="18"/>
      <c r="Q52" s="18"/>
      <c r="R52" s="17">
        <f>[1]te!$BU$9</f>
        <v>80.5</v>
      </c>
      <c r="S52" s="17">
        <f>[1]te!$BY$9</f>
        <v>85</v>
      </c>
      <c r="T52" s="17"/>
      <c r="U52" s="17">
        <f>[1]te!$CD$9</f>
        <v>75</v>
      </c>
      <c r="V52" s="24"/>
      <c r="W52" s="20">
        <f t="shared" si="0"/>
        <v>738.5</v>
      </c>
      <c r="X52" s="20">
        <f t="shared" si="1"/>
        <v>9</v>
      </c>
      <c r="Y52" s="21">
        <f t="shared" si="2"/>
        <v>82.055555555555557</v>
      </c>
      <c r="Z52" s="21">
        <f t="shared" si="4"/>
        <v>80.415912061794401</v>
      </c>
      <c r="AA52" s="32"/>
      <c r="AB52" s="32"/>
      <c r="AC52" s="32"/>
      <c r="AD52" s="32"/>
      <c r="AE52" s="32"/>
      <c r="AF52" s="32"/>
      <c r="AG52" s="32"/>
      <c r="AH52" s="32"/>
      <c r="AI52" s="32"/>
      <c r="AJ52" s="32"/>
    </row>
    <row r="53" spans="1:36" ht="18.75" customHeight="1" x14ac:dyDescent="0.3">
      <c r="A53" s="70">
        <v>5</v>
      </c>
      <c r="B53" s="73"/>
      <c r="C53" s="76"/>
      <c r="D53" s="34" t="s">
        <v>38</v>
      </c>
      <c r="E53" s="35">
        <f>AVERAGE(E48:E52)</f>
        <v>86.4</v>
      </c>
      <c r="F53" s="35">
        <f>AVERAGE(F48:F52)</f>
        <v>86.6</v>
      </c>
      <c r="G53" s="35">
        <f>AVERAGE(G48:G52)</f>
        <v>77.8</v>
      </c>
      <c r="H53" s="36"/>
      <c r="I53" s="36"/>
      <c r="J53" s="37"/>
      <c r="K53" s="37"/>
      <c r="L53" s="35">
        <f>AVERAGE(L48:L52)</f>
        <v>80</v>
      </c>
      <c r="M53" s="35">
        <f>AVERAGE(M48:M52)</f>
        <v>75.400000000000006</v>
      </c>
      <c r="N53" s="35">
        <f>AVERAGE(N48:N52)</f>
        <v>76.2</v>
      </c>
      <c r="O53" s="37"/>
      <c r="P53" s="30"/>
      <c r="Q53" s="30"/>
      <c r="R53" s="38">
        <f>AVERAGE(R50:R52)</f>
        <v>80.833333333333329</v>
      </c>
      <c r="S53" s="38">
        <f>AVERAGE(S50:S52)</f>
        <v>83</v>
      </c>
      <c r="T53" s="30"/>
      <c r="U53" s="38">
        <f>AVERAGE(U48:U52)</f>
        <v>78</v>
      </c>
      <c r="V53" s="24"/>
      <c r="W53" s="20">
        <f t="shared" si="0"/>
        <v>724.23333333333335</v>
      </c>
      <c r="X53" s="20">
        <f t="shared" si="1"/>
        <v>9</v>
      </c>
      <c r="Y53" s="21">
        <f t="shared" si="2"/>
        <v>80.470370370370375</v>
      </c>
      <c r="Z53" s="39">
        <f t="shared" si="4"/>
        <v>80.623232323232315</v>
      </c>
      <c r="AA53" s="12"/>
      <c r="AB53" s="12"/>
      <c r="AC53" s="12"/>
      <c r="AD53" s="12"/>
      <c r="AE53" s="12"/>
      <c r="AF53" s="12"/>
      <c r="AG53" s="12"/>
      <c r="AH53" s="12"/>
      <c r="AI53" s="12"/>
      <c r="AJ53" s="12"/>
    </row>
    <row r="54" spans="1:36" ht="18.75" customHeight="1" x14ac:dyDescent="0.3">
      <c r="A54" s="70">
        <v>5</v>
      </c>
      <c r="B54" s="73"/>
      <c r="C54" s="76"/>
      <c r="D54" s="40" t="s">
        <v>39</v>
      </c>
      <c r="E54" s="41">
        <f>[1]te!$J$9</f>
        <v>74</v>
      </c>
      <c r="F54" s="41">
        <f>[1]te!$P$9</f>
        <v>85</v>
      </c>
      <c r="G54" s="41">
        <f>[1]te!$V$9</f>
        <v>75</v>
      </c>
      <c r="H54" s="42"/>
      <c r="I54" s="42"/>
      <c r="J54" s="43"/>
      <c r="K54" s="43"/>
      <c r="L54" s="41">
        <f>[1]te!$AL$9</f>
        <v>75</v>
      </c>
      <c r="M54" s="41">
        <f>[1]te!$AR$9</f>
        <v>74</v>
      </c>
      <c r="N54" s="41">
        <f>[1]te!$AX$9</f>
        <v>74</v>
      </c>
      <c r="O54" s="43"/>
      <c r="P54" s="44"/>
      <c r="Q54" s="44"/>
      <c r="R54" s="45">
        <f>[1]te!$BV$9</f>
        <v>76</v>
      </c>
      <c r="S54" s="45">
        <f>[1]te!$BZ$9</f>
        <v>74</v>
      </c>
      <c r="T54" s="45">
        <f>[1]te!$CA$9</f>
        <v>76</v>
      </c>
      <c r="U54" s="46">
        <f>[1]te!$CE$9</f>
        <v>74</v>
      </c>
      <c r="V54" s="24"/>
      <c r="W54" s="20">
        <f t="shared" si="0"/>
        <v>757</v>
      </c>
      <c r="X54" s="20">
        <f t="shared" si="1"/>
        <v>10</v>
      </c>
      <c r="Y54" s="21">
        <f t="shared" si="2"/>
        <v>75.7</v>
      </c>
      <c r="Z54" s="21">
        <f t="shared" si="4"/>
        <v>80.900639730639725</v>
      </c>
      <c r="AA54" s="12"/>
      <c r="AB54" s="12"/>
      <c r="AC54" s="12"/>
      <c r="AD54" s="12"/>
      <c r="AE54" s="12"/>
      <c r="AF54" s="12"/>
      <c r="AG54" s="12"/>
      <c r="AH54" s="12"/>
      <c r="AI54" s="12"/>
      <c r="AJ54" s="12"/>
    </row>
    <row r="55" spans="1:36" ht="18.75" customHeight="1" x14ac:dyDescent="0.3">
      <c r="A55" s="70">
        <v>5</v>
      </c>
      <c r="B55" s="73"/>
      <c r="C55" s="76"/>
      <c r="D55" s="47" t="s">
        <v>40</v>
      </c>
      <c r="E55" s="48">
        <f>[1]te!$CF$9</f>
        <v>86</v>
      </c>
      <c r="F55" s="48">
        <f>[1]te!$CG$9</f>
        <v>82</v>
      </c>
      <c r="G55" s="48">
        <f>[1]te!$CH$9</f>
        <v>75</v>
      </c>
      <c r="H55" s="42"/>
      <c r="I55" s="42"/>
      <c r="J55" s="43"/>
      <c r="K55" s="43"/>
      <c r="L55" s="48">
        <f>[1]te!$CI$9</f>
        <v>90</v>
      </c>
      <c r="M55" s="48">
        <f>[1]te!$CJ$9</f>
        <v>80</v>
      </c>
      <c r="N55" s="48">
        <f>[1]te!$CK$9</f>
        <v>80</v>
      </c>
      <c r="O55" s="43"/>
      <c r="P55" s="44"/>
      <c r="Q55" s="44"/>
      <c r="R55" s="49">
        <f>[1]te!$CN$9</f>
        <v>75</v>
      </c>
      <c r="S55" s="49">
        <f>[1]te!$CM$9</f>
        <v>80</v>
      </c>
      <c r="T55" s="44"/>
      <c r="U55" s="49">
        <f>[1]te!$CL$9</f>
        <v>88</v>
      </c>
      <c r="V55" s="24"/>
      <c r="W55" s="20">
        <f t="shared" si="0"/>
        <v>736</v>
      </c>
      <c r="X55" s="20">
        <f t="shared" si="1"/>
        <v>9</v>
      </c>
      <c r="Y55" s="21">
        <f t="shared" si="2"/>
        <v>81.777777777777771</v>
      </c>
      <c r="Z55" s="21">
        <f t="shared" si="4"/>
        <v>79.790639730639725</v>
      </c>
      <c r="AA55" s="12"/>
      <c r="AB55" s="12"/>
      <c r="AC55" s="12"/>
      <c r="AD55" s="12"/>
      <c r="AE55" s="12"/>
      <c r="AF55" s="12"/>
      <c r="AG55" s="12"/>
      <c r="AH55" s="12"/>
      <c r="AI55" s="12"/>
      <c r="AJ55" s="12"/>
    </row>
    <row r="56" spans="1:36" ht="17.25" customHeight="1" thickBot="1" x14ac:dyDescent="0.35">
      <c r="A56" s="71">
        <v>5</v>
      </c>
      <c r="B56" s="74"/>
      <c r="C56" s="77"/>
      <c r="D56" s="50" t="s">
        <v>41</v>
      </c>
      <c r="E56" s="51">
        <f>(E53*4+E54*3+E55*3)/10</f>
        <v>82.56</v>
      </c>
      <c r="F56" s="51">
        <f t="shared" ref="F56:G56" si="11">(F53*4+F54*3+F55*3)/10</f>
        <v>84.74</v>
      </c>
      <c r="G56" s="51">
        <f t="shared" si="11"/>
        <v>76.12</v>
      </c>
      <c r="H56" s="51">
        <f>AVERAGE(H48:H51)</f>
        <v>83</v>
      </c>
      <c r="I56" s="51">
        <f>AVERAGE(I48:I51)</f>
        <v>80.25</v>
      </c>
      <c r="J56" s="51">
        <f>AVERAGE(J48:J49)</f>
        <v>82.5</v>
      </c>
      <c r="K56" s="51">
        <f>AVERAGE(K48:K51)</f>
        <v>79.25</v>
      </c>
      <c r="L56" s="51">
        <f>(L53*4+L54*3+L55*3)/10</f>
        <v>81.5</v>
      </c>
      <c r="M56" s="51">
        <f>(M53*4+M54*3+M55*3)/10</f>
        <v>76.36</v>
      </c>
      <c r="N56" s="51">
        <f>(N53*4+N54*3+N55*3)/10</f>
        <v>76.679999999999993</v>
      </c>
      <c r="O56" s="51">
        <f>AVERAGE(O48:O49)</f>
        <v>77</v>
      </c>
      <c r="P56" s="51">
        <f>AVERAGE(P48:P49)</f>
        <v>82</v>
      </c>
      <c r="Q56" s="51">
        <f>AVERAGE(Q48:Q49)</f>
        <v>80</v>
      </c>
      <c r="R56" s="51">
        <f>(R53*4+R54*3+R55*3)/10</f>
        <v>77.633333333333326</v>
      </c>
      <c r="S56" s="51">
        <f>(S53*4+S54*3+S55*3)/10</f>
        <v>79.400000000000006</v>
      </c>
      <c r="T56" s="51">
        <f>T54</f>
        <v>76</v>
      </c>
      <c r="U56" s="51">
        <f t="shared" ref="U56" si="12">(U53*4+U54*3+U55*3)/10</f>
        <v>79.8</v>
      </c>
      <c r="V56" s="52">
        <f>AVERAGE(E56:U56)</f>
        <v>79.693725490196073</v>
      </c>
      <c r="W56" s="20">
        <f t="shared" si="0"/>
        <v>1354.7933333333333</v>
      </c>
      <c r="X56" s="20">
        <f t="shared" si="1"/>
        <v>17</v>
      </c>
      <c r="Y56" s="21">
        <f t="shared" si="2"/>
        <v>79.693725490196073</v>
      </c>
      <c r="Z56" s="21">
        <f t="shared" si="4"/>
        <v>80.231043771043772</v>
      </c>
      <c r="AA56" s="12"/>
      <c r="AB56" s="12"/>
      <c r="AC56" s="12"/>
      <c r="AD56" s="12"/>
      <c r="AE56" s="12"/>
      <c r="AF56" s="12"/>
      <c r="AG56" s="12"/>
      <c r="AH56" s="12"/>
      <c r="AI56" s="12"/>
      <c r="AJ56" s="12"/>
    </row>
    <row r="57" spans="1:36" ht="18" customHeight="1" thickTop="1" thickBot="1" x14ac:dyDescent="0.35">
      <c r="A57" s="70">
        <v>6</v>
      </c>
      <c r="B57" s="72" t="s">
        <v>50</v>
      </c>
      <c r="C57" s="75" t="s">
        <v>51</v>
      </c>
      <c r="D57" s="15" t="s">
        <v>33</v>
      </c>
      <c r="E57" s="16">
        <f>[1]te!$E$10</f>
        <v>84</v>
      </c>
      <c r="F57" s="16">
        <f>[1]te!$K$10</f>
        <v>87</v>
      </c>
      <c r="G57" s="16">
        <f>[1]te!$Q$10</f>
        <v>85</v>
      </c>
      <c r="H57" s="16">
        <f>[1]te!$W$10</f>
        <v>83</v>
      </c>
      <c r="I57" s="16">
        <f>[1]te!$AA$10</f>
        <v>82</v>
      </c>
      <c r="J57" s="16">
        <f>[1]te!$AE$10</f>
        <v>84</v>
      </c>
      <c r="K57" s="17">
        <f>[1]te!$AG$10</f>
        <v>84</v>
      </c>
      <c r="L57" s="18"/>
      <c r="M57" s="16">
        <f>[1]te!$AM$10</f>
        <v>79</v>
      </c>
      <c r="N57" s="16">
        <f>[1]te!$AS$10</f>
        <v>73</v>
      </c>
      <c r="O57" s="16">
        <f>[1]te!$AY$10</f>
        <v>80</v>
      </c>
      <c r="P57" s="17">
        <f>[1]te!$BA$10</f>
        <v>83</v>
      </c>
      <c r="Q57" s="17">
        <f>[1]te!$BC$10</f>
        <v>91</v>
      </c>
      <c r="R57" s="18"/>
      <c r="S57" s="18"/>
      <c r="T57" s="18"/>
      <c r="U57" s="18"/>
      <c r="V57" s="19"/>
      <c r="W57" s="20">
        <f t="shared" si="0"/>
        <v>995</v>
      </c>
      <c r="X57" s="20">
        <f t="shared" si="1"/>
        <v>12</v>
      </c>
      <c r="Y57" s="21">
        <f t="shared" si="2"/>
        <v>82.916666666666671</v>
      </c>
      <c r="Z57" s="21">
        <f t="shared" si="4"/>
        <v>79.939485838779959</v>
      </c>
    </row>
    <row r="58" spans="1:36" ht="17.25" thickBot="1" x14ac:dyDescent="0.35">
      <c r="A58" s="70">
        <v>6</v>
      </c>
      <c r="B58" s="73"/>
      <c r="C58" s="76"/>
      <c r="D58" s="15" t="s">
        <v>34</v>
      </c>
      <c r="E58" s="16">
        <f>[1]te!$F$10</f>
        <v>89</v>
      </c>
      <c r="F58" s="16">
        <f>[1]te!$L$10</f>
        <v>83</v>
      </c>
      <c r="G58" s="16">
        <f>[1]te!$R$10</f>
        <v>81</v>
      </c>
      <c r="H58" s="16">
        <f>[1]te!$X$10</f>
        <v>85</v>
      </c>
      <c r="I58" s="16">
        <f>[1]te!$AB$10</f>
        <v>80</v>
      </c>
      <c r="J58" s="16">
        <f>[1]te!$AF$10</f>
        <v>84</v>
      </c>
      <c r="K58" s="17">
        <f>[1]te!$AH$10</f>
        <v>85</v>
      </c>
      <c r="L58" s="18"/>
      <c r="M58" s="16">
        <f>[1]te!$AN$10</f>
        <v>81</v>
      </c>
      <c r="N58" s="16">
        <f>[1]te!$AT$10</f>
        <v>77</v>
      </c>
      <c r="O58" s="16">
        <f>[1]te!$AZ$10</f>
        <v>82</v>
      </c>
      <c r="P58" s="17">
        <f>[1]te!$BB$10</f>
        <v>83</v>
      </c>
      <c r="Q58" s="17">
        <f>[1]te!$BD$10</f>
        <v>85</v>
      </c>
      <c r="R58" s="18"/>
      <c r="S58" s="18"/>
      <c r="T58" s="18"/>
      <c r="U58" s="18"/>
      <c r="V58" s="24"/>
      <c r="W58" s="20">
        <f t="shared" si="0"/>
        <v>995</v>
      </c>
      <c r="X58" s="20">
        <f t="shared" si="1"/>
        <v>12</v>
      </c>
      <c r="Y58" s="21">
        <f t="shared" si="2"/>
        <v>82.916666666666671</v>
      </c>
      <c r="Z58" s="21">
        <f t="shared" si="4"/>
        <v>80.11170806100219</v>
      </c>
    </row>
    <row r="59" spans="1:36" ht="17.25" thickBot="1" x14ac:dyDescent="0.35">
      <c r="A59" s="70">
        <v>6</v>
      </c>
      <c r="B59" s="73"/>
      <c r="C59" s="76"/>
      <c r="D59" s="15" t="s">
        <v>35</v>
      </c>
      <c r="E59" s="16">
        <f>[1]te!$G$10</f>
        <v>87</v>
      </c>
      <c r="F59" s="16">
        <f>[1]te!$M$10</f>
        <v>85</v>
      </c>
      <c r="G59" s="16">
        <f>[1]te!$S$10</f>
        <v>78</v>
      </c>
      <c r="H59" s="16">
        <f>[1]te!$Y$10</f>
        <v>83</v>
      </c>
      <c r="I59" s="16">
        <f>[1]te!$AC$10</f>
        <v>85</v>
      </c>
      <c r="J59" s="25"/>
      <c r="K59" s="17">
        <f>[1]te!$AI$10</f>
        <v>70</v>
      </c>
      <c r="L59" s="18"/>
      <c r="M59" s="16">
        <f>[1]te!$AO$10</f>
        <v>88</v>
      </c>
      <c r="N59" s="16">
        <f>[1]te!$AU$10</f>
        <v>76</v>
      </c>
      <c r="O59" s="25"/>
      <c r="P59" s="18"/>
      <c r="Q59" s="18"/>
      <c r="R59" s="17">
        <f>[1]te!$BS$10</f>
        <v>81</v>
      </c>
      <c r="S59" s="17">
        <f>[1]te!$BW$10</f>
        <v>85</v>
      </c>
      <c r="T59" s="18"/>
      <c r="U59" s="17">
        <f>[1]te!$CB$10</f>
        <v>78</v>
      </c>
      <c r="V59" s="24"/>
      <c r="W59" s="20">
        <f t="shared" si="0"/>
        <v>896</v>
      </c>
      <c r="X59" s="20">
        <f t="shared" si="1"/>
        <v>11</v>
      </c>
      <c r="Y59" s="21">
        <f t="shared" si="2"/>
        <v>81.454545454545453</v>
      </c>
      <c r="Z59" s="21">
        <f t="shared" si="4"/>
        <v>80.600967320261447</v>
      </c>
    </row>
    <row r="60" spans="1:36" ht="17.25" thickBot="1" x14ac:dyDescent="0.35">
      <c r="A60" s="70">
        <v>6</v>
      </c>
      <c r="B60" s="73"/>
      <c r="C60" s="76"/>
      <c r="D60" s="29" t="s">
        <v>36</v>
      </c>
      <c r="E60" s="16">
        <f>[1]te!$H$10</f>
        <v>87</v>
      </c>
      <c r="F60" s="16">
        <f>[1]te!$N$10</f>
        <v>92</v>
      </c>
      <c r="G60" s="16">
        <f>[1]te!$T$10</f>
        <v>86</v>
      </c>
      <c r="H60" s="16">
        <f>[1]te!$Z$10</f>
        <v>84</v>
      </c>
      <c r="I60" s="16">
        <f>[1]te!$AD$10</f>
        <v>85</v>
      </c>
      <c r="J60" s="25"/>
      <c r="K60" s="17">
        <f>[1]te!$AJ$10</f>
        <v>81</v>
      </c>
      <c r="L60" s="18"/>
      <c r="M60" s="16">
        <f>[1]te!$AP$10</f>
        <v>84</v>
      </c>
      <c r="N60" s="16">
        <f>[1]te!$AV$10</f>
        <v>71</v>
      </c>
      <c r="O60" s="25"/>
      <c r="P60" s="18"/>
      <c r="Q60" s="18"/>
      <c r="R60" s="17">
        <f>[1]te!$BT$10</f>
        <v>81.666666666666671</v>
      </c>
      <c r="S60" s="17">
        <f>[1]te!$BX$10</f>
        <v>81</v>
      </c>
      <c r="T60" s="30"/>
      <c r="U60" s="17">
        <f>[1]te!$CC$10</f>
        <v>90</v>
      </c>
      <c r="V60" s="24"/>
      <c r="W60" s="20">
        <f t="shared" si="0"/>
        <v>922.66666666666663</v>
      </c>
      <c r="X60" s="20">
        <f t="shared" si="1"/>
        <v>11</v>
      </c>
      <c r="Y60" s="21">
        <f t="shared" si="2"/>
        <v>83.878787878787875</v>
      </c>
      <c r="Z60" s="21">
        <f t="shared" si="4"/>
        <v>81.751876411170528</v>
      </c>
    </row>
    <row r="61" spans="1:36" ht="16.5" x14ac:dyDescent="0.3">
      <c r="A61" s="70">
        <v>6</v>
      </c>
      <c r="B61" s="73"/>
      <c r="C61" s="76"/>
      <c r="D61" s="29" t="s">
        <v>37</v>
      </c>
      <c r="E61" s="16">
        <f>[1]te!$I$10</f>
        <v>83</v>
      </c>
      <c r="F61" s="16">
        <f>[1]te!$O$10</f>
        <v>94</v>
      </c>
      <c r="G61" s="16">
        <f>[1]te!$U$10</f>
        <v>79</v>
      </c>
      <c r="H61" s="33"/>
      <c r="I61" s="33"/>
      <c r="J61" s="25"/>
      <c r="K61" s="25"/>
      <c r="L61" s="16">
        <f>[1]te!$AK$10</f>
        <v>86</v>
      </c>
      <c r="M61" s="16">
        <f>[1]te!$AQ$10</f>
        <v>84</v>
      </c>
      <c r="N61" s="16">
        <f>[1]te!$AW$10</f>
        <v>83</v>
      </c>
      <c r="O61" s="25"/>
      <c r="P61" s="18"/>
      <c r="Q61" s="18"/>
      <c r="R61" s="17">
        <f>[1]te!$BU$10</f>
        <v>82.75</v>
      </c>
      <c r="S61" s="17">
        <f>[1]te!$BY$10</f>
        <v>86</v>
      </c>
      <c r="T61" s="17"/>
      <c r="U61" s="17">
        <f>[1]te!$CD$10</f>
        <v>85</v>
      </c>
      <c r="V61" s="24"/>
      <c r="W61" s="20">
        <f t="shared" si="0"/>
        <v>762.75</v>
      </c>
      <c r="X61" s="20">
        <f t="shared" si="1"/>
        <v>9</v>
      </c>
      <c r="Y61" s="21">
        <f t="shared" si="2"/>
        <v>84.75</v>
      </c>
      <c r="Z61" s="21">
        <f t="shared" si="4"/>
        <v>82.172078431372555</v>
      </c>
    </row>
    <row r="62" spans="1:36" ht="16.5" x14ac:dyDescent="0.3">
      <c r="A62" s="70">
        <v>6</v>
      </c>
      <c r="B62" s="73"/>
      <c r="C62" s="76"/>
      <c r="D62" s="34" t="s">
        <v>38</v>
      </c>
      <c r="E62" s="35">
        <f>AVERAGE(E57:E61)</f>
        <v>86</v>
      </c>
      <c r="F62" s="35">
        <f>AVERAGE(F57:F61)</f>
        <v>88.2</v>
      </c>
      <c r="G62" s="35">
        <f>AVERAGE(G57:G61)</f>
        <v>81.8</v>
      </c>
      <c r="H62" s="36"/>
      <c r="I62" s="36"/>
      <c r="J62" s="37"/>
      <c r="K62" s="37"/>
      <c r="L62" s="35">
        <f>AVERAGE(L57:L61)</f>
        <v>86</v>
      </c>
      <c r="M62" s="35">
        <f>AVERAGE(M57:M61)</f>
        <v>83.2</v>
      </c>
      <c r="N62" s="35">
        <f>AVERAGE(N57:N61)</f>
        <v>76</v>
      </c>
      <c r="O62" s="37"/>
      <c r="P62" s="30"/>
      <c r="Q62" s="30"/>
      <c r="R62" s="38">
        <f>AVERAGE(R59:R61)</f>
        <v>81.805555555555557</v>
      </c>
      <c r="S62" s="38">
        <f>AVERAGE(S59:S61)</f>
        <v>84</v>
      </c>
      <c r="T62" s="30"/>
      <c r="U62" s="38">
        <f>AVERAGE(U57:U61)</f>
        <v>84.333333333333329</v>
      </c>
      <c r="V62" s="24"/>
      <c r="W62" s="20">
        <f t="shared" si="0"/>
        <v>751.33888888888896</v>
      </c>
      <c r="X62" s="20">
        <f t="shared" si="1"/>
        <v>9</v>
      </c>
      <c r="Y62" s="21">
        <f t="shared" si="2"/>
        <v>83.482098765432113</v>
      </c>
      <c r="Z62" s="39">
        <f t="shared" si="4"/>
        <v>83.183333333333337</v>
      </c>
    </row>
    <row r="63" spans="1:36" ht="16.5" x14ac:dyDescent="0.3">
      <c r="A63" s="70">
        <v>6</v>
      </c>
      <c r="B63" s="73"/>
      <c r="C63" s="76"/>
      <c r="D63" s="40" t="s">
        <v>39</v>
      </c>
      <c r="E63" s="41">
        <f>[1]te!$J$10</f>
        <v>89</v>
      </c>
      <c r="F63" s="41">
        <f>[1]te!$P$10</f>
        <v>92</v>
      </c>
      <c r="G63" s="41">
        <f>[1]te!$V$10</f>
        <v>86</v>
      </c>
      <c r="H63" s="42"/>
      <c r="I63" s="42"/>
      <c r="J63" s="43"/>
      <c r="K63" s="43"/>
      <c r="L63" s="41">
        <f>[1]te!$AL$10</f>
        <v>86</v>
      </c>
      <c r="M63" s="41">
        <f>[1]te!$AR$10</f>
        <v>90</v>
      </c>
      <c r="N63" s="41">
        <f>[1]te!$AX$10</f>
        <v>90</v>
      </c>
      <c r="O63" s="43"/>
      <c r="P63" s="44"/>
      <c r="Q63" s="44"/>
      <c r="R63" s="45">
        <f>[1]te!$BV$10</f>
        <v>89</v>
      </c>
      <c r="S63" s="45">
        <f>[1]te!$BZ$10</f>
        <v>89</v>
      </c>
      <c r="T63" s="45">
        <f>[1]te!$CA$10</f>
        <v>89</v>
      </c>
      <c r="U63" s="46">
        <f>[1]te!$CE$10</f>
        <v>90</v>
      </c>
      <c r="V63" s="24"/>
      <c r="W63" s="20">
        <f t="shared" si="0"/>
        <v>890</v>
      </c>
      <c r="X63" s="20">
        <f t="shared" si="1"/>
        <v>10</v>
      </c>
      <c r="Y63" s="21">
        <f t="shared" si="2"/>
        <v>89</v>
      </c>
      <c r="Z63" s="21">
        <f t="shared" si="4"/>
        <v>83.296419753086425</v>
      </c>
    </row>
    <row r="64" spans="1:36" ht="16.5" x14ac:dyDescent="0.3">
      <c r="A64" s="70">
        <v>6</v>
      </c>
      <c r="B64" s="73"/>
      <c r="C64" s="76"/>
      <c r="D64" s="47" t="s">
        <v>40</v>
      </c>
      <c r="E64" s="48">
        <f>[1]te!$CF$10</f>
        <v>84</v>
      </c>
      <c r="F64" s="48">
        <f>[1]te!$CG$10</f>
        <v>85</v>
      </c>
      <c r="G64" s="48">
        <f>[1]te!$CH$10</f>
        <v>80</v>
      </c>
      <c r="H64" s="42"/>
      <c r="I64" s="42"/>
      <c r="J64" s="43"/>
      <c r="K64" s="43"/>
      <c r="L64" s="48">
        <f>[1]te!$CI$10</f>
        <v>82</v>
      </c>
      <c r="M64" s="48">
        <f>[1]te!$CJ$10</f>
        <v>84</v>
      </c>
      <c r="N64" s="48">
        <f>[1]te!$CK$10</f>
        <v>83</v>
      </c>
      <c r="O64" s="43"/>
      <c r="P64" s="44"/>
      <c r="Q64" s="44"/>
      <c r="R64" s="49">
        <f>[1]te!$CN$10</f>
        <v>80</v>
      </c>
      <c r="S64" s="49">
        <f>[1]te!$CM$10</f>
        <v>90</v>
      </c>
      <c r="T64" s="44"/>
      <c r="U64" s="49">
        <f>[1]te!$CL$10</f>
        <v>84</v>
      </c>
      <c r="V64" s="24"/>
      <c r="W64" s="20">
        <f t="shared" si="0"/>
        <v>752</v>
      </c>
      <c r="X64" s="20">
        <f t="shared" si="1"/>
        <v>9</v>
      </c>
      <c r="Y64" s="21">
        <f t="shared" si="2"/>
        <v>83.555555555555557</v>
      </c>
      <c r="Z64" s="21">
        <f t="shared" si="4"/>
        <v>84.51308641975308</v>
      </c>
    </row>
    <row r="65" spans="1:26" ht="17.25" thickBot="1" x14ac:dyDescent="0.35">
      <c r="A65" s="71">
        <v>6</v>
      </c>
      <c r="B65" s="74"/>
      <c r="C65" s="77"/>
      <c r="D65" s="50" t="s">
        <v>41</v>
      </c>
      <c r="E65" s="51">
        <f>(E62*4+E63*3+E64*3)/10</f>
        <v>86.3</v>
      </c>
      <c r="F65" s="51">
        <f t="shared" ref="F65:G65" si="13">(F62*4+F63*3+F64*3)/10</f>
        <v>88.38</v>
      </c>
      <c r="G65" s="51">
        <f t="shared" si="13"/>
        <v>82.52000000000001</v>
      </c>
      <c r="H65" s="51">
        <f>AVERAGE(H57:H60)</f>
        <v>83.75</v>
      </c>
      <c r="I65" s="51">
        <f>AVERAGE(I57:I60)</f>
        <v>83</v>
      </c>
      <c r="J65" s="51">
        <f>AVERAGE(J57:J58)</f>
        <v>84</v>
      </c>
      <c r="K65" s="51">
        <f>AVERAGE(K57:K60)</f>
        <v>80</v>
      </c>
      <c r="L65" s="51">
        <f>(L62*4+L63*3+L64*3)/10</f>
        <v>84.8</v>
      </c>
      <c r="M65" s="51">
        <f>(M62*4+M63*3+M64*3)/10</f>
        <v>85.47999999999999</v>
      </c>
      <c r="N65" s="51">
        <f>(N62*4+N63*3+N64*3)/10</f>
        <v>82.3</v>
      </c>
      <c r="O65" s="51">
        <f>AVERAGE(O57:O58)</f>
        <v>81</v>
      </c>
      <c r="P65" s="51">
        <f>AVERAGE(P57:P58)</f>
        <v>83</v>
      </c>
      <c r="Q65" s="51">
        <f>AVERAGE(Q57:Q58)</f>
        <v>88</v>
      </c>
      <c r="R65" s="51">
        <f>(R62*4+R63*3+R64*3)/10</f>
        <v>83.422222222222217</v>
      </c>
      <c r="S65" s="51">
        <f>(S62*4+S63*3+S64*3)/10</f>
        <v>87.3</v>
      </c>
      <c r="T65" s="51">
        <f>T63</f>
        <v>89</v>
      </c>
      <c r="U65" s="51">
        <f t="shared" ref="U65" si="14">(U62*4+U63*3+U64*3)/10</f>
        <v>85.933333333333323</v>
      </c>
      <c r="V65" s="52">
        <f>AVERAGE(E65:U65)</f>
        <v>84.599150326797385</v>
      </c>
      <c r="W65" s="20">
        <f t="shared" si="0"/>
        <v>1438.1855555555555</v>
      </c>
      <c r="X65" s="20">
        <f t="shared" si="1"/>
        <v>17</v>
      </c>
      <c r="Y65" s="21">
        <f t="shared" si="2"/>
        <v>84.599150326797385</v>
      </c>
      <c r="Z65" s="21">
        <f t="shared" si="4"/>
        <v>84.933288439955106</v>
      </c>
    </row>
    <row r="66" spans="1:26" ht="18" thickTop="1" thickBot="1" x14ac:dyDescent="0.35">
      <c r="A66" s="70">
        <v>7</v>
      </c>
      <c r="B66" s="72" t="s">
        <v>52</v>
      </c>
      <c r="C66" s="75" t="s">
        <v>53</v>
      </c>
      <c r="D66" s="15" t="s">
        <v>33</v>
      </c>
      <c r="E66" s="16">
        <f>[1]te!$E$11</f>
        <v>80</v>
      </c>
      <c r="F66" s="16">
        <f>[1]te!$K$11</f>
        <v>80</v>
      </c>
      <c r="G66" s="16">
        <f>[1]te!$Q$11</f>
        <v>78</v>
      </c>
      <c r="H66" s="16">
        <f>[1]te!$W$11</f>
        <v>85</v>
      </c>
      <c r="I66" s="16">
        <f>[1]te!$AA$11</f>
        <v>78</v>
      </c>
      <c r="J66" s="16">
        <f>[1]te!$AE$11</f>
        <v>80</v>
      </c>
      <c r="K66" s="17">
        <f>[1]te!$AG$11</f>
        <v>80</v>
      </c>
      <c r="L66" s="18"/>
      <c r="M66" s="16">
        <f>[1]te!$AM$11</f>
        <v>74</v>
      </c>
      <c r="N66" s="16">
        <f>[1]te!$AS$11</f>
        <v>71</v>
      </c>
      <c r="O66" s="16">
        <f>[1]te!$AY$11</f>
        <v>77</v>
      </c>
      <c r="P66" s="17">
        <f>[1]te!$BA$11</f>
        <v>78</v>
      </c>
      <c r="Q66" s="17">
        <f>[1]te!$BC$11</f>
        <v>77</v>
      </c>
      <c r="R66" s="18"/>
      <c r="S66" s="18"/>
      <c r="T66" s="18"/>
      <c r="U66" s="18"/>
      <c r="V66" s="19"/>
      <c r="W66" s="20">
        <f t="shared" si="0"/>
        <v>938</v>
      </c>
      <c r="X66" s="20">
        <f t="shared" si="1"/>
        <v>12</v>
      </c>
      <c r="Y66" s="21">
        <f t="shared" si="2"/>
        <v>78.166666666666671</v>
      </c>
      <c r="Z66" s="21">
        <f t="shared" si="4"/>
        <v>85.077360929557003</v>
      </c>
    </row>
    <row r="67" spans="1:26" ht="17.25" thickBot="1" x14ac:dyDescent="0.35">
      <c r="A67" s="70">
        <v>7</v>
      </c>
      <c r="B67" s="73"/>
      <c r="C67" s="76"/>
      <c r="D67" s="15" t="s">
        <v>34</v>
      </c>
      <c r="E67" s="16">
        <f>[1]te!$F$11</f>
        <v>87</v>
      </c>
      <c r="F67" s="16">
        <f>[1]te!$L$11</f>
        <v>81</v>
      </c>
      <c r="G67" s="16">
        <f>[1]te!$R$11</f>
        <v>78</v>
      </c>
      <c r="H67" s="16">
        <f>[1]te!$X$11</f>
        <v>86</v>
      </c>
      <c r="I67" s="16">
        <f>[1]te!$AB$11</f>
        <v>80</v>
      </c>
      <c r="J67" s="16">
        <f>[1]te!$AF$11</f>
        <v>79</v>
      </c>
      <c r="K67" s="17">
        <f>[1]te!$AH$11</f>
        <v>81</v>
      </c>
      <c r="L67" s="18"/>
      <c r="M67" s="16">
        <f>[1]te!$AN$11</f>
        <v>76</v>
      </c>
      <c r="N67" s="16">
        <f>[1]te!$AT$11</f>
        <v>73</v>
      </c>
      <c r="O67" s="16">
        <f>[1]te!$AZ$11</f>
        <v>78</v>
      </c>
      <c r="P67" s="17">
        <f>[1]te!$BB$11</f>
        <v>81</v>
      </c>
      <c r="Q67" s="17">
        <f>[1]te!$BD$11</f>
        <v>77</v>
      </c>
      <c r="R67" s="18"/>
      <c r="S67" s="18"/>
      <c r="T67" s="18"/>
      <c r="U67" s="18"/>
      <c r="V67" s="24"/>
      <c r="W67" s="20">
        <f t="shared" si="0"/>
        <v>957</v>
      </c>
      <c r="X67" s="20">
        <f t="shared" si="1"/>
        <v>12</v>
      </c>
      <c r="Y67" s="21">
        <f t="shared" si="2"/>
        <v>79.75</v>
      </c>
      <c r="Z67" s="21">
        <f t="shared" si="4"/>
        <v>83.76069426289034</v>
      </c>
    </row>
    <row r="68" spans="1:26" ht="17.25" thickBot="1" x14ac:dyDescent="0.35">
      <c r="A68" s="70">
        <v>7</v>
      </c>
      <c r="B68" s="73"/>
      <c r="C68" s="76"/>
      <c r="D68" s="15" t="s">
        <v>35</v>
      </c>
      <c r="E68" s="16">
        <f>[1]te!$G$11</f>
        <v>88</v>
      </c>
      <c r="F68" s="16">
        <f>[1]te!$M$11</f>
        <v>92</v>
      </c>
      <c r="G68" s="16">
        <f>[1]te!$S$11</f>
        <v>70</v>
      </c>
      <c r="H68" s="16">
        <f>[1]te!$Y$11</f>
        <v>84</v>
      </c>
      <c r="I68" s="16">
        <f>[1]te!$AC$11</f>
        <v>83</v>
      </c>
      <c r="J68" s="25"/>
      <c r="K68" s="17">
        <f>[1]te!$AI$11</f>
        <v>71</v>
      </c>
      <c r="L68" s="18"/>
      <c r="M68" s="16">
        <f>[1]te!$AO$11</f>
        <v>73</v>
      </c>
      <c r="N68" s="16">
        <f>[1]te!$AU$11</f>
        <v>70</v>
      </c>
      <c r="O68" s="25"/>
      <c r="P68" s="18"/>
      <c r="Q68" s="18"/>
      <c r="R68" s="17">
        <f>[1]te!$BS$11</f>
        <v>80.333333333333329</v>
      </c>
      <c r="S68" s="17">
        <f>[1]te!$BW$11</f>
        <v>84</v>
      </c>
      <c r="T68" s="18"/>
      <c r="U68" s="17">
        <f>[1]te!$CB$11</f>
        <v>72</v>
      </c>
      <c r="V68" s="24"/>
      <c r="W68" s="20">
        <f t="shared" si="0"/>
        <v>867.33333333333337</v>
      </c>
      <c r="X68" s="20">
        <f t="shared" si="1"/>
        <v>11</v>
      </c>
      <c r="Y68" s="21">
        <f t="shared" si="2"/>
        <v>78.848484848484858</v>
      </c>
      <c r="Z68" s="21">
        <f t="shared" si="4"/>
        <v>83.014274509803926</v>
      </c>
    </row>
    <row r="69" spans="1:26" ht="17.25" thickBot="1" x14ac:dyDescent="0.35">
      <c r="A69" s="70">
        <v>7</v>
      </c>
      <c r="B69" s="73"/>
      <c r="C69" s="76"/>
      <c r="D69" s="29" t="s">
        <v>36</v>
      </c>
      <c r="E69" s="16">
        <f>[1]te!$H$11</f>
        <v>87</v>
      </c>
      <c r="F69" s="16">
        <f>[1]te!$N$11</f>
        <v>88</v>
      </c>
      <c r="G69" s="16">
        <f>[1]te!$T$11</f>
        <v>71</v>
      </c>
      <c r="H69" s="16">
        <f>[1]te!$Z$11</f>
        <v>85</v>
      </c>
      <c r="I69" s="16">
        <f>[1]te!$AD$11</f>
        <v>84</v>
      </c>
      <c r="J69" s="25"/>
      <c r="K69" s="17">
        <f>[1]te!$AJ$11</f>
        <v>81</v>
      </c>
      <c r="L69" s="18"/>
      <c r="M69" s="16">
        <f>[1]te!$AP$11</f>
        <v>74</v>
      </c>
      <c r="N69" s="16">
        <f>[1]te!$AV$11</f>
        <v>70</v>
      </c>
      <c r="O69" s="25"/>
      <c r="P69" s="18"/>
      <c r="Q69" s="18"/>
      <c r="R69" s="17">
        <f>[1]te!$BT$11</f>
        <v>79.666666666666671</v>
      </c>
      <c r="S69" s="17">
        <f>[1]te!$BX$11</f>
        <v>80</v>
      </c>
      <c r="T69" s="30"/>
      <c r="U69" s="17">
        <f>[1]te!$CC$11</f>
        <v>77</v>
      </c>
      <c r="V69" s="24"/>
      <c r="W69" s="20">
        <f t="shared" si="0"/>
        <v>876.66666666666663</v>
      </c>
      <c r="X69" s="20">
        <f t="shared" si="1"/>
        <v>11</v>
      </c>
      <c r="Y69" s="21">
        <f t="shared" si="2"/>
        <v>79.696969696969688</v>
      </c>
      <c r="Z69" s="21">
        <f t="shared" si="4"/>
        <v>80.983971479500894</v>
      </c>
    </row>
    <row r="70" spans="1:26" ht="16.5" x14ac:dyDescent="0.3">
      <c r="A70" s="70">
        <v>7</v>
      </c>
      <c r="B70" s="73"/>
      <c r="C70" s="76"/>
      <c r="D70" s="29" t="s">
        <v>37</v>
      </c>
      <c r="E70" s="16">
        <f>[1]te!$I$11</f>
        <v>85</v>
      </c>
      <c r="F70" s="16">
        <f>[1]te!$O$11</f>
        <v>93</v>
      </c>
      <c r="G70" s="16">
        <f>[1]te!$U$11</f>
        <v>73</v>
      </c>
      <c r="H70" s="33"/>
      <c r="I70" s="33"/>
      <c r="J70" s="25"/>
      <c r="K70" s="25"/>
      <c r="L70" s="16">
        <f>[1]te!$AK$11</f>
        <v>80</v>
      </c>
      <c r="M70" s="16">
        <f>[1]te!$AQ$11</f>
        <v>72</v>
      </c>
      <c r="N70" s="16">
        <f>[1]te!$AW$11</f>
        <v>73</v>
      </c>
      <c r="O70" s="25"/>
      <c r="P70" s="18"/>
      <c r="Q70" s="18"/>
      <c r="R70" s="17">
        <f>[1]te!$BU$11</f>
        <v>81.25</v>
      </c>
      <c r="S70" s="17">
        <f>[1]te!$BY$11</f>
        <v>70</v>
      </c>
      <c r="T70" s="17"/>
      <c r="U70" s="17">
        <f>[1]te!$CD$11</f>
        <v>73</v>
      </c>
      <c r="V70" s="24"/>
      <c r="W70" s="20">
        <f t="shared" si="0"/>
        <v>700.25</v>
      </c>
      <c r="X70" s="20">
        <f t="shared" si="1"/>
        <v>9</v>
      </c>
      <c r="Y70" s="21">
        <f t="shared" si="2"/>
        <v>77.805555555555557</v>
      </c>
      <c r="Z70" s="21">
        <f t="shared" si="4"/>
        <v>80.212254307783724</v>
      </c>
    </row>
    <row r="71" spans="1:26" ht="16.5" x14ac:dyDescent="0.3">
      <c r="A71" s="70">
        <v>7</v>
      </c>
      <c r="B71" s="73"/>
      <c r="C71" s="76"/>
      <c r="D71" s="34" t="s">
        <v>38</v>
      </c>
      <c r="E71" s="35">
        <f>AVERAGE(E66:E70)</f>
        <v>85.4</v>
      </c>
      <c r="F71" s="35">
        <f>AVERAGE(F66:F70)</f>
        <v>86.8</v>
      </c>
      <c r="G71" s="35">
        <f>AVERAGE(G66:G70)</f>
        <v>74</v>
      </c>
      <c r="H71" s="36"/>
      <c r="I71" s="36"/>
      <c r="J71" s="37"/>
      <c r="K71" s="37"/>
      <c r="L71" s="35">
        <f>AVERAGE(L66:L70)</f>
        <v>80</v>
      </c>
      <c r="M71" s="35">
        <f>AVERAGE(M66:M70)</f>
        <v>73.8</v>
      </c>
      <c r="N71" s="35">
        <f>AVERAGE(N66:N70)</f>
        <v>71.400000000000006</v>
      </c>
      <c r="O71" s="37"/>
      <c r="P71" s="30"/>
      <c r="Q71" s="30"/>
      <c r="R71" s="38">
        <f>AVERAGE(R68:R70)</f>
        <v>80.416666666666671</v>
      </c>
      <c r="S71" s="38">
        <f>AVERAGE(S68:S70)</f>
        <v>78</v>
      </c>
      <c r="T71" s="30"/>
      <c r="U71" s="38">
        <f>AVERAGE(U66:U70)</f>
        <v>74</v>
      </c>
      <c r="V71" s="24"/>
      <c r="W71" s="20">
        <f t="shared" si="0"/>
        <v>703.81666666666661</v>
      </c>
      <c r="X71" s="20">
        <f t="shared" si="1"/>
        <v>9</v>
      </c>
      <c r="Y71" s="21">
        <f t="shared" si="2"/>
        <v>78.201851851851842</v>
      </c>
      <c r="Z71" s="39">
        <f t="shared" si="4"/>
        <v>78.853535353535364</v>
      </c>
    </row>
    <row r="72" spans="1:26" ht="16.5" x14ac:dyDescent="0.3">
      <c r="A72" s="70">
        <v>7</v>
      </c>
      <c r="B72" s="73"/>
      <c r="C72" s="76"/>
      <c r="D72" s="40" t="s">
        <v>39</v>
      </c>
      <c r="E72" s="41">
        <f>[1]te!$J$11</f>
        <v>75</v>
      </c>
      <c r="F72" s="41">
        <f>[1]te!$P$11</f>
        <v>75</v>
      </c>
      <c r="G72" s="41">
        <f>[1]te!$V$11</f>
        <v>75</v>
      </c>
      <c r="H72" s="42"/>
      <c r="I72" s="42"/>
      <c r="J72" s="43"/>
      <c r="K72" s="43"/>
      <c r="L72" s="41">
        <f>[1]te!$AL$11</f>
        <v>75</v>
      </c>
      <c r="M72" s="41">
        <f>[1]te!$AR$11</f>
        <v>75</v>
      </c>
      <c r="N72" s="41">
        <f>[1]te!$AX$11</f>
        <v>75</v>
      </c>
      <c r="O72" s="43"/>
      <c r="P72" s="44"/>
      <c r="Q72" s="44"/>
      <c r="R72" s="45">
        <f>[1]te!$BV$11</f>
        <v>75</v>
      </c>
      <c r="S72" s="45">
        <f>[1]te!$BZ$11</f>
        <v>75</v>
      </c>
      <c r="T72" s="45">
        <f>[1]te!$CA$11</f>
        <v>75</v>
      </c>
      <c r="U72" s="46">
        <f>[1]te!$CE$11</f>
        <v>75</v>
      </c>
      <c r="V72" s="24"/>
      <c r="W72" s="20">
        <f t="shared" si="0"/>
        <v>750</v>
      </c>
      <c r="X72" s="20">
        <f t="shared" si="1"/>
        <v>10</v>
      </c>
      <c r="Y72" s="21">
        <f t="shared" si="2"/>
        <v>75</v>
      </c>
      <c r="Z72" s="21">
        <f t="shared" si="4"/>
        <v>78.860572390572386</v>
      </c>
    </row>
    <row r="73" spans="1:26" ht="16.5" x14ac:dyDescent="0.3">
      <c r="A73" s="70">
        <v>7</v>
      </c>
      <c r="B73" s="73"/>
      <c r="C73" s="76"/>
      <c r="D73" s="47" t="s">
        <v>40</v>
      </c>
      <c r="E73" s="48">
        <f>[1]te!$CF$11</f>
        <v>86</v>
      </c>
      <c r="F73" s="48">
        <f>[1]te!$CG$11</f>
        <v>70</v>
      </c>
      <c r="G73" s="48">
        <f>[1]te!$CH$11</f>
        <v>70</v>
      </c>
      <c r="H73" s="42"/>
      <c r="I73" s="42"/>
      <c r="J73" s="43"/>
      <c r="K73" s="43"/>
      <c r="L73" s="48">
        <f>[1]te!$CI$11</f>
        <v>70</v>
      </c>
      <c r="M73" s="48">
        <f>[1]te!$CJ$11</f>
        <v>75</v>
      </c>
      <c r="N73" s="48">
        <f>[1]te!$CK$11</f>
        <v>80</v>
      </c>
      <c r="O73" s="43"/>
      <c r="P73" s="44"/>
      <c r="Q73" s="44"/>
      <c r="R73" s="49">
        <f>[1]te!$CN$11</f>
        <v>70</v>
      </c>
      <c r="S73" s="49">
        <f>[1]te!$CM$11</f>
        <v>73</v>
      </c>
      <c r="T73" s="44"/>
      <c r="U73" s="49">
        <f>[1]te!$CL$11</f>
        <v>86</v>
      </c>
      <c r="V73" s="24"/>
      <c r="W73" s="20">
        <f t="shared" si="0"/>
        <v>680</v>
      </c>
      <c r="X73" s="20">
        <f t="shared" si="1"/>
        <v>9</v>
      </c>
      <c r="Y73" s="21">
        <f t="shared" si="2"/>
        <v>75.555555555555557</v>
      </c>
      <c r="Z73" s="21">
        <f t="shared" si="4"/>
        <v>77.910572390572383</v>
      </c>
    </row>
    <row r="74" spans="1:26" ht="17.25" thickBot="1" x14ac:dyDescent="0.35">
      <c r="A74" s="71">
        <v>7</v>
      </c>
      <c r="B74" s="74"/>
      <c r="C74" s="77"/>
      <c r="D74" s="50" t="s">
        <v>41</v>
      </c>
      <c r="E74" s="51">
        <f>(E71*4+E72*3+E73*3)/10</f>
        <v>82.460000000000008</v>
      </c>
      <c r="F74" s="51">
        <f t="shared" ref="F74:G74" si="15">(F71*4+F72*3+F73*3)/10</f>
        <v>78.22</v>
      </c>
      <c r="G74" s="51">
        <f t="shared" si="15"/>
        <v>73.099999999999994</v>
      </c>
      <c r="H74" s="51">
        <f>AVERAGE(H66:H69)</f>
        <v>85</v>
      </c>
      <c r="I74" s="51">
        <f>AVERAGE(I66:I69)</f>
        <v>81.25</v>
      </c>
      <c r="J74" s="51">
        <f>AVERAGE(J66:J67)</f>
        <v>79.5</v>
      </c>
      <c r="K74" s="51">
        <f>AVERAGE(K66:K69)</f>
        <v>78.25</v>
      </c>
      <c r="L74" s="51">
        <f>(L71*4+L72*3+L73*3)/10</f>
        <v>75.5</v>
      </c>
      <c r="M74" s="51">
        <f>(M71*4+M72*3+M73*3)/10</f>
        <v>74.52000000000001</v>
      </c>
      <c r="N74" s="51">
        <f>(N71*4+N72*3+N73*3)/10</f>
        <v>75.06</v>
      </c>
      <c r="O74" s="51">
        <f>AVERAGE(O66:O67)</f>
        <v>77.5</v>
      </c>
      <c r="P74" s="51">
        <f>AVERAGE(P66:P67)</f>
        <v>79.5</v>
      </c>
      <c r="Q74" s="51">
        <f>AVERAGE(Q66:Q67)</f>
        <v>77</v>
      </c>
      <c r="R74" s="51">
        <f>(R71*4+R72*3+R73*3)/10</f>
        <v>75.666666666666671</v>
      </c>
      <c r="S74" s="51">
        <f>(S71*4+S72*3+S73*3)/10</f>
        <v>75.599999999999994</v>
      </c>
      <c r="T74" s="51">
        <f>T72</f>
        <v>75</v>
      </c>
      <c r="U74" s="51">
        <f t="shared" ref="U74" si="16">(U71*4+U72*3+U73*3)/10</f>
        <v>77.900000000000006</v>
      </c>
      <c r="V74" s="52">
        <f>AVERAGE(E74:U74)</f>
        <v>77.707450980392153</v>
      </c>
      <c r="W74" s="20">
        <f t="shared" si="0"/>
        <v>1321.0266666666666</v>
      </c>
      <c r="X74" s="20">
        <f t="shared" si="1"/>
        <v>17</v>
      </c>
      <c r="Y74" s="21">
        <f t="shared" si="2"/>
        <v>77.707450980392153</v>
      </c>
      <c r="Z74" s="21">
        <f t="shared" si="4"/>
        <v>77.251986531986518</v>
      </c>
    </row>
    <row r="75" spans="1:26" ht="18" thickTop="1" thickBot="1" x14ac:dyDescent="0.35">
      <c r="A75" s="70">
        <v>8</v>
      </c>
      <c r="B75" s="72" t="s">
        <v>54</v>
      </c>
      <c r="C75" s="75" t="s">
        <v>55</v>
      </c>
      <c r="D75" s="15" t="s">
        <v>33</v>
      </c>
      <c r="E75" s="16">
        <f>[1]te!$E$12</f>
        <v>82</v>
      </c>
      <c r="F75" s="16">
        <f>[1]te!$K$12</f>
        <v>80</v>
      </c>
      <c r="G75" s="16">
        <f>[1]te!$Q$12</f>
        <v>78</v>
      </c>
      <c r="H75" s="16">
        <f>[1]te!$W$12</f>
        <v>85</v>
      </c>
      <c r="I75" s="16">
        <f>[1]te!$AA$12</f>
        <v>80</v>
      </c>
      <c r="J75" s="16">
        <f>[1]te!$AE$12</f>
        <v>81</v>
      </c>
      <c r="K75" s="17">
        <f>[1]te!$AG$12</f>
        <v>81</v>
      </c>
      <c r="L75" s="18"/>
      <c r="M75" s="16">
        <f>[1]te!$AM$12</f>
        <v>74</v>
      </c>
      <c r="N75" s="16">
        <f>[1]te!$AS$12</f>
        <v>71</v>
      </c>
      <c r="O75" s="16">
        <f>[1]te!$AY$12</f>
        <v>77</v>
      </c>
      <c r="P75" s="17">
        <f>[1]te!$BA$12</f>
        <v>78</v>
      </c>
      <c r="Q75" s="17">
        <f>[1]te!$BC$12</f>
        <v>77</v>
      </c>
      <c r="R75" s="18"/>
      <c r="S75" s="18"/>
      <c r="T75" s="18"/>
      <c r="U75" s="18"/>
      <c r="V75" s="19"/>
      <c r="W75" s="20">
        <f t="shared" si="0"/>
        <v>944</v>
      </c>
      <c r="X75" s="20">
        <f t="shared" si="1"/>
        <v>12</v>
      </c>
      <c r="Y75" s="21">
        <f t="shared" si="2"/>
        <v>78.666666666666671</v>
      </c>
      <c r="Z75" s="21">
        <f t="shared" si="4"/>
        <v>76.854082788671022</v>
      </c>
    </row>
    <row r="76" spans="1:26" ht="17.25" thickBot="1" x14ac:dyDescent="0.35">
      <c r="A76" s="70">
        <v>8</v>
      </c>
      <c r="B76" s="73"/>
      <c r="C76" s="76"/>
      <c r="D76" s="15" t="s">
        <v>34</v>
      </c>
      <c r="E76" s="16">
        <f>[1]te!$F$12</f>
        <v>87</v>
      </c>
      <c r="F76" s="16">
        <f>[1]te!$L$12</f>
        <v>80</v>
      </c>
      <c r="G76" s="16">
        <f>[1]te!$R$12</f>
        <v>78</v>
      </c>
      <c r="H76" s="16">
        <f>[1]te!$X$12</f>
        <v>85</v>
      </c>
      <c r="I76" s="16">
        <f>[1]te!$AB$12</f>
        <v>82</v>
      </c>
      <c r="J76" s="16">
        <f>[1]te!$AF$12</f>
        <v>80</v>
      </c>
      <c r="K76" s="17">
        <f>[1]te!$AH$12</f>
        <v>86</v>
      </c>
      <c r="L76" s="18"/>
      <c r="M76" s="16">
        <f>[1]te!$AN$12</f>
        <v>75</v>
      </c>
      <c r="N76" s="16">
        <f>[1]te!$AT$12</f>
        <v>74</v>
      </c>
      <c r="O76" s="16">
        <f>[1]te!$AZ$12</f>
        <v>79</v>
      </c>
      <c r="P76" s="17">
        <f>[1]te!$BB$12</f>
        <v>81</v>
      </c>
      <c r="Q76" s="17">
        <f>[1]te!$BD$12</f>
        <v>80</v>
      </c>
      <c r="R76" s="18"/>
      <c r="S76" s="18"/>
      <c r="T76" s="18"/>
      <c r="U76" s="18"/>
      <c r="V76" s="24"/>
      <c r="W76" s="20">
        <f t="shared" si="0"/>
        <v>967</v>
      </c>
      <c r="X76" s="20">
        <f t="shared" si="1"/>
        <v>12</v>
      </c>
      <c r="Y76" s="21">
        <f t="shared" si="2"/>
        <v>80.583333333333329</v>
      </c>
      <c r="Z76" s="21">
        <f t="shared" si="4"/>
        <v>77.026305010893253</v>
      </c>
    </row>
    <row r="77" spans="1:26" ht="17.25" thickBot="1" x14ac:dyDescent="0.35">
      <c r="A77" s="70">
        <v>8</v>
      </c>
      <c r="B77" s="73"/>
      <c r="C77" s="76"/>
      <c r="D77" s="15" t="s">
        <v>35</v>
      </c>
      <c r="E77" s="16">
        <f>[1]te!$G$12</f>
        <v>84</v>
      </c>
      <c r="F77" s="16">
        <f>[1]te!$M$12</f>
        <v>93</v>
      </c>
      <c r="G77" s="16">
        <f>[1]te!$S$12</f>
        <v>70</v>
      </c>
      <c r="H77" s="16">
        <f>[1]te!$Y$12</f>
        <v>84</v>
      </c>
      <c r="I77" s="16">
        <f>[1]te!$AC$12</f>
        <v>83</v>
      </c>
      <c r="J77" s="25"/>
      <c r="K77" s="17">
        <f>[1]te!$AI$12</f>
        <v>70</v>
      </c>
      <c r="L77" s="18"/>
      <c r="M77" s="16">
        <f>[1]te!$AO$12</f>
        <v>72</v>
      </c>
      <c r="N77" s="16">
        <f>[1]te!$AU$12</f>
        <v>72</v>
      </c>
      <c r="O77" s="25"/>
      <c r="P77" s="18"/>
      <c r="Q77" s="18"/>
      <c r="R77" s="17">
        <f>[1]te!$BS$12</f>
        <v>76.666666666666671</v>
      </c>
      <c r="S77" s="17">
        <f>[1]te!$BW$12</f>
        <v>84</v>
      </c>
      <c r="T77" s="18"/>
      <c r="U77" s="17">
        <f>[1]te!$CB$12</f>
        <v>70</v>
      </c>
      <c r="V77" s="24"/>
      <c r="W77" s="20">
        <f t="shared" ref="W77:W137" si="17">SUM(E77:U77)</f>
        <v>858.66666666666663</v>
      </c>
      <c r="X77" s="20">
        <f t="shared" ref="X77:X137" si="18">COUNT(E77:U77)</f>
        <v>11</v>
      </c>
      <c r="Y77" s="21">
        <f t="shared" ref="Y77:Y137" si="19">W77/X77</f>
        <v>78.060606060606062</v>
      </c>
      <c r="Z77" s="21">
        <f t="shared" si="4"/>
        <v>77.502601307189536</v>
      </c>
    </row>
    <row r="78" spans="1:26" ht="17.25" thickBot="1" x14ac:dyDescent="0.35">
      <c r="A78" s="70">
        <v>8</v>
      </c>
      <c r="B78" s="73"/>
      <c r="C78" s="76"/>
      <c r="D78" s="29" t="s">
        <v>36</v>
      </c>
      <c r="E78" s="16">
        <f>[1]te!$H$12</f>
        <v>83</v>
      </c>
      <c r="F78" s="16">
        <f>[1]te!$N$12</f>
        <v>95</v>
      </c>
      <c r="G78" s="16">
        <f>[1]te!$T$12</f>
        <v>73</v>
      </c>
      <c r="H78" s="16">
        <f>[1]te!$Z$12</f>
        <v>85</v>
      </c>
      <c r="I78" s="16">
        <f>[1]te!$AD$12</f>
        <v>83</v>
      </c>
      <c r="J78" s="25"/>
      <c r="K78" s="17">
        <f>[1]te!$AJ$12</f>
        <v>81</v>
      </c>
      <c r="L78" s="18"/>
      <c r="M78" s="16">
        <f>[1]te!$AP$12</f>
        <v>73</v>
      </c>
      <c r="N78" s="16">
        <f>[1]te!$AV$12</f>
        <v>71</v>
      </c>
      <c r="O78" s="25"/>
      <c r="P78" s="18"/>
      <c r="Q78" s="18"/>
      <c r="R78" s="17">
        <f>[1]te!$BT$12</f>
        <v>80</v>
      </c>
      <c r="S78" s="17">
        <f>[1]te!$BX$12</f>
        <v>80</v>
      </c>
      <c r="T78" s="30"/>
      <c r="U78" s="17">
        <f>[1]te!$CC$12</f>
        <v>74</v>
      </c>
      <c r="V78" s="24"/>
      <c r="W78" s="20">
        <f t="shared" si="17"/>
        <v>878</v>
      </c>
      <c r="X78" s="20">
        <f t="shared" si="18"/>
        <v>11</v>
      </c>
      <c r="Y78" s="21">
        <f t="shared" si="19"/>
        <v>79.818181818181813</v>
      </c>
      <c r="Z78" s="21">
        <f t="shared" si="4"/>
        <v>78.114722519310746</v>
      </c>
    </row>
    <row r="79" spans="1:26" ht="16.5" x14ac:dyDescent="0.3">
      <c r="A79" s="70">
        <v>8</v>
      </c>
      <c r="B79" s="73"/>
      <c r="C79" s="76"/>
      <c r="D79" s="29" t="s">
        <v>37</v>
      </c>
      <c r="E79" s="16">
        <f>[1]te!$I$12</f>
        <v>85</v>
      </c>
      <c r="F79" s="16">
        <f>[1]te!$O$12</f>
        <v>95</v>
      </c>
      <c r="G79" s="16">
        <f>[1]te!$U$12</f>
        <v>73</v>
      </c>
      <c r="H79" s="33"/>
      <c r="I79" s="33"/>
      <c r="J79" s="25"/>
      <c r="K79" s="25"/>
      <c r="L79" s="16">
        <f>[1]te!$AK$12</f>
        <v>80</v>
      </c>
      <c r="M79" s="16">
        <f>[1]te!$AQ$12</f>
        <v>74</v>
      </c>
      <c r="N79" s="16">
        <f>[1]te!$AW$12</f>
        <v>77</v>
      </c>
      <c r="O79" s="25"/>
      <c r="P79" s="18"/>
      <c r="Q79" s="18"/>
      <c r="R79" s="17">
        <f>[1]te!$BU$12</f>
        <v>77.25</v>
      </c>
      <c r="S79" s="17">
        <f>[1]te!$BY$12</f>
        <v>70</v>
      </c>
      <c r="T79" s="17"/>
      <c r="U79" s="17">
        <f>[1]te!$CD$12</f>
        <v>77</v>
      </c>
      <c r="V79" s="24"/>
      <c r="W79" s="20">
        <f t="shared" si="17"/>
        <v>708.25</v>
      </c>
      <c r="X79" s="20">
        <f t="shared" si="18"/>
        <v>9</v>
      </c>
      <c r="Y79" s="21">
        <f t="shared" si="19"/>
        <v>78.694444444444443</v>
      </c>
      <c r="Z79" s="21">
        <f t="shared" si="4"/>
        <v>78.967247771836</v>
      </c>
    </row>
    <row r="80" spans="1:26" ht="16.5" x14ac:dyDescent="0.3">
      <c r="A80" s="70">
        <v>8</v>
      </c>
      <c r="B80" s="73"/>
      <c r="C80" s="76"/>
      <c r="D80" s="34" t="s">
        <v>38</v>
      </c>
      <c r="E80" s="35">
        <f>AVERAGE(E75:E79)</f>
        <v>84.2</v>
      </c>
      <c r="F80" s="35">
        <f>AVERAGE(F75:F79)</f>
        <v>88.6</v>
      </c>
      <c r="G80" s="35">
        <f>AVERAGE(G75:G79)</f>
        <v>74.400000000000006</v>
      </c>
      <c r="H80" s="36"/>
      <c r="I80" s="36"/>
      <c r="J80" s="37"/>
      <c r="K80" s="37"/>
      <c r="L80" s="35">
        <f>AVERAGE(L75:L79)</f>
        <v>80</v>
      </c>
      <c r="M80" s="35">
        <f>AVERAGE(M75:M79)</f>
        <v>73.599999999999994</v>
      </c>
      <c r="N80" s="35">
        <f>AVERAGE(N75:N79)</f>
        <v>73</v>
      </c>
      <c r="O80" s="37"/>
      <c r="P80" s="30"/>
      <c r="Q80" s="30"/>
      <c r="R80" s="38">
        <f>AVERAGE(R77:R79)</f>
        <v>77.972222222222229</v>
      </c>
      <c r="S80" s="38">
        <f>AVERAGE(S77:S79)</f>
        <v>78</v>
      </c>
      <c r="T80" s="30"/>
      <c r="U80" s="38">
        <f>AVERAGE(U75:U79)</f>
        <v>73.666666666666671</v>
      </c>
      <c r="V80" s="24"/>
      <c r="W80" s="20">
        <f t="shared" si="17"/>
        <v>703.43888888888898</v>
      </c>
      <c r="X80" s="20">
        <f t="shared" si="18"/>
        <v>9</v>
      </c>
      <c r="Y80" s="21">
        <f t="shared" si="19"/>
        <v>78.15987654320989</v>
      </c>
      <c r="Z80" s="39">
        <f t="shared" si="4"/>
        <v>79.164646464646466</v>
      </c>
    </row>
    <row r="81" spans="1:26" ht="16.5" x14ac:dyDescent="0.3">
      <c r="A81" s="70">
        <v>8</v>
      </c>
      <c r="B81" s="73"/>
      <c r="C81" s="76"/>
      <c r="D81" s="40" t="s">
        <v>39</v>
      </c>
      <c r="E81" s="41">
        <f>[1]te!$J$12</f>
        <v>90</v>
      </c>
      <c r="F81" s="41">
        <f>[1]te!$P$12</f>
        <v>93</v>
      </c>
      <c r="G81" s="41">
        <f>[1]te!$V$12</f>
        <v>89</v>
      </c>
      <c r="H81" s="42"/>
      <c r="I81" s="42"/>
      <c r="J81" s="43"/>
      <c r="K81" s="43"/>
      <c r="L81" s="41">
        <f>[1]te!$AL$12</f>
        <v>89</v>
      </c>
      <c r="M81" s="41">
        <f>[1]te!$AR$12</f>
        <v>90</v>
      </c>
      <c r="N81" s="41">
        <f>[1]te!$AX$12</f>
        <v>90</v>
      </c>
      <c r="O81" s="43"/>
      <c r="P81" s="44"/>
      <c r="Q81" s="44"/>
      <c r="R81" s="45">
        <f>[1]te!$BV$12</f>
        <v>91</v>
      </c>
      <c r="S81" s="45">
        <f>[1]te!$BZ$12</f>
        <v>93</v>
      </c>
      <c r="T81" s="45">
        <f>[1]te!$CA$12</f>
        <v>91</v>
      </c>
      <c r="U81" s="46">
        <f>[1]te!$CE$12</f>
        <v>90</v>
      </c>
      <c r="V81" s="24"/>
      <c r="W81" s="20">
        <f t="shared" si="17"/>
        <v>906</v>
      </c>
      <c r="X81" s="20">
        <f t="shared" si="18"/>
        <v>10</v>
      </c>
      <c r="Y81" s="21">
        <f t="shared" si="19"/>
        <v>90.6</v>
      </c>
      <c r="Z81" s="21">
        <f t="shared" si="4"/>
        <v>79.063288439955116</v>
      </c>
    </row>
    <row r="82" spans="1:26" ht="16.5" x14ac:dyDescent="0.3">
      <c r="A82" s="70">
        <v>8</v>
      </c>
      <c r="B82" s="73"/>
      <c r="C82" s="76"/>
      <c r="D82" s="47" t="s">
        <v>40</v>
      </c>
      <c r="E82" s="48">
        <f>[1]te!$CF$12</f>
        <v>81</v>
      </c>
      <c r="F82" s="48">
        <f>[1]te!$CG$12</f>
        <v>90</v>
      </c>
      <c r="G82" s="48">
        <f>[1]te!$CH$12</f>
        <v>70</v>
      </c>
      <c r="H82" s="42"/>
      <c r="I82" s="42"/>
      <c r="J82" s="43"/>
      <c r="K82" s="43"/>
      <c r="L82" s="48">
        <f>[1]te!$CI$12</f>
        <v>95</v>
      </c>
      <c r="M82" s="48">
        <f>[1]te!$CJ$12</f>
        <v>76</v>
      </c>
      <c r="N82" s="48">
        <f>[1]te!$CK$12</f>
        <v>80</v>
      </c>
      <c r="O82" s="43"/>
      <c r="P82" s="44"/>
      <c r="Q82" s="44"/>
      <c r="R82" s="49">
        <f>[1]te!$CN$12</f>
        <v>95</v>
      </c>
      <c r="S82" s="49">
        <f>[1]te!$CM$12</f>
        <v>93</v>
      </c>
      <c r="T82" s="44"/>
      <c r="U82" s="49">
        <f>[1]te!$CL$12</f>
        <v>76</v>
      </c>
      <c r="V82" s="24"/>
      <c r="W82" s="20">
        <f t="shared" si="17"/>
        <v>756</v>
      </c>
      <c r="X82" s="20">
        <f t="shared" si="18"/>
        <v>9</v>
      </c>
      <c r="Y82" s="21">
        <f t="shared" si="19"/>
        <v>84</v>
      </c>
      <c r="Z82" s="21">
        <f t="shared" si="4"/>
        <v>81.066621773288446</v>
      </c>
    </row>
    <row r="83" spans="1:26" ht="17.25" thickBot="1" x14ac:dyDescent="0.35">
      <c r="A83" s="71">
        <v>8</v>
      </c>
      <c r="B83" s="74"/>
      <c r="C83" s="77"/>
      <c r="D83" s="50" t="s">
        <v>41</v>
      </c>
      <c r="E83" s="51">
        <f>(E80*4+E81*3+E82*3)/10</f>
        <v>84.97999999999999</v>
      </c>
      <c r="F83" s="51">
        <f t="shared" ref="F83:G83" si="20">(F80*4+F81*3+F82*3)/10</f>
        <v>90.34</v>
      </c>
      <c r="G83" s="51">
        <f t="shared" si="20"/>
        <v>77.460000000000008</v>
      </c>
      <c r="H83" s="51">
        <f>AVERAGE(H75:H78)</f>
        <v>84.75</v>
      </c>
      <c r="I83" s="51">
        <f>AVERAGE(I75:I78)</f>
        <v>82</v>
      </c>
      <c r="J83" s="51">
        <f>AVERAGE(J75:J76)</f>
        <v>80.5</v>
      </c>
      <c r="K83" s="51">
        <f>AVERAGE(K75:K78)</f>
        <v>79.5</v>
      </c>
      <c r="L83" s="51">
        <f>(L80*4+L81*3+L82*3)/10</f>
        <v>87.2</v>
      </c>
      <c r="M83" s="51">
        <f>(M80*4+M81*3+M82*3)/10</f>
        <v>79.239999999999995</v>
      </c>
      <c r="N83" s="51">
        <f>(N80*4+N81*3+N82*3)/10</f>
        <v>80.2</v>
      </c>
      <c r="O83" s="51">
        <f>AVERAGE(O75:O76)</f>
        <v>78</v>
      </c>
      <c r="P83" s="51">
        <f>AVERAGE(P75:P76)</f>
        <v>79.5</v>
      </c>
      <c r="Q83" s="51">
        <f>AVERAGE(Q75:Q76)</f>
        <v>78.5</v>
      </c>
      <c r="R83" s="51">
        <f>(R80*4+R81*3+R82*3)/10</f>
        <v>86.988888888888894</v>
      </c>
      <c r="S83" s="51">
        <f>(S80*4+S81*3+S82*3)/10</f>
        <v>87</v>
      </c>
      <c r="T83" s="51">
        <f>T81</f>
        <v>91</v>
      </c>
      <c r="U83" s="51">
        <f t="shared" ref="U83" si="21">(U80*4+U81*3+U82*3)/10</f>
        <v>79.26666666666668</v>
      </c>
      <c r="V83" s="52">
        <f>AVERAGE(E83:U83)</f>
        <v>82.730915032679732</v>
      </c>
      <c r="W83" s="20">
        <f t="shared" si="17"/>
        <v>1406.4255555555555</v>
      </c>
      <c r="X83" s="20">
        <f t="shared" si="18"/>
        <v>17</v>
      </c>
      <c r="Y83" s="21">
        <f t="shared" si="19"/>
        <v>82.730915032679732</v>
      </c>
      <c r="Z83" s="21">
        <f t="shared" si="4"/>
        <v>82.254500561167234</v>
      </c>
    </row>
    <row r="84" spans="1:26" ht="18" thickTop="1" thickBot="1" x14ac:dyDescent="0.35">
      <c r="A84" s="70">
        <v>9</v>
      </c>
      <c r="B84" s="72" t="s">
        <v>56</v>
      </c>
      <c r="C84" s="75" t="s">
        <v>57</v>
      </c>
      <c r="D84" s="15" t="s">
        <v>33</v>
      </c>
      <c r="E84" s="16">
        <f>[1]te!$E$13</f>
        <v>86</v>
      </c>
      <c r="F84" s="16">
        <f>[1]te!$K$13</f>
        <v>82</v>
      </c>
      <c r="G84" s="16">
        <f>[1]te!$Q$13</f>
        <v>90</v>
      </c>
      <c r="H84" s="16">
        <f>[1]te!$W$13</f>
        <v>82</v>
      </c>
      <c r="I84" s="16">
        <f>[1]te!$AA$13</f>
        <v>89</v>
      </c>
      <c r="J84" s="16">
        <f>[1]te!$AE$13</f>
        <v>81</v>
      </c>
      <c r="K84" s="17">
        <f>[1]te!$AG$13</f>
        <v>81</v>
      </c>
      <c r="L84" s="18"/>
      <c r="M84" s="16">
        <f>[1]te!$AM$13</f>
        <v>84</v>
      </c>
      <c r="N84" s="16">
        <f>[1]te!$AS$13</f>
        <v>81</v>
      </c>
      <c r="O84" s="16">
        <f>[1]te!$AY$13</f>
        <v>79</v>
      </c>
      <c r="P84" s="17">
        <f>[1]te!$BA$13</f>
        <v>88</v>
      </c>
      <c r="Q84" s="17">
        <f>[1]te!$BC$13</f>
        <v>90</v>
      </c>
      <c r="R84" s="18"/>
      <c r="S84" s="18"/>
      <c r="T84" s="18"/>
      <c r="U84" s="18"/>
      <c r="V84" s="19"/>
      <c r="W84" s="20">
        <f t="shared" si="17"/>
        <v>1013</v>
      </c>
      <c r="X84" s="20">
        <f t="shared" si="18"/>
        <v>12</v>
      </c>
      <c r="Y84" s="21">
        <f t="shared" si="19"/>
        <v>84.416666666666671</v>
      </c>
      <c r="Z84" s="21">
        <f t="shared" si="4"/>
        <v>82.837047204066806</v>
      </c>
    </row>
    <row r="85" spans="1:26" ht="17.25" thickBot="1" x14ac:dyDescent="0.35">
      <c r="A85" s="70">
        <v>9</v>
      </c>
      <c r="B85" s="73"/>
      <c r="C85" s="76"/>
      <c r="D85" s="15" t="s">
        <v>34</v>
      </c>
      <c r="E85" s="16">
        <f>[1]te!$F$13</f>
        <v>89</v>
      </c>
      <c r="F85" s="16">
        <f>[1]te!$L$13</f>
        <v>87</v>
      </c>
      <c r="G85" s="16">
        <f>[1]te!$R$13</f>
        <v>83</v>
      </c>
      <c r="H85" s="16">
        <f>[1]te!$X$13</f>
        <v>85</v>
      </c>
      <c r="I85" s="16">
        <f>[1]te!$AB$13</f>
        <v>89</v>
      </c>
      <c r="J85" s="16">
        <f>[1]te!$AF$13</f>
        <v>83</v>
      </c>
      <c r="K85" s="17">
        <f>[1]te!$AH$13</f>
        <v>82</v>
      </c>
      <c r="L85" s="18"/>
      <c r="M85" s="16">
        <f>[1]te!$AN$13</f>
        <v>85</v>
      </c>
      <c r="N85" s="16">
        <f>[1]te!$AT$13</f>
        <v>83</v>
      </c>
      <c r="O85" s="16">
        <f>[1]te!$AZ$13</f>
        <v>80</v>
      </c>
      <c r="P85" s="17">
        <f>[1]te!$BB$13</f>
        <v>90</v>
      </c>
      <c r="Q85" s="17">
        <f>[1]te!$BD$13</f>
        <v>87</v>
      </c>
      <c r="R85" s="18"/>
      <c r="S85" s="18"/>
      <c r="T85" s="18"/>
      <c r="U85" s="18"/>
      <c r="V85" s="24"/>
      <c r="W85" s="20">
        <f t="shared" si="17"/>
        <v>1023</v>
      </c>
      <c r="X85" s="20">
        <f t="shared" si="18"/>
        <v>12</v>
      </c>
      <c r="Y85" s="21">
        <f t="shared" si="19"/>
        <v>85.25</v>
      </c>
      <c r="Z85" s="21">
        <f t="shared" si="4"/>
        <v>83.981491648511252</v>
      </c>
    </row>
    <row r="86" spans="1:26" ht="17.25" thickBot="1" x14ac:dyDescent="0.35">
      <c r="A86" s="70">
        <v>9</v>
      </c>
      <c r="B86" s="73"/>
      <c r="C86" s="76"/>
      <c r="D86" s="15" t="s">
        <v>35</v>
      </c>
      <c r="E86" s="16">
        <f>[1]te!$G$13</f>
        <v>87</v>
      </c>
      <c r="F86" s="16">
        <f>[1]te!$M$13</f>
        <v>95</v>
      </c>
      <c r="G86" s="16">
        <f>[1]te!$S$13</f>
        <v>89</v>
      </c>
      <c r="H86" s="16">
        <f>[1]te!$Y$13</f>
        <v>83</v>
      </c>
      <c r="I86" s="16">
        <f>[1]te!$AC$13</f>
        <v>85</v>
      </c>
      <c r="J86" s="25"/>
      <c r="K86" s="17">
        <f>[1]te!$AI$13</f>
        <v>71</v>
      </c>
      <c r="L86" s="18"/>
      <c r="M86" s="16">
        <f>[1]te!$AO$13</f>
        <v>89</v>
      </c>
      <c r="N86" s="16">
        <f>[1]te!$AU$13</f>
        <v>85</v>
      </c>
      <c r="O86" s="25"/>
      <c r="P86" s="18"/>
      <c r="Q86" s="18"/>
      <c r="R86" s="17">
        <f>[1]te!$BS$13</f>
        <v>83.333333333333329</v>
      </c>
      <c r="S86" s="17">
        <f>[1]te!$BW$13</f>
        <v>85</v>
      </c>
      <c r="T86" s="18"/>
      <c r="U86" s="17">
        <f>[1]te!$CB$13</f>
        <v>81</v>
      </c>
      <c r="V86" s="24"/>
      <c r="W86" s="20">
        <f t="shared" si="17"/>
        <v>933.33333333333337</v>
      </c>
      <c r="X86" s="20">
        <f t="shared" si="18"/>
        <v>11</v>
      </c>
      <c r="Y86" s="21">
        <f t="shared" si="19"/>
        <v>84.848484848484858</v>
      </c>
      <c r="Z86" s="21">
        <f t="shared" si="4"/>
        <v>85.39951633986928</v>
      </c>
    </row>
    <row r="87" spans="1:26" ht="17.25" thickBot="1" x14ac:dyDescent="0.35">
      <c r="A87" s="70">
        <v>9</v>
      </c>
      <c r="B87" s="73"/>
      <c r="C87" s="76"/>
      <c r="D87" s="29" t="s">
        <v>36</v>
      </c>
      <c r="E87" s="16">
        <f>[1]te!$H$13</f>
        <v>87</v>
      </c>
      <c r="F87" s="16">
        <f>[1]te!$N$13</f>
        <v>95</v>
      </c>
      <c r="G87" s="16">
        <f>[1]te!$T$13</f>
        <v>85</v>
      </c>
      <c r="H87" s="16">
        <f>[1]te!$Z$13</f>
        <v>84</v>
      </c>
      <c r="I87" s="16">
        <f>[1]te!$AD$13</f>
        <v>86</v>
      </c>
      <c r="J87" s="25"/>
      <c r="K87" s="17">
        <f>[1]te!$AJ$13</f>
        <v>83</v>
      </c>
      <c r="L87" s="18"/>
      <c r="M87" s="16">
        <f>[1]te!$AP$13</f>
        <v>90</v>
      </c>
      <c r="N87" s="16">
        <f>[1]te!$AV$13</f>
        <v>85</v>
      </c>
      <c r="O87" s="25"/>
      <c r="P87" s="18"/>
      <c r="Q87" s="18"/>
      <c r="R87" s="17">
        <f>[1]te!$BT$13</f>
        <v>83.333333333333329</v>
      </c>
      <c r="S87" s="17">
        <f>[1]te!$BX$13</f>
        <v>80</v>
      </c>
      <c r="T87" s="30"/>
      <c r="U87" s="17">
        <f>[1]te!$CC$13</f>
        <v>88</v>
      </c>
      <c r="V87" s="24"/>
      <c r="W87" s="20">
        <f t="shared" si="17"/>
        <v>946.33333333333337</v>
      </c>
      <c r="X87" s="20">
        <f t="shared" si="18"/>
        <v>11</v>
      </c>
      <c r="Y87" s="21">
        <f t="shared" si="19"/>
        <v>86.030303030303031</v>
      </c>
      <c r="Z87" s="21">
        <f t="shared" si="4"/>
        <v>84.249213309566258</v>
      </c>
    </row>
    <row r="88" spans="1:26" ht="16.5" x14ac:dyDescent="0.3">
      <c r="A88" s="70">
        <v>9</v>
      </c>
      <c r="B88" s="73"/>
      <c r="C88" s="76"/>
      <c r="D88" s="29" t="s">
        <v>37</v>
      </c>
      <c r="E88" s="16">
        <f>[1]te!$I$13</f>
        <v>92</v>
      </c>
      <c r="F88" s="16">
        <f>[1]te!$O$13</f>
        <v>95</v>
      </c>
      <c r="G88" s="16">
        <f>[1]te!$U$13</f>
        <v>87</v>
      </c>
      <c r="H88" s="33"/>
      <c r="I88" s="33"/>
      <c r="J88" s="25"/>
      <c r="K88" s="25"/>
      <c r="L88" s="16">
        <f>[1]te!$AK$13</f>
        <v>83</v>
      </c>
      <c r="M88" s="16">
        <f>[1]te!$AQ$13</f>
        <v>86</v>
      </c>
      <c r="N88" s="16">
        <f>[1]te!$AW$13</f>
        <v>85</v>
      </c>
      <c r="O88" s="25"/>
      <c r="P88" s="18"/>
      <c r="Q88" s="18"/>
      <c r="R88" s="17">
        <f>[1]te!$BU$13</f>
        <v>83</v>
      </c>
      <c r="S88" s="17">
        <f>[1]te!$BY$13</f>
        <v>85</v>
      </c>
      <c r="T88" s="17"/>
      <c r="U88" s="17">
        <f>[1]te!$CD$13</f>
        <v>76</v>
      </c>
      <c r="V88" s="24"/>
      <c r="W88" s="20">
        <f t="shared" si="17"/>
        <v>772</v>
      </c>
      <c r="X88" s="20">
        <f t="shared" si="18"/>
        <v>9</v>
      </c>
      <c r="Y88" s="21">
        <f t="shared" si="19"/>
        <v>85.777777777777771</v>
      </c>
      <c r="Z88" s="21">
        <f t="shared" si="4"/>
        <v>84.655273915626864</v>
      </c>
    </row>
    <row r="89" spans="1:26" ht="16.5" x14ac:dyDescent="0.3">
      <c r="A89" s="70">
        <v>9</v>
      </c>
      <c r="B89" s="73"/>
      <c r="C89" s="76"/>
      <c r="D89" s="34" t="s">
        <v>38</v>
      </c>
      <c r="E89" s="35">
        <f>AVERAGE(E84:E88)</f>
        <v>88.2</v>
      </c>
      <c r="F89" s="35">
        <f>AVERAGE(F84:F88)</f>
        <v>90.8</v>
      </c>
      <c r="G89" s="35">
        <f>AVERAGE(G84:G88)</f>
        <v>86.8</v>
      </c>
      <c r="H89" s="36"/>
      <c r="I89" s="36"/>
      <c r="J89" s="37"/>
      <c r="K89" s="37"/>
      <c r="L89" s="35">
        <f>AVERAGE(L84:L88)</f>
        <v>83</v>
      </c>
      <c r="M89" s="35">
        <f>AVERAGE(M84:M88)</f>
        <v>86.8</v>
      </c>
      <c r="N89" s="35">
        <f>AVERAGE(N84:N88)</f>
        <v>83.8</v>
      </c>
      <c r="O89" s="37"/>
      <c r="P89" s="30"/>
      <c r="Q89" s="30"/>
      <c r="R89" s="38">
        <f>AVERAGE(R86:R88)</f>
        <v>83.222222222222214</v>
      </c>
      <c r="S89" s="38">
        <f>AVERAGE(S86:S88)</f>
        <v>83.333333333333329</v>
      </c>
      <c r="T89" s="30"/>
      <c r="U89" s="38">
        <f>AVERAGE(U84:U88)</f>
        <v>81.666666666666671</v>
      </c>
      <c r="V89" s="24"/>
      <c r="W89" s="20">
        <f t="shared" si="17"/>
        <v>767.62222222222215</v>
      </c>
      <c r="X89" s="20">
        <f t="shared" si="18"/>
        <v>9</v>
      </c>
      <c r="Y89" s="21">
        <f t="shared" si="19"/>
        <v>85.291358024691348</v>
      </c>
      <c r="Z89" s="39">
        <f t="shared" si="4"/>
        <v>85.264646464646475</v>
      </c>
    </row>
    <row r="90" spans="1:26" ht="16.5" x14ac:dyDescent="0.3">
      <c r="A90" s="70">
        <v>9</v>
      </c>
      <c r="B90" s="73"/>
      <c r="C90" s="76"/>
      <c r="D90" s="40" t="s">
        <v>39</v>
      </c>
      <c r="E90" s="41">
        <f>[1]te!$J$13</f>
        <v>71</v>
      </c>
      <c r="F90" s="41">
        <f>[1]te!$P$13</f>
        <v>85</v>
      </c>
      <c r="G90" s="41">
        <f>[1]te!$V$13</f>
        <v>79</v>
      </c>
      <c r="H90" s="42"/>
      <c r="I90" s="42"/>
      <c r="J90" s="43"/>
      <c r="K90" s="43"/>
      <c r="L90" s="41">
        <f>[1]te!$AL$13</f>
        <v>79</v>
      </c>
      <c r="M90" s="41">
        <f>[1]te!$AR$13</f>
        <v>85</v>
      </c>
      <c r="N90" s="41">
        <f>[1]te!$AX$13</f>
        <v>85</v>
      </c>
      <c r="O90" s="43"/>
      <c r="P90" s="44"/>
      <c r="Q90" s="44"/>
      <c r="R90" s="45">
        <f>[1]te!$BV$13</f>
        <v>82</v>
      </c>
      <c r="S90" s="45">
        <f>[1]te!$BZ$13</f>
        <v>88</v>
      </c>
      <c r="T90" s="45">
        <f>[1]te!$CA$13</f>
        <v>82</v>
      </c>
      <c r="U90" s="46">
        <f>[1]te!$CE$13</f>
        <v>85</v>
      </c>
      <c r="V90" s="24"/>
      <c r="W90" s="20">
        <f t="shared" si="17"/>
        <v>821</v>
      </c>
      <c r="X90" s="20">
        <f t="shared" si="18"/>
        <v>10</v>
      </c>
      <c r="Y90" s="21">
        <f t="shared" si="19"/>
        <v>82.1</v>
      </c>
      <c r="Z90" s="21">
        <f t="shared" ref="Z90:Z134" si="22">SUM(Y85:Y89)/$Y$9</f>
        <v>85.439584736251405</v>
      </c>
    </row>
    <row r="91" spans="1:26" ht="16.5" x14ac:dyDescent="0.3">
      <c r="A91" s="70">
        <v>9</v>
      </c>
      <c r="B91" s="73"/>
      <c r="C91" s="76"/>
      <c r="D91" s="47" t="s">
        <v>40</v>
      </c>
      <c r="E91" s="48">
        <f>[1]te!$CF$13</f>
        <v>80</v>
      </c>
      <c r="F91" s="48">
        <f>[1]te!$CG$13</f>
        <v>95</v>
      </c>
      <c r="G91" s="48">
        <f>[1]te!$CH$13</f>
        <v>78</v>
      </c>
      <c r="H91" s="42"/>
      <c r="I91" s="42"/>
      <c r="J91" s="43"/>
      <c r="K91" s="43"/>
      <c r="L91" s="48">
        <f>[1]te!$CI$13</f>
        <v>85</v>
      </c>
      <c r="M91" s="48">
        <f>[1]te!$CJ$13</f>
        <v>87</v>
      </c>
      <c r="N91" s="48">
        <f>[1]te!$CK$13</f>
        <v>85</v>
      </c>
      <c r="O91" s="43"/>
      <c r="P91" s="44"/>
      <c r="Q91" s="44"/>
      <c r="R91" s="49">
        <f>[1]te!$CN$13</f>
        <v>90</v>
      </c>
      <c r="S91" s="49">
        <f>[1]te!$CM$13</f>
        <v>85</v>
      </c>
      <c r="T91" s="44"/>
      <c r="U91" s="49">
        <f>[1]te!$CL$13</f>
        <v>89</v>
      </c>
      <c r="V91" s="24"/>
      <c r="W91" s="20">
        <f t="shared" si="17"/>
        <v>774</v>
      </c>
      <c r="X91" s="20">
        <f t="shared" si="18"/>
        <v>9</v>
      </c>
      <c r="Y91" s="21">
        <f t="shared" si="19"/>
        <v>86</v>
      </c>
      <c r="Z91" s="21">
        <f t="shared" si="22"/>
        <v>84.809584736251395</v>
      </c>
    </row>
    <row r="92" spans="1:26" ht="17.25" thickBot="1" x14ac:dyDescent="0.35">
      <c r="A92" s="71">
        <v>9</v>
      </c>
      <c r="B92" s="74"/>
      <c r="C92" s="77"/>
      <c r="D92" s="50" t="s">
        <v>41</v>
      </c>
      <c r="E92" s="51">
        <f>(E89*4+E90*3+E91*3)/10</f>
        <v>80.58</v>
      </c>
      <c r="F92" s="51">
        <f t="shared" ref="F92:G92" si="23">(F89*4+F90*3+F91*3)/10</f>
        <v>90.320000000000007</v>
      </c>
      <c r="G92" s="51">
        <f t="shared" si="23"/>
        <v>81.820000000000007</v>
      </c>
      <c r="H92" s="51">
        <f>AVERAGE(H84:H87)</f>
        <v>83.5</v>
      </c>
      <c r="I92" s="51">
        <f>AVERAGE(I84:I87)</f>
        <v>87.25</v>
      </c>
      <c r="J92" s="51">
        <f>AVERAGE(J84:J85)</f>
        <v>82</v>
      </c>
      <c r="K92" s="51">
        <f>AVERAGE(K84:K87)</f>
        <v>79.25</v>
      </c>
      <c r="L92" s="51">
        <f>(L89*4+L90*3+L91*3)/10</f>
        <v>82.4</v>
      </c>
      <c r="M92" s="51">
        <f>(M89*4+M90*3+M91*3)/10</f>
        <v>86.320000000000007</v>
      </c>
      <c r="N92" s="51">
        <f>(N89*4+N90*3+N91*3)/10</f>
        <v>84.52000000000001</v>
      </c>
      <c r="O92" s="51">
        <f>AVERAGE(O84:O85)</f>
        <v>79.5</v>
      </c>
      <c r="P92" s="51">
        <f>AVERAGE(P84:P85)</f>
        <v>89</v>
      </c>
      <c r="Q92" s="51">
        <f>AVERAGE(Q84:Q85)</f>
        <v>88.5</v>
      </c>
      <c r="R92" s="51">
        <f>(R89*4+R90*3+R91*3)/10</f>
        <v>84.888888888888886</v>
      </c>
      <c r="S92" s="51">
        <f>(S89*4+S90*3+S91*3)/10</f>
        <v>85.23333333333332</v>
      </c>
      <c r="T92" s="51">
        <f>T90</f>
        <v>82</v>
      </c>
      <c r="U92" s="51">
        <f t="shared" ref="U92" si="24">(U89*4+U90*3+U91*3)/10</f>
        <v>84.866666666666674</v>
      </c>
      <c r="V92" s="52">
        <f>AVERAGE(E92:U92)</f>
        <v>84.232287581699353</v>
      </c>
      <c r="W92" s="20">
        <f t="shared" si="17"/>
        <v>1431.9488888888891</v>
      </c>
      <c r="X92" s="20">
        <f t="shared" si="18"/>
        <v>17</v>
      </c>
      <c r="Y92" s="21">
        <f t="shared" si="19"/>
        <v>84.232287581699353</v>
      </c>
      <c r="Z92" s="21">
        <f t="shared" si="22"/>
        <v>85.039887766554415</v>
      </c>
    </row>
    <row r="93" spans="1:26" ht="18" thickTop="1" thickBot="1" x14ac:dyDescent="0.35">
      <c r="A93" s="70">
        <v>10</v>
      </c>
      <c r="B93" s="72" t="s">
        <v>58</v>
      </c>
      <c r="C93" s="75" t="s">
        <v>59</v>
      </c>
      <c r="D93" s="15" t="s">
        <v>33</v>
      </c>
      <c r="E93" s="16">
        <f>[1]te!$E$14</f>
        <v>86</v>
      </c>
      <c r="F93" s="16">
        <f>[1]te!$K$14</f>
        <v>84</v>
      </c>
      <c r="G93" s="16">
        <f>[1]te!$Q$14</f>
        <v>83</v>
      </c>
      <c r="H93" s="16">
        <f>[1]te!$W$14</f>
        <v>82</v>
      </c>
      <c r="I93" s="16">
        <f>[1]te!$AA$14</f>
        <v>89</v>
      </c>
      <c r="J93" s="16">
        <f>[1]te!$AE$14</f>
        <v>87</v>
      </c>
      <c r="K93" s="17">
        <f>[1]te!$AG$14</f>
        <v>87</v>
      </c>
      <c r="L93" s="18"/>
      <c r="M93" s="16">
        <f>[1]te!$AM$14</f>
        <v>80</v>
      </c>
      <c r="N93" s="16">
        <f>[1]te!$AS$14</f>
        <v>77</v>
      </c>
      <c r="O93" s="16">
        <f>[1]te!$AY$14</f>
        <v>75</v>
      </c>
      <c r="P93" s="17">
        <f>[1]te!$BA$14</f>
        <v>86</v>
      </c>
      <c r="Q93" s="17">
        <f>[1]te!$BC$14</f>
        <v>90</v>
      </c>
      <c r="R93" s="18"/>
      <c r="S93" s="18"/>
      <c r="T93" s="18"/>
      <c r="U93" s="18"/>
      <c r="V93" s="19"/>
      <c r="W93" s="20">
        <f t="shared" si="17"/>
        <v>1006</v>
      </c>
      <c r="X93" s="20">
        <f t="shared" si="18"/>
        <v>12</v>
      </c>
      <c r="Y93" s="21">
        <f t="shared" si="19"/>
        <v>83.833333333333329</v>
      </c>
      <c r="Z93" s="21">
        <f t="shared" si="22"/>
        <v>84.680284676833679</v>
      </c>
    </row>
    <row r="94" spans="1:26" ht="17.25" thickBot="1" x14ac:dyDescent="0.35">
      <c r="A94" s="70">
        <v>10</v>
      </c>
      <c r="B94" s="73"/>
      <c r="C94" s="76"/>
      <c r="D94" s="15" t="s">
        <v>34</v>
      </c>
      <c r="E94" s="16">
        <f>[1]te!$F$14</f>
        <v>89</v>
      </c>
      <c r="F94" s="16">
        <f>[1]te!$L$14</f>
        <v>80</v>
      </c>
      <c r="G94" s="16">
        <f>[1]te!$R$14</f>
        <v>77</v>
      </c>
      <c r="H94" s="16">
        <f>[1]te!$X$14</f>
        <v>84</v>
      </c>
      <c r="I94" s="16">
        <f>[1]te!$AB$14</f>
        <v>86</v>
      </c>
      <c r="J94" s="16">
        <f>[1]te!$AF$14</f>
        <v>92</v>
      </c>
      <c r="K94" s="17">
        <f>[1]te!$AH$14</f>
        <v>85</v>
      </c>
      <c r="L94" s="18"/>
      <c r="M94" s="16">
        <f>[1]te!$AN$14</f>
        <v>80</v>
      </c>
      <c r="N94" s="16">
        <f>[1]te!$AT$14</f>
        <v>83</v>
      </c>
      <c r="O94" s="16">
        <f>[1]te!$AZ$14</f>
        <v>79</v>
      </c>
      <c r="P94" s="17">
        <f>[1]te!$BB$14</f>
        <v>88</v>
      </c>
      <c r="Q94" s="17">
        <f>[1]te!$BD$14</f>
        <v>88</v>
      </c>
      <c r="R94" s="18"/>
      <c r="S94" s="18"/>
      <c r="T94" s="18"/>
      <c r="U94" s="18"/>
      <c r="V94" s="24"/>
      <c r="W94" s="20">
        <f t="shared" si="17"/>
        <v>1011</v>
      </c>
      <c r="X94" s="20">
        <f t="shared" si="18"/>
        <v>12</v>
      </c>
      <c r="Y94" s="21">
        <f t="shared" si="19"/>
        <v>84.25</v>
      </c>
      <c r="Z94" s="21">
        <f t="shared" si="22"/>
        <v>84.291395787944808</v>
      </c>
    </row>
    <row r="95" spans="1:26" ht="17.25" thickBot="1" x14ac:dyDescent="0.35">
      <c r="A95" s="70">
        <v>10</v>
      </c>
      <c r="B95" s="73"/>
      <c r="C95" s="76"/>
      <c r="D95" s="15" t="s">
        <v>35</v>
      </c>
      <c r="E95" s="16">
        <f>[1]te!$G$14</f>
        <v>89</v>
      </c>
      <c r="F95" s="16">
        <f>[1]te!$M$14</f>
        <v>92</v>
      </c>
      <c r="G95" s="16">
        <f>[1]te!$S$14</f>
        <v>81</v>
      </c>
      <c r="H95" s="16">
        <f>[1]te!$Y$14</f>
        <v>82</v>
      </c>
      <c r="I95" s="16">
        <f>[1]te!$AC$14</f>
        <v>73</v>
      </c>
      <c r="J95" s="25"/>
      <c r="K95" s="17">
        <f>[1]te!$AI$14</f>
        <v>74</v>
      </c>
      <c r="L95" s="18"/>
      <c r="M95" s="16">
        <f>[1]te!$AO$14</f>
        <v>79</v>
      </c>
      <c r="N95" s="16">
        <f>[1]te!$AU$14</f>
        <v>80</v>
      </c>
      <c r="O95" s="25"/>
      <c r="P95" s="18"/>
      <c r="Q95" s="18"/>
      <c r="R95" s="17">
        <f>[1]te!$BS$14</f>
        <v>86.333333333333329</v>
      </c>
      <c r="S95" s="17">
        <f>[1]te!$BW$14</f>
        <v>85</v>
      </c>
      <c r="T95" s="18"/>
      <c r="U95" s="17">
        <f>[1]te!$CB$14</f>
        <v>80</v>
      </c>
      <c r="V95" s="24"/>
      <c r="W95" s="20">
        <f t="shared" si="17"/>
        <v>901.33333333333337</v>
      </c>
      <c r="X95" s="20">
        <f t="shared" si="18"/>
        <v>11</v>
      </c>
      <c r="Y95" s="21">
        <f t="shared" si="19"/>
        <v>81.939393939393938</v>
      </c>
      <c r="Z95" s="21">
        <f t="shared" si="22"/>
        <v>84.083124183006532</v>
      </c>
    </row>
    <row r="96" spans="1:26" ht="17.25" thickBot="1" x14ac:dyDescent="0.35">
      <c r="A96" s="70">
        <v>10</v>
      </c>
      <c r="B96" s="73"/>
      <c r="C96" s="76"/>
      <c r="D96" s="29" t="s">
        <v>36</v>
      </c>
      <c r="E96" s="16">
        <f>[1]te!$H$14</f>
        <v>86</v>
      </c>
      <c r="F96" s="16">
        <f>[1]te!$N$14</f>
        <v>92</v>
      </c>
      <c r="G96" s="16">
        <f>[1]te!$T$14</f>
        <v>79</v>
      </c>
      <c r="H96" s="16">
        <f>[1]te!$Z$14</f>
        <v>84</v>
      </c>
      <c r="I96" s="16">
        <f>[1]te!$AD$14</f>
        <v>80</v>
      </c>
      <c r="J96" s="25"/>
      <c r="K96" s="17">
        <f>[1]te!$AJ$14</f>
        <v>83</v>
      </c>
      <c r="L96" s="18"/>
      <c r="M96" s="16">
        <f>[1]te!$AP$14</f>
        <v>80</v>
      </c>
      <c r="N96" s="16">
        <f>[1]te!$AV$14</f>
        <v>75</v>
      </c>
      <c r="O96" s="25"/>
      <c r="P96" s="18"/>
      <c r="Q96" s="18"/>
      <c r="R96" s="17">
        <f>[1]te!$BT$14</f>
        <v>83.333333333333329</v>
      </c>
      <c r="S96" s="17">
        <f>[1]te!$BX$14</f>
        <v>80</v>
      </c>
      <c r="T96" s="30"/>
      <c r="U96" s="17">
        <f>[1]te!$CC$14</f>
        <v>86</v>
      </c>
      <c r="V96" s="24"/>
      <c r="W96" s="20">
        <f t="shared" si="17"/>
        <v>908.33333333333337</v>
      </c>
      <c r="X96" s="20">
        <f t="shared" si="18"/>
        <v>11</v>
      </c>
      <c r="Y96" s="21">
        <f t="shared" si="19"/>
        <v>82.575757575757578</v>
      </c>
      <c r="Z96" s="21">
        <f t="shared" si="22"/>
        <v>84.051002970885321</v>
      </c>
    </row>
    <row r="97" spans="1:26" ht="16.5" x14ac:dyDescent="0.3">
      <c r="A97" s="70">
        <v>10</v>
      </c>
      <c r="B97" s="73"/>
      <c r="C97" s="76"/>
      <c r="D97" s="29" t="s">
        <v>37</v>
      </c>
      <c r="E97" s="16">
        <f>[1]te!$I$14</f>
        <v>90</v>
      </c>
      <c r="F97" s="16">
        <f>[1]te!$O$14</f>
        <v>92</v>
      </c>
      <c r="G97" s="16">
        <f>[1]te!$U$14</f>
        <v>76</v>
      </c>
      <c r="H97" s="33"/>
      <c r="I97" s="33"/>
      <c r="J97" s="25"/>
      <c r="K97" s="25"/>
      <c r="L97" s="16">
        <f>[1]te!$AK$14</f>
        <v>80</v>
      </c>
      <c r="M97" s="16">
        <f>[1]te!$AQ$14</f>
        <v>81</v>
      </c>
      <c r="N97" s="16">
        <f>[1]te!$AW$14</f>
        <v>86</v>
      </c>
      <c r="O97" s="25"/>
      <c r="P97" s="18"/>
      <c r="Q97" s="18"/>
      <c r="R97" s="17">
        <f>[1]te!$BU$14</f>
        <v>84</v>
      </c>
      <c r="S97" s="17">
        <f>[1]te!$BY$14</f>
        <v>86</v>
      </c>
      <c r="T97" s="17"/>
      <c r="U97" s="17">
        <f>[1]te!$CD$14</f>
        <v>74</v>
      </c>
      <c r="V97" s="24"/>
      <c r="W97" s="20">
        <f t="shared" si="17"/>
        <v>749</v>
      </c>
      <c r="X97" s="20">
        <f t="shared" si="18"/>
        <v>9</v>
      </c>
      <c r="Y97" s="21">
        <f t="shared" si="19"/>
        <v>83.222222222222229</v>
      </c>
      <c r="Z97" s="21">
        <f t="shared" si="22"/>
        <v>83.366154486036834</v>
      </c>
    </row>
    <row r="98" spans="1:26" ht="16.5" x14ac:dyDescent="0.3">
      <c r="A98" s="70">
        <v>10</v>
      </c>
      <c r="B98" s="73"/>
      <c r="C98" s="76"/>
      <c r="D98" s="34" t="s">
        <v>38</v>
      </c>
      <c r="E98" s="35">
        <f>AVERAGE(E93:E97)</f>
        <v>88</v>
      </c>
      <c r="F98" s="35">
        <f>AVERAGE(F93:F97)</f>
        <v>88</v>
      </c>
      <c r="G98" s="35">
        <f>AVERAGE(G93:G97)</f>
        <v>79.2</v>
      </c>
      <c r="H98" s="36"/>
      <c r="I98" s="36"/>
      <c r="J98" s="37"/>
      <c r="K98" s="37"/>
      <c r="L98" s="35">
        <f>AVERAGE(L93:L97)</f>
        <v>80</v>
      </c>
      <c r="M98" s="35">
        <f>AVERAGE(M93:M97)</f>
        <v>80</v>
      </c>
      <c r="N98" s="35">
        <f>AVERAGE(N93:N97)</f>
        <v>80.2</v>
      </c>
      <c r="O98" s="37"/>
      <c r="P98" s="30"/>
      <c r="Q98" s="30"/>
      <c r="R98" s="38">
        <f>AVERAGE(R95:R97)</f>
        <v>84.555555555555557</v>
      </c>
      <c r="S98" s="38">
        <f>AVERAGE(S95:S97)</f>
        <v>83.666666666666671</v>
      </c>
      <c r="T98" s="30"/>
      <c r="U98" s="38">
        <f>AVERAGE(U93:U97)</f>
        <v>80</v>
      </c>
      <c r="V98" s="24"/>
      <c r="W98" s="20">
        <f t="shared" si="17"/>
        <v>743.62222222222215</v>
      </c>
      <c r="X98" s="20">
        <f t="shared" si="18"/>
        <v>9</v>
      </c>
      <c r="Y98" s="21">
        <f t="shared" si="19"/>
        <v>82.624691358024677</v>
      </c>
      <c r="Z98" s="39">
        <f t="shared" si="22"/>
        <v>83.164141414141412</v>
      </c>
    </row>
    <row r="99" spans="1:26" ht="16.5" x14ac:dyDescent="0.3">
      <c r="A99" s="70">
        <v>10</v>
      </c>
      <c r="B99" s="73"/>
      <c r="C99" s="76"/>
      <c r="D99" s="40" t="s">
        <v>39</v>
      </c>
      <c r="E99" s="41">
        <f>[1]te!$J$14</f>
        <v>78</v>
      </c>
      <c r="F99" s="41">
        <f>[1]te!$P$14</f>
        <v>79</v>
      </c>
      <c r="G99" s="41">
        <f>[1]te!$V$14</f>
        <v>77</v>
      </c>
      <c r="H99" s="42"/>
      <c r="I99" s="42"/>
      <c r="J99" s="43"/>
      <c r="K99" s="43"/>
      <c r="L99" s="41">
        <f>[1]te!$AL$14</f>
        <v>77</v>
      </c>
      <c r="M99" s="41">
        <f>[1]te!$AR$14</f>
        <v>78</v>
      </c>
      <c r="N99" s="41">
        <f>[1]te!$AX$14</f>
        <v>78</v>
      </c>
      <c r="O99" s="43"/>
      <c r="P99" s="44"/>
      <c r="Q99" s="44"/>
      <c r="R99" s="45">
        <f>[1]te!$BV$14</f>
        <v>78</v>
      </c>
      <c r="S99" s="45">
        <f>[1]te!$BZ$14</f>
        <v>79</v>
      </c>
      <c r="T99" s="45">
        <f>[1]te!$CA$14</f>
        <v>78</v>
      </c>
      <c r="U99" s="46">
        <f>[1]te!$CE$14</f>
        <v>78</v>
      </c>
      <c r="V99" s="24"/>
      <c r="W99" s="20">
        <f t="shared" si="17"/>
        <v>780</v>
      </c>
      <c r="X99" s="20">
        <f t="shared" si="18"/>
        <v>10</v>
      </c>
      <c r="Y99" s="21">
        <f t="shared" si="19"/>
        <v>78</v>
      </c>
      <c r="Z99" s="21"/>
    </row>
    <row r="100" spans="1:26" ht="16.5" x14ac:dyDescent="0.3">
      <c r="A100" s="70">
        <v>10</v>
      </c>
      <c r="B100" s="73"/>
      <c r="C100" s="76"/>
      <c r="D100" s="47" t="s">
        <v>40</v>
      </c>
      <c r="E100" s="48">
        <f>[1]te!$CF$14</f>
        <v>82</v>
      </c>
      <c r="F100" s="48">
        <f>[1]te!$CG$14</f>
        <v>92</v>
      </c>
      <c r="G100" s="48">
        <f>[1]te!$CH$14</f>
        <v>75</v>
      </c>
      <c r="H100" s="42"/>
      <c r="I100" s="42"/>
      <c r="J100" s="43"/>
      <c r="K100" s="43"/>
      <c r="L100" s="48">
        <f>[1]te!$CI$14</f>
        <v>82</v>
      </c>
      <c r="M100" s="48">
        <f>[1]te!$CJ$14</f>
        <v>82</v>
      </c>
      <c r="N100" s="48">
        <f>[1]te!$CK$14</f>
        <v>85</v>
      </c>
      <c r="O100" s="43"/>
      <c r="P100" s="44"/>
      <c r="Q100" s="44"/>
      <c r="R100" s="49">
        <f>[1]te!$CN$14</f>
        <v>72</v>
      </c>
      <c r="S100" s="49">
        <f>[1]te!$CM$14</f>
        <v>89</v>
      </c>
      <c r="T100" s="44"/>
      <c r="U100" s="49">
        <f>[1]te!$CL$14</f>
        <v>88</v>
      </c>
      <c r="V100" s="24"/>
      <c r="W100" s="20">
        <f t="shared" si="17"/>
        <v>747</v>
      </c>
      <c r="X100" s="20">
        <f t="shared" si="18"/>
        <v>9</v>
      </c>
      <c r="Y100" s="21">
        <f t="shared" si="19"/>
        <v>83</v>
      </c>
      <c r="Z100" s="21"/>
    </row>
    <row r="101" spans="1:26" ht="17.25" thickBot="1" x14ac:dyDescent="0.35">
      <c r="A101" s="71">
        <v>10</v>
      </c>
      <c r="B101" s="74"/>
      <c r="C101" s="77"/>
      <c r="D101" s="50" t="s">
        <v>41</v>
      </c>
      <c r="E101" s="51">
        <f>(E98*4+E99*3+E100*3)/10</f>
        <v>83.2</v>
      </c>
      <c r="F101" s="51">
        <f t="shared" ref="F101:G101" si="25">(F98*4+F99*3+F100*3)/10</f>
        <v>86.5</v>
      </c>
      <c r="G101" s="51">
        <f t="shared" si="25"/>
        <v>77.28</v>
      </c>
      <c r="H101" s="51">
        <f>AVERAGE(H93:H96)</f>
        <v>83</v>
      </c>
      <c r="I101" s="51">
        <f>AVERAGE(I93:I96)</f>
        <v>82</v>
      </c>
      <c r="J101" s="51">
        <f>AVERAGE(J93:J94)</f>
        <v>89.5</v>
      </c>
      <c r="K101" s="51">
        <f>AVERAGE(K93:K96)</f>
        <v>82.25</v>
      </c>
      <c r="L101" s="51">
        <f>(L98*4+L99*3+L100*3)/10</f>
        <v>79.7</v>
      </c>
      <c r="M101" s="51">
        <f>(M98*4+M99*3+M100*3)/10</f>
        <v>80</v>
      </c>
      <c r="N101" s="51">
        <f>(N98*4+N99*3+N100*3)/10</f>
        <v>80.97999999999999</v>
      </c>
      <c r="O101" s="51">
        <f>AVERAGE(O93:O94)</f>
        <v>77</v>
      </c>
      <c r="P101" s="51">
        <f>AVERAGE(P93:P94)</f>
        <v>87</v>
      </c>
      <c r="Q101" s="51">
        <f>AVERAGE(Q93:Q94)</f>
        <v>89</v>
      </c>
      <c r="R101" s="51">
        <f>(R98*4+R99*3+R100*3)/10</f>
        <v>78.822222222222223</v>
      </c>
      <c r="S101" s="51">
        <f>(S98*4+S99*3+S100*3)/10</f>
        <v>83.866666666666674</v>
      </c>
      <c r="T101" s="51">
        <f>T99</f>
        <v>78</v>
      </c>
      <c r="U101" s="51">
        <f t="shared" ref="U101" si="26">(U98*4+U99*3+U100*3)/10</f>
        <v>81.8</v>
      </c>
      <c r="V101" s="52">
        <f>AVERAGE(E101:U101)</f>
        <v>82.346993464052304</v>
      </c>
      <c r="W101" s="20">
        <f t="shared" si="17"/>
        <v>1399.8988888888891</v>
      </c>
      <c r="X101" s="20">
        <f t="shared" si="18"/>
        <v>17</v>
      </c>
      <c r="Y101" s="21">
        <f t="shared" si="19"/>
        <v>82.346993464052304</v>
      </c>
      <c r="Z101" s="21"/>
    </row>
    <row r="102" spans="1:26" ht="18" customHeight="1" thickTop="1" thickBot="1" x14ac:dyDescent="0.35">
      <c r="A102" s="70">
        <v>11</v>
      </c>
      <c r="B102" s="72" t="s">
        <v>60</v>
      </c>
      <c r="C102" s="75" t="s">
        <v>61</v>
      </c>
      <c r="D102" s="15" t="s">
        <v>33</v>
      </c>
      <c r="E102" s="16">
        <f>[1]te!$E$15</f>
        <v>82</v>
      </c>
      <c r="F102" s="16">
        <f>[1]te!$K$15</f>
        <v>80</v>
      </c>
      <c r="G102" s="16">
        <f>[1]te!$Q$15</f>
        <v>82</v>
      </c>
      <c r="H102" s="16">
        <f>[1]te!$W$15</f>
        <v>82</v>
      </c>
      <c r="I102" s="16">
        <f>[1]te!$AA$15</f>
        <v>81</v>
      </c>
      <c r="J102" s="16">
        <f>[1]te!$AE$15</f>
        <v>83</v>
      </c>
      <c r="K102" s="17">
        <f>[1]te!$AG$15</f>
        <v>83</v>
      </c>
      <c r="L102" s="18"/>
      <c r="M102" s="16">
        <f>[1]te!$AM$15</f>
        <v>76</v>
      </c>
      <c r="N102" s="16">
        <f>[1]te!$AS$15</f>
        <v>72</v>
      </c>
      <c r="O102" s="16">
        <f>[1]te!$AY$15</f>
        <v>75</v>
      </c>
      <c r="P102" s="17">
        <f>[1]te!$BA$15</f>
        <v>82</v>
      </c>
      <c r="Q102" s="17">
        <f>[1]te!$BC$15</f>
        <v>79</v>
      </c>
      <c r="R102" s="18"/>
      <c r="S102" s="18"/>
      <c r="T102" s="18"/>
      <c r="U102" s="18"/>
      <c r="V102" s="19"/>
      <c r="W102" s="20">
        <f t="shared" si="17"/>
        <v>957</v>
      </c>
      <c r="X102" s="20">
        <f t="shared" si="18"/>
        <v>12</v>
      </c>
      <c r="Y102" s="21">
        <f t="shared" si="19"/>
        <v>79.75</v>
      </c>
      <c r="Z102" s="21"/>
    </row>
    <row r="103" spans="1:26" ht="17.25" thickBot="1" x14ac:dyDescent="0.35">
      <c r="A103" s="70">
        <v>11</v>
      </c>
      <c r="B103" s="73"/>
      <c r="C103" s="76"/>
      <c r="D103" s="15" t="s">
        <v>34</v>
      </c>
      <c r="E103" s="16">
        <f>[1]te!$F$15</f>
        <v>87</v>
      </c>
      <c r="F103" s="16">
        <f>[1]te!$L$15</f>
        <v>80</v>
      </c>
      <c r="G103" s="16">
        <f>[1]te!$R$15</f>
        <v>80</v>
      </c>
      <c r="H103" s="16">
        <f>[1]te!$X$15</f>
        <v>85</v>
      </c>
      <c r="I103" s="16">
        <f>[1]te!$AB$15</f>
        <v>84</v>
      </c>
      <c r="J103" s="16">
        <f>[1]te!$AF$15</f>
        <v>84</v>
      </c>
      <c r="K103" s="17">
        <f>[1]te!$AH$15</f>
        <v>85</v>
      </c>
      <c r="L103" s="18"/>
      <c r="M103" s="16">
        <f>[1]te!$AN$15</f>
        <v>76</v>
      </c>
      <c r="N103" s="16">
        <f>[1]te!$AT$15</f>
        <v>77</v>
      </c>
      <c r="O103" s="16">
        <f>[1]te!$AZ$15</f>
        <v>79</v>
      </c>
      <c r="P103" s="17">
        <f>[1]te!$BB$15</f>
        <v>86</v>
      </c>
      <c r="Q103" s="17">
        <f>[1]te!$BD$15</f>
        <v>86</v>
      </c>
      <c r="R103" s="18"/>
      <c r="S103" s="18"/>
      <c r="T103" s="18"/>
      <c r="U103" s="18"/>
      <c r="V103" s="24"/>
      <c r="W103" s="20">
        <f t="shared" si="17"/>
        <v>989</v>
      </c>
      <c r="X103" s="20">
        <f t="shared" si="18"/>
        <v>12</v>
      </c>
      <c r="Y103" s="21">
        <f t="shared" si="19"/>
        <v>82.416666666666671</v>
      </c>
      <c r="Z103" s="21"/>
    </row>
    <row r="104" spans="1:26" ht="17.25" thickBot="1" x14ac:dyDescent="0.35">
      <c r="A104" s="70">
        <v>11</v>
      </c>
      <c r="B104" s="73"/>
      <c r="C104" s="76"/>
      <c r="D104" s="15" t="s">
        <v>35</v>
      </c>
      <c r="E104" s="16">
        <f>[1]te!$G$15</f>
        <v>86</v>
      </c>
      <c r="F104" s="16">
        <f>[1]te!$M$15</f>
        <v>88</v>
      </c>
      <c r="G104" s="16">
        <f>[1]te!$S$15</f>
        <v>77</v>
      </c>
      <c r="H104" s="16">
        <f>[1]te!$Y$15</f>
        <v>84</v>
      </c>
      <c r="I104" s="16">
        <f>[1]te!$AC$15</f>
        <v>73</v>
      </c>
      <c r="J104" s="25"/>
      <c r="K104" s="17">
        <f>[1]te!$AI$15</f>
        <v>70</v>
      </c>
      <c r="L104" s="18"/>
      <c r="M104" s="16">
        <f>[1]te!$AO$15</f>
        <v>73</v>
      </c>
      <c r="N104" s="16">
        <f>[1]te!$AU$15</f>
        <v>75</v>
      </c>
      <c r="O104" s="25"/>
      <c r="P104" s="18"/>
      <c r="Q104" s="18"/>
      <c r="R104" s="17">
        <f>[1]te!$BS$15</f>
        <v>82.333333333333329</v>
      </c>
      <c r="S104" s="17">
        <f>[1]te!$BW$15</f>
        <v>85</v>
      </c>
      <c r="T104" s="18"/>
      <c r="U104" s="17">
        <f>[1]te!$CB$15</f>
        <v>74</v>
      </c>
      <c r="V104" s="24"/>
      <c r="W104" s="20">
        <f t="shared" si="17"/>
        <v>867.33333333333337</v>
      </c>
      <c r="X104" s="20">
        <f t="shared" si="18"/>
        <v>11</v>
      </c>
      <c r="Y104" s="21">
        <f t="shared" si="19"/>
        <v>78.848484848484858</v>
      </c>
      <c r="Z104" s="21"/>
    </row>
    <row r="105" spans="1:26" ht="17.25" thickBot="1" x14ac:dyDescent="0.35">
      <c r="A105" s="70">
        <v>11</v>
      </c>
      <c r="B105" s="73"/>
      <c r="C105" s="76"/>
      <c r="D105" s="29" t="s">
        <v>36</v>
      </c>
      <c r="E105" s="16">
        <f>[1]te!$H$15</f>
        <v>85</v>
      </c>
      <c r="F105" s="16">
        <f>[1]te!$N$15</f>
        <v>83</v>
      </c>
      <c r="G105" s="16">
        <f>[1]te!$T$15</f>
        <v>72</v>
      </c>
      <c r="H105" s="16">
        <f>[1]te!$Z$15</f>
        <v>85</v>
      </c>
      <c r="I105" s="16">
        <f>[1]te!$AD$15</f>
        <v>78</v>
      </c>
      <c r="J105" s="25"/>
      <c r="K105" s="17">
        <f>[1]te!$AJ$15</f>
        <v>81</v>
      </c>
      <c r="L105" s="18"/>
      <c r="M105" s="16">
        <f>[1]te!$AP$15</f>
        <v>74</v>
      </c>
      <c r="N105" s="16">
        <f>[1]te!$AV$15</f>
        <v>73</v>
      </c>
      <c r="O105" s="25"/>
      <c r="P105" s="18"/>
      <c r="Q105" s="18"/>
      <c r="R105" s="17">
        <f>[1]te!$BT$15</f>
        <v>81</v>
      </c>
      <c r="S105" s="17">
        <f>[1]te!$BX$15</f>
        <v>80</v>
      </c>
      <c r="T105" s="30"/>
      <c r="U105" s="17">
        <f>[1]te!$CC$15</f>
        <v>78</v>
      </c>
      <c r="V105" s="24"/>
      <c r="W105" s="20">
        <f t="shared" si="17"/>
        <v>870</v>
      </c>
      <c r="X105" s="20">
        <f t="shared" si="18"/>
        <v>11</v>
      </c>
      <c r="Y105" s="21">
        <f t="shared" si="19"/>
        <v>79.090909090909093</v>
      </c>
      <c r="Z105" s="21"/>
    </row>
    <row r="106" spans="1:26" ht="16.5" x14ac:dyDescent="0.3">
      <c r="A106" s="70">
        <v>11</v>
      </c>
      <c r="B106" s="73"/>
      <c r="C106" s="76"/>
      <c r="D106" s="29" t="s">
        <v>37</v>
      </c>
      <c r="E106" s="16">
        <f>[1]te!$I$15</f>
        <v>84</v>
      </c>
      <c r="F106" s="16">
        <f>[1]te!$O$15</f>
        <v>88</v>
      </c>
      <c r="G106" s="16">
        <f>[1]te!$U$15</f>
        <v>77</v>
      </c>
      <c r="H106" s="33"/>
      <c r="I106" s="33"/>
      <c r="J106" s="25"/>
      <c r="K106" s="25"/>
      <c r="L106" s="16">
        <f>[1]te!$AK$15</f>
        <v>80</v>
      </c>
      <c r="M106" s="16">
        <f>[1]te!$AQ$15</f>
        <v>79</v>
      </c>
      <c r="N106" s="16">
        <f>[1]te!$AW$15</f>
        <v>83</v>
      </c>
      <c r="O106" s="25"/>
      <c r="P106" s="18"/>
      <c r="Q106" s="18"/>
      <c r="R106" s="17">
        <f>[1]te!$BU$15</f>
        <v>83</v>
      </c>
      <c r="S106" s="17">
        <f>[1]te!$BY$15</f>
        <v>85</v>
      </c>
      <c r="T106" s="17"/>
      <c r="U106" s="17">
        <f>[1]te!$CD$15</f>
        <v>74</v>
      </c>
      <c r="V106" s="24"/>
      <c r="W106" s="20">
        <f t="shared" si="17"/>
        <v>733</v>
      </c>
      <c r="X106" s="20">
        <f t="shared" si="18"/>
        <v>9</v>
      </c>
      <c r="Y106" s="21">
        <f t="shared" si="19"/>
        <v>81.444444444444443</v>
      </c>
      <c r="Z106" s="21"/>
    </row>
    <row r="107" spans="1:26" ht="16.5" x14ac:dyDescent="0.3">
      <c r="A107" s="70">
        <v>11</v>
      </c>
      <c r="B107" s="73"/>
      <c r="C107" s="76"/>
      <c r="D107" s="34" t="s">
        <v>38</v>
      </c>
      <c r="E107" s="35">
        <f>AVERAGE(E102:E106)</f>
        <v>84.8</v>
      </c>
      <c r="F107" s="35">
        <f>AVERAGE(F102:F106)</f>
        <v>83.8</v>
      </c>
      <c r="G107" s="35">
        <f>AVERAGE(G102:G106)</f>
        <v>77.599999999999994</v>
      </c>
      <c r="H107" s="36"/>
      <c r="I107" s="36"/>
      <c r="J107" s="37"/>
      <c r="K107" s="37"/>
      <c r="L107" s="35">
        <f>AVERAGE(L102:L106)</f>
        <v>80</v>
      </c>
      <c r="M107" s="35">
        <f>AVERAGE(M102:M106)</f>
        <v>75.599999999999994</v>
      </c>
      <c r="N107" s="35">
        <f>AVERAGE(N102:N106)</f>
        <v>76</v>
      </c>
      <c r="O107" s="37"/>
      <c r="P107" s="30"/>
      <c r="Q107" s="30"/>
      <c r="R107" s="38">
        <f>AVERAGE(R104:R106)</f>
        <v>82.1111111111111</v>
      </c>
      <c r="S107" s="38">
        <f>AVERAGE(S104:S106)</f>
        <v>83.333333333333329</v>
      </c>
      <c r="T107" s="30"/>
      <c r="U107" s="38">
        <f>AVERAGE(U102:U106)</f>
        <v>75.333333333333329</v>
      </c>
      <c r="V107" s="24"/>
      <c r="W107" s="20">
        <f t="shared" si="17"/>
        <v>718.57777777777778</v>
      </c>
      <c r="X107" s="20">
        <f t="shared" si="18"/>
        <v>9</v>
      </c>
      <c r="Y107" s="21">
        <f t="shared" si="19"/>
        <v>79.841975308641977</v>
      </c>
      <c r="Z107" s="39">
        <f t="shared" si="22"/>
        <v>80.310101010101022</v>
      </c>
    </row>
    <row r="108" spans="1:26" ht="16.5" x14ac:dyDescent="0.3">
      <c r="A108" s="70">
        <v>11</v>
      </c>
      <c r="B108" s="73"/>
      <c r="C108" s="76"/>
      <c r="D108" s="40" t="s">
        <v>39</v>
      </c>
      <c r="E108" s="41">
        <f>[1]te!$J$15</f>
        <v>79</v>
      </c>
      <c r="F108" s="41">
        <f>[1]te!$P$15</f>
        <v>79</v>
      </c>
      <c r="G108" s="41">
        <f>[1]te!$V$15</f>
        <v>79</v>
      </c>
      <c r="H108" s="42"/>
      <c r="I108" s="42"/>
      <c r="J108" s="43"/>
      <c r="K108" s="43"/>
      <c r="L108" s="41">
        <f>[1]te!$AL$15</f>
        <v>79</v>
      </c>
      <c r="M108" s="41">
        <f>[1]te!$AR$15</f>
        <v>80</v>
      </c>
      <c r="N108" s="41">
        <f>[1]te!$AX$15</f>
        <v>80</v>
      </c>
      <c r="O108" s="43"/>
      <c r="P108" s="44"/>
      <c r="Q108" s="44"/>
      <c r="R108" s="45">
        <f>[1]te!$BV$15</f>
        <v>80</v>
      </c>
      <c r="S108" s="45">
        <f>[1]te!$BZ$15</f>
        <v>81</v>
      </c>
      <c r="T108" s="45">
        <f>[1]te!$CA$15</f>
        <v>80</v>
      </c>
      <c r="U108" s="46">
        <f>[1]te!$CE$15</f>
        <v>80</v>
      </c>
      <c r="V108" s="24"/>
      <c r="W108" s="20">
        <f t="shared" si="17"/>
        <v>797</v>
      </c>
      <c r="X108" s="20">
        <f t="shared" si="18"/>
        <v>10</v>
      </c>
      <c r="Y108" s="21">
        <f t="shared" si="19"/>
        <v>79.7</v>
      </c>
      <c r="Z108" s="21"/>
    </row>
    <row r="109" spans="1:26" ht="16.5" x14ac:dyDescent="0.3">
      <c r="A109" s="70">
        <v>11</v>
      </c>
      <c r="B109" s="73"/>
      <c r="C109" s="76"/>
      <c r="D109" s="47" t="s">
        <v>40</v>
      </c>
      <c r="E109" s="48">
        <f>[1]te!$CF$15</f>
        <v>85</v>
      </c>
      <c r="F109" s="48">
        <f>[1]te!$CG$15</f>
        <v>90</v>
      </c>
      <c r="G109" s="48">
        <f>[1]te!$CH$15</f>
        <v>75</v>
      </c>
      <c r="H109" s="42"/>
      <c r="I109" s="42"/>
      <c r="J109" s="43"/>
      <c r="K109" s="43"/>
      <c r="L109" s="48">
        <f>[1]te!$CI$15</f>
        <v>80</v>
      </c>
      <c r="M109" s="48">
        <f>[1]te!$CJ$15</f>
        <v>80</v>
      </c>
      <c r="N109" s="48">
        <f>[1]te!$CK$15</f>
        <v>83</v>
      </c>
      <c r="O109" s="43"/>
      <c r="P109" s="44"/>
      <c r="Q109" s="44"/>
      <c r="R109" s="49">
        <f>[1]te!$CN$15</f>
        <v>70</v>
      </c>
      <c r="S109" s="49">
        <f>[1]te!$CM$15</f>
        <v>97</v>
      </c>
      <c r="T109" s="44"/>
      <c r="U109" s="49">
        <f>[1]te!$CL$15</f>
        <v>85</v>
      </c>
      <c r="V109" s="24"/>
      <c r="W109" s="20">
        <f t="shared" si="17"/>
        <v>745</v>
      </c>
      <c r="X109" s="20">
        <f t="shared" si="18"/>
        <v>9</v>
      </c>
      <c r="Y109" s="21">
        <f t="shared" si="19"/>
        <v>82.777777777777771</v>
      </c>
      <c r="Z109" s="21"/>
    </row>
    <row r="110" spans="1:26" ht="17.25" thickBot="1" x14ac:dyDescent="0.35">
      <c r="A110" s="71">
        <v>11</v>
      </c>
      <c r="B110" s="74"/>
      <c r="C110" s="77"/>
      <c r="D110" s="50" t="s">
        <v>41</v>
      </c>
      <c r="E110" s="51">
        <f>(E107*4+E108*3+E109*3)/10</f>
        <v>83.12</v>
      </c>
      <c r="F110" s="51">
        <f t="shared" ref="F110:G110" si="27">(F107*4+F108*3+F109*3)/10</f>
        <v>84.22</v>
      </c>
      <c r="G110" s="51">
        <f t="shared" si="27"/>
        <v>77.239999999999995</v>
      </c>
      <c r="H110" s="51">
        <f>AVERAGE(H102:H105)</f>
        <v>84</v>
      </c>
      <c r="I110" s="51">
        <f>AVERAGE(I102:I105)</f>
        <v>79</v>
      </c>
      <c r="J110" s="51">
        <f>AVERAGE(J102:J103)</f>
        <v>83.5</v>
      </c>
      <c r="K110" s="51">
        <f>AVERAGE(K102:K105)</f>
        <v>79.75</v>
      </c>
      <c r="L110" s="51">
        <f>(L107*4+L108*3+L109*3)/10</f>
        <v>79.7</v>
      </c>
      <c r="M110" s="51">
        <f>(M107*4+M108*3+M109*3)/10</f>
        <v>78.239999999999995</v>
      </c>
      <c r="N110" s="51">
        <f>(N107*4+N108*3+N109*3)/10</f>
        <v>79.3</v>
      </c>
      <c r="O110" s="51">
        <f>AVERAGE(O102:O103)</f>
        <v>77</v>
      </c>
      <c r="P110" s="51">
        <f>AVERAGE(P102:P103)</f>
        <v>84</v>
      </c>
      <c r="Q110" s="51">
        <f>AVERAGE(Q102:Q103)</f>
        <v>82.5</v>
      </c>
      <c r="R110" s="51">
        <f>(R107*4+R108*3+R109*3)/10</f>
        <v>77.844444444444434</v>
      </c>
      <c r="S110" s="51">
        <f>(S107*4+S108*3+S109*3)/10</f>
        <v>86.73333333333332</v>
      </c>
      <c r="T110" s="51">
        <f>T108</f>
        <v>80</v>
      </c>
      <c r="U110" s="51">
        <f t="shared" ref="U110" si="28">(U107*4+U108*3+U109*3)/10</f>
        <v>79.633333333333326</v>
      </c>
      <c r="V110" s="52">
        <f>AVERAGE(E110:U110)</f>
        <v>80.928300653594761</v>
      </c>
      <c r="W110" s="20">
        <f t="shared" si="17"/>
        <v>1375.7811111111109</v>
      </c>
      <c r="X110" s="20">
        <f t="shared" si="18"/>
        <v>17</v>
      </c>
      <c r="Y110" s="21">
        <f t="shared" si="19"/>
        <v>80.928300653594761</v>
      </c>
      <c r="Z110" s="21"/>
    </row>
    <row r="111" spans="1:26" ht="18" thickTop="1" thickBot="1" x14ac:dyDescent="0.35">
      <c r="A111" s="70">
        <v>12</v>
      </c>
      <c r="B111" s="72" t="s">
        <v>62</v>
      </c>
      <c r="C111" s="75" t="s">
        <v>63</v>
      </c>
      <c r="D111" s="15" t="s">
        <v>33</v>
      </c>
      <c r="E111" s="16">
        <f>[1]te!$E$16</f>
        <v>88</v>
      </c>
      <c r="F111" s="16">
        <f>[1]te!$K$16</f>
        <v>86</v>
      </c>
      <c r="G111" s="16">
        <f>[1]te!$Q$16</f>
        <v>85</v>
      </c>
      <c r="H111" s="16">
        <f>[1]te!$W$16</f>
        <v>82</v>
      </c>
      <c r="I111" s="16">
        <f>[1]te!$AA$16</f>
        <v>80</v>
      </c>
      <c r="J111" s="16">
        <f>[1]te!$AE$16</f>
        <v>85</v>
      </c>
      <c r="K111" s="17">
        <f>[1]te!$AG$16</f>
        <v>85</v>
      </c>
      <c r="L111" s="18"/>
      <c r="M111" s="16">
        <f>[1]te!$AM$16</f>
        <v>75</v>
      </c>
      <c r="N111" s="16">
        <f>[1]te!$AS$16</f>
        <v>77</v>
      </c>
      <c r="O111" s="16">
        <f>[1]te!$AY$16</f>
        <v>78</v>
      </c>
      <c r="P111" s="17">
        <f>[1]te!$BA$16</f>
        <v>82</v>
      </c>
      <c r="Q111" s="17">
        <f>[1]te!$BC$16</f>
        <v>91</v>
      </c>
      <c r="R111" s="18"/>
      <c r="S111" s="18"/>
      <c r="T111" s="18"/>
      <c r="U111" s="18"/>
      <c r="V111" s="19"/>
      <c r="W111" s="20">
        <f t="shared" si="17"/>
        <v>994</v>
      </c>
      <c r="X111" s="20">
        <f t="shared" si="18"/>
        <v>12</v>
      </c>
      <c r="Y111" s="21">
        <f t="shared" si="19"/>
        <v>82.833333333333329</v>
      </c>
      <c r="Z111" s="21"/>
    </row>
    <row r="112" spans="1:26" ht="17.25" thickBot="1" x14ac:dyDescent="0.35">
      <c r="A112" s="70">
        <v>12</v>
      </c>
      <c r="B112" s="73"/>
      <c r="C112" s="76"/>
      <c r="D112" s="15" t="s">
        <v>34</v>
      </c>
      <c r="E112" s="16">
        <f>[1]te!$F$16</f>
        <v>90</v>
      </c>
      <c r="F112" s="16">
        <f>[1]te!$L$16</f>
        <v>80</v>
      </c>
      <c r="G112" s="16">
        <f>[1]te!$R$16</f>
        <v>79</v>
      </c>
      <c r="H112" s="16">
        <f>[1]te!$X$16</f>
        <v>85</v>
      </c>
      <c r="I112" s="16">
        <f>[1]te!$AB$16</f>
        <v>82</v>
      </c>
      <c r="J112" s="16">
        <f>[1]te!$AF$16</f>
        <v>86</v>
      </c>
      <c r="K112" s="17">
        <f>[1]te!$AH$16</f>
        <v>87</v>
      </c>
      <c r="L112" s="18"/>
      <c r="M112" s="16">
        <f>[1]te!$AN$16</f>
        <v>77</v>
      </c>
      <c r="N112" s="16">
        <f>[1]te!$AT$16</f>
        <v>80</v>
      </c>
      <c r="O112" s="16">
        <f>[1]te!$AZ$16</f>
        <v>79</v>
      </c>
      <c r="P112" s="17">
        <f>[1]te!$BB$16</f>
        <v>82</v>
      </c>
      <c r="Q112" s="17">
        <f>[1]te!$BD$16</f>
        <v>80</v>
      </c>
      <c r="R112" s="18"/>
      <c r="S112" s="18"/>
      <c r="T112" s="18"/>
      <c r="U112" s="18"/>
      <c r="V112" s="24"/>
      <c r="W112" s="20">
        <f t="shared" si="17"/>
        <v>987</v>
      </c>
      <c r="X112" s="20">
        <f t="shared" si="18"/>
        <v>12</v>
      </c>
      <c r="Y112" s="21">
        <f t="shared" si="19"/>
        <v>82.25</v>
      </c>
      <c r="Z112" s="21"/>
    </row>
    <row r="113" spans="1:26" ht="17.25" thickBot="1" x14ac:dyDescent="0.35">
      <c r="A113" s="70">
        <v>12</v>
      </c>
      <c r="B113" s="73"/>
      <c r="C113" s="76"/>
      <c r="D113" s="15" t="s">
        <v>35</v>
      </c>
      <c r="E113" s="16">
        <f>[1]te!$G$16</f>
        <v>88</v>
      </c>
      <c r="F113" s="16">
        <f>[1]te!$M$16</f>
        <v>81</v>
      </c>
      <c r="G113" s="16">
        <f>[1]te!$S$16</f>
        <v>81</v>
      </c>
      <c r="H113" s="16">
        <f>[1]te!$Y$16</f>
        <v>82</v>
      </c>
      <c r="I113" s="16">
        <f>[1]te!$AC$16</f>
        <v>85</v>
      </c>
      <c r="J113" s="25"/>
      <c r="K113" s="17">
        <f>[1]te!$AI$16</f>
        <v>80</v>
      </c>
      <c r="L113" s="18"/>
      <c r="M113" s="16">
        <f>[1]te!$AO$16</f>
        <v>77</v>
      </c>
      <c r="N113" s="16">
        <f>[1]te!$AU$16</f>
        <v>74</v>
      </c>
      <c r="O113" s="25"/>
      <c r="P113" s="18"/>
      <c r="Q113" s="18"/>
      <c r="R113" s="17">
        <f>[1]te!$BS$16</f>
        <v>81.666666666666671</v>
      </c>
      <c r="S113" s="17">
        <f>[1]te!$BW$16</f>
        <v>84</v>
      </c>
      <c r="T113" s="18"/>
      <c r="U113" s="17">
        <f>[1]te!$CB$16</f>
        <v>78</v>
      </c>
      <c r="V113" s="24"/>
      <c r="W113" s="20">
        <f t="shared" si="17"/>
        <v>891.66666666666663</v>
      </c>
      <c r="X113" s="20">
        <f t="shared" si="18"/>
        <v>11</v>
      </c>
      <c r="Y113" s="21">
        <f t="shared" si="19"/>
        <v>81.060606060606062</v>
      </c>
      <c r="Z113" s="21"/>
    </row>
    <row r="114" spans="1:26" ht="17.25" thickBot="1" x14ac:dyDescent="0.35">
      <c r="A114" s="70">
        <v>12</v>
      </c>
      <c r="B114" s="73"/>
      <c r="C114" s="76"/>
      <c r="D114" s="29" t="s">
        <v>36</v>
      </c>
      <c r="E114" s="16">
        <f>[1]te!$H$16</f>
        <v>88</v>
      </c>
      <c r="F114" s="16">
        <f>[1]te!$N$16</f>
        <v>88</v>
      </c>
      <c r="G114" s="16">
        <f>[1]te!$T$16</f>
        <v>78</v>
      </c>
      <c r="H114" s="16">
        <f>[1]te!$Z$16</f>
        <v>83</v>
      </c>
      <c r="I114" s="16">
        <f>[1]te!$AD$16</f>
        <v>86</v>
      </c>
      <c r="J114" s="25"/>
      <c r="K114" s="17">
        <f>[1]te!$AJ$16</f>
        <v>82</v>
      </c>
      <c r="L114" s="18"/>
      <c r="M114" s="16">
        <f>[1]te!$AP$16</f>
        <v>78</v>
      </c>
      <c r="N114" s="16">
        <f>[1]te!$AV$16</f>
        <v>75</v>
      </c>
      <c r="O114" s="25"/>
      <c r="P114" s="18"/>
      <c r="Q114" s="18"/>
      <c r="R114" s="17">
        <f>[1]te!$BT$16</f>
        <v>80.666666666666671</v>
      </c>
      <c r="S114" s="17">
        <f>[1]te!$BX$16</f>
        <v>81</v>
      </c>
      <c r="T114" s="30"/>
      <c r="U114" s="17">
        <f>[1]te!$CC$16</f>
        <v>91</v>
      </c>
      <c r="V114" s="24"/>
      <c r="W114" s="20">
        <f t="shared" si="17"/>
        <v>910.66666666666663</v>
      </c>
      <c r="X114" s="20">
        <f t="shared" si="18"/>
        <v>11</v>
      </c>
      <c r="Y114" s="21">
        <f t="shared" si="19"/>
        <v>82.787878787878782</v>
      </c>
      <c r="Z114" s="21"/>
    </row>
    <row r="115" spans="1:26" ht="16.5" x14ac:dyDescent="0.3">
      <c r="A115" s="70">
        <v>12</v>
      </c>
      <c r="B115" s="73"/>
      <c r="C115" s="76"/>
      <c r="D115" s="29" t="s">
        <v>37</v>
      </c>
      <c r="E115" s="16">
        <f>[1]te!$I$16</f>
        <v>91</v>
      </c>
      <c r="F115" s="16">
        <f>[1]te!$O$16</f>
        <v>88</v>
      </c>
      <c r="G115" s="16">
        <f>[1]te!$U$16</f>
        <v>77</v>
      </c>
      <c r="H115" s="33"/>
      <c r="I115" s="33"/>
      <c r="J115" s="25"/>
      <c r="K115" s="25"/>
      <c r="L115" s="16">
        <f>[1]te!$AK$16</f>
        <v>84</v>
      </c>
      <c r="M115" s="16">
        <f>[1]te!$AQ$16</f>
        <v>82</v>
      </c>
      <c r="N115" s="16">
        <f>[1]te!$AW$16</f>
        <v>77</v>
      </c>
      <c r="O115" s="25"/>
      <c r="P115" s="18"/>
      <c r="Q115" s="18"/>
      <c r="R115" s="17">
        <f>[1]te!$BU$16</f>
        <v>82.5</v>
      </c>
      <c r="S115" s="17">
        <f>[1]te!$BY$16</f>
        <v>86</v>
      </c>
      <c r="T115" s="17"/>
      <c r="U115" s="17">
        <f>[1]te!$CD$16</f>
        <v>74</v>
      </c>
      <c r="V115" s="24"/>
      <c r="W115" s="20">
        <f t="shared" si="17"/>
        <v>741.5</v>
      </c>
      <c r="X115" s="20">
        <f t="shared" si="18"/>
        <v>9</v>
      </c>
      <c r="Y115" s="21">
        <f t="shared" si="19"/>
        <v>82.388888888888886</v>
      </c>
      <c r="Z115" s="21"/>
    </row>
    <row r="116" spans="1:26" ht="16.5" x14ac:dyDescent="0.3">
      <c r="A116" s="70">
        <v>12</v>
      </c>
      <c r="B116" s="73"/>
      <c r="C116" s="76"/>
      <c r="D116" s="34" t="s">
        <v>38</v>
      </c>
      <c r="E116" s="35">
        <f>AVERAGE(E111:E115)</f>
        <v>89</v>
      </c>
      <c r="F116" s="35">
        <f>AVERAGE(F111:F115)</f>
        <v>84.6</v>
      </c>
      <c r="G116" s="35">
        <f>AVERAGE(G111:G115)</f>
        <v>80</v>
      </c>
      <c r="H116" s="36"/>
      <c r="I116" s="36"/>
      <c r="J116" s="37"/>
      <c r="K116" s="37"/>
      <c r="L116" s="35">
        <f>AVERAGE(L111:L115)</f>
        <v>84</v>
      </c>
      <c r="M116" s="35">
        <f>AVERAGE(M111:M115)</f>
        <v>77.8</v>
      </c>
      <c r="N116" s="35">
        <f>AVERAGE(N111:N115)</f>
        <v>76.599999999999994</v>
      </c>
      <c r="O116" s="37"/>
      <c r="P116" s="30"/>
      <c r="Q116" s="30"/>
      <c r="R116" s="38">
        <f>AVERAGE(R113:R115)</f>
        <v>81.611111111111114</v>
      </c>
      <c r="S116" s="38">
        <f>AVERAGE(S113:S115)</f>
        <v>83.666666666666671</v>
      </c>
      <c r="T116" s="30"/>
      <c r="U116" s="38">
        <f>AVERAGE(U111:U115)</f>
        <v>81</v>
      </c>
      <c r="V116" s="24"/>
      <c r="W116" s="20">
        <f t="shared" si="17"/>
        <v>738.27777777777771</v>
      </c>
      <c r="X116" s="20">
        <f t="shared" si="18"/>
        <v>9</v>
      </c>
      <c r="Y116" s="21">
        <f t="shared" si="19"/>
        <v>82.03086419753086</v>
      </c>
      <c r="Z116" s="39">
        <f t="shared" si="22"/>
        <v>82.264141414141406</v>
      </c>
    </row>
    <row r="117" spans="1:26" ht="16.5" x14ac:dyDescent="0.3">
      <c r="A117" s="70">
        <v>12</v>
      </c>
      <c r="B117" s="73"/>
      <c r="C117" s="76"/>
      <c r="D117" s="40" t="s">
        <v>39</v>
      </c>
      <c r="E117" s="41">
        <f>[1]te!$J$16</f>
        <v>75</v>
      </c>
      <c r="F117" s="41">
        <f>[1]te!$P$16</f>
        <v>70</v>
      </c>
      <c r="G117" s="41">
        <f>[1]te!$V$16</f>
        <v>79</v>
      </c>
      <c r="H117" s="42"/>
      <c r="I117" s="42"/>
      <c r="J117" s="43"/>
      <c r="K117" s="43"/>
      <c r="L117" s="41">
        <f>[1]te!$AL$16</f>
        <v>79</v>
      </c>
      <c r="M117" s="41">
        <f>[1]te!$AR$16</f>
        <v>75</v>
      </c>
      <c r="N117" s="41">
        <f>[1]te!$AX$16</f>
        <v>75</v>
      </c>
      <c r="O117" s="43"/>
      <c r="P117" s="44"/>
      <c r="Q117" s="44"/>
      <c r="R117" s="45">
        <f>[1]te!$BV$16</f>
        <v>76</v>
      </c>
      <c r="S117" s="45">
        <f>[1]te!$BZ$16</f>
        <v>80</v>
      </c>
      <c r="T117" s="45">
        <f>[1]te!$CA$16</f>
        <v>76</v>
      </c>
      <c r="U117" s="46">
        <f>[1]te!$CE$16</f>
        <v>75</v>
      </c>
      <c r="V117" s="24"/>
      <c r="W117" s="20">
        <f t="shared" si="17"/>
        <v>760</v>
      </c>
      <c r="X117" s="20">
        <f t="shared" si="18"/>
        <v>10</v>
      </c>
      <c r="Y117" s="21">
        <f t="shared" si="19"/>
        <v>76</v>
      </c>
      <c r="Z117" s="21"/>
    </row>
    <row r="118" spans="1:26" ht="16.5" x14ac:dyDescent="0.3">
      <c r="A118" s="70">
        <v>12</v>
      </c>
      <c r="B118" s="73"/>
      <c r="C118" s="76"/>
      <c r="D118" s="47" t="s">
        <v>40</v>
      </c>
      <c r="E118" s="48">
        <f>[1]te!$CF$16</f>
        <v>85</v>
      </c>
      <c r="F118" s="48">
        <f>[1]te!$CG$16</f>
        <v>90</v>
      </c>
      <c r="G118" s="48">
        <f>[1]te!$CH$16</f>
        <v>85</v>
      </c>
      <c r="H118" s="42"/>
      <c r="I118" s="42"/>
      <c r="J118" s="43"/>
      <c r="K118" s="43"/>
      <c r="L118" s="48">
        <f>[1]te!$CI$16</f>
        <v>77</v>
      </c>
      <c r="M118" s="48">
        <f>[1]te!$CJ$16</f>
        <v>83</v>
      </c>
      <c r="N118" s="48">
        <f>[1]te!$CK$16</f>
        <v>85</v>
      </c>
      <c r="O118" s="43"/>
      <c r="P118" s="44"/>
      <c r="Q118" s="44"/>
      <c r="R118" s="49">
        <f>[1]te!$CN$16</f>
        <v>85</v>
      </c>
      <c r="S118" s="49">
        <f>[1]te!$CM$16</f>
        <v>91</v>
      </c>
      <c r="T118" s="44"/>
      <c r="U118" s="49">
        <f>[1]te!$CL$16</f>
        <v>89</v>
      </c>
      <c r="V118" s="24"/>
      <c r="W118" s="20">
        <f t="shared" si="17"/>
        <v>770</v>
      </c>
      <c r="X118" s="20">
        <f t="shared" si="18"/>
        <v>9</v>
      </c>
      <c r="Y118" s="21">
        <f t="shared" si="19"/>
        <v>85.555555555555557</v>
      </c>
      <c r="Z118" s="21"/>
    </row>
    <row r="119" spans="1:26" ht="17.25" thickBot="1" x14ac:dyDescent="0.35">
      <c r="A119" s="71">
        <v>12</v>
      </c>
      <c r="B119" s="74"/>
      <c r="C119" s="77"/>
      <c r="D119" s="50" t="s">
        <v>41</v>
      </c>
      <c r="E119" s="51">
        <f>(E116*4+E117*3+E118*3)/10</f>
        <v>83.6</v>
      </c>
      <c r="F119" s="51">
        <f t="shared" ref="F119:G119" si="29">(F116*4+F117*3+F118*3)/10</f>
        <v>81.84</v>
      </c>
      <c r="G119" s="51">
        <f t="shared" si="29"/>
        <v>81.2</v>
      </c>
      <c r="H119" s="51">
        <f>AVERAGE(H111:H114)</f>
        <v>83</v>
      </c>
      <c r="I119" s="51">
        <f>AVERAGE(I111:I114)</f>
        <v>83.25</v>
      </c>
      <c r="J119" s="51">
        <f>AVERAGE(J111:J112)</f>
        <v>85.5</v>
      </c>
      <c r="K119" s="51">
        <f>AVERAGE(K111:K114)</f>
        <v>83.5</v>
      </c>
      <c r="L119" s="51">
        <f>(L116*4+L117*3+L118*3)/10</f>
        <v>80.400000000000006</v>
      </c>
      <c r="M119" s="51">
        <f>(M116*4+M117*3+M118*3)/10</f>
        <v>78.52000000000001</v>
      </c>
      <c r="N119" s="51">
        <f>(N116*4+N117*3+N118*3)/10</f>
        <v>78.64</v>
      </c>
      <c r="O119" s="51">
        <f>AVERAGE(O111:O112)</f>
        <v>78.5</v>
      </c>
      <c r="P119" s="51">
        <f>AVERAGE(P111:P112)</f>
        <v>82</v>
      </c>
      <c r="Q119" s="51">
        <f>AVERAGE(Q111:Q112)</f>
        <v>85.5</v>
      </c>
      <c r="R119" s="51">
        <f>(R116*4+R117*3+R118*3)/10</f>
        <v>80.944444444444443</v>
      </c>
      <c r="S119" s="51">
        <f>(S116*4+S117*3+S118*3)/10</f>
        <v>84.76666666666668</v>
      </c>
      <c r="T119" s="51">
        <f>T117</f>
        <v>76</v>
      </c>
      <c r="U119" s="51">
        <f t="shared" ref="U119" si="30">(U116*4+U117*3+U118*3)/10</f>
        <v>81.599999999999994</v>
      </c>
      <c r="V119" s="52">
        <f>AVERAGE(E119:U119)</f>
        <v>81.691830065359454</v>
      </c>
      <c r="W119" s="20">
        <f t="shared" si="17"/>
        <v>1388.7611111111107</v>
      </c>
      <c r="X119" s="20">
        <f t="shared" si="18"/>
        <v>17</v>
      </c>
      <c r="Y119" s="21">
        <f t="shared" si="19"/>
        <v>81.691830065359454</v>
      </c>
      <c r="Z119" s="21"/>
    </row>
    <row r="120" spans="1:26" ht="18" thickTop="1" thickBot="1" x14ac:dyDescent="0.35">
      <c r="A120" s="70">
        <v>13</v>
      </c>
      <c r="B120" s="72" t="s">
        <v>64</v>
      </c>
      <c r="C120" s="75" t="s">
        <v>65</v>
      </c>
      <c r="D120" s="15" t="s">
        <v>33</v>
      </c>
      <c r="E120" s="16">
        <f>[1]te!$E$17</f>
        <v>88</v>
      </c>
      <c r="F120" s="16">
        <f>[1]te!$K$17</f>
        <v>87</v>
      </c>
      <c r="G120" s="16">
        <f>[1]te!$Q$17</f>
        <v>90</v>
      </c>
      <c r="H120" s="16">
        <f>[1]te!$W$17</f>
        <v>82</v>
      </c>
      <c r="I120" s="16">
        <f>[1]te!$AA$17</f>
        <v>82</v>
      </c>
      <c r="J120" s="16">
        <f>[1]te!$AE$17</f>
        <v>86</v>
      </c>
      <c r="K120" s="17">
        <f>[1]te!$AG$17</f>
        <v>86</v>
      </c>
      <c r="L120" s="18"/>
      <c r="M120" s="16">
        <f>[1]te!$AM$17</f>
        <v>81</v>
      </c>
      <c r="N120" s="16">
        <f>[1]te!$AS$17</f>
        <v>78</v>
      </c>
      <c r="O120" s="16">
        <f>[1]te!$AY$17</f>
        <v>81</v>
      </c>
      <c r="P120" s="17">
        <f>[1]te!$BA$17</f>
        <v>86</v>
      </c>
      <c r="Q120" s="17">
        <f>[1]te!$BC$17</f>
        <v>90</v>
      </c>
      <c r="R120" s="18"/>
      <c r="S120" s="18"/>
      <c r="T120" s="18"/>
      <c r="U120" s="18"/>
      <c r="V120" s="19"/>
      <c r="W120" s="20">
        <f t="shared" si="17"/>
        <v>1017</v>
      </c>
      <c r="X120" s="20">
        <f t="shared" si="18"/>
        <v>12</v>
      </c>
      <c r="Y120" s="21">
        <f t="shared" si="19"/>
        <v>84.75</v>
      </c>
      <c r="Z120" s="21"/>
    </row>
    <row r="121" spans="1:26" ht="17.25" thickBot="1" x14ac:dyDescent="0.35">
      <c r="A121" s="70">
        <v>13</v>
      </c>
      <c r="B121" s="73"/>
      <c r="C121" s="76"/>
      <c r="D121" s="15" t="s">
        <v>34</v>
      </c>
      <c r="E121" s="16">
        <f>[1]te!$F$17</f>
        <v>90</v>
      </c>
      <c r="F121" s="16">
        <f>[1]te!$L$17</f>
        <v>86</v>
      </c>
      <c r="G121" s="16">
        <f>[1]te!$R$17</f>
        <v>81</v>
      </c>
      <c r="H121" s="16">
        <f>[1]te!$X$17</f>
        <v>85</v>
      </c>
      <c r="I121" s="16">
        <f>[1]te!$AB$17</f>
        <v>88</v>
      </c>
      <c r="J121" s="16">
        <f>[1]te!$AF$17</f>
        <v>93</v>
      </c>
      <c r="K121" s="17">
        <f>[1]te!$AH$17</f>
        <v>89</v>
      </c>
      <c r="L121" s="18"/>
      <c r="M121" s="16">
        <f>[1]te!$AN$17</f>
        <v>81</v>
      </c>
      <c r="N121" s="16">
        <f>[1]te!$AT$17</f>
        <v>81</v>
      </c>
      <c r="O121" s="16">
        <f>[1]te!$AZ$17</f>
        <v>82</v>
      </c>
      <c r="P121" s="17">
        <f>[1]te!$BB$17</f>
        <v>87</v>
      </c>
      <c r="Q121" s="17">
        <f>[1]te!$BD$17</f>
        <v>81</v>
      </c>
      <c r="R121" s="18"/>
      <c r="S121" s="18"/>
      <c r="T121" s="18"/>
      <c r="U121" s="18"/>
      <c r="V121" s="24"/>
      <c r="W121" s="20">
        <f t="shared" si="17"/>
        <v>1024</v>
      </c>
      <c r="X121" s="20">
        <f t="shared" si="18"/>
        <v>12</v>
      </c>
      <c r="Y121" s="21">
        <f t="shared" si="19"/>
        <v>85.333333333333329</v>
      </c>
      <c r="Z121" s="21"/>
    </row>
    <row r="122" spans="1:26" ht="17.25" thickBot="1" x14ac:dyDescent="0.35">
      <c r="A122" s="70">
        <v>13</v>
      </c>
      <c r="B122" s="73"/>
      <c r="C122" s="76"/>
      <c r="D122" s="15" t="s">
        <v>35</v>
      </c>
      <c r="E122" s="16">
        <f>[1]te!$G$17</f>
        <v>89</v>
      </c>
      <c r="F122" s="16">
        <f>[1]te!$M$17</f>
        <v>88</v>
      </c>
      <c r="G122" s="16">
        <f>[1]te!$S$17</f>
        <v>83</v>
      </c>
      <c r="H122" s="16">
        <f>[1]te!$Y$17</f>
        <v>84</v>
      </c>
      <c r="I122" s="16">
        <f>[1]te!$AC$17</f>
        <v>85</v>
      </c>
      <c r="J122" s="25"/>
      <c r="K122" s="17">
        <f>[1]te!$AI$17</f>
        <v>74</v>
      </c>
      <c r="L122" s="18"/>
      <c r="M122" s="16">
        <f>[1]te!$AO$17</f>
        <v>84</v>
      </c>
      <c r="N122" s="16">
        <f>[1]te!$AU$17</f>
        <v>76</v>
      </c>
      <c r="O122" s="25"/>
      <c r="P122" s="18"/>
      <c r="Q122" s="18"/>
      <c r="R122" s="17">
        <f>[1]te!$BS$17</f>
        <v>84.666666666666671</v>
      </c>
      <c r="S122" s="17">
        <f>[1]te!$BW$17</f>
        <v>84</v>
      </c>
      <c r="T122" s="18"/>
      <c r="U122" s="17">
        <f>[1]te!$CB$17</f>
        <v>79</v>
      </c>
      <c r="V122" s="24"/>
      <c r="W122" s="20">
        <f t="shared" si="17"/>
        <v>910.66666666666663</v>
      </c>
      <c r="X122" s="20">
        <f t="shared" si="18"/>
        <v>11</v>
      </c>
      <c r="Y122" s="21">
        <f t="shared" si="19"/>
        <v>82.787878787878782</v>
      </c>
      <c r="Z122" s="21"/>
    </row>
    <row r="123" spans="1:26" ht="17.25" thickBot="1" x14ac:dyDescent="0.35">
      <c r="A123" s="70">
        <v>13</v>
      </c>
      <c r="B123" s="73"/>
      <c r="C123" s="76"/>
      <c r="D123" s="29" t="s">
        <v>36</v>
      </c>
      <c r="E123" s="16">
        <f>[1]te!$H$17</f>
        <v>89</v>
      </c>
      <c r="F123" s="16">
        <f>[1]te!$N$17</f>
        <v>90</v>
      </c>
      <c r="G123" s="16">
        <f>[1]te!$T$17</f>
        <v>80</v>
      </c>
      <c r="H123" s="16">
        <f>[1]te!$Z$17</f>
        <v>84</v>
      </c>
      <c r="I123" s="16">
        <f>[1]te!$AD$17</f>
        <v>86</v>
      </c>
      <c r="J123" s="25"/>
      <c r="K123" s="17">
        <f>[1]te!$AJ$17</f>
        <v>83</v>
      </c>
      <c r="L123" s="18"/>
      <c r="M123" s="16">
        <f>[1]te!$AP$17</f>
        <v>85</v>
      </c>
      <c r="N123" s="16">
        <f>[1]te!$AV$17</f>
        <v>71</v>
      </c>
      <c r="O123" s="25"/>
      <c r="P123" s="18"/>
      <c r="Q123" s="18"/>
      <c r="R123" s="17">
        <f>[1]te!$BT$17</f>
        <v>83</v>
      </c>
      <c r="S123" s="17">
        <f>[1]te!$BX$17</f>
        <v>82</v>
      </c>
      <c r="T123" s="30"/>
      <c r="U123" s="17">
        <f>[1]te!$CC$17</f>
        <v>91</v>
      </c>
      <c r="V123" s="24"/>
      <c r="W123" s="20">
        <f t="shared" si="17"/>
        <v>924</v>
      </c>
      <c r="X123" s="20">
        <f t="shared" si="18"/>
        <v>11</v>
      </c>
      <c r="Y123" s="21">
        <f t="shared" si="19"/>
        <v>84</v>
      </c>
      <c r="Z123" s="21"/>
    </row>
    <row r="124" spans="1:26" ht="16.5" x14ac:dyDescent="0.3">
      <c r="A124" s="70">
        <v>13</v>
      </c>
      <c r="B124" s="73"/>
      <c r="C124" s="76"/>
      <c r="D124" s="29" t="s">
        <v>37</v>
      </c>
      <c r="E124" s="16">
        <f>[1]te!$I$17</f>
        <v>93</v>
      </c>
      <c r="F124" s="16">
        <f>[1]te!$O$17</f>
        <v>93</v>
      </c>
      <c r="G124" s="16">
        <f>[1]te!$U$17</f>
        <v>83</v>
      </c>
      <c r="H124" s="33"/>
      <c r="I124" s="33"/>
      <c r="J124" s="25"/>
      <c r="K124" s="25"/>
      <c r="L124" s="16">
        <f>[1]te!$AK$17</f>
        <v>86</v>
      </c>
      <c r="M124" s="16">
        <f>[1]te!$AQ$17</f>
        <v>83</v>
      </c>
      <c r="N124" s="16">
        <f>[1]te!$AW$17</f>
        <v>84</v>
      </c>
      <c r="O124" s="25"/>
      <c r="P124" s="18"/>
      <c r="Q124" s="18"/>
      <c r="R124" s="17">
        <f>[1]te!$BU$17</f>
        <v>83.5</v>
      </c>
      <c r="S124" s="17">
        <f>[1]te!$BY$17</f>
        <v>86</v>
      </c>
      <c r="T124" s="17"/>
      <c r="U124" s="17">
        <f>[1]te!$CD$17</f>
        <v>84</v>
      </c>
      <c r="V124" s="24"/>
      <c r="W124" s="20">
        <f t="shared" si="17"/>
        <v>775.5</v>
      </c>
      <c r="X124" s="20">
        <f t="shared" si="18"/>
        <v>9</v>
      </c>
      <c r="Y124" s="21">
        <f t="shared" si="19"/>
        <v>86.166666666666671</v>
      </c>
      <c r="Z124" s="21"/>
    </row>
    <row r="125" spans="1:26" ht="16.5" x14ac:dyDescent="0.3">
      <c r="A125" s="70">
        <v>13</v>
      </c>
      <c r="B125" s="73"/>
      <c r="C125" s="76"/>
      <c r="D125" s="34" t="s">
        <v>38</v>
      </c>
      <c r="E125" s="35">
        <f>AVERAGE(E120:E124)</f>
        <v>89.8</v>
      </c>
      <c r="F125" s="35">
        <f>AVERAGE(F120:F124)</f>
        <v>88.8</v>
      </c>
      <c r="G125" s="35">
        <f>AVERAGE(G120:G124)</f>
        <v>83.4</v>
      </c>
      <c r="H125" s="36"/>
      <c r="I125" s="36"/>
      <c r="J125" s="37"/>
      <c r="K125" s="37"/>
      <c r="L125" s="35">
        <f>AVERAGE(L120:L124)</f>
        <v>86</v>
      </c>
      <c r="M125" s="35">
        <f>AVERAGE(M120:M124)</f>
        <v>82.8</v>
      </c>
      <c r="N125" s="35">
        <f>AVERAGE(N120:N124)</f>
        <v>78</v>
      </c>
      <c r="O125" s="37"/>
      <c r="P125" s="30"/>
      <c r="Q125" s="30"/>
      <c r="R125" s="38">
        <f>AVERAGE(R122:R124)</f>
        <v>83.722222222222229</v>
      </c>
      <c r="S125" s="38">
        <f>AVERAGE(S122:S124)</f>
        <v>84</v>
      </c>
      <c r="T125" s="30"/>
      <c r="U125" s="38">
        <f>AVERAGE(U120:U124)</f>
        <v>84.666666666666671</v>
      </c>
      <c r="V125" s="24"/>
      <c r="W125" s="20">
        <f t="shared" si="17"/>
        <v>761.18888888888887</v>
      </c>
      <c r="X125" s="20">
        <f t="shared" si="18"/>
        <v>9</v>
      </c>
      <c r="Y125" s="21">
        <f t="shared" si="19"/>
        <v>84.576543209876547</v>
      </c>
      <c r="Z125" s="39">
        <f t="shared" si="22"/>
        <v>84.607575757575759</v>
      </c>
    </row>
    <row r="126" spans="1:26" ht="16.5" x14ac:dyDescent="0.3">
      <c r="A126" s="70">
        <v>13</v>
      </c>
      <c r="B126" s="73"/>
      <c r="C126" s="76"/>
      <c r="D126" s="40" t="s">
        <v>39</v>
      </c>
      <c r="E126" s="41">
        <f>[1]te!$J$17</f>
        <v>80</v>
      </c>
      <c r="F126" s="41">
        <f>[1]te!$P$17</f>
        <v>90</v>
      </c>
      <c r="G126" s="41">
        <f>[1]te!$V$17</f>
        <v>80</v>
      </c>
      <c r="H126" s="42"/>
      <c r="I126" s="42"/>
      <c r="J126" s="43"/>
      <c r="K126" s="43"/>
      <c r="L126" s="41">
        <f>[1]te!$AL$17</f>
        <v>80</v>
      </c>
      <c r="M126" s="41">
        <f>[1]te!$AR$17</f>
        <v>80</v>
      </c>
      <c r="N126" s="41">
        <f>[1]te!$AX$17</f>
        <v>80</v>
      </c>
      <c r="O126" s="43"/>
      <c r="P126" s="44"/>
      <c r="Q126" s="44"/>
      <c r="R126" s="45">
        <f>[1]te!$BV$17</f>
        <v>82</v>
      </c>
      <c r="S126" s="45">
        <f>[1]te!$BZ$17</f>
        <v>80</v>
      </c>
      <c r="T126" s="45">
        <f>[1]te!$CA$17</f>
        <v>82</v>
      </c>
      <c r="U126" s="46">
        <f>[1]te!$CE$17</f>
        <v>80</v>
      </c>
      <c r="V126" s="24"/>
      <c r="W126" s="20">
        <f t="shared" si="17"/>
        <v>814</v>
      </c>
      <c r="X126" s="20">
        <f t="shared" si="18"/>
        <v>10</v>
      </c>
      <c r="Y126" s="21">
        <f t="shared" si="19"/>
        <v>81.400000000000006</v>
      </c>
      <c r="Z126" s="21"/>
    </row>
    <row r="127" spans="1:26" ht="16.5" x14ac:dyDescent="0.3">
      <c r="A127" s="70">
        <v>13</v>
      </c>
      <c r="B127" s="73"/>
      <c r="C127" s="76"/>
      <c r="D127" s="47" t="s">
        <v>40</v>
      </c>
      <c r="E127" s="48">
        <f>[1]te!$CF$17</f>
        <v>89</v>
      </c>
      <c r="F127" s="48">
        <f>[1]te!$CG$17</f>
        <v>90</v>
      </c>
      <c r="G127" s="48">
        <f>[1]te!$CH$17</f>
        <v>88</v>
      </c>
      <c r="H127" s="42"/>
      <c r="I127" s="42"/>
      <c r="J127" s="43"/>
      <c r="K127" s="43"/>
      <c r="L127" s="48">
        <f>[1]te!$CI$17</f>
        <v>85</v>
      </c>
      <c r="M127" s="48">
        <f>[1]te!$CJ$17</f>
        <v>84</v>
      </c>
      <c r="N127" s="48">
        <f>[1]te!$CK$17</f>
        <v>84</v>
      </c>
      <c r="O127" s="43"/>
      <c r="P127" s="44"/>
      <c r="Q127" s="44"/>
      <c r="R127" s="49">
        <f>[1]te!$CN$17</f>
        <v>87</v>
      </c>
      <c r="S127" s="49">
        <f>[1]te!$CM$17</f>
        <v>95</v>
      </c>
      <c r="T127" s="44"/>
      <c r="U127" s="49">
        <f>[1]te!$CL$17</f>
        <v>84</v>
      </c>
      <c r="V127" s="24"/>
      <c r="W127" s="20">
        <f t="shared" si="17"/>
        <v>786</v>
      </c>
      <c r="X127" s="20">
        <f t="shared" si="18"/>
        <v>9</v>
      </c>
      <c r="Y127" s="21">
        <f t="shared" si="19"/>
        <v>87.333333333333329</v>
      </c>
      <c r="Z127" s="21"/>
    </row>
    <row r="128" spans="1:26" ht="17.25" thickBot="1" x14ac:dyDescent="0.35">
      <c r="A128" s="71">
        <v>13</v>
      </c>
      <c r="B128" s="74"/>
      <c r="C128" s="77"/>
      <c r="D128" s="50" t="s">
        <v>41</v>
      </c>
      <c r="E128" s="51">
        <f>(E125*4+E126*3+E127*3)/10</f>
        <v>86.62</v>
      </c>
      <c r="F128" s="51">
        <f t="shared" ref="F128:G128" si="31">(F125*4+F126*3+F127*3)/10</f>
        <v>89.52000000000001</v>
      </c>
      <c r="G128" s="51">
        <f t="shared" si="31"/>
        <v>83.76</v>
      </c>
      <c r="H128" s="51">
        <f>AVERAGE(H120:H123)</f>
        <v>83.75</v>
      </c>
      <c r="I128" s="51">
        <f>AVERAGE(I120:I123)</f>
        <v>85.25</v>
      </c>
      <c r="J128" s="51">
        <f>AVERAGE(J120:J121)</f>
        <v>89.5</v>
      </c>
      <c r="K128" s="51">
        <f>AVERAGE(K120:K123)</f>
        <v>83</v>
      </c>
      <c r="L128" s="51">
        <f>(L125*4+L126*3+L127*3)/10</f>
        <v>83.9</v>
      </c>
      <c r="M128" s="51">
        <f>(M125*4+M126*3+M127*3)/10</f>
        <v>82.320000000000007</v>
      </c>
      <c r="N128" s="51">
        <f>(N125*4+N126*3+N127*3)/10</f>
        <v>80.400000000000006</v>
      </c>
      <c r="O128" s="51">
        <f>AVERAGE(O120:O121)</f>
        <v>81.5</v>
      </c>
      <c r="P128" s="51">
        <f>AVERAGE(P120:P121)</f>
        <v>86.5</v>
      </c>
      <c r="Q128" s="51">
        <f>AVERAGE(Q120:Q121)</f>
        <v>85.5</v>
      </c>
      <c r="R128" s="51">
        <f>(R125*4+R126*3+R127*3)/10</f>
        <v>84.188888888888897</v>
      </c>
      <c r="S128" s="51">
        <f>(S125*4+S126*3+S127*3)/10</f>
        <v>86.1</v>
      </c>
      <c r="T128" s="51">
        <f>T126</f>
        <v>82</v>
      </c>
      <c r="U128" s="51">
        <f t="shared" ref="U128" si="32">(U125*4+U126*3+U127*3)/10</f>
        <v>83.066666666666677</v>
      </c>
      <c r="V128" s="52">
        <f>AVERAGE(E128:U128)</f>
        <v>84.522091503267959</v>
      </c>
      <c r="W128" s="20">
        <f t="shared" si="17"/>
        <v>1436.8755555555554</v>
      </c>
      <c r="X128" s="20">
        <f t="shared" si="18"/>
        <v>17</v>
      </c>
      <c r="Y128" s="21">
        <f t="shared" si="19"/>
        <v>84.522091503267959</v>
      </c>
      <c r="Z128" s="21"/>
    </row>
    <row r="129" spans="1:26" ht="18" thickTop="1" thickBot="1" x14ac:dyDescent="0.35">
      <c r="A129" s="70">
        <v>14</v>
      </c>
      <c r="B129" s="72" t="s">
        <v>66</v>
      </c>
      <c r="C129" s="75" t="s">
        <v>67</v>
      </c>
      <c r="D129" s="15" t="s">
        <v>33</v>
      </c>
      <c r="E129" s="16">
        <f>[1]te!$E$18</f>
        <v>88</v>
      </c>
      <c r="F129" s="16">
        <f>[1]te!$K$18</f>
        <v>85</v>
      </c>
      <c r="G129" s="16">
        <f>[1]te!$Q$18</f>
        <v>90</v>
      </c>
      <c r="H129" s="16">
        <f>[1]te!$W$18</f>
        <v>86</v>
      </c>
      <c r="I129" s="16">
        <f>[1]te!$AA$18</f>
        <v>83</v>
      </c>
      <c r="J129" s="16">
        <f>[1]te!$AE$18</f>
        <v>85</v>
      </c>
      <c r="K129" s="17">
        <f>[1]te!$AG$18</f>
        <v>85</v>
      </c>
      <c r="L129" s="18"/>
      <c r="M129" s="16">
        <f>[1]te!$AM$18</f>
        <v>75</v>
      </c>
      <c r="N129" s="16">
        <f>[1]te!$AS$18</f>
        <v>93</v>
      </c>
      <c r="O129" s="16">
        <f>[1]te!$AY$18</f>
        <v>79</v>
      </c>
      <c r="P129" s="17">
        <f>[1]te!$BA$18</f>
        <v>88</v>
      </c>
      <c r="Q129" s="17">
        <f>[1]te!$BC$18</f>
        <v>91</v>
      </c>
      <c r="R129" s="18"/>
      <c r="S129" s="18"/>
      <c r="T129" s="18"/>
      <c r="U129" s="18"/>
      <c r="V129" s="19"/>
      <c r="W129" s="20">
        <f t="shared" si="17"/>
        <v>1028</v>
      </c>
      <c r="X129" s="20">
        <f t="shared" si="18"/>
        <v>12</v>
      </c>
      <c r="Y129" s="21">
        <f t="shared" si="19"/>
        <v>85.666666666666671</v>
      </c>
      <c r="Z129" s="21"/>
    </row>
    <row r="130" spans="1:26" ht="17.25" thickBot="1" x14ac:dyDescent="0.35">
      <c r="A130" s="70">
        <v>14</v>
      </c>
      <c r="B130" s="73"/>
      <c r="C130" s="76"/>
      <c r="D130" s="15" t="s">
        <v>34</v>
      </c>
      <c r="E130" s="16">
        <f>[1]te!$F$18</f>
        <v>90</v>
      </c>
      <c r="F130" s="16">
        <f>[1]te!$L$18</f>
        <v>85</v>
      </c>
      <c r="G130" s="16">
        <f>[1]te!$R$18</f>
        <v>85</v>
      </c>
      <c r="H130" s="16">
        <f>[1]te!$X$18</f>
        <v>86</v>
      </c>
      <c r="I130" s="16">
        <f>[1]te!$AB$18</f>
        <v>88</v>
      </c>
      <c r="J130" s="16">
        <f>[1]te!$AF$18</f>
        <v>87</v>
      </c>
      <c r="K130" s="17">
        <f>[1]te!$AH$18</f>
        <v>89</v>
      </c>
      <c r="L130" s="18"/>
      <c r="M130" s="16">
        <f>[1]te!$AN$18</f>
        <v>77</v>
      </c>
      <c r="N130" s="16">
        <f>[1]te!$AT$18</f>
        <v>90</v>
      </c>
      <c r="O130" s="16">
        <f>[1]te!$AZ$18</f>
        <v>80</v>
      </c>
      <c r="P130" s="17">
        <f>[1]te!$BB$18</f>
        <v>95</v>
      </c>
      <c r="Q130" s="17">
        <f>[1]te!$BD$18</f>
        <v>83</v>
      </c>
      <c r="R130" s="18"/>
      <c r="S130" s="18"/>
      <c r="T130" s="18"/>
      <c r="U130" s="18"/>
      <c r="V130" s="24"/>
      <c r="W130" s="20">
        <f t="shared" si="17"/>
        <v>1035</v>
      </c>
      <c r="X130" s="20">
        <f t="shared" si="18"/>
        <v>12</v>
      </c>
      <c r="Y130" s="21">
        <f t="shared" si="19"/>
        <v>86.25</v>
      </c>
      <c r="Z130" s="21"/>
    </row>
    <row r="131" spans="1:26" ht="17.25" thickBot="1" x14ac:dyDescent="0.35">
      <c r="A131" s="70">
        <v>14</v>
      </c>
      <c r="B131" s="73"/>
      <c r="C131" s="76"/>
      <c r="D131" s="15" t="s">
        <v>35</v>
      </c>
      <c r="E131" s="16">
        <f>[1]te!$G$18</f>
        <v>89</v>
      </c>
      <c r="F131" s="16">
        <f>[1]te!$M$18</f>
        <v>95</v>
      </c>
      <c r="G131" s="16">
        <f>[1]te!$S$18</f>
        <v>80</v>
      </c>
      <c r="H131" s="16">
        <f>[1]te!$Y$18</f>
        <v>85</v>
      </c>
      <c r="I131" s="16">
        <f>[1]te!$AC$18</f>
        <v>86</v>
      </c>
      <c r="J131" s="25"/>
      <c r="K131" s="17">
        <f>[1]te!$AI$18</f>
        <v>73</v>
      </c>
      <c r="L131" s="18"/>
      <c r="M131" s="16">
        <f>[1]te!$AO$18</f>
        <v>75</v>
      </c>
      <c r="N131" s="16">
        <f>[1]te!$AU$18</f>
        <v>87</v>
      </c>
      <c r="O131" s="25"/>
      <c r="P131" s="18"/>
      <c r="Q131" s="18"/>
      <c r="R131" s="17">
        <f>[1]te!$BS$18</f>
        <v>86</v>
      </c>
      <c r="S131" s="17">
        <f>[1]te!$BW$18</f>
        <v>85</v>
      </c>
      <c r="T131" s="18"/>
      <c r="U131" s="17">
        <f>[1]te!$CB$18</f>
        <v>84</v>
      </c>
      <c r="V131" s="24"/>
      <c r="W131" s="20">
        <f t="shared" si="17"/>
        <v>925</v>
      </c>
      <c r="X131" s="20">
        <f t="shared" si="18"/>
        <v>11</v>
      </c>
      <c r="Y131" s="21">
        <f t="shared" si="19"/>
        <v>84.090909090909093</v>
      </c>
      <c r="Z131" s="21"/>
    </row>
    <row r="132" spans="1:26" ht="17.25" thickBot="1" x14ac:dyDescent="0.35">
      <c r="A132" s="70">
        <v>14</v>
      </c>
      <c r="B132" s="73"/>
      <c r="C132" s="76"/>
      <c r="D132" s="29" t="s">
        <v>36</v>
      </c>
      <c r="E132" s="16">
        <f>[1]te!$H$18</f>
        <v>89</v>
      </c>
      <c r="F132" s="16">
        <f>[1]te!$N$18</f>
        <v>95</v>
      </c>
      <c r="G132" s="16">
        <f>[1]te!$T$18</f>
        <v>87</v>
      </c>
      <c r="H132" s="16">
        <f>[1]te!$Z$18</f>
        <v>86</v>
      </c>
      <c r="I132" s="16">
        <f>[1]te!$AD$18</f>
        <v>87</v>
      </c>
      <c r="J132" s="25"/>
      <c r="K132" s="17">
        <f>[1]te!$AJ$18</f>
        <v>82</v>
      </c>
      <c r="L132" s="18"/>
      <c r="M132" s="16">
        <f>[1]te!$AP$18</f>
        <v>76</v>
      </c>
      <c r="N132" s="16">
        <f>[1]te!$AV$18</f>
        <v>83</v>
      </c>
      <c r="O132" s="25"/>
      <c r="P132" s="18"/>
      <c r="Q132" s="18"/>
      <c r="R132" s="17">
        <f>[1]te!$BT$18</f>
        <v>83</v>
      </c>
      <c r="S132" s="17">
        <f>[1]te!$BX$18</f>
        <v>82</v>
      </c>
      <c r="T132" s="30"/>
      <c r="U132" s="17">
        <f>[1]te!$CC$18</f>
        <v>92</v>
      </c>
      <c r="V132" s="24"/>
      <c r="W132" s="20">
        <f t="shared" si="17"/>
        <v>942</v>
      </c>
      <c r="X132" s="20">
        <f t="shared" si="18"/>
        <v>11</v>
      </c>
      <c r="Y132" s="21">
        <f t="shared" si="19"/>
        <v>85.63636363636364</v>
      </c>
      <c r="Z132" s="21"/>
    </row>
    <row r="133" spans="1:26" ht="16.5" x14ac:dyDescent="0.3">
      <c r="A133" s="70">
        <v>14</v>
      </c>
      <c r="B133" s="73"/>
      <c r="C133" s="76"/>
      <c r="D133" s="29" t="s">
        <v>37</v>
      </c>
      <c r="E133" s="16">
        <f>[1]te!$I$18</f>
        <v>91</v>
      </c>
      <c r="F133" s="16">
        <f>[1]te!$O$18</f>
        <v>95</v>
      </c>
      <c r="G133" s="16">
        <f>[1]te!$U$18</f>
        <v>88</v>
      </c>
      <c r="H133" s="33"/>
      <c r="I133" s="33"/>
      <c r="J133" s="25"/>
      <c r="K133" s="25"/>
      <c r="L133" s="16">
        <f>[1]te!$AK$18</f>
        <v>90</v>
      </c>
      <c r="M133" s="16">
        <f>[1]te!$AQ$18</f>
        <v>81</v>
      </c>
      <c r="N133" s="16">
        <f>[1]te!$AW$18</f>
        <v>86</v>
      </c>
      <c r="O133" s="25"/>
      <c r="P133" s="18"/>
      <c r="Q133" s="18"/>
      <c r="R133" s="17">
        <f>[1]te!$BU$18</f>
        <v>84.25</v>
      </c>
      <c r="S133" s="17">
        <f>[1]te!$BY$18</f>
        <v>86</v>
      </c>
      <c r="T133" s="17"/>
      <c r="U133" s="17">
        <f>[1]te!$CD$18</f>
        <v>85</v>
      </c>
      <c r="V133" s="24"/>
      <c r="W133" s="20">
        <f t="shared" si="17"/>
        <v>786.25</v>
      </c>
      <c r="X133" s="20">
        <f t="shared" si="18"/>
        <v>9</v>
      </c>
      <c r="Y133" s="21">
        <f t="shared" si="19"/>
        <v>87.361111111111114</v>
      </c>
      <c r="Z133" s="21"/>
    </row>
    <row r="134" spans="1:26" ht="16.5" x14ac:dyDescent="0.3">
      <c r="A134" s="70">
        <v>14</v>
      </c>
      <c r="B134" s="73"/>
      <c r="C134" s="76"/>
      <c r="D134" s="34" t="s">
        <v>38</v>
      </c>
      <c r="E134" s="35">
        <f>AVERAGE(E129:E133)</f>
        <v>89.4</v>
      </c>
      <c r="F134" s="35">
        <f>AVERAGE(F129:F133)</f>
        <v>91</v>
      </c>
      <c r="G134" s="35">
        <f>AVERAGE(G129:G133)</f>
        <v>86</v>
      </c>
      <c r="H134" s="36"/>
      <c r="I134" s="36"/>
      <c r="J134" s="37"/>
      <c r="K134" s="37"/>
      <c r="L134" s="35">
        <f>AVERAGE(L129:L133)</f>
        <v>90</v>
      </c>
      <c r="M134" s="35">
        <f>AVERAGE(M129:M133)</f>
        <v>76.8</v>
      </c>
      <c r="N134" s="35">
        <f>AVERAGE(N129:N133)</f>
        <v>87.8</v>
      </c>
      <c r="O134" s="37"/>
      <c r="P134" s="30"/>
      <c r="Q134" s="30"/>
      <c r="R134" s="38">
        <f>AVERAGE(R131:R133)</f>
        <v>84.416666666666671</v>
      </c>
      <c r="S134" s="38">
        <f>AVERAGE(S131:S133)</f>
        <v>84.333333333333329</v>
      </c>
      <c r="T134" s="30"/>
      <c r="U134" s="38">
        <f>AVERAGE(U129:U133)</f>
        <v>87</v>
      </c>
      <c r="V134" s="24"/>
      <c r="W134" s="20">
        <f t="shared" si="17"/>
        <v>776.75</v>
      </c>
      <c r="X134" s="20">
        <f t="shared" si="18"/>
        <v>9</v>
      </c>
      <c r="Y134" s="21">
        <f t="shared" si="19"/>
        <v>86.305555555555557</v>
      </c>
      <c r="Z134" s="39">
        <f t="shared" si="22"/>
        <v>85.801010101010093</v>
      </c>
    </row>
    <row r="135" spans="1:26" ht="16.5" x14ac:dyDescent="0.3">
      <c r="A135" s="70">
        <v>14</v>
      </c>
      <c r="B135" s="73"/>
      <c r="C135" s="76"/>
      <c r="D135" s="40" t="s">
        <v>39</v>
      </c>
      <c r="E135" s="41">
        <f>[1]te!$J$18</f>
        <v>95</v>
      </c>
      <c r="F135" s="41">
        <f>[1]te!$P$18</f>
        <v>89</v>
      </c>
      <c r="G135" s="41">
        <f>[1]te!$V$18</f>
        <v>87</v>
      </c>
      <c r="H135" s="42"/>
      <c r="I135" s="42"/>
      <c r="J135" s="43"/>
      <c r="K135" s="43"/>
      <c r="L135" s="41">
        <f>[1]te!$AL$18</f>
        <v>87</v>
      </c>
      <c r="M135" s="41">
        <f>[1]te!$AR$18</f>
        <v>86</v>
      </c>
      <c r="N135" s="41">
        <f>[1]te!$AX$18</f>
        <v>86</v>
      </c>
      <c r="O135" s="43"/>
      <c r="P135" s="44"/>
      <c r="Q135" s="44"/>
      <c r="R135" s="45">
        <f>[1]te!$BV$18</f>
        <v>89</v>
      </c>
      <c r="S135" s="45">
        <f>[1]te!$BZ$18</f>
        <v>86</v>
      </c>
      <c r="T135" s="45">
        <f>[1]te!$CA$18</f>
        <v>89</v>
      </c>
      <c r="U135" s="46">
        <f>[1]te!$CE$18</f>
        <v>86</v>
      </c>
      <c r="V135" s="24"/>
      <c r="W135" s="20">
        <f t="shared" si="17"/>
        <v>880</v>
      </c>
      <c r="X135" s="20">
        <f t="shared" si="18"/>
        <v>10</v>
      </c>
      <c r="Y135" s="21">
        <f t="shared" si="19"/>
        <v>88</v>
      </c>
      <c r="Z135" s="21"/>
    </row>
    <row r="136" spans="1:26" ht="16.5" x14ac:dyDescent="0.3">
      <c r="A136" s="70">
        <v>14</v>
      </c>
      <c r="B136" s="73"/>
      <c r="C136" s="76"/>
      <c r="D136" s="47" t="s">
        <v>40</v>
      </c>
      <c r="E136" s="48">
        <f>[1]te!$CF$18</f>
        <v>91</v>
      </c>
      <c r="F136" s="48">
        <f>[1]te!$CG$18</f>
        <v>95</v>
      </c>
      <c r="G136" s="48">
        <f>[1]te!$CH$18</f>
        <v>85</v>
      </c>
      <c r="H136" s="42"/>
      <c r="I136" s="42"/>
      <c r="J136" s="43"/>
      <c r="K136" s="43"/>
      <c r="L136" s="48">
        <f>[1]te!$CI$18</f>
        <v>97</v>
      </c>
      <c r="M136" s="48">
        <f>[1]te!$CJ$18</f>
        <v>82</v>
      </c>
      <c r="N136" s="48">
        <f>[1]te!$CK$18</f>
        <v>86</v>
      </c>
      <c r="O136" s="43"/>
      <c r="P136" s="44"/>
      <c r="Q136" s="44"/>
      <c r="R136" s="49">
        <f>[1]te!$CN$18</f>
        <v>75</v>
      </c>
      <c r="S136" s="49">
        <f>[1]te!$CM$18</f>
        <v>97</v>
      </c>
      <c r="T136" s="44"/>
      <c r="U136" s="49">
        <f>[1]te!$CL$18</f>
        <v>89</v>
      </c>
      <c r="V136" s="24"/>
      <c r="W136" s="20">
        <f t="shared" si="17"/>
        <v>797</v>
      </c>
      <c r="X136" s="20">
        <f t="shared" si="18"/>
        <v>9</v>
      </c>
      <c r="Y136" s="21">
        <f t="shared" si="19"/>
        <v>88.555555555555557</v>
      </c>
      <c r="Z136" s="21"/>
    </row>
    <row r="137" spans="1:26" ht="17.25" thickBot="1" x14ac:dyDescent="0.35">
      <c r="A137" s="71">
        <v>14</v>
      </c>
      <c r="B137" s="74"/>
      <c r="C137" s="77"/>
      <c r="D137" s="50" t="s">
        <v>41</v>
      </c>
      <c r="E137" s="51">
        <f>(E134*4+E135*3+E136*3)/10</f>
        <v>91.56</v>
      </c>
      <c r="F137" s="51">
        <f t="shared" ref="F137:G137" si="33">(F134*4+F135*3+F136*3)/10</f>
        <v>91.6</v>
      </c>
      <c r="G137" s="51">
        <f t="shared" si="33"/>
        <v>86</v>
      </c>
      <c r="H137" s="51">
        <f>AVERAGE(H129:H132)</f>
        <v>85.75</v>
      </c>
      <c r="I137" s="51">
        <f>AVERAGE(I129:I132)</f>
        <v>86</v>
      </c>
      <c r="J137" s="51">
        <f>AVERAGE(J129:J130)</f>
        <v>86</v>
      </c>
      <c r="K137" s="51">
        <f>AVERAGE(K129:K132)</f>
        <v>82.25</v>
      </c>
      <c r="L137" s="51">
        <f>(L134*4+L135*3+L136*3)/10</f>
        <v>91.2</v>
      </c>
      <c r="M137" s="51">
        <f>(M134*4+M135*3+M136*3)/10</f>
        <v>81.12</v>
      </c>
      <c r="N137" s="51">
        <f>(N134*4+N135*3+N136*3)/10</f>
        <v>86.72</v>
      </c>
      <c r="O137" s="51">
        <f>AVERAGE(O129:O130)</f>
        <v>79.5</v>
      </c>
      <c r="P137" s="51">
        <f>AVERAGE(P129:P130)</f>
        <v>91.5</v>
      </c>
      <c r="Q137" s="51">
        <f>AVERAGE(Q129:Q130)</f>
        <v>87</v>
      </c>
      <c r="R137" s="51">
        <f>(R134*4+R135*3+R136*3)/10</f>
        <v>82.966666666666669</v>
      </c>
      <c r="S137" s="51">
        <f>(S134*4+S135*3+S136*3)/10</f>
        <v>88.633333333333326</v>
      </c>
      <c r="T137" s="51">
        <f>T135</f>
        <v>89</v>
      </c>
      <c r="U137" s="51">
        <f t="shared" ref="U137" si="34">(U134*4+U135*3+U136*3)/10</f>
        <v>87.3</v>
      </c>
      <c r="V137" s="52">
        <f>AVERAGE(E137:U137)</f>
        <v>86.711764705882359</v>
      </c>
      <c r="W137" s="20">
        <f t="shared" si="17"/>
        <v>1474.1000000000001</v>
      </c>
      <c r="X137" s="20">
        <f t="shared" si="18"/>
        <v>17</v>
      </c>
      <c r="Y137" s="21">
        <f t="shared" si="19"/>
        <v>86.711764705882359</v>
      </c>
      <c r="Z137" s="21"/>
    </row>
    <row r="138" spans="1:26" ht="15.75" thickTop="1" x14ac:dyDescent="0.25">
      <c r="W138" s="20"/>
      <c r="X138" s="20"/>
      <c r="Y138" s="21"/>
    </row>
    <row r="139" spans="1:26" x14ac:dyDescent="0.25">
      <c r="R139" s="2">
        <f>12*14</f>
        <v>168</v>
      </c>
      <c r="W139" s="20"/>
      <c r="X139" s="20"/>
      <c r="Y139" s="21"/>
    </row>
    <row r="140" spans="1:26" x14ac:dyDescent="0.25">
      <c r="W140" s="20"/>
      <c r="X140" s="20"/>
      <c r="Y140" s="21"/>
    </row>
    <row r="141" spans="1:26" ht="18.75" x14ac:dyDescent="0.3">
      <c r="B141" s="2" t="s">
        <v>68</v>
      </c>
      <c r="T141" s="53" t="s">
        <v>69</v>
      </c>
      <c r="W141" s="20"/>
      <c r="X141" s="20"/>
      <c r="Y141" s="21"/>
    </row>
    <row r="142" spans="1:26" ht="18.75" x14ac:dyDescent="0.3">
      <c r="B142" s="2" t="s">
        <v>70</v>
      </c>
      <c r="T142" s="53" t="s">
        <v>71</v>
      </c>
      <c r="W142" s="20"/>
      <c r="X142" s="20"/>
      <c r="Y142" s="21"/>
    </row>
    <row r="143" spans="1:26" ht="18.75" x14ac:dyDescent="0.3">
      <c r="T143" s="53"/>
      <c r="W143" s="20"/>
      <c r="X143" s="20"/>
      <c r="Y143" s="21"/>
    </row>
    <row r="144" spans="1:26" ht="18.75" x14ac:dyDescent="0.3">
      <c r="T144" s="53"/>
      <c r="W144" s="20"/>
      <c r="X144" s="20"/>
      <c r="Y144" s="21"/>
    </row>
    <row r="145" spans="2:25" ht="18.75" x14ac:dyDescent="0.3">
      <c r="T145" s="53"/>
      <c r="W145" s="20"/>
      <c r="X145" s="20"/>
      <c r="Y145" s="21"/>
    </row>
    <row r="146" spans="2:25" ht="18.75" x14ac:dyDescent="0.3">
      <c r="K146" s="9"/>
      <c r="L146" s="9"/>
      <c r="M146" s="9"/>
      <c r="N146" s="9"/>
      <c r="O146" s="9"/>
      <c r="P146" s="9"/>
      <c r="Q146" s="9"/>
      <c r="R146" s="9"/>
      <c r="S146" s="9"/>
      <c r="T146" s="53"/>
      <c r="U146" s="9"/>
      <c r="W146" s="20"/>
      <c r="X146" s="20"/>
      <c r="Y146" s="21"/>
    </row>
    <row r="147" spans="2:25" ht="18.75" x14ac:dyDescent="0.3">
      <c r="T147" s="53"/>
      <c r="W147" s="20"/>
      <c r="X147" s="20"/>
      <c r="Y147" s="21"/>
    </row>
    <row r="148" spans="2:25" ht="18.75" x14ac:dyDescent="0.3">
      <c r="T148" s="53"/>
      <c r="W148" s="20"/>
      <c r="X148" s="20"/>
      <c r="Y148" s="21"/>
    </row>
    <row r="149" spans="2:25" ht="18.75" x14ac:dyDescent="0.3">
      <c r="T149" s="53"/>
      <c r="W149" s="20"/>
      <c r="X149" s="20"/>
      <c r="Y149" s="21"/>
    </row>
    <row r="150" spans="2:25" ht="18.75" x14ac:dyDescent="0.3">
      <c r="B150" s="9" t="s">
        <v>72</v>
      </c>
      <c r="T150" s="54" t="s">
        <v>73</v>
      </c>
      <c r="W150" s="20"/>
      <c r="X150" s="20"/>
      <c r="Y150" s="21"/>
    </row>
    <row r="151" spans="2:25" ht="18.75" x14ac:dyDescent="0.3">
      <c r="B151" s="2" t="s">
        <v>74</v>
      </c>
      <c r="T151" s="54" t="s">
        <v>75</v>
      </c>
      <c r="W151" s="20"/>
      <c r="X151" s="20"/>
      <c r="Y151" s="21"/>
    </row>
    <row r="152" spans="2:25" x14ac:dyDescent="0.25">
      <c r="W152" s="20"/>
      <c r="X152" s="20"/>
      <c r="Y152" s="21"/>
    </row>
    <row r="153" spans="2:25" x14ac:dyDescent="0.25">
      <c r="W153" s="20"/>
      <c r="X153" s="20"/>
      <c r="Y153" s="21"/>
    </row>
    <row r="154" spans="2:25" x14ac:dyDescent="0.25">
      <c r="W154" s="20"/>
      <c r="X154" s="20"/>
      <c r="Y154" s="21"/>
    </row>
    <row r="155" spans="2:25" x14ac:dyDescent="0.25">
      <c r="W155" s="20"/>
      <c r="X155" s="20"/>
      <c r="Y155" s="21"/>
    </row>
    <row r="156" spans="2:25" x14ac:dyDescent="0.25">
      <c r="W156" s="20"/>
      <c r="X156" s="20"/>
      <c r="Y156" s="21"/>
    </row>
    <row r="157" spans="2:25" x14ac:dyDescent="0.25">
      <c r="W157" s="20"/>
      <c r="X157" s="20"/>
      <c r="Y157" s="21"/>
    </row>
    <row r="158" spans="2:25" x14ac:dyDescent="0.25">
      <c r="W158" s="20"/>
      <c r="X158" s="20"/>
      <c r="Y158" s="21"/>
    </row>
    <row r="159" spans="2:25" x14ac:dyDescent="0.25">
      <c r="W159" s="20"/>
      <c r="X159" s="20"/>
      <c r="Y159" s="21"/>
    </row>
    <row r="160" spans="2:25" x14ac:dyDescent="0.25">
      <c r="W160" s="20"/>
      <c r="X160" s="20"/>
      <c r="Y160" s="21"/>
    </row>
    <row r="161" spans="23:25" x14ac:dyDescent="0.25">
      <c r="W161" s="20"/>
      <c r="X161" s="20"/>
      <c r="Y161" s="21"/>
    </row>
    <row r="162" spans="23:25" x14ac:dyDescent="0.25">
      <c r="W162" s="20"/>
      <c r="X162" s="20"/>
      <c r="Y162" s="21"/>
    </row>
    <row r="163" spans="23:25" x14ac:dyDescent="0.25">
      <c r="W163" s="20"/>
      <c r="X163" s="20"/>
      <c r="Y163" s="21"/>
    </row>
    <row r="164" spans="23:25" x14ac:dyDescent="0.25">
      <c r="W164" s="20"/>
      <c r="X164" s="20"/>
      <c r="Y164" s="21"/>
    </row>
    <row r="165" spans="23:25" x14ac:dyDescent="0.25">
      <c r="W165" s="20"/>
      <c r="X165" s="20"/>
      <c r="Y165" s="21"/>
    </row>
    <row r="166" spans="23:25" x14ac:dyDescent="0.25">
      <c r="W166" s="20"/>
      <c r="X166" s="20"/>
      <c r="Y166" s="21"/>
    </row>
    <row r="167" spans="23:25" x14ac:dyDescent="0.25">
      <c r="W167" s="20"/>
      <c r="X167" s="20"/>
      <c r="Y167" s="21"/>
    </row>
    <row r="168" spans="23:25" x14ac:dyDescent="0.25">
      <c r="W168" s="20"/>
      <c r="X168" s="20"/>
      <c r="Y168" s="21"/>
    </row>
    <row r="169" spans="23:25" x14ac:dyDescent="0.25">
      <c r="W169" s="20"/>
      <c r="X169" s="20"/>
      <c r="Y169" s="21"/>
    </row>
    <row r="170" spans="23:25" x14ac:dyDescent="0.25">
      <c r="W170" s="20"/>
      <c r="X170" s="20"/>
      <c r="Y170" s="21"/>
    </row>
    <row r="171" spans="23:25" x14ac:dyDescent="0.25">
      <c r="W171" s="20"/>
      <c r="X171" s="20"/>
      <c r="Y171" s="21"/>
    </row>
    <row r="172" spans="23:25" x14ac:dyDescent="0.25">
      <c r="W172" s="20"/>
      <c r="X172" s="20"/>
      <c r="Y172" s="21"/>
    </row>
    <row r="173" spans="23:25" x14ac:dyDescent="0.25">
      <c r="W173" s="20"/>
      <c r="X173" s="20"/>
      <c r="Y173" s="21"/>
    </row>
    <row r="174" spans="23:25" x14ac:dyDescent="0.25">
      <c r="W174" s="20"/>
      <c r="X174" s="20"/>
      <c r="Y174" s="21"/>
    </row>
    <row r="175" spans="23:25" x14ac:dyDescent="0.25">
      <c r="W175" s="20"/>
      <c r="X175" s="20"/>
      <c r="Y175" s="21"/>
    </row>
    <row r="176" spans="23:25" x14ac:dyDescent="0.25">
      <c r="W176" s="20"/>
      <c r="X176" s="20"/>
      <c r="Y176" s="21"/>
    </row>
    <row r="177" spans="23:25" x14ac:dyDescent="0.25">
      <c r="W177" s="20"/>
      <c r="X177" s="20"/>
      <c r="Y177" s="21"/>
    </row>
    <row r="178" spans="23:25" x14ac:dyDescent="0.25">
      <c r="W178" s="20"/>
      <c r="X178" s="20"/>
      <c r="Y178" s="21"/>
    </row>
    <row r="179" spans="23:25" x14ac:dyDescent="0.25">
      <c r="W179" s="20"/>
      <c r="X179" s="20"/>
      <c r="Y179" s="21"/>
    </row>
    <row r="180" spans="23:25" x14ac:dyDescent="0.25">
      <c r="W180" s="20"/>
      <c r="X180" s="20"/>
      <c r="Y180" s="21"/>
    </row>
    <row r="181" spans="23:25" x14ac:dyDescent="0.25">
      <c r="W181" s="20"/>
      <c r="X181" s="20"/>
      <c r="Y181" s="21"/>
    </row>
    <row r="182" spans="23:25" x14ac:dyDescent="0.25">
      <c r="W182" s="20"/>
      <c r="X182" s="20"/>
      <c r="Y182" s="21"/>
    </row>
    <row r="183" spans="23:25" x14ac:dyDescent="0.25">
      <c r="W183" s="20"/>
      <c r="X183" s="20"/>
      <c r="Y183" s="21"/>
    </row>
    <row r="184" spans="23:25" x14ac:dyDescent="0.25">
      <c r="W184" s="20"/>
      <c r="X184" s="20"/>
      <c r="Y184" s="21"/>
    </row>
    <row r="185" spans="23:25" x14ac:dyDescent="0.25">
      <c r="W185" s="20"/>
      <c r="X185" s="20"/>
      <c r="Y185" s="21"/>
    </row>
    <row r="186" spans="23:25" x14ac:dyDescent="0.25">
      <c r="W186" s="20"/>
      <c r="X186" s="20"/>
      <c r="Y186" s="21"/>
    </row>
    <row r="187" spans="23:25" x14ac:dyDescent="0.25">
      <c r="W187" s="20"/>
      <c r="X187" s="20"/>
      <c r="Y187" s="21"/>
    </row>
    <row r="188" spans="23:25" x14ac:dyDescent="0.25">
      <c r="W188" s="20"/>
      <c r="X188" s="20"/>
      <c r="Y188" s="21"/>
    </row>
    <row r="189" spans="23:25" x14ac:dyDescent="0.25">
      <c r="W189" s="20"/>
      <c r="X189" s="20"/>
      <c r="Y189" s="21"/>
    </row>
    <row r="190" spans="23:25" x14ac:dyDescent="0.25">
      <c r="W190" s="20"/>
      <c r="X190" s="20"/>
      <c r="Y190" s="21"/>
    </row>
    <row r="191" spans="23:25" x14ac:dyDescent="0.25">
      <c r="W191" s="20"/>
      <c r="X191" s="20"/>
      <c r="Y191" s="21"/>
    </row>
    <row r="192" spans="23:25" x14ac:dyDescent="0.25">
      <c r="W192" s="20"/>
      <c r="X192" s="20"/>
      <c r="Y192" s="21"/>
    </row>
    <row r="193" spans="23:25" x14ac:dyDescent="0.25">
      <c r="W193" s="20"/>
      <c r="X193" s="20"/>
      <c r="Y193" s="21"/>
    </row>
    <row r="194" spans="23:25" x14ac:dyDescent="0.25">
      <c r="W194" s="20"/>
      <c r="X194" s="20"/>
      <c r="Y194" s="21"/>
    </row>
    <row r="195" spans="23:25" x14ac:dyDescent="0.25">
      <c r="W195" s="20"/>
      <c r="X195" s="20"/>
      <c r="Y195" s="21"/>
    </row>
    <row r="196" spans="23:25" x14ac:dyDescent="0.25">
      <c r="W196" s="20"/>
      <c r="X196" s="20"/>
      <c r="Y196" s="21"/>
    </row>
    <row r="197" spans="23:25" x14ac:dyDescent="0.25">
      <c r="W197" s="20"/>
      <c r="X197" s="20"/>
      <c r="Y197" s="21"/>
    </row>
    <row r="198" spans="23:25" x14ac:dyDescent="0.25">
      <c r="W198" s="20"/>
      <c r="X198" s="20"/>
      <c r="Y198" s="21"/>
    </row>
    <row r="199" spans="23:25" x14ac:dyDescent="0.25">
      <c r="W199" s="20"/>
      <c r="X199" s="20"/>
      <c r="Y199" s="21"/>
    </row>
    <row r="200" spans="23:25" x14ac:dyDescent="0.25">
      <c r="W200" s="20"/>
      <c r="X200" s="20"/>
      <c r="Y200" s="21"/>
    </row>
    <row r="201" spans="23:25" x14ac:dyDescent="0.25">
      <c r="W201" s="20"/>
      <c r="X201" s="20"/>
      <c r="Y201" s="21"/>
    </row>
    <row r="202" spans="23:25" x14ac:dyDescent="0.25">
      <c r="W202" s="20"/>
      <c r="X202" s="20"/>
      <c r="Y202" s="21"/>
    </row>
    <row r="203" spans="23:25" x14ac:dyDescent="0.25">
      <c r="W203" s="20"/>
      <c r="X203" s="20"/>
      <c r="Y203" s="21"/>
    </row>
    <row r="204" spans="23:25" x14ac:dyDescent="0.25">
      <c r="W204" s="20"/>
      <c r="X204" s="20"/>
      <c r="Y204" s="21"/>
    </row>
    <row r="205" spans="23:25" x14ac:dyDescent="0.25">
      <c r="W205" s="20"/>
      <c r="X205" s="20"/>
      <c r="Y205" s="21"/>
    </row>
    <row r="206" spans="23:25" x14ac:dyDescent="0.25">
      <c r="W206" s="20"/>
      <c r="X206" s="20"/>
      <c r="Y206" s="21"/>
    </row>
    <row r="207" spans="23:25" x14ac:dyDescent="0.25">
      <c r="W207" s="20"/>
      <c r="X207" s="20"/>
      <c r="Y207" s="21"/>
    </row>
    <row r="208" spans="23:25" x14ac:dyDescent="0.25">
      <c r="W208" s="20"/>
      <c r="X208" s="20"/>
      <c r="Y208" s="21"/>
    </row>
    <row r="209" spans="23:25" x14ac:dyDescent="0.25">
      <c r="W209" s="20"/>
      <c r="X209" s="20"/>
      <c r="Y209" s="21"/>
    </row>
    <row r="210" spans="23:25" x14ac:dyDescent="0.25">
      <c r="W210" s="20"/>
      <c r="X210" s="20"/>
      <c r="Y210" s="21"/>
    </row>
    <row r="211" spans="23:25" x14ac:dyDescent="0.25">
      <c r="W211" s="20"/>
      <c r="X211" s="20"/>
      <c r="Y211" s="21"/>
    </row>
    <row r="212" spans="23:25" x14ac:dyDescent="0.25">
      <c r="W212" s="20"/>
      <c r="X212" s="20"/>
      <c r="Y212" s="21"/>
    </row>
    <row r="213" spans="23:25" x14ac:dyDescent="0.25">
      <c r="W213" s="20"/>
      <c r="X213" s="20"/>
      <c r="Y213" s="21"/>
    </row>
    <row r="214" spans="23:25" x14ac:dyDescent="0.25">
      <c r="W214" s="20"/>
      <c r="X214" s="20"/>
      <c r="Y214" s="21"/>
    </row>
    <row r="215" spans="23:25" x14ac:dyDescent="0.25">
      <c r="W215" s="20"/>
      <c r="X215" s="20"/>
      <c r="Y215" s="21"/>
    </row>
    <row r="216" spans="23:25" x14ac:dyDescent="0.25">
      <c r="W216" s="20"/>
      <c r="X216" s="20"/>
      <c r="Y216" s="21"/>
    </row>
    <row r="217" spans="23:25" x14ac:dyDescent="0.25">
      <c r="W217" s="20"/>
      <c r="X217" s="20"/>
      <c r="Y217" s="21"/>
    </row>
    <row r="218" spans="23:25" x14ac:dyDescent="0.25">
      <c r="W218" s="20"/>
      <c r="X218" s="20"/>
      <c r="Y218" s="21"/>
    </row>
    <row r="219" spans="23:25" x14ac:dyDescent="0.25">
      <c r="W219" s="20"/>
      <c r="X219" s="20"/>
      <c r="Y219" s="21"/>
    </row>
    <row r="220" spans="23:25" x14ac:dyDescent="0.25">
      <c r="W220" s="20"/>
      <c r="X220" s="20"/>
      <c r="Y220" s="21"/>
    </row>
    <row r="221" spans="23:25" x14ac:dyDescent="0.25">
      <c r="W221" s="20"/>
      <c r="X221" s="20"/>
      <c r="Y221" s="21"/>
    </row>
    <row r="222" spans="23:25" x14ac:dyDescent="0.25">
      <c r="W222" s="20"/>
      <c r="X222" s="20"/>
      <c r="Y222" s="21"/>
    </row>
    <row r="223" spans="23:25" x14ac:dyDescent="0.25">
      <c r="W223" s="20"/>
      <c r="X223" s="20"/>
      <c r="Y223" s="21"/>
    </row>
    <row r="224" spans="23:25" x14ac:dyDescent="0.25">
      <c r="W224" s="20"/>
      <c r="X224" s="20"/>
      <c r="Y224" s="21"/>
    </row>
    <row r="225" spans="23:25" x14ac:dyDescent="0.25">
      <c r="W225" s="20"/>
      <c r="X225" s="20"/>
      <c r="Y225" s="21"/>
    </row>
    <row r="226" spans="23:25" x14ac:dyDescent="0.25">
      <c r="W226" s="20"/>
      <c r="X226" s="20"/>
      <c r="Y226" s="21"/>
    </row>
    <row r="227" spans="23:25" x14ac:dyDescent="0.25">
      <c r="W227" s="20"/>
      <c r="X227" s="20"/>
      <c r="Y227" s="21"/>
    </row>
    <row r="228" spans="23:25" x14ac:dyDescent="0.25">
      <c r="W228" s="20"/>
      <c r="X228" s="20"/>
      <c r="Y228" s="21"/>
    </row>
    <row r="229" spans="23:25" x14ac:dyDescent="0.25">
      <c r="W229" s="20"/>
      <c r="X229" s="20"/>
      <c r="Y229" s="21"/>
    </row>
    <row r="230" spans="23:25" x14ac:dyDescent="0.25">
      <c r="W230" s="20"/>
      <c r="X230" s="20"/>
      <c r="Y230" s="21"/>
    </row>
    <row r="231" spans="23:25" x14ac:dyDescent="0.25">
      <c r="W231" s="20"/>
      <c r="X231" s="20"/>
      <c r="Y231" s="21"/>
    </row>
    <row r="232" spans="23:25" x14ac:dyDescent="0.25">
      <c r="W232" s="20"/>
      <c r="X232" s="20"/>
      <c r="Y232" s="21"/>
    </row>
    <row r="233" spans="23:25" x14ac:dyDescent="0.25">
      <c r="W233" s="20"/>
      <c r="X233" s="20"/>
      <c r="Y233" s="21"/>
    </row>
    <row r="234" spans="23:25" x14ac:dyDescent="0.25">
      <c r="W234" s="20"/>
      <c r="X234" s="20"/>
      <c r="Y234" s="21"/>
    </row>
    <row r="235" spans="23:25" x14ac:dyDescent="0.25">
      <c r="W235" s="20"/>
      <c r="X235" s="20"/>
      <c r="Y235" s="21"/>
    </row>
    <row r="236" spans="23:25" x14ac:dyDescent="0.25">
      <c r="W236" s="20"/>
      <c r="X236" s="20"/>
      <c r="Y236" s="21"/>
    </row>
    <row r="237" spans="23:25" x14ac:dyDescent="0.25">
      <c r="W237" s="20"/>
      <c r="X237" s="20"/>
      <c r="Y237" s="21"/>
    </row>
    <row r="238" spans="23:25" x14ac:dyDescent="0.25">
      <c r="W238" s="20"/>
      <c r="X238" s="20"/>
      <c r="Y238" s="21"/>
    </row>
    <row r="239" spans="23:25" x14ac:dyDescent="0.25">
      <c r="W239" s="20"/>
      <c r="X239" s="20"/>
      <c r="Y239" s="21"/>
    </row>
    <row r="240" spans="23:25" x14ac:dyDescent="0.25">
      <c r="W240" s="20"/>
      <c r="X240" s="20"/>
      <c r="Y240" s="21"/>
    </row>
    <row r="241" spans="23:25" x14ac:dyDescent="0.25">
      <c r="W241" s="20"/>
      <c r="X241" s="20"/>
      <c r="Y241" s="21"/>
    </row>
    <row r="242" spans="23:25" x14ac:dyDescent="0.25">
      <c r="W242" s="20"/>
      <c r="X242" s="20"/>
      <c r="Y242" s="21"/>
    </row>
    <row r="243" spans="23:25" x14ac:dyDescent="0.25">
      <c r="W243" s="20"/>
      <c r="X243" s="20"/>
      <c r="Y243" s="21"/>
    </row>
    <row r="244" spans="23:25" x14ac:dyDescent="0.25">
      <c r="W244" s="20"/>
      <c r="X244" s="20"/>
      <c r="Y244" s="21"/>
    </row>
    <row r="245" spans="23:25" x14ac:dyDescent="0.25">
      <c r="W245" s="20"/>
      <c r="X245" s="20"/>
      <c r="Y245" s="21"/>
    </row>
    <row r="246" spans="23:25" x14ac:dyDescent="0.25">
      <c r="W246" s="20"/>
      <c r="X246" s="20"/>
      <c r="Y246" s="21"/>
    </row>
    <row r="247" spans="23:25" x14ac:dyDescent="0.25">
      <c r="W247" s="20"/>
      <c r="X247" s="20"/>
      <c r="Y247" s="21"/>
    </row>
    <row r="248" spans="23:25" x14ac:dyDescent="0.25">
      <c r="W248" s="20"/>
      <c r="X248" s="20"/>
      <c r="Y248" s="21"/>
    </row>
    <row r="249" spans="23:25" x14ac:dyDescent="0.25">
      <c r="W249" s="20"/>
      <c r="X249" s="20"/>
      <c r="Y249" s="21"/>
    </row>
    <row r="250" spans="23:25" x14ac:dyDescent="0.25">
      <c r="W250" s="20"/>
      <c r="X250" s="20"/>
      <c r="Y250" s="21"/>
    </row>
    <row r="251" spans="23:25" x14ac:dyDescent="0.25">
      <c r="W251" s="20"/>
      <c r="X251" s="20"/>
      <c r="Y251" s="21"/>
    </row>
    <row r="252" spans="23:25" x14ac:dyDescent="0.25">
      <c r="W252" s="20"/>
      <c r="X252" s="20"/>
      <c r="Y252" s="21"/>
    </row>
    <row r="253" spans="23:25" x14ac:dyDescent="0.25">
      <c r="W253" s="20"/>
      <c r="X253" s="20"/>
      <c r="Y253" s="21"/>
    </row>
    <row r="254" spans="23:25" x14ac:dyDescent="0.25">
      <c r="W254" s="20"/>
      <c r="X254" s="20"/>
      <c r="Y254" s="21"/>
    </row>
    <row r="255" spans="23:25" x14ac:dyDescent="0.25">
      <c r="W255" s="20"/>
      <c r="X255" s="20"/>
      <c r="Y255" s="21"/>
    </row>
    <row r="256" spans="23:25" x14ac:dyDescent="0.25">
      <c r="W256" s="20"/>
      <c r="X256" s="20"/>
      <c r="Y256" s="21"/>
    </row>
    <row r="257" spans="23:25" x14ac:dyDescent="0.25">
      <c r="W257" s="20"/>
      <c r="X257" s="20"/>
      <c r="Y257" s="21"/>
    </row>
    <row r="258" spans="23:25" x14ac:dyDescent="0.25">
      <c r="W258" s="20"/>
      <c r="X258" s="20"/>
      <c r="Y258" s="21"/>
    </row>
    <row r="259" spans="23:25" x14ac:dyDescent="0.25">
      <c r="W259" s="20"/>
      <c r="X259" s="20"/>
      <c r="Y259" s="21"/>
    </row>
    <row r="260" spans="23:25" x14ac:dyDescent="0.25">
      <c r="W260" s="20"/>
      <c r="X260" s="20"/>
      <c r="Y260" s="21"/>
    </row>
    <row r="261" spans="23:25" x14ac:dyDescent="0.25">
      <c r="W261" s="20"/>
      <c r="X261" s="20"/>
      <c r="Y261" s="21"/>
    </row>
    <row r="262" spans="23:25" x14ac:dyDescent="0.25">
      <c r="W262" s="20"/>
      <c r="X262" s="20"/>
      <c r="Y262" s="21"/>
    </row>
    <row r="263" spans="23:25" x14ac:dyDescent="0.25">
      <c r="W263" s="20"/>
      <c r="X263" s="20"/>
      <c r="Y263" s="21"/>
    </row>
    <row r="264" spans="23:25" x14ac:dyDescent="0.25">
      <c r="W264" s="20"/>
      <c r="X264" s="20"/>
      <c r="Y264" s="21"/>
    </row>
    <row r="265" spans="23:25" x14ac:dyDescent="0.25">
      <c r="W265" s="20"/>
      <c r="X265" s="20"/>
      <c r="Y265" s="21"/>
    </row>
    <row r="266" spans="23:25" x14ac:dyDescent="0.25">
      <c r="W266" s="20"/>
      <c r="X266" s="20"/>
      <c r="Y266" s="21"/>
    </row>
    <row r="267" spans="23:25" x14ac:dyDescent="0.25">
      <c r="W267" s="20"/>
      <c r="X267" s="20"/>
      <c r="Y267" s="21"/>
    </row>
    <row r="268" spans="23:25" x14ac:dyDescent="0.25">
      <c r="W268" s="20"/>
      <c r="X268" s="20"/>
      <c r="Y268" s="21"/>
    </row>
    <row r="269" spans="23:25" x14ac:dyDescent="0.25">
      <c r="W269" s="20"/>
      <c r="X269" s="20"/>
      <c r="Y269" s="21"/>
    </row>
    <row r="270" spans="23:25" x14ac:dyDescent="0.25">
      <c r="W270" s="20"/>
      <c r="X270" s="20"/>
      <c r="Y270" s="21"/>
    </row>
    <row r="271" spans="23:25" x14ac:dyDescent="0.25">
      <c r="W271" s="20"/>
      <c r="X271" s="20"/>
      <c r="Y271" s="21"/>
    </row>
    <row r="272" spans="23:25" x14ac:dyDescent="0.25">
      <c r="W272" s="20"/>
      <c r="X272" s="20"/>
      <c r="Y272" s="21"/>
    </row>
    <row r="273" spans="23:25" x14ac:dyDescent="0.25">
      <c r="W273" s="20"/>
      <c r="X273" s="20"/>
      <c r="Y273" s="21"/>
    </row>
    <row r="274" spans="23:25" x14ac:dyDescent="0.25">
      <c r="W274" s="20"/>
      <c r="X274" s="20"/>
      <c r="Y274" s="21"/>
    </row>
    <row r="275" spans="23:25" x14ac:dyDescent="0.25">
      <c r="W275" s="20"/>
      <c r="X275" s="20"/>
      <c r="Y275" s="21"/>
    </row>
    <row r="276" spans="23:25" x14ac:dyDescent="0.25">
      <c r="W276" s="20"/>
      <c r="X276" s="20"/>
      <c r="Y276" s="21"/>
    </row>
    <row r="277" spans="23:25" x14ac:dyDescent="0.25">
      <c r="W277" s="20"/>
      <c r="X277" s="20"/>
      <c r="Y277" s="21"/>
    </row>
    <row r="278" spans="23:25" x14ac:dyDescent="0.25">
      <c r="W278" s="20"/>
      <c r="X278" s="20"/>
      <c r="Y278" s="21"/>
    </row>
    <row r="279" spans="23:25" x14ac:dyDescent="0.25">
      <c r="W279" s="20"/>
      <c r="X279" s="20"/>
      <c r="Y279" s="21"/>
    </row>
    <row r="280" spans="23:25" x14ac:dyDescent="0.25">
      <c r="W280" s="20"/>
      <c r="X280" s="20"/>
      <c r="Y280" s="21"/>
    </row>
    <row r="281" spans="23:25" x14ac:dyDescent="0.25">
      <c r="W281" s="20"/>
      <c r="X281" s="20"/>
      <c r="Y281" s="21"/>
    </row>
    <row r="282" spans="23:25" x14ac:dyDescent="0.25">
      <c r="W282" s="20"/>
      <c r="X282" s="20"/>
      <c r="Y282" s="21"/>
    </row>
    <row r="283" spans="23:25" x14ac:dyDescent="0.25">
      <c r="W283" s="20"/>
      <c r="X283" s="20"/>
      <c r="Y283" s="21"/>
    </row>
    <row r="284" spans="23:25" x14ac:dyDescent="0.25">
      <c r="W284" s="20"/>
      <c r="X284" s="20"/>
      <c r="Y284" s="21"/>
    </row>
    <row r="285" spans="23:25" x14ac:dyDescent="0.25">
      <c r="W285" s="20"/>
      <c r="X285" s="20"/>
      <c r="Y285" s="21"/>
    </row>
    <row r="286" spans="23:25" x14ac:dyDescent="0.25">
      <c r="W286" s="20"/>
      <c r="X286" s="20"/>
      <c r="Y286" s="21"/>
    </row>
    <row r="287" spans="23:25" x14ac:dyDescent="0.25">
      <c r="W287" s="20"/>
      <c r="X287" s="20"/>
      <c r="Y287" s="21"/>
    </row>
    <row r="288" spans="23:25" x14ac:dyDescent="0.25">
      <c r="W288" s="20"/>
      <c r="X288" s="20"/>
      <c r="Y288" s="21"/>
    </row>
    <row r="289" spans="23:25" x14ac:dyDescent="0.25">
      <c r="W289" s="20"/>
      <c r="X289" s="20"/>
      <c r="Y289" s="21"/>
    </row>
    <row r="290" spans="23:25" x14ac:dyDescent="0.25">
      <c r="W290" s="20"/>
      <c r="X290" s="20"/>
      <c r="Y290" s="21"/>
    </row>
    <row r="291" spans="23:25" x14ac:dyDescent="0.25">
      <c r="W291" s="20"/>
      <c r="X291" s="20"/>
      <c r="Y291" s="21"/>
    </row>
    <row r="292" spans="23:25" x14ac:dyDescent="0.25">
      <c r="W292" s="20"/>
      <c r="X292" s="20"/>
      <c r="Y292" s="21"/>
    </row>
    <row r="293" spans="23:25" x14ac:dyDescent="0.25">
      <c r="W293" s="20"/>
      <c r="X293" s="20"/>
      <c r="Y293" s="21"/>
    </row>
    <row r="294" spans="23:25" x14ac:dyDescent="0.25">
      <c r="W294" s="20"/>
      <c r="X294" s="20"/>
      <c r="Y294" s="21"/>
    </row>
    <row r="295" spans="23:25" x14ac:dyDescent="0.25">
      <c r="W295" s="20"/>
      <c r="X295" s="20"/>
      <c r="Y295" s="21"/>
    </row>
    <row r="296" spans="23:25" x14ac:dyDescent="0.25">
      <c r="W296" s="20"/>
      <c r="X296" s="20"/>
      <c r="Y296" s="21"/>
    </row>
    <row r="297" spans="23:25" x14ac:dyDescent="0.25">
      <c r="W297" s="20"/>
      <c r="X297" s="20"/>
      <c r="Y297" s="21"/>
    </row>
    <row r="298" spans="23:25" x14ac:dyDescent="0.25">
      <c r="W298" s="20"/>
      <c r="X298" s="20"/>
      <c r="Y298" s="21"/>
    </row>
    <row r="299" spans="23:25" x14ac:dyDescent="0.25">
      <c r="W299" s="20"/>
      <c r="X299" s="20"/>
      <c r="Y299" s="21"/>
    </row>
    <row r="300" spans="23:25" x14ac:dyDescent="0.25">
      <c r="W300" s="20"/>
      <c r="X300" s="20"/>
      <c r="Y300" s="21"/>
    </row>
    <row r="301" spans="23:25" x14ac:dyDescent="0.25">
      <c r="W301" s="20"/>
      <c r="X301" s="20"/>
      <c r="Y301" s="21"/>
    </row>
    <row r="302" spans="23:25" x14ac:dyDescent="0.25">
      <c r="W302" s="20"/>
      <c r="X302" s="20"/>
      <c r="Y302" s="21"/>
    </row>
    <row r="303" spans="23:25" x14ac:dyDescent="0.25">
      <c r="W303" s="20"/>
      <c r="X303" s="20"/>
      <c r="Y303" s="21"/>
    </row>
    <row r="304" spans="23:25" x14ac:dyDescent="0.25">
      <c r="W304" s="20"/>
      <c r="X304" s="20"/>
      <c r="Y304" s="21"/>
    </row>
    <row r="305" spans="23:25" x14ac:dyDescent="0.25">
      <c r="W305" s="20"/>
      <c r="X305" s="20"/>
      <c r="Y305" s="21"/>
    </row>
    <row r="306" spans="23:25" x14ac:dyDescent="0.25">
      <c r="W306" s="20"/>
      <c r="X306" s="20"/>
      <c r="Y306" s="21"/>
    </row>
    <row r="307" spans="23:25" x14ac:dyDescent="0.25">
      <c r="W307" s="20"/>
      <c r="X307" s="20"/>
      <c r="Y307" s="21"/>
    </row>
    <row r="308" spans="23:25" x14ac:dyDescent="0.25">
      <c r="W308" s="20"/>
      <c r="X308" s="20"/>
      <c r="Y308" s="21"/>
    </row>
    <row r="309" spans="23:25" x14ac:dyDescent="0.25">
      <c r="W309" s="20"/>
      <c r="X309" s="20"/>
      <c r="Y309" s="21"/>
    </row>
    <row r="310" spans="23:25" x14ac:dyDescent="0.25">
      <c r="W310" s="20"/>
      <c r="X310" s="20"/>
      <c r="Y310" s="21"/>
    </row>
    <row r="311" spans="23:25" x14ac:dyDescent="0.25">
      <c r="W311" s="20"/>
      <c r="X311" s="20"/>
      <c r="Y311" s="21"/>
    </row>
    <row r="312" spans="23:25" x14ac:dyDescent="0.25">
      <c r="W312" s="20"/>
      <c r="X312" s="20"/>
      <c r="Y312" s="21"/>
    </row>
    <row r="313" spans="23:25" x14ac:dyDescent="0.25">
      <c r="W313" s="20"/>
      <c r="X313" s="20"/>
      <c r="Y313" s="21"/>
    </row>
    <row r="314" spans="23:25" x14ac:dyDescent="0.25">
      <c r="W314" s="20"/>
      <c r="X314" s="20"/>
      <c r="Y314" s="21"/>
    </row>
    <row r="315" spans="23:25" x14ac:dyDescent="0.25">
      <c r="W315" s="20"/>
      <c r="X315" s="20"/>
      <c r="Y315" s="21"/>
    </row>
    <row r="316" spans="23:25" x14ac:dyDescent="0.25">
      <c r="W316" s="20"/>
      <c r="X316" s="20"/>
      <c r="Y316" s="21"/>
    </row>
    <row r="317" spans="23:25" x14ac:dyDescent="0.25">
      <c r="W317" s="20"/>
      <c r="X317" s="20"/>
      <c r="Y317" s="21"/>
    </row>
    <row r="318" spans="23:25" x14ac:dyDescent="0.25">
      <c r="W318" s="20"/>
      <c r="X318" s="20"/>
      <c r="Y318" s="21"/>
    </row>
    <row r="319" spans="23:25" x14ac:dyDescent="0.25">
      <c r="W319" s="20"/>
      <c r="X319" s="20"/>
      <c r="Y319" s="21"/>
    </row>
    <row r="320" spans="23:25" x14ac:dyDescent="0.25">
      <c r="W320" s="20"/>
      <c r="X320" s="20"/>
      <c r="Y320" s="21"/>
    </row>
    <row r="321" spans="23:25" x14ac:dyDescent="0.25">
      <c r="W321" s="20"/>
      <c r="X321" s="20"/>
      <c r="Y321" s="21"/>
    </row>
    <row r="322" spans="23:25" x14ac:dyDescent="0.25">
      <c r="W322" s="20"/>
      <c r="X322" s="20"/>
      <c r="Y322" s="21"/>
    </row>
    <row r="323" spans="23:25" x14ac:dyDescent="0.25">
      <c r="W323" s="20"/>
      <c r="X323" s="20"/>
      <c r="Y323" s="21"/>
    </row>
    <row r="324" spans="23:25" x14ac:dyDescent="0.25">
      <c r="W324" s="20"/>
      <c r="X324" s="20"/>
      <c r="Y324" s="21"/>
    </row>
    <row r="325" spans="23:25" x14ac:dyDescent="0.25">
      <c r="W325" s="20"/>
      <c r="X325" s="20"/>
      <c r="Y325" s="21"/>
    </row>
    <row r="326" spans="23:25" x14ac:dyDescent="0.25">
      <c r="W326" s="20"/>
      <c r="X326" s="20"/>
      <c r="Y326" s="21"/>
    </row>
    <row r="327" spans="23:25" x14ac:dyDescent="0.25">
      <c r="W327" s="20"/>
      <c r="X327" s="20"/>
      <c r="Y327" s="21"/>
    </row>
    <row r="328" spans="23:25" x14ac:dyDescent="0.25">
      <c r="W328" s="20"/>
      <c r="X328" s="20"/>
      <c r="Y328" s="21"/>
    </row>
    <row r="329" spans="23:25" x14ac:dyDescent="0.25">
      <c r="W329" s="20"/>
      <c r="X329" s="20"/>
      <c r="Y329" s="21"/>
    </row>
    <row r="330" spans="23:25" x14ac:dyDescent="0.25">
      <c r="W330" s="20"/>
      <c r="X330" s="20"/>
      <c r="Y330" s="21"/>
    </row>
    <row r="331" spans="23:25" x14ac:dyDescent="0.25">
      <c r="W331" s="20"/>
      <c r="X331" s="20"/>
      <c r="Y331" s="21"/>
    </row>
    <row r="332" spans="23:25" x14ac:dyDescent="0.25">
      <c r="W332" s="20"/>
      <c r="X332" s="20"/>
      <c r="Y332" s="21"/>
    </row>
    <row r="333" spans="23:25" x14ac:dyDescent="0.25">
      <c r="W333" s="20"/>
      <c r="X333" s="20"/>
      <c r="Y333" s="21"/>
    </row>
    <row r="334" spans="23:25" x14ac:dyDescent="0.25">
      <c r="W334" s="20"/>
      <c r="X334" s="20"/>
      <c r="Y334" s="21"/>
    </row>
    <row r="335" spans="23:25" x14ac:dyDescent="0.25">
      <c r="W335" s="20"/>
      <c r="X335" s="20"/>
      <c r="Y335" s="21"/>
    </row>
    <row r="336" spans="23:25" x14ac:dyDescent="0.25">
      <c r="W336" s="20"/>
      <c r="X336" s="20"/>
      <c r="Y336" s="21"/>
    </row>
    <row r="337" spans="23:25" x14ac:dyDescent="0.25">
      <c r="W337" s="20"/>
      <c r="X337" s="20"/>
      <c r="Y337" s="21"/>
    </row>
    <row r="338" spans="23:25" x14ac:dyDescent="0.25">
      <c r="W338" s="20"/>
      <c r="X338" s="20"/>
      <c r="Y338" s="21"/>
    </row>
    <row r="339" spans="23:25" x14ac:dyDescent="0.25">
      <c r="W339" s="20"/>
      <c r="X339" s="20"/>
      <c r="Y339" s="21"/>
    </row>
    <row r="340" spans="23:25" x14ac:dyDescent="0.25">
      <c r="W340" s="20"/>
      <c r="X340" s="20"/>
      <c r="Y340" s="21"/>
    </row>
    <row r="341" spans="23:25" x14ac:dyDescent="0.25">
      <c r="W341" s="20"/>
      <c r="X341" s="20"/>
      <c r="Y341" s="21"/>
    </row>
    <row r="342" spans="23:25" x14ac:dyDescent="0.25">
      <c r="W342" s="20"/>
      <c r="X342" s="20"/>
      <c r="Y342" s="21"/>
    </row>
    <row r="343" spans="23:25" x14ac:dyDescent="0.25">
      <c r="W343" s="20"/>
      <c r="X343" s="20"/>
      <c r="Y343" s="21"/>
    </row>
    <row r="344" spans="23:25" x14ac:dyDescent="0.25">
      <c r="W344" s="20"/>
      <c r="X344" s="20"/>
      <c r="Y344" s="21"/>
    </row>
    <row r="345" spans="23:25" x14ac:dyDescent="0.25">
      <c r="W345" s="20"/>
      <c r="X345" s="20"/>
      <c r="Y345" s="21"/>
    </row>
    <row r="346" spans="23:25" x14ac:dyDescent="0.25">
      <c r="W346" s="20"/>
      <c r="X346" s="20"/>
      <c r="Y346" s="21"/>
    </row>
    <row r="347" spans="23:25" x14ac:dyDescent="0.25">
      <c r="W347" s="20"/>
      <c r="X347" s="20"/>
      <c r="Y347" s="21"/>
    </row>
    <row r="348" spans="23:25" x14ac:dyDescent="0.25">
      <c r="W348" s="20"/>
      <c r="X348" s="20"/>
      <c r="Y348" s="21"/>
    </row>
    <row r="349" spans="23:25" x14ac:dyDescent="0.25">
      <c r="W349" s="20"/>
      <c r="X349" s="20"/>
      <c r="Y349" s="21"/>
    </row>
    <row r="350" spans="23:25" x14ac:dyDescent="0.25">
      <c r="W350" s="20"/>
      <c r="X350" s="20"/>
      <c r="Y350" s="21"/>
    </row>
    <row r="351" spans="23:25" x14ac:dyDescent="0.25">
      <c r="W351" s="20"/>
      <c r="X351" s="20"/>
      <c r="Y351" s="21"/>
    </row>
    <row r="352" spans="23:25" x14ac:dyDescent="0.25">
      <c r="W352" s="20"/>
      <c r="X352" s="20"/>
      <c r="Y352" s="21"/>
    </row>
    <row r="353" spans="23:25" x14ac:dyDescent="0.25">
      <c r="W353" s="20"/>
      <c r="X353" s="20"/>
      <c r="Y353" s="21"/>
    </row>
    <row r="354" spans="23:25" x14ac:dyDescent="0.25">
      <c r="W354" s="20"/>
      <c r="X354" s="20"/>
      <c r="Y354" s="21"/>
    </row>
    <row r="355" spans="23:25" x14ac:dyDescent="0.25">
      <c r="W355" s="20"/>
      <c r="X355" s="20"/>
      <c r="Y355" s="21"/>
    </row>
    <row r="356" spans="23:25" x14ac:dyDescent="0.25">
      <c r="W356" s="20"/>
      <c r="X356" s="20"/>
      <c r="Y356" s="21"/>
    </row>
    <row r="357" spans="23:25" x14ac:dyDescent="0.25">
      <c r="W357" s="20"/>
      <c r="X357" s="20"/>
      <c r="Y357" s="21"/>
    </row>
    <row r="358" spans="23:25" x14ac:dyDescent="0.25">
      <c r="W358" s="20"/>
      <c r="X358" s="20"/>
      <c r="Y358" s="21"/>
    </row>
    <row r="359" spans="23:25" x14ac:dyDescent="0.25">
      <c r="W359" s="20"/>
      <c r="X359" s="20"/>
      <c r="Y359" s="21"/>
    </row>
    <row r="360" spans="23:25" x14ac:dyDescent="0.25">
      <c r="W360" s="20"/>
      <c r="X360" s="20"/>
      <c r="Y360" s="21"/>
    </row>
    <row r="361" spans="23:25" x14ac:dyDescent="0.25">
      <c r="W361" s="20"/>
      <c r="X361" s="20"/>
      <c r="Y361" s="21"/>
    </row>
    <row r="362" spans="23:25" x14ac:dyDescent="0.25">
      <c r="W362" s="20"/>
      <c r="X362" s="20"/>
      <c r="Y362" s="21"/>
    </row>
  </sheetData>
  <mergeCells count="69">
    <mergeCell ref="A1:V1"/>
    <mergeCell ref="A2:V2"/>
    <mergeCell ref="A8:A11"/>
    <mergeCell ref="B8:B11"/>
    <mergeCell ref="C8:C11"/>
    <mergeCell ref="E8:J8"/>
    <mergeCell ref="K8:L8"/>
    <mergeCell ref="M8:U8"/>
    <mergeCell ref="V8:V11"/>
    <mergeCell ref="D9:D11"/>
    <mergeCell ref="M9:M11"/>
    <mergeCell ref="N9:N11"/>
    <mergeCell ref="O9:O11"/>
    <mergeCell ref="P9:P11"/>
    <mergeCell ref="E9:E11"/>
    <mergeCell ref="F9:F11"/>
    <mergeCell ref="G9:G11"/>
    <mergeCell ref="H9:H11"/>
    <mergeCell ref="I9:I11"/>
    <mergeCell ref="J9:J11"/>
    <mergeCell ref="A12:A20"/>
    <mergeCell ref="B12:B20"/>
    <mergeCell ref="C12:C20"/>
    <mergeCell ref="K9:K11"/>
    <mergeCell ref="L9:L11"/>
    <mergeCell ref="Q9:Q11"/>
    <mergeCell ref="R9:R11"/>
    <mergeCell ref="S9:S11"/>
    <mergeCell ref="T9:T11"/>
    <mergeCell ref="U9:U11"/>
    <mergeCell ref="A21:A29"/>
    <mergeCell ref="B21:B29"/>
    <mergeCell ref="C21:C29"/>
    <mergeCell ref="A30:A38"/>
    <mergeCell ref="B30:B38"/>
    <mergeCell ref="C30:C38"/>
    <mergeCell ref="A39:A47"/>
    <mergeCell ref="B39:B47"/>
    <mergeCell ref="C39:C47"/>
    <mergeCell ref="A48:A56"/>
    <mergeCell ref="B48:B56"/>
    <mergeCell ref="C48:C56"/>
    <mergeCell ref="A57:A65"/>
    <mergeCell ref="B57:B65"/>
    <mergeCell ref="C57:C65"/>
    <mergeCell ref="A66:A74"/>
    <mergeCell ref="B66:B74"/>
    <mergeCell ref="C66:C74"/>
    <mergeCell ref="A75:A83"/>
    <mergeCell ref="B75:B83"/>
    <mergeCell ref="C75:C83"/>
    <mergeCell ref="A84:A92"/>
    <mergeCell ref="B84:B92"/>
    <mergeCell ref="C84:C92"/>
    <mergeCell ref="A93:A101"/>
    <mergeCell ref="B93:B101"/>
    <mergeCell ref="C93:C101"/>
    <mergeCell ref="A102:A110"/>
    <mergeCell ref="B102:B110"/>
    <mergeCell ref="C102:C110"/>
    <mergeCell ref="A129:A137"/>
    <mergeCell ref="B129:B137"/>
    <mergeCell ref="C129:C137"/>
    <mergeCell ref="A111:A119"/>
    <mergeCell ref="B111:B119"/>
    <mergeCell ref="C111:C119"/>
    <mergeCell ref="A120:A128"/>
    <mergeCell ref="B120:B128"/>
    <mergeCell ref="C120:C128"/>
  </mergeCells>
  <conditionalFormatting sqref="E17:U17">
    <cfRule type="cellIs" dxfId="111" priority="109" stopIfTrue="1" operator="notBetween">
      <formula>0</formula>
      <formula>100</formula>
    </cfRule>
    <cfRule type="cellIs" dxfId="110" priority="110" stopIfTrue="1" operator="lessThan">
      <formula>#REF!</formula>
    </cfRule>
    <cfRule type="cellIs" dxfId="109" priority="111" stopIfTrue="1" operator="notBetween">
      <formula>0</formula>
      <formula>100</formula>
    </cfRule>
    <cfRule type="cellIs" dxfId="108" priority="112" stopIfTrue="1" operator="between">
      <formula>0</formula>
      <formula>55</formula>
    </cfRule>
  </conditionalFormatting>
  <conditionalFormatting sqref="E26:U26">
    <cfRule type="cellIs" dxfId="107" priority="101" stopIfTrue="1" operator="notBetween">
      <formula>0</formula>
      <formula>100</formula>
    </cfRule>
    <cfRule type="cellIs" dxfId="106" priority="102" stopIfTrue="1" operator="lessThan">
      <formula>#REF!</formula>
    </cfRule>
    <cfRule type="cellIs" dxfId="105" priority="103" stopIfTrue="1" operator="notBetween">
      <formula>0</formula>
      <formula>100</formula>
    </cfRule>
    <cfRule type="cellIs" dxfId="104" priority="104" stopIfTrue="1" operator="between">
      <formula>0</formula>
      <formula>55</formula>
    </cfRule>
  </conditionalFormatting>
  <conditionalFormatting sqref="E35:U35">
    <cfRule type="cellIs" dxfId="103" priority="93" stopIfTrue="1" operator="notBetween">
      <formula>0</formula>
      <formula>100</formula>
    </cfRule>
    <cfRule type="cellIs" dxfId="102" priority="94" stopIfTrue="1" operator="lessThan">
      <formula>#REF!</formula>
    </cfRule>
    <cfRule type="cellIs" dxfId="101" priority="95" stopIfTrue="1" operator="notBetween">
      <formula>0</formula>
      <formula>100</formula>
    </cfRule>
    <cfRule type="cellIs" dxfId="100" priority="96" stopIfTrue="1" operator="between">
      <formula>0</formula>
      <formula>55</formula>
    </cfRule>
  </conditionalFormatting>
  <conditionalFormatting sqref="E44:U44">
    <cfRule type="cellIs" dxfId="99" priority="85" stopIfTrue="1" operator="notBetween">
      <formula>0</formula>
      <formula>100</formula>
    </cfRule>
    <cfRule type="cellIs" dxfId="98" priority="86" stopIfTrue="1" operator="lessThan">
      <formula>#REF!</formula>
    </cfRule>
    <cfRule type="cellIs" dxfId="97" priority="87" stopIfTrue="1" operator="notBetween">
      <formula>0</formula>
      <formula>100</formula>
    </cfRule>
    <cfRule type="cellIs" dxfId="96" priority="88" stopIfTrue="1" operator="between">
      <formula>0</formula>
      <formula>55</formula>
    </cfRule>
  </conditionalFormatting>
  <conditionalFormatting sqref="E53:U53">
    <cfRule type="cellIs" dxfId="95" priority="77" stopIfTrue="1" operator="notBetween">
      <formula>0</formula>
      <formula>100</formula>
    </cfRule>
    <cfRule type="cellIs" dxfId="94" priority="78" stopIfTrue="1" operator="lessThan">
      <formula>#REF!</formula>
    </cfRule>
    <cfRule type="cellIs" dxfId="93" priority="79" stopIfTrue="1" operator="notBetween">
      <formula>0</formula>
      <formula>100</formula>
    </cfRule>
    <cfRule type="cellIs" dxfId="92" priority="80" stopIfTrue="1" operator="between">
      <formula>0</formula>
      <formula>55</formula>
    </cfRule>
  </conditionalFormatting>
  <conditionalFormatting sqref="E62:U62">
    <cfRule type="cellIs" dxfId="91" priority="69" stopIfTrue="1" operator="notBetween">
      <formula>0</formula>
      <formula>100</formula>
    </cfRule>
    <cfRule type="cellIs" dxfId="90" priority="70" stopIfTrue="1" operator="lessThan">
      <formula>#REF!</formula>
    </cfRule>
    <cfRule type="cellIs" dxfId="89" priority="71" stopIfTrue="1" operator="notBetween">
      <formula>0</formula>
      <formula>100</formula>
    </cfRule>
    <cfRule type="cellIs" dxfId="88" priority="72" stopIfTrue="1" operator="between">
      <formula>0</formula>
      <formula>55</formula>
    </cfRule>
  </conditionalFormatting>
  <conditionalFormatting sqref="E71:U71">
    <cfRule type="cellIs" dxfId="87" priority="61" stopIfTrue="1" operator="notBetween">
      <formula>0</formula>
      <formula>100</formula>
    </cfRule>
    <cfRule type="cellIs" dxfId="86" priority="62" stopIfTrue="1" operator="lessThan">
      <formula>#REF!</formula>
    </cfRule>
    <cfRule type="cellIs" dxfId="85" priority="63" stopIfTrue="1" operator="notBetween">
      <formula>0</formula>
      <formula>100</formula>
    </cfRule>
    <cfRule type="cellIs" dxfId="84" priority="64" stopIfTrue="1" operator="between">
      <formula>0</formula>
      <formula>55</formula>
    </cfRule>
  </conditionalFormatting>
  <conditionalFormatting sqref="E80:U80">
    <cfRule type="cellIs" dxfId="83" priority="53" stopIfTrue="1" operator="notBetween">
      <formula>0</formula>
      <formula>100</formula>
    </cfRule>
    <cfRule type="cellIs" dxfId="82" priority="54" stopIfTrue="1" operator="lessThan">
      <formula>#REF!</formula>
    </cfRule>
    <cfRule type="cellIs" dxfId="81" priority="55" stopIfTrue="1" operator="notBetween">
      <formula>0</formula>
      <formula>100</formula>
    </cfRule>
    <cfRule type="cellIs" dxfId="80" priority="56" stopIfTrue="1" operator="between">
      <formula>0</formula>
      <formula>55</formula>
    </cfRule>
  </conditionalFormatting>
  <conditionalFormatting sqref="E89:U89">
    <cfRule type="cellIs" dxfId="79" priority="45" stopIfTrue="1" operator="notBetween">
      <formula>0</formula>
      <formula>100</formula>
    </cfRule>
    <cfRule type="cellIs" dxfId="78" priority="46" stopIfTrue="1" operator="lessThan">
      <formula>#REF!</formula>
    </cfRule>
    <cfRule type="cellIs" dxfId="77" priority="47" stopIfTrue="1" operator="notBetween">
      <formula>0</formula>
      <formula>100</formula>
    </cfRule>
    <cfRule type="cellIs" dxfId="76" priority="48" stopIfTrue="1" operator="between">
      <formula>0</formula>
      <formula>55</formula>
    </cfRule>
  </conditionalFormatting>
  <conditionalFormatting sqref="E98:U98">
    <cfRule type="cellIs" dxfId="75" priority="37" stopIfTrue="1" operator="notBetween">
      <formula>0</formula>
      <formula>100</formula>
    </cfRule>
    <cfRule type="cellIs" dxfId="74" priority="38" stopIfTrue="1" operator="lessThan">
      <formula>#REF!</formula>
    </cfRule>
    <cfRule type="cellIs" dxfId="73" priority="39" stopIfTrue="1" operator="notBetween">
      <formula>0</formula>
      <formula>100</formula>
    </cfRule>
    <cfRule type="cellIs" dxfId="72" priority="40" stopIfTrue="1" operator="between">
      <formula>0</formula>
      <formula>55</formula>
    </cfRule>
  </conditionalFormatting>
  <conditionalFormatting sqref="E107:U107">
    <cfRule type="cellIs" dxfId="71" priority="29" stopIfTrue="1" operator="notBetween">
      <formula>0</formula>
      <formula>100</formula>
    </cfRule>
    <cfRule type="cellIs" dxfId="70" priority="30" stopIfTrue="1" operator="lessThan">
      <formula>#REF!</formula>
    </cfRule>
    <cfRule type="cellIs" dxfId="69" priority="31" stopIfTrue="1" operator="notBetween">
      <formula>0</formula>
      <formula>100</formula>
    </cfRule>
    <cfRule type="cellIs" dxfId="68" priority="32" stopIfTrue="1" operator="between">
      <formula>0</formula>
      <formula>55</formula>
    </cfRule>
  </conditionalFormatting>
  <conditionalFormatting sqref="E116:U116">
    <cfRule type="cellIs" dxfId="67" priority="21" stopIfTrue="1" operator="notBetween">
      <formula>0</formula>
      <formula>100</formula>
    </cfRule>
    <cfRule type="cellIs" dxfId="66" priority="22" stopIfTrue="1" operator="lessThan">
      <formula>#REF!</formula>
    </cfRule>
    <cfRule type="cellIs" dxfId="65" priority="23" stopIfTrue="1" operator="notBetween">
      <formula>0</formula>
      <formula>100</formula>
    </cfRule>
    <cfRule type="cellIs" dxfId="64" priority="24" stopIfTrue="1" operator="between">
      <formula>0</formula>
      <formula>55</formula>
    </cfRule>
  </conditionalFormatting>
  <conditionalFormatting sqref="E125:U125">
    <cfRule type="cellIs" dxfId="63" priority="13" stopIfTrue="1" operator="notBetween">
      <formula>0</formula>
      <formula>100</formula>
    </cfRule>
    <cfRule type="cellIs" dxfId="62" priority="14" stopIfTrue="1" operator="lessThan">
      <formula>#REF!</formula>
    </cfRule>
    <cfRule type="cellIs" dxfId="61" priority="15" stopIfTrue="1" operator="notBetween">
      <formula>0</formula>
      <formula>100</formula>
    </cfRule>
    <cfRule type="cellIs" dxfId="60" priority="16" stopIfTrue="1" operator="between">
      <formula>0</formula>
      <formula>55</formula>
    </cfRule>
  </conditionalFormatting>
  <conditionalFormatting sqref="E134:U134">
    <cfRule type="cellIs" dxfId="59" priority="5" stopIfTrue="1" operator="notBetween">
      <formula>0</formula>
      <formula>100</formula>
    </cfRule>
    <cfRule type="cellIs" dxfId="58" priority="6" stopIfTrue="1" operator="lessThan">
      <formula>#REF!</formula>
    </cfRule>
    <cfRule type="cellIs" dxfId="57" priority="7" stopIfTrue="1" operator="notBetween">
      <formula>0</formula>
      <formula>100</formula>
    </cfRule>
    <cfRule type="cellIs" dxfId="56" priority="8" stopIfTrue="1" operator="between">
      <formula>0</formula>
      <formula>55</formula>
    </cfRule>
  </conditionalFormatting>
  <conditionalFormatting sqref="T15">
    <cfRule type="cellIs" dxfId="55" priority="105" stopIfTrue="1" operator="notBetween">
      <formula>0</formula>
      <formula>100</formula>
    </cfRule>
    <cfRule type="cellIs" dxfId="54" priority="106" stopIfTrue="1" operator="lessThan">
      <formula>#REF!</formula>
    </cfRule>
    <cfRule type="cellIs" dxfId="53" priority="107" stopIfTrue="1" operator="notBetween">
      <formula>0</formula>
      <formula>100</formula>
    </cfRule>
    <cfRule type="cellIs" dxfId="52" priority="108" stopIfTrue="1" operator="between">
      <formula>0</formula>
      <formula>55</formula>
    </cfRule>
  </conditionalFormatting>
  <conditionalFormatting sqref="T24">
    <cfRule type="cellIs" dxfId="51" priority="97" stopIfTrue="1" operator="notBetween">
      <formula>0</formula>
      <formula>100</formula>
    </cfRule>
    <cfRule type="cellIs" dxfId="50" priority="98" stopIfTrue="1" operator="lessThan">
      <formula>#REF!</formula>
    </cfRule>
    <cfRule type="cellIs" dxfId="49" priority="99" stopIfTrue="1" operator="notBetween">
      <formula>0</formula>
      <formula>100</formula>
    </cfRule>
    <cfRule type="cellIs" dxfId="48" priority="100" stopIfTrue="1" operator="between">
      <formula>0</formula>
      <formula>55</formula>
    </cfRule>
  </conditionalFormatting>
  <conditionalFormatting sqref="T33">
    <cfRule type="cellIs" dxfId="47" priority="89" stopIfTrue="1" operator="notBetween">
      <formula>0</formula>
      <formula>100</formula>
    </cfRule>
    <cfRule type="cellIs" dxfId="46" priority="90" stopIfTrue="1" operator="lessThan">
      <formula>#REF!</formula>
    </cfRule>
    <cfRule type="cellIs" dxfId="45" priority="91" stopIfTrue="1" operator="notBetween">
      <formula>0</formula>
      <formula>100</formula>
    </cfRule>
    <cfRule type="cellIs" dxfId="44" priority="92" stopIfTrue="1" operator="between">
      <formula>0</formula>
      <formula>55</formula>
    </cfRule>
  </conditionalFormatting>
  <conditionalFormatting sqref="T42">
    <cfRule type="cellIs" dxfId="43" priority="81" stopIfTrue="1" operator="notBetween">
      <formula>0</formula>
      <formula>100</formula>
    </cfRule>
    <cfRule type="cellIs" dxfId="42" priority="82" stopIfTrue="1" operator="lessThan">
      <formula>#REF!</formula>
    </cfRule>
    <cfRule type="cellIs" dxfId="41" priority="83" stopIfTrue="1" operator="notBetween">
      <formula>0</formula>
      <formula>100</formula>
    </cfRule>
    <cfRule type="cellIs" dxfId="40" priority="84" stopIfTrue="1" operator="between">
      <formula>0</formula>
      <formula>55</formula>
    </cfRule>
  </conditionalFormatting>
  <conditionalFormatting sqref="T51">
    <cfRule type="cellIs" dxfId="39" priority="73" stopIfTrue="1" operator="notBetween">
      <formula>0</formula>
      <formula>100</formula>
    </cfRule>
    <cfRule type="cellIs" dxfId="38" priority="74" stopIfTrue="1" operator="lessThan">
      <formula>#REF!</formula>
    </cfRule>
    <cfRule type="cellIs" dxfId="37" priority="75" stopIfTrue="1" operator="notBetween">
      <formula>0</formula>
      <formula>100</formula>
    </cfRule>
    <cfRule type="cellIs" dxfId="36" priority="76" stopIfTrue="1" operator="between">
      <formula>0</formula>
      <formula>55</formula>
    </cfRule>
  </conditionalFormatting>
  <conditionalFormatting sqref="T60">
    <cfRule type="cellIs" dxfId="35" priority="65" stopIfTrue="1" operator="notBetween">
      <formula>0</formula>
      <formula>100</formula>
    </cfRule>
    <cfRule type="cellIs" dxfId="34" priority="66" stopIfTrue="1" operator="lessThan">
      <formula>#REF!</formula>
    </cfRule>
    <cfRule type="cellIs" dxfId="33" priority="67" stopIfTrue="1" operator="notBetween">
      <formula>0</formula>
      <formula>100</formula>
    </cfRule>
    <cfRule type="cellIs" dxfId="32" priority="68" stopIfTrue="1" operator="between">
      <formula>0</formula>
      <formula>55</formula>
    </cfRule>
  </conditionalFormatting>
  <conditionalFormatting sqref="T69">
    <cfRule type="cellIs" dxfId="31" priority="57" stopIfTrue="1" operator="notBetween">
      <formula>0</formula>
      <formula>100</formula>
    </cfRule>
    <cfRule type="cellIs" dxfId="30" priority="58" stopIfTrue="1" operator="lessThan">
      <formula>#REF!</formula>
    </cfRule>
    <cfRule type="cellIs" dxfId="29" priority="59" stopIfTrue="1" operator="notBetween">
      <formula>0</formula>
      <formula>100</formula>
    </cfRule>
    <cfRule type="cellIs" dxfId="28" priority="60" stopIfTrue="1" operator="between">
      <formula>0</formula>
      <formula>55</formula>
    </cfRule>
  </conditionalFormatting>
  <conditionalFormatting sqref="T78">
    <cfRule type="cellIs" dxfId="27" priority="49" stopIfTrue="1" operator="notBetween">
      <formula>0</formula>
      <formula>100</formula>
    </cfRule>
    <cfRule type="cellIs" dxfId="26" priority="50" stopIfTrue="1" operator="lessThan">
      <formula>#REF!</formula>
    </cfRule>
    <cfRule type="cellIs" dxfId="25" priority="51" stopIfTrue="1" operator="notBetween">
      <formula>0</formula>
      <formula>100</formula>
    </cfRule>
    <cfRule type="cellIs" dxfId="24" priority="52" stopIfTrue="1" operator="between">
      <formula>0</formula>
      <formula>55</formula>
    </cfRule>
  </conditionalFormatting>
  <conditionalFormatting sqref="T87">
    <cfRule type="cellIs" dxfId="23" priority="41" stopIfTrue="1" operator="notBetween">
      <formula>0</formula>
      <formula>100</formula>
    </cfRule>
    <cfRule type="cellIs" dxfId="22" priority="42" stopIfTrue="1" operator="lessThan">
      <formula>#REF!</formula>
    </cfRule>
    <cfRule type="cellIs" dxfId="21" priority="43" stopIfTrue="1" operator="notBetween">
      <formula>0</formula>
      <formula>100</formula>
    </cfRule>
    <cfRule type="cellIs" dxfId="20" priority="44" stopIfTrue="1" operator="between">
      <formula>0</formula>
      <formula>55</formula>
    </cfRule>
  </conditionalFormatting>
  <conditionalFormatting sqref="T96">
    <cfRule type="cellIs" dxfId="19" priority="33" stopIfTrue="1" operator="notBetween">
      <formula>0</formula>
      <formula>100</formula>
    </cfRule>
    <cfRule type="cellIs" dxfId="18" priority="34" stopIfTrue="1" operator="lessThan">
      <formula>#REF!</formula>
    </cfRule>
    <cfRule type="cellIs" dxfId="17" priority="35" stopIfTrue="1" operator="notBetween">
      <formula>0</formula>
      <formula>100</formula>
    </cfRule>
    <cfRule type="cellIs" dxfId="16" priority="36" stopIfTrue="1" operator="between">
      <formula>0</formula>
      <formula>55</formula>
    </cfRule>
  </conditionalFormatting>
  <conditionalFormatting sqref="T105">
    <cfRule type="cellIs" dxfId="15" priority="25" stopIfTrue="1" operator="notBetween">
      <formula>0</formula>
      <formula>100</formula>
    </cfRule>
    <cfRule type="cellIs" dxfId="14" priority="26" stopIfTrue="1" operator="lessThan">
      <formula>#REF!</formula>
    </cfRule>
    <cfRule type="cellIs" dxfId="13" priority="27" stopIfTrue="1" operator="notBetween">
      <formula>0</formula>
      <formula>100</formula>
    </cfRule>
    <cfRule type="cellIs" dxfId="12" priority="28" stopIfTrue="1" operator="between">
      <formula>0</formula>
      <formula>55</formula>
    </cfRule>
  </conditionalFormatting>
  <conditionalFormatting sqref="T114">
    <cfRule type="cellIs" dxfId="11" priority="17" stopIfTrue="1" operator="notBetween">
      <formula>0</formula>
      <formula>100</formula>
    </cfRule>
    <cfRule type="cellIs" dxfId="10" priority="18" stopIfTrue="1" operator="lessThan">
      <formula>#REF!</formula>
    </cfRule>
    <cfRule type="cellIs" dxfId="9" priority="19" stopIfTrue="1" operator="notBetween">
      <formula>0</formula>
      <formula>100</formula>
    </cfRule>
    <cfRule type="cellIs" dxfId="8" priority="20" stopIfTrue="1" operator="between">
      <formula>0</formula>
      <formula>55</formula>
    </cfRule>
  </conditionalFormatting>
  <conditionalFormatting sqref="T123">
    <cfRule type="cellIs" dxfId="7" priority="9" stopIfTrue="1" operator="notBetween">
      <formula>0</formula>
      <formula>100</formula>
    </cfRule>
    <cfRule type="cellIs" dxfId="6" priority="10" stopIfTrue="1" operator="lessThan">
      <formula>#REF!</formula>
    </cfRule>
    <cfRule type="cellIs" dxfId="5" priority="11" stopIfTrue="1" operator="notBetween">
      <formula>0</formula>
      <formula>100</formula>
    </cfRule>
    <cfRule type="cellIs" dxfId="4" priority="12" stopIfTrue="1" operator="between">
      <formula>0</formula>
      <formula>55</formula>
    </cfRule>
  </conditionalFormatting>
  <conditionalFormatting sqref="T132">
    <cfRule type="cellIs" dxfId="3" priority="1" stopIfTrue="1" operator="notBetween">
      <formula>0</formula>
      <formula>100</formula>
    </cfRule>
    <cfRule type="cellIs" dxfId="2" priority="2" stopIfTrue="1" operator="lessThan">
      <formula>#REF!</formula>
    </cfRule>
    <cfRule type="cellIs" dxfId="1" priority="3" stopIfTrue="1" operator="notBetween">
      <formula>0</formula>
      <formula>100</formula>
    </cfRule>
    <cfRule type="cellIs" dxfId="0" priority="4" stopIfTrue="1" operator="between">
      <formula>0</formula>
      <formula>55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76D15-71E9-41CF-ACFD-B64045E5BB72}">
  <dimension ref="A4:J92"/>
  <sheetViews>
    <sheetView workbookViewId="0">
      <selection activeCell="A4" sqref="A4:XFD18"/>
    </sheetView>
  </sheetViews>
  <sheetFormatPr defaultRowHeight="15" x14ac:dyDescent="0.25"/>
  <cols>
    <col min="2" max="2" width="17.85546875" bestFit="1" customWidth="1"/>
    <col min="3" max="7" width="11.42578125" customWidth="1"/>
    <col min="9" max="9" width="31" bestFit="1" customWidth="1"/>
    <col min="10" max="10" width="101.5703125" bestFit="1" customWidth="1"/>
  </cols>
  <sheetData>
    <row r="4" spans="1:10" x14ac:dyDescent="0.25">
      <c r="A4" t="s">
        <v>76</v>
      </c>
      <c r="B4" t="s">
        <v>77</v>
      </c>
      <c r="C4" t="s">
        <v>78</v>
      </c>
      <c r="D4" t="s">
        <v>79</v>
      </c>
      <c r="E4" t="s">
        <v>80</v>
      </c>
      <c r="F4" t="s">
        <v>81</v>
      </c>
      <c r="G4" t="s">
        <v>82</v>
      </c>
      <c r="H4" t="s">
        <v>83</v>
      </c>
      <c r="I4" t="s">
        <v>154</v>
      </c>
      <c r="J4" t="s">
        <v>155</v>
      </c>
    </row>
    <row r="5" spans="1:10" x14ac:dyDescent="0.25">
      <c r="A5">
        <v>1</v>
      </c>
      <c r="B5" t="s">
        <v>84</v>
      </c>
      <c r="C5" t="s">
        <v>85</v>
      </c>
      <c r="D5" t="s">
        <v>86</v>
      </c>
      <c r="E5" t="s">
        <v>87</v>
      </c>
      <c r="F5" t="s">
        <v>88</v>
      </c>
      <c r="G5" t="s">
        <v>89</v>
      </c>
      <c r="H5" t="s">
        <v>90</v>
      </c>
      <c r="I5" t="s">
        <v>156</v>
      </c>
      <c r="J5" t="s">
        <v>157</v>
      </c>
    </row>
    <row r="6" spans="1:10" x14ac:dyDescent="0.25">
      <c r="A6">
        <v>2</v>
      </c>
      <c r="B6" t="s">
        <v>91</v>
      </c>
      <c r="C6" t="s">
        <v>92</v>
      </c>
      <c r="D6" t="s">
        <v>93</v>
      </c>
      <c r="E6" t="s">
        <v>94</v>
      </c>
      <c r="F6" t="s">
        <v>95</v>
      </c>
      <c r="G6" t="s">
        <v>96</v>
      </c>
      <c r="H6" t="s">
        <v>90</v>
      </c>
      <c r="I6" t="s">
        <v>158</v>
      </c>
      <c r="J6" t="s">
        <v>159</v>
      </c>
    </row>
    <row r="7" spans="1:10" x14ac:dyDescent="0.25">
      <c r="A7">
        <v>3</v>
      </c>
      <c r="B7" t="s">
        <v>97</v>
      </c>
      <c r="C7" t="s">
        <v>98</v>
      </c>
      <c r="D7" t="s">
        <v>99</v>
      </c>
      <c r="E7" t="s">
        <v>100</v>
      </c>
      <c r="F7" t="s">
        <v>101</v>
      </c>
      <c r="G7" t="s">
        <v>102</v>
      </c>
      <c r="H7" t="s">
        <v>90</v>
      </c>
      <c r="I7" t="s">
        <v>160</v>
      </c>
      <c r="J7" t="s">
        <v>161</v>
      </c>
    </row>
    <row r="8" spans="1:10" x14ac:dyDescent="0.25">
      <c r="A8">
        <v>4</v>
      </c>
      <c r="B8" t="s">
        <v>103</v>
      </c>
      <c r="C8" t="s">
        <v>104</v>
      </c>
      <c r="D8" t="s">
        <v>105</v>
      </c>
      <c r="E8" t="s">
        <v>106</v>
      </c>
      <c r="F8" t="s">
        <v>107</v>
      </c>
      <c r="G8" t="s">
        <v>108</v>
      </c>
      <c r="H8" t="s">
        <v>90</v>
      </c>
      <c r="I8" t="s">
        <v>162</v>
      </c>
      <c r="J8" t="s">
        <v>163</v>
      </c>
    </row>
    <row r="9" spans="1:10" x14ac:dyDescent="0.25">
      <c r="A9">
        <v>5</v>
      </c>
      <c r="B9" t="s">
        <v>109</v>
      </c>
      <c r="C9" t="s">
        <v>110</v>
      </c>
      <c r="D9" t="s">
        <v>111</v>
      </c>
      <c r="E9" t="s">
        <v>112</v>
      </c>
      <c r="F9" t="s">
        <v>113</v>
      </c>
      <c r="G9" t="s">
        <v>114</v>
      </c>
      <c r="H9" t="s">
        <v>115</v>
      </c>
      <c r="I9" t="s">
        <v>164</v>
      </c>
      <c r="J9" t="s">
        <v>165</v>
      </c>
    </row>
    <row r="10" spans="1:10" x14ac:dyDescent="0.25">
      <c r="A10">
        <v>6</v>
      </c>
      <c r="B10" t="s">
        <v>116</v>
      </c>
      <c r="C10" t="s">
        <v>117</v>
      </c>
      <c r="D10" t="s">
        <v>118</v>
      </c>
      <c r="E10" t="s">
        <v>92</v>
      </c>
      <c r="F10" t="s">
        <v>119</v>
      </c>
      <c r="G10" t="s">
        <v>120</v>
      </c>
      <c r="H10" t="s">
        <v>90</v>
      </c>
      <c r="I10" t="s">
        <v>166</v>
      </c>
      <c r="J10" t="s">
        <v>167</v>
      </c>
    </row>
    <row r="11" spans="1:10" x14ac:dyDescent="0.25">
      <c r="A11">
        <v>7</v>
      </c>
      <c r="B11" t="s">
        <v>121</v>
      </c>
      <c r="C11" t="s">
        <v>122</v>
      </c>
      <c r="D11" t="s">
        <v>92</v>
      </c>
      <c r="E11" t="s">
        <v>123</v>
      </c>
      <c r="F11" t="s">
        <v>124</v>
      </c>
      <c r="G11" t="s">
        <v>110</v>
      </c>
      <c r="H11" t="s">
        <v>125</v>
      </c>
      <c r="I11" t="s">
        <v>168</v>
      </c>
      <c r="J11" t="s">
        <v>169</v>
      </c>
    </row>
    <row r="12" spans="1:10" x14ac:dyDescent="0.25">
      <c r="A12">
        <v>8</v>
      </c>
      <c r="B12" t="s">
        <v>126</v>
      </c>
      <c r="C12" t="s">
        <v>127</v>
      </c>
      <c r="D12" t="s">
        <v>128</v>
      </c>
      <c r="E12" t="s">
        <v>129</v>
      </c>
      <c r="F12" t="s">
        <v>100</v>
      </c>
      <c r="G12" t="s">
        <v>112</v>
      </c>
      <c r="H12" t="s">
        <v>115</v>
      </c>
      <c r="I12" t="s">
        <v>170</v>
      </c>
      <c r="J12" t="s">
        <v>171</v>
      </c>
    </row>
    <row r="13" spans="1:10" x14ac:dyDescent="0.25">
      <c r="A13">
        <v>9</v>
      </c>
      <c r="B13" t="s">
        <v>130</v>
      </c>
      <c r="C13" t="s">
        <v>131</v>
      </c>
      <c r="D13" t="s">
        <v>132</v>
      </c>
      <c r="E13" t="s">
        <v>133</v>
      </c>
      <c r="F13" t="s">
        <v>134</v>
      </c>
      <c r="G13" t="s">
        <v>135</v>
      </c>
      <c r="H13" t="s">
        <v>90</v>
      </c>
      <c r="I13" t="s">
        <v>172</v>
      </c>
      <c r="J13" t="s">
        <v>173</v>
      </c>
    </row>
    <row r="14" spans="1:10" x14ac:dyDescent="0.25">
      <c r="A14">
        <v>10</v>
      </c>
      <c r="B14" t="s">
        <v>136</v>
      </c>
      <c r="C14" t="s">
        <v>137</v>
      </c>
      <c r="D14" t="s">
        <v>138</v>
      </c>
      <c r="E14" t="s">
        <v>128</v>
      </c>
      <c r="F14" t="s">
        <v>139</v>
      </c>
      <c r="G14" t="s">
        <v>140</v>
      </c>
      <c r="H14" t="s">
        <v>90</v>
      </c>
      <c r="I14" t="s">
        <v>174</v>
      </c>
      <c r="J14" t="s">
        <v>175</v>
      </c>
    </row>
    <row r="15" spans="1:10" x14ac:dyDescent="0.25">
      <c r="A15">
        <v>11</v>
      </c>
      <c r="B15" t="s">
        <v>141</v>
      </c>
      <c r="C15" t="s">
        <v>92</v>
      </c>
      <c r="D15" t="s">
        <v>142</v>
      </c>
      <c r="E15" t="s">
        <v>89</v>
      </c>
      <c r="F15" t="s">
        <v>143</v>
      </c>
      <c r="G15" t="s">
        <v>144</v>
      </c>
      <c r="H15" t="s">
        <v>90</v>
      </c>
      <c r="I15" t="s">
        <v>176</v>
      </c>
      <c r="J15" t="s">
        <v>177</v>
      </c>
    </row>
    <row r="16" spans="1:10" x14ac:dyDescent="0.25">
      <c r="A16">
        <v>12</v>
      </c>
      <c r="B16" t="s">
        <v>145</v>
      </c>
      <c r="C16" t="s">
        <v>146</v>
      </c>
      <c r="D16" t="s">
        <v>104</v>
      </c>
      <c r="E16" t="s">
        <v>144</v>
      </c>
      <c r="F16" t="s">
        <v>137</v>
      </c>
      <c r="G16" t="s">
        <v>101</v>
      </c>
      <c r="H16" t="s">
        <v>90</v>
      </c>
      <c r="I16" t="s">
        <v>178</v>
      </c>
      <c r="J16" t="s">
        <v>179</v>
      </c>
    </row>
    <row r="17" spans="1:10" x14ac:dyDescent="0.25">
      <c r="A17">
        <v>13</v>
      </c>
      <c r="B17" t="s">
        <v>147</v>
      </c>
      <c r="C17" t="s">
        <v>105</v>
      </c>
      <c r="D17" t="s">
        <v>148</v>
      </c>
      <c r="E17" t="s">
        <v>149</v>
      </c>
      <c r="F17" t="s">
        <v>108</v>
      </c>
      <c r="G17" t="s">
        <v>150</v>
      </c>
      <c r="H17" t="s">
        <v>90</v>
      </c>
      <c r="I17" t="s">
        <v>180</v>
      </c>
      <c r="J17" t="s">
        <v>181</v>
      </c>
    </row>
    <row r="18" spans="1:10" x14ac:dyDescent="0.25">
      <c r="A18">
        <v>14</v>
      </c>
      <c r="B18" t="s">
        <v>151</v>
      </c>
      <c r="C18" t="s">
        <v>138</v>
      </c>
      <c r="D18" t="s">
        <v>120</v>
      </c>
      <c r="E18" t="s">
        <v>119</v>
      </c>
      <c r="F18" t="s">
        <v>152</v>
      </c>
      <c r="G18" t="s">
        <v>153</v>
      </c>
      <c r="H18" t="s">
        <v>90</v>
      </c>
      <c r="I18" t="s">
        <v>182</v>
      </c>
      <c r="J18" t="s">
        <v>183</v>
      </c>
    </row>
    <row r="21" spans="1:10" x14ac:dyDescent="0.25">
      <c r="B21" t="s">
        <v>184</v>
      </c>
    </row>
    <row r="22" spans="1:10" x14ac:dyDescent="0.25">
      <c r="B22" s="55" t="s">
        <v>185</v>
      </c>
    </row>
    <row r="24" spans="1:10" x14ac:dyDescent="0.25">
      <c r="B24" s="55" t="s">
        <v>186</v>
      </c>
    </row>
    <row r="28" spans="1:10" ht="23.25" x14ac:dyDescent="0.25">
      <c r="B28" s="56" t="s">
        <v>187</v>
      </c>
    </row>
    <row r="30" spans="1:10" x14ac:dyDescent="0.25">
      <c r="B30" s="55" t="s">
        <v>188</v>
      </c>
    </row>
    <row r="31" spans="1:10" x14ac:dyDescent="0.25">
      <c r="B31" s="57"/>
    </row>
    <row r="32" spans="1:10" x14ac:dyDescent="0.25">
      <c r="B32" s="58" t="s">
        <v>189</v>
      </c>
    </row>
    <row r="33" spans="2:2" x14ac:dyDescent="0.25">
      <c r="B33" s="57"/>
    </row>
    <row r="34" spans="2:2" x14ac:dyDescent="0.25">
      <c r="B34" s="58" t="s">
        <v>190</v>
      </c>
    </row>
    <row r="35" spans="2:2" x14ac:dyDescent="0.25">
      <c r="B35" s="57"/>
    </row>
    <row r="36" spans="2:2" x14ac:dyDescent="0.25">
      <c r="B36" s="58" t="s">
        <v>191</v>
      </c>
    </row>
    <row r="37" spans="2:2" x14ac:dyDescent="0.25">
      <c r="B37" s="57"/>
    </row>
    <row r="38" spans="2:2" x14ac:dyDescent="0.25">
      <c r="B38" s="59"/>
    </row>
    <row r="39" spans="2:2" x14ac:dyDescent="0.25">
      <c r="B39" s="60" t="s">
        <v>192</v>
      </c>
    </row>
    <row r="40" spans="2:2" x14ac:dyDescent="0.25">
      <c r="B40" s="61"/>
    </row>
    <row r="41" spans="2:2" x14ac:dyDescent="0.25">
      <c r="B41" s="60" t="s">
        <v>193</v>
      </c>
    </row>
    <row r="42" spans="2:2" x14ac:dyDescent="0.25">
      <c r="B42" s="57"/>
    </row>
    <row r="43" spans="2:2" x14ac:dyDescent="0.25">
      <c r="B43" s="58" t="s">
        <v>194</v>
      </c>
    </row>
    <row r="44" spans="2:2" x14ac:dyDescent="0.25">
      <c r="B44" s="57"/>
    </row>
    <row r="45" spans="2:2" x14ac:dyDescent="0.25">
      <c r="B45" s="58" t="s">
        <v>195</v>
      </c>
    </row>
    <row r="49" spans="2:2" ht="23.25" x14ac:dyDescent="0.25">
      <c r="B49" s="56" t="s">
        <v>196</v>
      </c>
    </row>
    <row r="51" spans="2:2" x14ac:dyDescent="0.25">
      <c r="B51" s="55" t="s">
        <v>197</v>
      </c>
    </row>
    <row r="53" spans="2:2" ht="17.25" x14ac:dyDescent="0.25">
      <c r="B53" s="62" t="s">
        <v>198</v>
      </c>
    </row>
    <row r="54" spans="2:2" x14ac:dyDescent="0.25">
      <c r="B54" s="57"/>
    </row>
    <row r="55" spans="2:2" x14ac:dyDescent="0.25">
      <c r="B55" s="58" t="s">
        <v>199</v>
      </c>
    </row>
    <row r="56" spans="2:2" x14ac:dyDescent="0.25">
      <c r="B56" s="57"/>
    </row>
    <row r="57" spans="2:2" x14ac:dyDescent="0.25">
      <c r="B57" s="58" t="s">
        <v>200</v>
      </c>
    </row>
    <row r="59" spans="2:2" ht="17.25" x14ac:dyDescent="0.25">
      <c r="B59" s="62" t="s">
        <v>201</v>
      </c>
    </row>
    <row r="61" spans="2:2" x14ac:dyDescent="0.25">
      <c r="B61" s="55" t="s">
        <v>202</v>
      </c>
    </row>
    <row r="63" spans="2:2" x14ac:dyDescent="0.25">
      <c r="B63" s="63" t="s">
        <v>203</v>
      </c>
    </row>
    <row r="64" spans="2:2" x14ac:dyDescent="0.25">
      <c r="B64" s="57"/>
    </row>
    <row r="65" spans="2:2" x14ac:dyDescent="0.25">
      <c r="B65" s="58" t="s">
        <v>204</v>
      </c>
    </row>
    <row r="66" spans="2:2" x14ac:dyDescent="0.25">
      <c r="B66" s="57"/>
    </row>
    <row r="67" spans="2:2" x14ac:dyDescent="0.25">
      <c r="B67" s="59"/>
    </row>
    <row r="68" spans="2:2" x14ac:dyDescent="0.25">
      <c r="B68" s="64" t="s">
        <v>205</v>
      </c>
    </row>
    <row r="69" spans="2:2" x14ac:dyDescent="0.25">
      <c r="B69" s="61"/>
    </row>
    <row r="70" spans="2:2" x14ac:dyDescent="0.25">
      <c r="B70" s="64" t="s">
        <v>206</v>
      </c>
    </row>
    <row r="71" spans="2:2" x14ac:dyDescent="0.25">
      <c r="B71" s="57"/>
    </row>
    <row r="72" spans="2:2" x14ac:dyDescent="0.25">
      <c r="B72" s="58" t="s">
        <v>207</v>
      </c>
    </row>
    <row r="73" spans="2:2" x14ac:dyDescent="0.25">
      <c r="B73" s="57"/>
    </row>
    <row r="74" spans="2:2" x14ac:dyDescent="0.25">
      <c r="B74" s="59"/>
    </row>
    <row r="75" spans="2:2" x14ac:dyDescent="0.25">
      <c r="B75" s="64" t="s">
        <v>208</v>
      </c>
    </row>
    <row r="76" spans="2:2" x14ac:dyDescent="0.25">
      <c r="B76" s="61"/>
    </row>
    <row r="77" spans="2:2" x14ac:dyDescent="0.25">
      <c r="B77" s="64" t="s">
        <v>209</v>
      </c>
    </row>
    <row r="81" spans="2:4" ht="23.25" x14ac:dyDescent="0.25">
      <c r="B81" s="56" t="s">
        <v>210</v>
      </c>
    </row>
    <row r="83" spans="2:4" x14ac:dyDescent="0.25">
      <c r="B83" s="55" t="s">
        <v>211</v>
      </c>
    </row>
    <row r="84" spans="2:4" ht="15.75" thickBot="1" x14ac:dyDescent="0.3"/>
    <row r="85" spans="2:4" ht="30.75" thickBot="1" x14ac:dyDescent="0.3">
      <c r="B85" s="65" t="s">
        <v>212</v>
      </c>
      <c r="C85" s="65" t="s">
        <v>213</v>
      </c>
      <c r="D85" s="65" t="s">
        <v>214</v>
      </c>
    </row>
    <row r="86" spans="2:4" ht="72" thickBot="1" x14ac:dyDescent="0.3">
      <c r="B86" s="65" t="s">
        <v>215</v>
      </c>
      <c r="C86" s="66" t="s">
        <v>216</v>
      </c>
      <c r="D86" s="66" t="s">
        <v>217</v>
      </c>
    </row>
    <row r="87" spans="2:4" ht="100.5" thickBot="1" x14ac:dyDescent="0.3">
      <c r="B87" s="65" t="s">
        <v>218</v>
      </c>
      <c r="C87" s="66" t="s">
        <v>219</v>
      </c>
      <c r="D87" s="66" t="s">
        <v>220</v>
      </c>
    </row>
    <row r="88" spans="2:4" ht="114.75" thickBot="1" x14ac:dyDescent="0.3">
      <c r="B88" s="65" t="s">
        <v>221</v>
      </c>
      <c r="C88" s="66" t="s">
        <v>222</v>
      </c>
      <c r="D88" s="66" t="s">
        <v>223</v>
      </c>
    </row>
    <row r="89" spans="2:4" ht="100.5" thickBot="1" x14ac:dyDescent="0.3">
      <c r="B89" s="65" t="s">
        <v>224</v>
      </c>
      <c r="C89" s="66" t="s">
        <v>225</v>
      </c>
      <c r="D89" s="66" t="s">
        <v>226</v>
      </c>
    </row>
    <row r="91" spans="2:4" x14ac:dyDescent="0.25">
      <c r="B91" s="57"/>
    </row>
    <row r="92" spans="2:4" x14ac:dyDescent="0.25">
      <c r="B92" s="58" t="s">
        <v>227</v>
      </c>
    </row>
  </sheetData>
  <phoneticPr fontId="2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52EC2-9A83-494E-A13C-BBF85C51CBE0}">
  <dimension ref="A4:J63"/>
  <sheetViews>
    <sheetView topLeftCell="A26" workbookViewId="0">
      <selection activeCell="A5" sqref="A5:J43"/>
    </sheetView>
  </sheetViews>
  <sheetFormatPr defaultRowHeight="15" x14ac:dyDescent="0.25"/>
  <sheetData>
    <row r="4" spans="1:10" x14ac:dyDescent="0.25">
      <c r="A4" t="s">
        <v>76</v>
      </c>
      <c r="B4" t="s">
        <v>77</v>
      </c>
      <c r="C4" t="s">
        <v>78</v>
      </c>
      <c r="D4" t="s">
        <v>79</v>
      </c>
      <c r="E4" t="s">
        <v>80</v>
      </c>
      <c r="F4" t="s">
        <v>81</v>
      </c>
      <c r="G4" t="s">
        <v>82</v>
      </c>
      <c r="H4" t="s">
        <v>707</v>
      </c>
      <c r="I4" t="s">
        <v>777</v>
      </c>
      <c r="J4" t="s">
        <v>358</v>
      </c>
    </row>
    <row r="5" spans="1:10" x14ac:dyDescent="0.25">
      <c r="A5">
        <v>1</v>
      </c>
      <c r="B5" t="s">
        <v>708</v>
      </c>
      <c r="C5" t="s">
        <v>140</v>
      </c>
      <c r="D5" t="s">
        <v>118</v>
      </c>
      <c r="E5" t="s">
        <v>709</v>
      </c>
      <c r="F5" t="s">
        <v>119</v>
      </c>
      <c r="G5" t="s">
        <v>133</v>
      </c>
      <c r="H5" t="s">
        <v>710</v>
      </c>
      <c r="I5" t="s">
        <v>778</v>
      </c>
      <c r="J5" t="s">
        <v>779</v>
      </c>
    </row>
    <row r="6" spans="1:10" x14ac:dyDescent="0.25">
      <c r="A6">
        <v>2</v>
      </c>
      <c r="B6" t="s">
        <v>711</v>
      </c>
      <c r="C6" t="s">
        <v>146</v>
      </c>
      <c r="D6" t="s">
        <v>251</v>
      </c>
      <c r="E6" t="s">
        <v>712</v>
      </c>
      <c r="F6" t="s">
        <v>99</v>
      </c>
      <c r="G6" t="s">
        <v>127</v>
      </c>
      <c r="H6" t="s">
        <v>713</v>
      </c>
      <c r="I6" t="s">
        <v>780</v>
      </c>
      <c r="J6" t="s">
        <v>781</v>
      </c>
    </row>
    <row r="7" spans="1:10" x14ac:dyDescent="0.25">
      <c r="A7">
        <v>3</v>
      </c>
      <c r="B7" t="s">
        <v>714</v>
      </c>
      <c r="C7" t="s">
        <v>107</v>
      </c>
      <c r="D7" t="s">
        <v>107</v>
      </c>
      <c r="E7" t="s">
        <v>101</v>
      </c>
      <c r="F7" t="s">
        <v>715</v>
      </c>
      <c r="G7" t="s">
        <v>608</v>
      </c>
      <c r="H7" t="s">
        <v>710</v>
      </c>
      <c r="I7" t="s">
        <v>782</v>
      </c>
      <c r="J7" t="s">
        <v>783</v>
      </c>
    </row>
    <row r="8" spans="1:10" x14ac:dyDescent="0.25">
      <c r="A8">
        <v>4</v>
      </c>
      <c r="B8" t="s">
        <v>716</v>
      </c>
      <c r="C8" t="s">
        <v>717</v>
      </c>
      <c r="D8" t="s">
        <v>112</v>
      </c>
      <c r="E8" t="s">
        <v>98</v>
      </c>
      <c r="F8" t="s">
        <v>128</v>
      </c>
      <c r="G8" t="s">
        <v>100</v>
      </c>
      <c r="H8" t="s">
        <v>718</v>
      </c>
      <c r="I8" t="s">
        <v>784</v>
      </c>
      <c r="J8" t="s">
        <v>785</v>
      </c>
    </row>
    <row r="9" spans="1:10" x14ac:dyDescent="0.25">
      <c r="A9">
        <v>5</v>
      </c>
      <c r="B9" t="s">
        <v>719</v>
      </c>
      <c r="C9" t="s">
        <v>232</v>
      </c>
      <c r="D9" t="s">
        <v>720</v>
      </c>
      <c r="E9" t="s">
        <v>118</v>
      </c>
      <c r="F9" t="s">
        <v>108</v>
      </c>
      <c r="G9" t="s">
        <v>107</v>
      </c>
      <c r="H9" t="s">
        <v>710</v>
      </c>
      <c r="I9" t="s">
        <v>786</v>
      </c>
      <c r="J9" t="s">
        <v>787</v>
      </c>
    </row>
    <row r="10" spans="1:10" x14ac:dyDescent="0.25">
      <c r="A10">
        <v>6</v>
      </c>
      <c r="B10" t="s">
        <v>721</v>
      </c>
      <c r="C10" t="s">
        <v>722</v>
      </c>
      <c r="D10" t="s">
        <v>100</v>
      </c>
      <c r="E10" t="s">
        <v>709</v>
      </c>
      <c r="F10" t="s">
        <v>131</v>
      </c>
      <c r="G10" t="s">
        <v>242</v>
      </c>
      <c r="H10" t="s">
        <v>710</v>
      </c>
      <c r="I10" t="s">
        <v>788</v>
      </c>
      <c r="J10" t="s">
        <v>789</v>
      </c>
    </row>
    <row r="11" spans="1:10" x14ac:dyDescent="0.25">
      <c r="A11">
        <v>7</v>
      </c>
      <c r="B11" t="s">
        <v>723</v>
      </c>
      <c r="C11" t="s">
        <v>267</v>
      </c>
      <c r="D11" t="s">
        <v>573</v>
      </c>
      <c r="E11" t="s">
        <v>104</v>
      </c>
      <c r="F11" t="s">
        <v>139</v>
      </c>
      <c r="G11" t="s">
        <v>139</v>
      </c>
      <c r="H11" t="s">
        <v>710</v>
      </c>
      <c r="I11" t="s">
        <v>790</v>
      </c>
      <c r="J11" t="s">
        <v>791</v>
      </c>
    </row>
    <row r="12" spans="1:10" x14ac:dyDescent="0.25">
      <c r="A12">
        <v>8</v>
      </c>
      <c r="B12" t="s">
        <v>724</v>
      </c>
      <c r="C12" t="s">
        <v>123</v>
      </c>
      <c r="D12" t="s">
        <v>725</v>
      </c>
      <c r="E12" t="s">
        <v>238</v>
      </c>
      <c r="F12" t="s">
        <v>726</v>
      </c>
      <c r="G12" t="s">
        <v>727</v>
      </c>
      <c r="H12" t="s">
        <v>713</v>
      </c>
      <c r="I12" t="s">
        <v>792</v>
      </c>
      <c r="J12" t="s">
        <v>793</v>
      </c>
    </row>
    <row r="13" spans="1:10" x14ac:dyDescent="0.25">
      <c r="A13">
        <v>9</v>
      </c>
      <c r="B13" t="s">
        <v>728</v>
      </c>
      <c r="C13" t="s">
        <v>98</v>
      </c>
      <c r="D13" t="s">
        <v>267</v>
      </c>
      <c r="E13" t="s">
        <v>709</v>
      </c>
      <c r="F13" t="s">
        <v>113</v>
      </c>
      <c r="G13" t="s">
        <v>139</v>
      </c>
      <c r="H13" t="s">
        <v>710</v>
      </c>
      <c r="I13" t="s">
        <v>794</v>
      </c>
      <c r="J13" t="s">
        <v>795</v>
      </c>
    </row>
    <row r="14" spans="1:10" x14ac:dyDescent="0.25">
      <c r="A14">
        <v>10</v>
      </c>
      <c r="B14" t="s">
        <v>729</v>
      </c>
      <c r="C14" t="s">
        <v>149</v>
      </c>
      <c r="D14" t="s">
        <v>110</v>
      </c>
      <c r="E14" t="s">
        <v>267</v>
      </c>
      <c r="F14" t="s">
        <v>249</v>
      </c>
      <c r="G14" t="s">
        <v>236</v>
      </c>
      <c r="H14" t="s">
        <v>710</v>
      </c>
      <c r="I14" t="s">
        <v>796</v>
      </c>
      <c r="J14" t="s">
        <v>797</v>
      </c>
    </row>
    <row r="15" spans="1:10" x14ac:dyDescent="0.25">
      <c r="A15">
        <v>11</v>
      </c>
      <c r="B15" t="s">
        <v>730</v>
      </c>
      <c r="C15" t="s">
        <v>235</v>
      </c>
      <c r="D15" t="s">
        <v>124</v>
      </c>
      <c r="E15" t="s">
        <v>122</v>
      </c>
      <c r="F15" t="s">
        <v>564</v>
      </c>
      <c r="G15" t="s">
        <v>106</v>
      </c>
      <c r="H15" t="s">
        <v>718</v>
      </c>
      <c r="I15" t="s">
        <v>798</v>
      </c>
      <c r="J15" t="s">
        <v>799</v>
      </c>
    </row>
    <row r="16" spans="1:10" x14ac:dyDescent="0.25">
      <c r="A16">
        <v>12</v>
      </c>
      <c r="B16" t="s">
        <v>731</v>
      </c>
      <c r="C16" t="s">
        <v>139</v>
      </c>
      <c r="D16" t="s">
        <v>709</v>
      </c>
      <c r="E16" t="s">
        <v>118</v>
      </c>
      <c r="F16" t="s">
        <v>577</v>
      </c>
      <c r="G16" t="s">
        <v>567</v>
      </c>
      <c r="H16" t="s">
        <v>710</v>
      </c>
      <c r="I16" t="s">
        <v>800</v>
      </c>
      <c r="J16" t="s">
        <v>801</v>
      </c>
    </row>
    <row r="17" spans="1:10" x14ac:dyDescent="0.25">
      <c r="A17">
        <v>13</v>
      </c>
      <c r="B17" t="s">
        <v>732</v>
      </c>
      <c r="C17" t="s">
        <v>93</v>
      </c>
      <c r="D17" t="s">
        <v>733</v>
      </c>
      <c r="E17" t="s">
        <v>734</v>
      </c>
      <c r="F17" t="s">
        <v>124</v>
      </c>
      <c r="G17" t="s">
        <v>100</v>
      </c>
      <c r="H17" t="s">
        <v>735</v>
      </c>
      <c r="I17" t="s">
        <v>802</v>
      </c>
      <c r="J17" t="s">
        <v>803</v>
      </c>
    </row>
    <row r="18" spans="1:10" x14ac:dyDescent="0.25">
      <c r="A18">
        <v>14</v>
      </c>
      <c r="B18" t="s">
        <v>736</v>
      </c>
      <c r="C18" t="s">
        <v>236</v>
      </c>
      <c r="D18" t="s">
        <v>267</v>
      </c>
      <c r="E18" t="s">
        <v>101</v>
      </c>
      <c r="F18" t="s">
        <v>101</v>
      </c>
      <c r="G18" t="s">
        <v>249</v>
      </c>
      <c r="H18" t="s">
        <v>710</v>
      </c>
      <c r="I18" t="s">
        <v>804</v>
      </c>
      <c r="J18" t="s">
        <v>805</v>
      </c>
    </row>
    <row r="19" spans="1:10" x14ac:dyDescent="0.25">
      <c r="A19">
        <v>15</v>
      </c>
      <c r="B19" t="s">
        <v>737</v>
      </c>
      <c r="C19" t="s">
        <v>111</v>
      </c>
      <c r="D19" t="s">
        <v>231</v>
      </c>
      <c r="E19" t="s">
        <v>122</v>
      </c>
      <c r="F19" t="s">
        <v>100</v>
      </c>
      <c r="G19" t="s">
        <v>738</v>
      </c>
      <c r="H19" t="s">
        <v>718</v>
      </c>
      <c r="I19" t="s">
        <v>806</v>
      </c>
      <c r="J19" t="s">
        <v>807</v>
      </c>
    </row>
    <row r="20" spans="1:10" x14ac:dyDescent="0.25">
      <c r="A20">
        <v>16</v>
      </c>
      <c r="B20" t="s">
        <v>739</v>
      </c>
      <c r="C20" t="s">
        <v>105</v>
      </c>
      <c r="D20" t="s">
        <v>128</v>
      </c>
      <c r="E20" t="s">
        <v>100</v>
      </c>
      <c r="F20" t="s">
        <v>137</v>
      </c>
      <c r="G20" t="s">
        <v>132</v>
      </c>
      <c r="H20" t="s">
        <v>710</v>
      </c>
      <c r="I20" t="s">
        <v>808</v>
      </c>
      <c r="J20" t="s">
        <v>809</v>
      </c>
    </row>
    <row r="21" spans="1:10" x14ac:dyDescent="0.25">
      <c r="A21">
        <v>17</v>
      </c>
      <c r="B21" t="s">
        <v>740</v>
      </c>
      <c r="C21" t="s">
        <v>140</v>
      </c>
      <c r="D21" t="s">
        <v>232</v>
      </c>
      <c r="E21" t="s">
        <v>101</v>
      </c>
      <c r="F21" t="s">
        <v>741</v>
      </c>
      <c r="G21" t="s">
        <v>237</v>
      </c>
      <c r="H21" t="s">
        <v>710</v>
      </c>
      <c r="I21" t="s">
        <v>810</v>
      </c>
      <c r="J21" t="s">
        <v>811</v>
      </c>
    </row>
    <row r="22" spans="1:10" x14ac:dyDescent="0.25">
      <c r="A22">
        <v>18</v>
      </c>
      <c r="B22" t="s">
        <v>742</v>
      </c>
      <c r="C22" t="s">
        <v>98</v>
      </c>
      <c r="D22" t="s">
        <v>129</v>
      </c>
      <c r="E22" t="s">
        <v>743</v>
      </c>
      <c r="F22" t="s">
        <v>246</v>
      </c>
      <c r="G22" t="s">
        <v>235</v>
      </c>
      <c r="H22" t="s">
        <v>735</v>
      </c>
      <c r="I22" t="s">
        <v>812</v>
      </c>
      <c r="J22" t="s">
        <v>813</v>
      </c>
    </row>
    <row r="23" spans="1:10" x14ac:dyDescent="0.25">
      <c r="A23">
        <v>19</v>
      </c>
      <c r="B23" t="s">
        <v>744</v>
      </c>
      <c r="C23" t="s">
        <v>148</v>
      </c>
      <c r="D23" t="s">
        <v>257</v>
      </c>
      <c r="E23" t="s">
        <v>606</v>
      </c>
      <c r="F23" t="s">
        <v>745</v>
      </c>
      <c r="G23" t="s">
        <v>258</v>
      </c>
      <c r="H23" t="s">
        <v>746</v>
      </c>
      <c r="I23" t="s">
        <v>814</v>
      </c>
      <c r="J23" t="s">
        <v>815</v>
      </c>
    </row>
    <row r="24" spans="1:10" x14ac:dyDescent="0.25">
      <c r="A24">
        <v>20</v>
      </c>
      <c r="B24" t="s">
        <v>747</v>
      </c>
      <c r="C24" t="s">
        <v>140</v>
      </c>
      <c r="D24" t="s">
        <v>748</v>
      </c>
      <c r="E24" t="s">
        <v>93</v>
      </c>
      <c r="F24" t="s">
        <v>738</v>
      </c>
      <c r="G24" t="s">
        <v>573</v>
      </c>
      <c r="H24" t="s">
        <v>735</v>
      </c>
      <c r="I24" t="s">
        <v>816</v>
      </c>
      <c r="J24" t="s">
        <v>817</v>
      </c>
    </row>
    <row r="25" spans="1:10" x14ac:dyDescent="0.25">
      <c r="A25">
        <v>21</v>
      </c>
      <c r="B25" t="s">
        <v>749</v>
      </c>
      <c r="C25" t="s">
        <v>750</v>
      </c>
      <c r="D25" t="s">
        <v>743</v>
      </c>
      <c r="E25" t="s">
        <v>235</v>
      </c>
      <c r="F25" t="s">
        <v>244</v>
      </c>
      <c r="G25" t="s">
        <v>751</v>
      </c>
      <c r="H25" t="s">
        <v>735</v>
      </c>
      <c r="I25" t="s">
        <v>818</v>
      </c>
      <c r="J25" t="s">
        <v>819</v>
      </c>
    </row>
    <row r="26" spans="1:10" x14ac:dyDescent="0.25">
      <c r="A26">
        <v>22</v>
      </c>
      <c r="B26" t="s">
        <v>752</v>
      </c>
      <c r="C26" t="s">
        <v>712</v>
      </c>
      <c r="D26" t="s">
        <v>753</v>
      </c>
      <c r="E26" t="s">
        <v>754</v>
      </c>
      <c r="F26" t="s">
        <v>146</v>
      </c>
      <c r="G26" t="s">
        <v>123</v>
      </c>
      <c r="H26" t="s">
        <v>718</v>
      </c>
      <c r="I26" t="s">
        <v>820</v>
      </c>
      <c r="J26" t="s">
        <v>821</v>
      </c>
    </row>
    <row r="27" spans="1:10" x14ac:dyDescent="0.25">
      <c r="A27">
        <v>23</v>
      </c>
      <c r="B27" t="s">
        <v>755</v>
      </c>
      <c r="C27" t="s">
        <v>236</v>
      </c>
      <c r="D27" t="s">
        <v>144</v>
      </c>
      <c r="E27" t="s">
        <v>717</v>
      </c>
      <c r="F27" t="s">
        <v>756</v>
      </c>
      <c r="G27" t="s">
        <v>757</v>
      </c>
      <c r="H27" t="s">
        <v>710</v>
      </c>
      <c r="I27" t="s">
        <v>822</v>
      </c>
      <c r="J27" t="s">
        <v>823</v>
      </c>
    </row>
    <row r="28" spans="1:10" x14ac:dyDescent="0.25">
      <c r="A28">
        <v>24</v>
      </c>
      <c r="B28" t="s">
        <v>758</v>
      </c>
      <c r="C28" t="s">
        <v>567</v>
      </c>
      <c r="D28" t="s">
        <v>267</v>
      </c>
      <c r="E28" t="s">
        <v>105</v>
      </c>
      <c r="F28" t="s">
        <v>239</v>
      </c>
      <c r="G28" t="s">
        <v>140</v>
      </c>
      <c r="H28" t="s">
        <v>710</v>
      </c>
      <c r="I28" t="s">
        <v>824</v>
      </c>
      <c r="J28" t="s">
        <v>825</v>
      </c>
    </row>
    <row r="29" spans="1:10" x14ac:dyDescent="0.25">
      <c r="A29">
        <v>25</v>
      </c>
      <c r="B29" t="s">
        <v>759</v>
      </c>
      <c r="C29" t="s">
        <v>602</v>
      </c>
      <c r="D29" t="s">
        <v>114</v>
      </c>
      <c r="E29" t="s">
        <v>111</v>
      </c>
      <c r="F29" t="s">
        <v>236</v>
      </c>
      <c r="G29" t="s">
        <v>244</v>
      </c>
      <c r="H29" t="s">
        <v>710</v>
      </c>
      <c r="I29" t="s">
        <v>826</v>
      </c>
      <c r="J29" t="s">
        <v>827</v>
      </c>
    </row>
    <row r="30" spans="1:10" x14ac:dyDescent="0.25">
      <c r="A30">
        <v>26</v>
      </c>
      <c r="B30" t="s">
        <v>760</v>
      </c>
      <c r="C30" t="s">
        <v>251</v>
      </c>
      <c r="D30" t="s">
        <v>761</v>
      </c>
      <c r="E30" t="s">
        <v>128</v>
      </c>
      <c r="F30" t="s">
        <v>236</v>
      </c>
      <c r="G30" t="s">
        <v>139</v>
      </c>
      <c r="H30" t="s">
        <v>710</v>
      </c>
      <c r="I30" t="s">
        <v>828</v>
      </c>
      <c r="J30" t="s">
        <v>829</v>
      </c>
    </row>
    <row r="31" spans="1:10" x14ac:dyDescent="0.25">
      <c r="A31">
        <v>27</v>
      </c>
      <c r="B31" t="s">
        <v>762</v>
      </c>
      <c r="C31" t="s">
        <v>112</v>
      </c>
      <c r="D31" t="s">
        <v>712</v>
      </c>
      <c r="E31" t="s">
        <v>234</v>
      </c>
      <c r="F31" t="s">
        <v>98</v>
      </c>
      <c r="G31" t="s">
        <v>575</v>
      </c>
      <c r="H31" t="s">
        <v>718</v>
      </c>
      <c r="I31" t="s">
        <v>830</v>
      </c>
      <c r="J31" t="s">
        <v>831</v>
      </c>
    </row>
    <row r="32" spans="1:10" x14ac:dyDescent="0.25">
      <c r="A32">
        <v>28</v>
      </c>
      <c r="B32" t="s">
        <v>763</v>
      </c>
      <c r="C32" t="s">
        <v>85</v>
      </c>
      <c r="D32" t="s">
        <v>238</v>
      </c>
      <c r="E32" t="s">
        <v>764</v>
      </c>
      <c r="F32" t="s">
        <v>111</v>
      </c>
      <c r="G32" t="s">
        <v>99</v>
      </c>
      <c r="H32" t="s">
        <v>735</v>
      </c>
      <c r="I32" t="s">
        <v>832</v>
      </c>
      <c r="J32" t="s">
        <v>833</v>
      </c>
    </row>
    <row r="33" spans="1:10" x14ac:dyDescent="0.25">
      <c r="A33">
        <v>29</v>
      </c>
      <c r="B33" t="s">
        <v>765</v>
      </c>
      <c r="C33" t="s">
        <v>604</v>
      </c>
      <c r="D33" t="s">
        <v>756</v>
      </c>
      <c r="E33" t="s">
        <v>253</v>
      </c>
      <c r="F33" t="s">
        <v>766</v>
      </c>
      <c r="G33" t="s">
        <v>582</v>
      </c>
      <c r="H33" t="s">
        <v>746</v>
      </c>
      <c r="I33" t="s">
        <v>834</v>
      </c>
      <c r="J33" t="s">
        <v>835</v>
      </c>
    </row>
    <row r="34" spans="1:10" x14ac:dyDescent="0.25">
      <c r="A34">
        <v>30</v>
      </c>
      <c r="B34" t="s">
        <v>767</v>
      </c>
      <c r="C34" t="s">
        <v>144</v>
      </c>
      <c r="D34" t="s">
        <v>575</v>
      </c>
      <c r="E34" t="s">
        <v>149</v>
      </c>
      <c r="F34" t="s">
        <v>237</v>
      </c>
      <c r="G34" t="s">
        <v>107</v>
      </c>
      <c r="H34" t="s">
        <v>710</v>
      </c>
      <c r="I34" t="s">
        <v>836</v>
      </c>
      <c r="J34" t="s">
        <v>837</v>
      </c>
    </row>
    <row r="35" spans="1:10" ht="18" x14ac:dyDescent="0.25">
      <c r="A35">
        <v>31</v>
      </c>
      <c r="B35" s="67" t="s">
        <v>768</v>
      </c>
      <c r="C35" t="s">
        <v>144</v>
      </c>
      <c r="D35" t="s">
        <v>139</v>
      </c>
      <c r="E35" t="s">
        <v>100</v>
      </c>
      <c r="F35" t="s">
        <v>240</v>
      </c>
      <c r="G35" t="s">
        <v>751</v>
      </c>
      <c r="H35" t="s">
        <v>710</v>
      </c>
      <c r="I35" t="s">
        <v>838</v>
      </c>
      <c r="J35" t="s">
        <v>839</v>
      </c>
    </row>
    <row r="36" spans="1:10" x14ac:dyDescent="0.25">
      <c r="A36">
        <v>32</v>
      </c>
      <c r="B36" t="s">
        <v>769</v>
      </c>
      <c r="C36" t="s">
        <v>127</v>
      </c>
      <c r="D36" t="s">
        <v>748</v>
      </c>
      <c r="E36" t="s">
        <v>144</v>
      </c>
      <c r="F36" t="s">
        <v>105</v>
      </c>
      <c r="G36" t="s">
        <v>131</v>
      </c>
      <c r="H36" t="s">
        <v>710</v>
      </c>
      <c r="I36" t="s">
        <v>840</v>
      </c>
      <c r="J36" t="s">
        <v>841</v>
      </c>
    </row>
    <row r="37" spans="1:10" x14ac:dyDescent="0.25">
      <c r="A37">
        <v>33</v>
      </c>
      <c r="B37" s="68" t="s">
        <v>770</v>
      </c>
      <c r="C37" t="s">
        <v>92</v>
      </c>
      <c r="D37" t="s">
        <v>106</v>
      </c>
      <c r="E37" t="s">
        <v>86</v>
      </c>
      <c r="F37" t="s">
        <v>107</v>
      </c>
      <c r="G37" t="s">
        <v>105</v>
      </c>
      <c r="H37" t="s">
        <v>710</v>
      </c>
      <c r="I37" t="s">
        <v>842</v>
      </c>
      <c r="J37" t="s">
        <v>843</v>
      </c>
    </row>
    <row r="38" spans="1:10" x14ac:dyDescent="0.25">
      <c r="A38">
        <v>34</v>
      </c>
      <c r="B38" s="57" t="s">
        <v>771</v>
      </c>
      <c r="C38" t="s">
        <v>140</v>
      </c>
      <c r="D38" t="s">
        <v>149</v>
      </c>
      <c r="E38" t="s">
        <v>232</v>
      </c>
      <c r="F38" t="s">
        <v>720</v>
      </c>
      <c r="G38" t="s">
        <v>113</v>
      </c>
      <c r="H38" t="s">
        <v>710</v>
      </c>
      <c r="I38" t="s">
        <v>844</v>
      </c>
      <c r="J38" t="s">
        <v>845</v>
      </c>
    </row>
    <row r="39" spans="1:10" x14ac:dyDescent="0.25">
      <c r="A39">
        <v>35</v>
      </c>
      <c r="B39" s="69" t="s">
        <v>772</v>
      </c>
      <c r="C39" t="s">
        <v>114</v>
      </c>
      <c r="D39" t="s">
        <v>139</v>
      </c>
      <c r="E39" t="s">
        <v>114</v>
      </c>
      <c r="F39" t="s">
        <v>720</v>
      </c>
      <c r="G39" t="s">
        <v>267</v>
      </c>
      <c r="H39" t="s">
        <v>710</v>
      </c>
      <c r="I39" t="s">
        <v>846</v>
      </c>
      <c r="J39" t="s">
        <v>847</v>
      </c>
    </row>
    <row r="40" spans="1:10" x14ac:dyDescent="0.25">
      <c r="A40">
        <v>36</v>
      </c>
      <c r="B40" t="s">
        <v>773</v>
      </c>
      <c r="C40" t="s">
        <v>143</v>
      </c>
      <c r="D40" t="s">
        <v>146</v>
      </c>
      <c r="E40" t="s">
        <v>85</v>
      </c>
      <c r="F40" t="s">
        <v>232</v>
      </c>
      <c r="G40" t="s">
        <v>720</v>
      </c>
      <c r="H40" t="s">
        <v>710</v>
      </c>
      <c r="I40" t="s">
        <v>848</v>
      </c>
      <c r="J40" t="s">
        <v>849</v>
      </c>
    </row>
    <row r="41" spans="1:10" x14ac:dyDescent="0.25">
      <c r="A41">
        <v>37</v>
      </c>
      <c r="B41" s="68" t="s">
        <v>774</v>
      </c>
      <c r="C41" t="s">
        <v>92</v>
      </c>
      <c r="D41" t="s">
        <v>86</v>
      </c>
      <c r="E41" t="s">
        <v>761</v>
      </c>
      <c r="F41" t="s">
        <v>236</v>
      </c>
      <c r="G41" t="s">
        <v>99</v>
      </c>
      <c r="H41" t="s">
        <v>718</v>
      </c>
      <c r="I41" t="s">
        <v>850</v>
      </c>
      <c r="J41" t="s">
        <v>851</v>
      </c>
    </row>
    <row r="42" spans="1:10" x14ac:dyDescent="0.25">
      <c r="A42">
        <v>38</v>
      </c>
      <c r="B42" s="57" t="s">
        <v>775</v>
      </c>
      <c r="C42" t="s">
        <v>85</v>
      </c>
      <c r="D42" t="s">
        <v>234</v>
      </c>
      <c r="E42" t="s">
        <v>575</v>
      </c>
      <c r="F42" t="s">
        <v>602</v>
      </c>
      <c r="G42" t="s">
        <v>144</v>
      </c>
      <c r="H42" t="s">
        <v>710</v>
      </c>
      <c r="I42" t="s">
        <v>852</v>
      </c>
      <c r="J42" t="s">
        <v>853</v>
      </c>
    </row>
    <row r="43" spans="1:10" x14ac:dyDescent="0.25">
      <c r="A43">
        <v>39</v>
      </c>
      <c r="B43" s="69" t="s">
        <v>776</v>
      </c>
      <c r="C43" t="s">
        <v>246</v>
      </c>
      <c r="D43" t="s">
        <v>761</v>
      </c>
      <c r="E43" t="s">
        <v>98</v>
      </c>
      <c r="F43" t="s">
        <v>132</v>
      </c>
      <c r="G43" t="s">
        <v>751</v>
      </c>
      <c r="H43" t="s">
        <v>710</v>
      </c>
      <c r="I43" t="s">
        <v>854</v>
      </c>
      <c r="J43" t="s">
        <v>855</v>
      </c>
    </row>
    <row r="44" spans="1:10" x14ac:dyDescent="0.25">
      <c r="B44" s="57"/>
    </row>
    <row r="45" spans="1:10" x14ac:dyDescent="0.25">
      <c r="B45" s="69"/>
    </row>
    <row r="46" spans="1:10" x14ac:dyDescent="0.25">
      <c r="B46" s="57"/>
    </row>
    <row r="47" spans="1:10" x14ac:dyDescent="0.25">
      <c r="B47" s="68" t="s">
        <v>856</v>
      </c>
    </row>
    <row r="48" spans="1:10" x14ac:dyDescent="0.25">
      <c r="B48" s="57"/>
    </row>
    <row r="49" spans="2:2" x14ac:dyDescent="0.25">
      <c r="B49" s="69" t="s">
        <v>857</v>
      </c>
    </row>
    <row r="50" spans="2:2" x14ac:dyDescent="0.25">
      <c r="B50" s="57"/>
    </row>
    <row r="51" spans="2:2" x14ac:dyDescent="0.25">
      <c r="B51" s="69" t="s">
        <v>858</v>
      </c>
    </row>
    <row r="52" spans="2:2" x14ac:dyDescent="0.25">
      <c r="B52" s="57"/>
    </row>
    <row r="53" spans="2:2" x14ac:dyDescent="0.25">
      <c r="B53" s="69" t="s">
        <v>859</v>
      </c>
    </row>
    <row r="54" spans="2:2" x14ac:dyDescent="0.25">
      <c r="B54" s="57"/>
    </row>
    <row r="55" spans="2:2" x14ac:dyDescent="0.25">
      <c r="B55" s="57"/>
    </row>
    <row r="56" spans="2:2" x14ac:dyDescent="0.25">
      <c r="B56" s="61"/>
    </row>
    <row r="57" spans="2:2" x14ac:dyDescent="0.25">
      <c r="B57" s="103" t="s">
        <v>860</v>
      </c>
    </row>
    <row r="58" spans="2:2" x14ac:dyDescent="0.25">
      <c r="B58" s="61"/>
    </row>
    <row r="59" spans="2:2" x14ac:dyDescent="0.25">
      <c r="B59" s="103" t="s">
        <v>861</v>
      </c>
    </row>
    <row r="60" spans="2:2" x14ac:dyDescent="0.25">
      <c r="B60" s="61"/>
    </row>
    <row r="61" spans="2:2" x14ac:dyDescent="0.25">
      <c r="B61" s="103" t="s">
        <v>862</v>
      </c>
    </row>
    <row r="62" spans="2:2" x14ac:dyDescent="0.25">
      <c r="B62" s="57"/>
    </row>
    <row r="63" spans="2:2" x14ac:dyDescent="0.25">
      <c r="B63" s="69" t="s">
        <v>863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8DB3-DD53-46F0-9046-774961CD7972}">
  <dimension ref="A4:J139"/>
  <sheetViews>
    <sheetView topLeftCell="A102" workbookViewId="0">
      <selection activeCell="A5" sqref="A5:J111"/>
    </sheetView>
  </sheetViews>
  <sheetFormatPr defaultRowHeight="15" x14ac:dyDescent="0.25"/>
  <sheetData>
    <row r="4" spans="1:10" x14ac:dyDescent="0.25">
      <c r="A4" t="s">
        <v>76</v>
      </c>
      <c r="B4" t="s">
        <v>77</v>
      </c>
      <c r="C4" t="s">
        <v>78</v>
      </c>
      <c r="D4" t="s">
        <v>79</v>
      </c>
      <c r="E4" t="s">
        <v>80</v>
      </c>
      <c r="F4" t="s">
        <v>81</v>
      </c>
      <c r="G4" t="s">
        <v>82</v>
      </c>
      <c r="H4" t="s">
        <v>83</v>
      </c>
      <c r="I4" t="s">
        <v>357</v>
      </c>
      <c r="J4" t="s">
        <v>358</v>
      </c>
    </row>
    <row r="5" spans="1:10" x14ac:dyDescent="0.25">
      <c r="A5">
        <v>1</v>
      </c>
      <c r="B5" t="s">
        <v>241</v>
      </c>
      <c r="C5">
        <v>80.17</v>
      </c>
      <c r="D5">
        <v>80.08</v>
      </c>
      <c r="E5">
        <v>75.75</v>
      </c>
      <c r="F5">
        <v>80.64</v>
      </c>
      <c r="G5">
        <v>84.67</v>
      </c>
      <c r="H5" t="s">
        <v>90</v>
      </c>
      <c r="I5" t="s">
        <v>359</v>
      </c>
      <c r="J5" t="s">
        <v>360</v>
      </c>
    </row>
    <row r="6" spans="1:10" x14ac:dyDescent="0.25">
      <c r="A6">
        <v>2</v>
      </c>
      <c r="B6" t="s">
        <v>243</v>
      </c>
      <c r="C6">
        <v>79.25</v>
      </c>
      <c r="D6">
        <v>81.58</v>
      </c>
      <c r="E6">
        <v>77.83</v>
      </c>
      <c r="F6">
        <v>81.819999999999993</v>
      </c>
      <c r="G6">
        <v>83.11</v>
      </c>
      <c r="H6" t="s">
        <v>90</v>
      </c>
      <c r="I6" t="s">
        <v>361</v>
      </c>
      <c r="J6" t="s">
        <v>362</v>
      </c>
    </row>
    <row r="7" spans="1:10" x14ac:dyDescent="0.25">
      <c r="A7">
        <v>3</v>
      </c>
      <c r="B7" t="s">
        <v>245</v>
      </c>
      <c r="C7">
        <v>80.33</v>
      </c>
      <c r="D7">
        <v>80.58</v>
      </c>
      <c r="E7">
        <v>77.33</v>
      </c>
      <c r="F7">
        <v>81.36</v>
      </c>
      <c r="G7">
        <v>83.22</v>
      </c>
      <c r="H7" t="s">
        <v>90</v>
      </c>
      <c r="I7" t="s">
        <v>363</v>
      </c>
      <c r="J7" t="s">
        <v>364</v>
      </c>
    </row>
    <row r="8" spans="1:10" x14ac:dyDescent="0.25">
      <c r="A8">
        <v>4</v>
      </c>
      <c r="B8" t="s">
        <v>247</v>
      </c>
      <c r="C8">
        <v>80.33</v>
      </c>
      <c r="D8">
        <v>82.17</v>
      </c>
      <c r="E8">
        <v>81.58</v>
      </c>
      <c r="F8">
        <v>85.82</v>
      </c>
      <c r="G8">
        <v>87</v>
      </c>
      <c r="H8" t="s">
        <v>90</v>
      </c>
      <c r="I8" t="s">
        <v>365</v>
      </c>
      <c r="J8" t="s">
        <v>366</v>
      </c>
    </row>
    <row r="9" spans="1:10" x14ac:dyDescent="0.25">
      <c r="A9">
        <v>5</v>
      </c>
      <c r="B9" t="s">
        <v>248</v>
      </c>
      <c r="C9">
        <v>81.83</v>
      </c>
      <c r="D9">
        <v>83.58</v>
      </c>
      <c r="E9">
        <v>83.58</v>
      </c>
      <c r="F9">
        <v>82.82</v>
      </c>
      <c r="G9">
        <v>83.33</v>
      </c>
      <c r="H9" t="s">
        <v>90</v>
      </c>
      <c r="I9" t="s">
        <v>367</v>
      </c>
      <c r="J9" t="s">
        <v>368</v>
      </c>
    </row>
    <row r="10" spans="1:10" x14ac:dyDescent="0.25">
      <c r="A10">
        <v>6</v>
      </c>
      <c r="B10" t="s">
        <v>250</v>
      </c>
      <c r="C10">
        <v>78.42</v>
      </c>
      <c r="D10">
        <v>78.5</v>
      </c>
      <c r="E10">
        <v>76.5</v>
      </c>
      <c r="F10">
        <v>81.09</v>
      </c>
      <c r="G10">
        <v>82.44</v>
      </c>
      <c r="H10" t="s">
        <v>90</v>
      </c>
      <c r="I10" t="s">
        <v>369</v>
      </c>
      <c r="J10" t="s">
        <v>370</v>
      </c>
    </row>
    <row r="11" spans="1:10" x14ac:dyDescent="0.25">
      <c r="A11">
        <v>7</v>
      </c>
      <c r="B11" t="s">
        <v>252</v>
      </c>
      <c r="C11">
        <v>85.33</v>
      </c>
      <c r="D11">
        <v>87.92</v>
      </c>
      <c r="E11">
        <v>86.92</v>
      </c>
      <c r="F11">
        <v>91.45</v>
      </c>
      <c r="G11">
        <v>90.44</v>
      </c>
      <c r="H11" t="s">
        <v>90</v>
      </c>
      <c r="I11" t="s">
        <v>371</v>
      </c>
      <c r="J11" t="s">
        <v>372</v>
      </c>
    </row>
    <row r="12" spans="1:10" x14ac:dyDescent="0.25">
      <c r="A12">
        <v>8</v>
      </c>
      <c r="B12" t="s">
        <v>255</v>
      </c>
      <c r="C12">
        <v>82.42</v>
      </c>
      <c r="D12">
        <v>83.92</v>
      </c>
      <c r="E12">
        <v>80.83</v>
      </c>
      <c r="F12">
        <v>84.45</v>
      </c>
      <c r="G12">
        <v>84.78</v>
      </c>
      <c r="H12" t="s">
        <v>90</v>
      </c>
      <c r="I12" t="s">
        <v>373</v>
      </c>
      <c r="J12" t="s">
        <v>374</v>
      </c>
    </row>
    <row r="13" spans="1:10" x14ac:dyDescent="0.25">
      <c r="A13">
        <v>9</v>
      </c>
      <c r="B13" t="s">
        <v>256</v>
      </c>
      <c r="C13">
        <v>86.75</v>
      </c>
      <c r="D13">
        <v>89.17</v>
      </c>
      <c r="E13">
        <v>87.75</v>
      </c>
      <c r="F13">
        <v>90.82</v>
      </c>
      <c r="G13">
        <v>91.78</v>
      </c>
      <c r="H13" t="s">
        <v>90</v>
      </c>
      <c r="I13" t="s">
        <v>375</v>
      </c>
      <c r="J13" t="s">
        <v>376</v>
      </c>
    </row>
    <row r="14" spans="1:10" x14ac:dyDescent="0.25">
      <c r="A14">
        <v>10</v>
      </c>
      <c r="B14" t="s">
        <v>260</v>
      </c>
      <c r="C14">
        <v>82.75</v>
      </c>
      <c r="D14">
        <v>84.75</v>
      </c>
      <c r="E14">
        <v>82.5</v>
      </c>
      <c r="F14">
        <v>86.82</v>
      </c>
      <c r="G14">
        <v>85.78</v>
      </c>
      <c r="H14" t="s">
        <v>90</v>
      </c>
      <c r="I14" t="s">
        <v>377</v>
      </c>
      <c r="J14" t="s">
        <v>378</v>
      </c>
    </row>
    <row r="15" spans="1:10" x14ac:dyDescent="0.25">
      <c r="A15">
        <v>11</v>
      </c>
      <c r="B15" t="s">
        <v>261</v>
      </c>
      <c r="C15">
        <v>77.33</v>
      </c>
      <c r="D15">
        <v>79.08</v>
      </c>
      <c r="E15">
        <v>77.08</v>
      </c>
      <c r="F15">
        <v>76.55</v>
      </c>
      <c r="G15">
        <v>78.67</v>
      </c>
      <c r="H15" t="s">
        <v>90</v>
      </c>
      <c r="I15" t="s">
        <v>379</v>
      </c>
      <c r="J15" t="s">
        <v>380</v>
      </c>
    </row>
    <row r="16" spans="1:10" x14ac:dyDescent="0.25">
      <c r="A16">
        <v>12</v>
      </c>
      <c r="B16" t="s">
        <v>262</v>
      </c>
      <c r="C16">
        <v>80.83</v>
      </c>
      <c r="D16">
        <v>81.58</v>
      </c>
      <c r="E16">
        <v>81.75</v>
      </c>
      <c r="F16">
        <v>83.18</v>
      </c>
      <c r="G16">
        <v>84.22</v>
      </c>
      <c r="H16" t="s">
        <v>90</v>
      </c>
      <c r="I16" t="s">
        <v>381</v>
      </c>
      <c r="J16" t="s">
        <v>382</v>
      </c>
    </row>
    <row r="17" spans="1:10" x14ac:dyDescent="0.25">
      <c r="A17">
        <v>13</v>
      </c>
      <c r="B17" t="s">
        <v>263</v>
      </c>
      <c r="C17">
        <v>80.17</v>
      </c>
      <c r="D17">
        <v>79.83</v>
      </c>
      <c r="E17">
        <v>77.92</v>
      </c>
      <c r="F17">
        <v>81.180000000000007</v>
      </c>
      <c r="G17">
        <v>81.33</v>
      </c>
      <c r="H17" t="s">
        <v>90</v>
      </c>
      <c r="I17" t="s">
        <v>383</v>
      </c>
      <c r="J17" t="s">
        <v>384</v>
      </c>
    </row>
    <row r="18" spans="1:10" x14ac:dyDescent="0.25">
      <c r="A18">
        <v>14</v>
      </c>
      <c r="B18" t="s">
        <v>264</v>
      </c>
      <c r="C18">
        <v>81.17</v>
      </c>
      <c r="D18">
        <v>85</v>
      </c>
      <c r="E18">
        <v>81.83</v>
      </c>
      <c r="F18">
        <v>84.18</v>
      </c>
      <c r="G18">
        <v>85.78</v>
      </c>
      <c r="H18" t="s">
        <v>90</v>
      </c>
      <c r="I18" t="s">
        <v>385</v>
      </c>
      <c r="J18" t="s">
        <v>386</v>
      </c>
    </row>
    <row r="19" spans="1:10" x14ac:dyDescent="0.25">
      <c r="A19">
        <v>15</v>
      </c>
      <c r="B19" t="s">
        <v>265</v>
      </c>
      <c r="C19">
        <v>76.83</v>
      </c>
      <c r="D19">
        <v>78.58</v>
      </c>
      <c r="E19">
        <v>73.58</v>
      </c>
      <c r="F19">
        <v>77.180000000000007</v>
      </c>
      <c r="G19">
        <v>79.78</v>
      </c>
      <c r="H19" t="s">
        <v>90</v>
      </c>
      <c r="I19" t="s">
        <v>387</v>
      </c>
      <c r="J19" t="s">
        <v>388</v>
      </c>
    </row>
    <row r="20" spans="1:10" x14ac:dyDescent="0.25">
      <c r="A20">
        <v>16</v>
      </c>
      <c r="B20" t="s">
        <v>266</v>
      </c>
      <c r="C20">
        <v>78.33</v>
      </c>
      <c r="D20">
        <v>80.5</v>
      </c>
      <c r="E20">
        <v>76.83</v>
      </c>
      <c r="F20">
        <v>81.09</v>
      </c>
      <c r="G20">
        <v>82.33</v>
      </c>
      <c r="H20" t="s">
        <v>90</v>
      </c>
      <c r="I20" t="s">
        <v>389</v>
      </c>
      <c r="J20" t="s">
        <v>390</v>
      </c>
    </row>
    <row r="21" spans="1:10" x14ac:dyDescent="0.25">
      <c r="A21">
        <v>17</v>
      </c>
      <c r="B21" t="s">
        <v>275</v>
      </c>
      <c r="C21">
        <v>79</v>
      </c>
      <c r="D21">
        <v>81.42</v>
      </c>
      <c r="E21">
        <v>77.67</v>
      </c>
      <c r="F21">
        <v>81.36</v>
      </c>
      <c r="G21">
        <v>82.11</v>
      </c>
      <c r="H21" t="s">
        <v>90</v>
      </c>
      <c r="I21" t="s">
        <v>391</v>
      </c>
      <c r="J21" t="s">
        <v>392</v>
      </c>
    </row>
    <row r="22" spans="1:10" x14ac:dyDescent="0.25">
      <c r="A22">
        <v>18</v>
      </c>
      <c r="B22" t="s">
        <v>276</v>
      </c>
      <c r="C22">
        <v>76.42</v>
      </c>
      <c r="D22">
        <v>77.58</v>
      </c>
      <c r="E22">
        <v>74.33</v>
      </c>
      <c r="F22">
        <v>78.27</v>
      </c>
      <c r="G22">
        <v>79.33</v>
      </c>
      <c r="H22" t="s">
        <v>90</v>
      </c>
      <c r="I22" t="s">
        <v>393</v>
      </c>
      <c r="J22" t="s">
        <v>394</v>
      </c>
    </row>
    <row r="23" spans="1:10" x14ac:dyDescent="0.25">
      <c r="A23">
        <v>19</v>
      </c>
      <c r="B23" t="s">
        <v>277</v>
      </c>
      <c r="C23">
        <v>76.33</v>
      </c>
      <c r="D23">
        <v>77.75</v>
      </c>
      <c r="E23">
        <v>74.42</v>
      </c>
      <c r="F23">
        <v>78.36</v>
      </c>
      <c r="G23">
        <v>78.89</v>
      </c>
      <c r="H23" t="s">
        <v>90</v>
      </c>
      <c r="I23" t="s">
        <v>395</v>
      </c>
      <c r="J23" t="s">
        <v>396</v>
      </c>
    </row>
    <row r="24" spans="1:10" x14ac:dyDescent="0.25">
      <c r="A24">
        <v>20</v>
      </c>
      <c r="B24" t="s">
        <v>278</v>
      </c>
      <c r="C24">
        <v>77.17</v>
      </c>
      <c r="D24">
        <v>78.92</v>
      </c>
      <c r="E24">
        <v>75.58</v>
      </c>
      <c r="F24">
        <v>79.09</v>
      </c>
      <c r="G24">
        <v>80.33</v>
      </c>
      <c r="H24" t="s">
        <v>90</v>
      </c>
      <c r="I24" t="s">
        <v>397</v>
      </c>
      <c r="J24" t="s">
        <v>398</v>
      </c>
    </row>
    <row r="25" spans="1:10" x14ac:dyDescent="0.25">
      <c r="A25">
        <v>21</v>
      </c>
      <c r="B25" t="s">
        <v>279</v>
      </c>
      <c r="C25">
        <v>81.42</v>
      </c>
      <c r="D25">
        <v>84</v>
      </c>
      <c r="E25">
        <v>80.5</v>
      </c>
      <c r="F25">
        <v>85.73</v>
      </c>
      <c r="G25">
        <v>86.44</v>
      </c>
      <c r="H25" t="s">
        <v>90</v>
      </c>
      <c r="I25" t="s">
        <v>399</v>
      </c>
      <c r="J25" t="s">
        <v>400</v>
      </c>
    </row>
    <row r="26" spans="1:10" x14ac:dyDescent="0.25">
      <c r="A26">
        <v>22</v>
      </c>
      <c r="B26" t="s">
        <v>280</v>
      </c>
      <c r="C26">
        <v>83.42</v>
      </c>
      <c r="D26">
        <v>86</v>
      </c>
      <c r="E26">
        <v>83.5</v>
      </c>
      <c r="F26">
        <v>88.45</v>
      </c>
      <c r="G26">
        <v>88.89</v>
      </c>
      <c r="H26" t="s">
        <v>90</v>
      </c>
      <c r="I26" t="s">
        <v>401</v>
      </c>
      <c r="J26" t="s">
        <v>402</v>
      </c>
    </row>
    <row r="27" spans="1:10" x14ac:dyDescent="0.25">
      <c r="A27">
        <v>23</v>
      </c>
      <c r="B27" t="s">
        <v>281</v>
      </c>
      <c r="C27">
        <v>82.42</v>
      </c>
      <c r="D27">
        <v>83.75</v>
      </c>
      <c r="E27">
        <v>81.75</v>
      </c>
      <c r="F27">
        <v>86.09</v>
      </c>
      <c r="G27">
        <v>85.89</v>
      </c>
      <c r="H27" t="s">
        <v>90</v>
      </c>
      <c r="I27" t="s">
        <v>403</v>
      </c>
      <c r="J27" t="s">
        <v>404</v>
      </c>
    </row>
    <row r="28" spans="1:10" x14ac:dyDescent="0.25">
      <c r="A28">
        <v>24</v>
      </c>
      <c r="B28" t="s">
        <v>282</v>
      </c>
      <c r="C28">
        <v>83.17</v>
      </c>
      <c r="D28">
        <v>85.42</v>
      </c>
      <c r="E28">
        <v>82.58</v>
      </c>
      <c r="F28">
        <v>87.45</v>
      </c>
      <c r="G28">
        <v>88.11</v>
      </c>
      <c r="H28" t="s">
        <v>90</v>
      </c>
      <c r="I28" t="s">
        <v>405</v>
      </c>
      <c r="J28" t="s">
        <v>406</v>
      </c>
    </row>
    <row r="29" spans="1:10" x14ac:dyDescent="0.25">
      <c r="A29">
        <v>25</v>
      </c>
      <c r="B29" t="s">
        <v>283</v>
      </c>
      <c r="C29">
        <v>83.08</v>
      </c>
      <c r="D29">
        <v>85.58</v>
      </c>
      <c r="E29">
        <v>83</v>
      </c>
      <c r="F29">
        <v>88.09</v>
      </c>
      <c r="G29">
        <v>88.44</v>
      </c>
      <c r="H29" t="s">
        <v>90</v>
      </c>
      <c r="I29" t="s">
        <v>407</v>
      </c>
      <c r="J29" t="s">
        <v>408</v>
      </c>
    </row>
    <row r="30" spans="1:10" x14ac:dyDescent="0.25">
      <c r="A30">
        <v>26</v>
      </c>
      <c r="B30" t="s">
        <v>284</v>
      </c>
      <c r="C30">
        <v>82.42</v>
      </c>
      <c r="D30">
        <v>84</v>
      </c>
      <c r="E30">
        <v>82.17</v>
      </c>
      <c r="F30">
        <v>86.55</v>
      </c>
      <c r="G30">
        <v>87.44</v>
      </c>
      <c r="H30" t="s">
        <v>90</v>
      </c>
      <c r="I30" t="s">
        <v>409</v>
      </c>
      <c r="J30" t="s">
        <v>410</v>
      </c>
    </row>
    <row r="31" spans="1:10" x14ac:dyDescent="0.25">
      <c r="A31">
        <v>27</v>
      </c>
      <c r="B31" t="s">
        <v>285</v>
      </c>
      <c r="C31">
        <v>80.5</v>
      </c>
      <c r="D31">
        <v>81.92</v>
      </c>
      <c r="E31">
        <v>78.83</v>
      </c>
      <c r="F31">
        <v>83</v>
      </c>
      <c r="G31">
        <v>83.44</v>
      </c>
      <c r="H31" t="s">
        <v>90</v>
      </c>
      <c r="I31" t="s">
        <v>411</v>
      </c>
      <c r="J31" t="s">
        <v>412</v>
      </c>
    </row>
    <row r="32" spans="1:10" x14ac:dyDescent="0.25">
      <c r="A32">
        <v>28</v>
      </c>
      <c r="B32" t="s">
        <v>286</v>
      </c>
      <c r="C32">
        <v>78.58</v>
      </c>
      <c r="D32">
        <v>80</v>
      </c>
      <c r="E32">
        <v>76.33</v>
      </c>
      <c r="F32">
        <v>80.36</v>
      </c>
      <c r="G32">
        <v>81.44</v>
      </c>
      <c r="H32" t="s">
        <v>90</v>
      </c>
      <c r="I32" t="s">
        <v>413</v>
      </c>
      <c r="J32" t="s">
        <v>414</v>
      </c>
    </row>
    <row r="33" spans="1:10" x14ac:dyDescent="0.25">
      <c r="A33">
        <v>29</v>
      </c>
      <c r="B33" t="s">
        <v>287</v>
      </c>
      <c r="C33">
        <v>76.58</v>
      </c>
      <c r="D33">
        <v>78</v>
      </c>
      <c r="E33">
        <v>75</v>
      </c>
      <c r="F33">
        <v>78.64</v>
      </c>
      <c r="G33">
        <v>80.22</v>
      </c>
      <c r="H33" t="s">
        <v>90</v>
      </c>
      <c r="I33" t="s">
        <v>415</v>
      </c>
      <c r="J33" t="s">
        <v>416</v>
      </c>
    </row>
    <row r="34" spans="1:10" x14ac:dyDescent="0.25">
      <c r="A34">
        <v>30</v>
      </c>
      <c r="B34" t="s">
        <v>288</v>
      </c>
      <c r="C34">
        <v>78.42</v>
      </c>
      <c r="D34">
        <v>80</v>
      </c>
      <c r="E34">
        <v>76.5</v>
      </c>
      <c r="F34">
        <v>80.55</v>
      </c>
      <c r="G34">
        <v>81.78</v>
      </c>
      <c r="H34" t="s">
        <v>90</v>
      </c>
      <c r="I34" t="s">
        <v>417</v>
      </c>
      <c r="J34" t="s">
        <v>418</v>
      </c>
    </row>
    <row r="35" spans="1:10" x14ac:dyDescent="0.25">
      <c r="A35">
        <v>31</v>
      </c>
      <c r="B35" t="s">
        <v>289</v>
      </c>
      <c r="C35">
        <v>76.83</v>
      </c>
      <c r="D35">
        <v>78.42</v>
      </c>
      <c r="E35">
        <v>74.58</v>
      </c>
      <c r="F35">
        <v>78.64</v>
      </c>
      <c r="G35">
        <v>79.89</v>
      </c>
      <c r="H35" t="s">
        <v>90</v>
      </c>
      <c r="I35" t="s">
        <v>419</v>
      </c>
      <c r="J35" t="s">
        <v>420</v>
      </c>
    </row>
    <row r="36" spans="1:10" x14ac:dyDescent="0.25">
      <c r="A36">
        <v>32</v>
      </c>
      <c r="B36" t="s">
        <v>290</v>
      </c>
      <c r="C36">
        <v>76.5</v>
      </c>
      <c r="D36">
        <v>77.92</v>
      </c>
      <c r="E36">
        <v>74.58</v>
      </c>
      <c r="F36">
        <v>78.27</v>
      </c>
      <c r="G36">
        <v>79.44</v>
      </c>
      <c r="H36" t="s">
        <v>90</v>
      </c>
      <c r="I36" t="s">
        <v>421</v>
      </c>
      <c r="J36" t="s">
        <v>422</v>
      </c>
    </row>
    <row r="37" spans="1:10" x14ac:dyDescent="0.25">
      <c r="A37">
        <v>33</v>
      </c>
      <c r="B37" t="s">
        <v>291</v>
      </c>
      <c r="C37">
        <v>77.08</v>
      </c>
      <c r="D37">
        <v>78.5</v>
      </c>
      <c r="E37">
        <v>74.92</v>
      </c>
      <c r="F37">
        <v>78.91</v>
      </c>
      <c r="G37">
        <v>79.67</v>
      </c>
      <c r="H37" t="s">
        <v>90</v>
      </c>
      <c r="I37" t="s">
        <v>423</v>
      </c>
      <c r="J37" t="s">
        <v>424</v>
      </c>
    </row>
    <row r="38" spans="1:10" x14ac:dyDescent="0.25">
      <c r="A38">
        <v>34</v>
      </c>
      <c r="B38" t="s">
        <v>292</v>
      </c>
      <c r="C38">
        <v>81.92</v>
      </c>
      <c r="D38">
        <v>84.25</v>
      </c>
      <c r="E38">
        <v>81.42</v>
      </c>
      <c r="F38">
        <v>86.27</v>
      </c>
      <c r="G38">
        <v>87</v>
      </c>
      <c r="H38" t="s">
        <v>90</v>
      </c>
      <c r="I38" t="s">
        <v>425</v>
      </c>
      <c r="J38" t="s">
        <v>426</v>
      </c>
    </row>
    <row r="39" spans="1:10" x14ac:dyDescent="0.25">
      <c r="A39">
        <v>35</v>
      </c>
      <c r="B39" t="s">
        <v>293</v>
      </c>
      <c r="C39">
        <v>81.08</v>
      </c>
      <c r="D39">
        <v>83.25</v>
      </c>
      <c r="E39">
        <v>80.42</v>
      </c>
      <c r="F39">
        <v>84.55</v>
      </c>
      <c r="G39">
        <v>85.44</v>
      </c>
      <c r="H39" t="s">
        <v>90</v>
      </c>
      <c r="I39" t="s">
        <v>427</v>
      </c>
      <c r="J39" t="s">
        <v>428</v>
      </c>
    </row>
    <row r="40" spans="1:10" x14ac:dyDescent="0.25">
      <c r="A40">
        <v>36</v>
      </c>
      <c r="B40" t="s">
        <v>294</v>
      </c>
      <c r="C40">
        <v>76.92</v>
      </c>
      <c r="D40">
        <v>78.17</v>
      </c>
      <c r="E40">
        <v>74.83</v>
      </c>
      <c r="F40">
        <v>78.819999999999993</v>
      </c>
      <c r="G40">
        <v>80.11</v>
      </c>
      <c r="H40" t="s">
        <v>90</v>
      </c>
      <c r="I40" t="s">
        <v>429</v>
      </c>
      <c r="J40" t="s">
        <v>430</v>
      </c>
    </row>
    <row r="41" spans="1:10" x14ac:dyDescent="0.25">
      <c r="A41">
        <v>37</v>
      </c>
      <c r="B41" t="s">
        <v>295</v>
      </c>
      <c r="C41">
        <v>80.25</v>
      </c>
      <c r="D41">
        <v>82.5</v>
      </c>
      <c r="E41">
        <v>80.08</v>
      </c>
      <c r="F41">
        <v>84.64</v>
      </c>
      <c r="G41">
        <v>85.67</v>
      </c>
      <c r="H41" t="s">
        <v>90</v>
      </c>
      <c r="I41" t="s">
        <v>431</v>
      </c>
      <c r="J41" t="s">
        <v>432</v>
      </c>
    </row>
    <row r="42" spans="1:10" x14ac:dyDescent="0.25">
      <c r="A42">
        <v>38</v>
      </c>
      <c r="B42" t="s">
        <v>296</v>
      </c>
      <c r="C42">
        <v>80.83</v>
      </c>
      <c r="D42">
        <v>83.08</v>
      </c>
      <c r="E42">
        <v>80.67</v>
      </c>
      <c r="F42">
        <v>85.18</v>
      </c>
      <c r="G42">
        <v>86.22</v>
      </c>
      <c r="H42" t="s">
        <v>90</v>
      </c>
      <c r="I42" t="s">
        <v>433</v>
      </c>
      <c r="J42" t="s">
        <v>434</v>
      </c>
    </row>
    <row r="43" spans="1:10" x14ac:dyDescent="0.25">
      <c r="A43">
        <v>39</v>
      </c>
      <c r="B43" t="s">
        <v>297</v>
      </c>
      <c r="C43">
        <v>76.33</v>
      </c>
      <c r="D43">
        <v>77.83</v>
      </c>
      <c r="E43">
        <v>74.33</v>
      </c>
      <c r="F43">
        <v>78.180000000000007</v>
      </c>
      <c r="G43">
        <v>79.22</v>
      </c>
      <c r="H43" t="s">
        <v>90</v>
      </c>
      <c r="I43" t="s">
        <v>435</v>
      </c>
      <c r="J43" t="s">
        <v>436</v>
      </c>
    </row>
    <row r="44" spans="1:10" x14ac:dyDescent="0.25">
      <c r="A44">
        <v>40</v>
      </c>
      <c r="B44" t="s">
        <v>298</v>
      </c>
      <c r="C44">
        <v>77.25</v>
      </c>
      <c r="D44">
        <v>78.83</v>
      </c>
      <c r="E44">
        <v>75.5</v>
      </c>
      <c r="F44">
        <v>79.45</v>
      </c>
      <c r="G44">
        <v>80.56</v>
      </c>
      <c r="H44" t="s">
        <v>90</v>
      </c>
      <c r="I44" t="s">
        <v>437</v>
      </c>
      <c r="J44" t="s">
        <v>438</v>
      </c>
    </row>
    <row r="45" spans="1:10" x14ac:dyDescent="0.25">
      <c r="A45">
        <v>41</v>
      </c>
      <c r="B45" t="s">
        <v>299</v>
      </c>
      <c r="C45">
        <v>76.5</v>
      </c>
      <c r="D45">
        <v>78.08</v>
      </c>
      <c r="E45">
        <v>74.75</v>
      </c>
      <c r="F45">
        <v>78.64</v>
      </c>
      <c r="G45">
        <v>79.89</v>
      </c>
      <c r="H45" t="s">
        <v>90</v>
      </c>
      <c r="I45" t="s">
        <v>439</v>
      </c>
      <c r="J45" t="s">
        <v>440</v>
      </c>
    </row>
    <row r="46" spans="1:10" x14ac:dyDescent="0.25">
      <c r="A46">
        <v>42</v>
      </c>
      <c r="B46" t="s">
        <v>300</v>
      </c>
      <c r="C46">
        <v>77.17</v>
      </c>
      <c r="D46">
        <v>78.75</v>
      </c>
      <c r="E46">
        <v>75.42</v>
      </c>
      <c r="F46">
        <v>79.27</v>
      </c>
      <c r="G46">
        <v>80.33</v>
      </c>
      <c r="H46" t="s">
        <v>90</v>
      </c>
      <c r="I46" t="s">
        <v>441</v>
      </c>
      <c r="J46" t="s">
        <v>442</v>
      </c>
    </row>
    <row r="47" spans="1:10" x14ac:dyDescent="0.25">
      <c r="A47">
        <v>43</v>
      </c>
      <c r="B47" t="s">
        <v>301</v>
      </c>
      <c r="C47">
        <v>76.25</v>
      </c>
      <c r="D47">
        <v>77.67</v>
      </c>
      <c r="E47">
        <v>74.17</v>
      </c>
      <c r="F47">
        <v>78</v>
      </c>
      <c r="G47">
        <v>79.11</v>
      </c>
      <c r="H47" t="s">
        <v>90</v>
      </c>
      <c r="I47" t="s">
        <v>443</v>
      </c>
      <c r="J47" t="s">
        <v>444</v>
      </c>
    </row>
    <row r="48" spans="1:10" x14ac:dyDescent="0.25">
      <c r="A48">
        <v>44</v>
      </c>
      <c r="B48" t="s">
        <v>302</v>
      </c>
      <c r="C48">
        <v>77.33</v>
      </c>
      <c r="D48">
        <v>79</v>
      </c>
      <c r="E48">
        <v>75.58</v>
      </c>
      <c r="F48">
        <v>79.55</v>
      </c>
      <c r="G48">
        <v>80.78</v>
      </c>
      <c r="H48" t="s">
        <v>90</v>
      </c>
      <c r="I48" t="s">
        <v>445</v>
      </c>
      <c r="J48" t="s">
        <v>446</v>
      </c>
    </row>
    <row r="49" spans="1:10" x14ac:dyDescent="0.25">
      <c r="A49">
        <v>45</v>
      </c>
      <c r="B49" t="s">
        <v>303</v>
      </c>
      <c r="C49">
        <v>83.33</v>
      </c>
      <c r="D49">
        <v>85.5</v>
      </c>
      <c r="E49">
        <v>83.25</v>
      </c>
      <c r="F49">
        <v>88.18</v>
      </c>
      <c r="G49">
        <v>89</v>
      </c>
      <c r="H49" t="s">
        <v>90</v>
      </c>
      <c r="I49" t="s">
        <v>447</v>
      </c>
      <c r="J49" t="s">
        <v>448</v>
      </c>
    </row>
    <row r="50" spans="1:10" x14ac:dyDescent="0.25">
      <c r="A50">
        <v>46</v>
      </c>
      <c r="B50" t="s">
        <v>304</v>
      </c>
      <c r="C50">
        <v>77</v>
      </c>
      <c r="D50">
        <v>78.58</v>
      </c>
      <c r="E50">
        <v>75.25</v>
      </c>
      <c r="F50">
        <v>79.180000000000007</v>
      </c>
      <c r="G50">
        <v>80.33</v>
      </c>
      <c r="H50" t="s">
        <v>90</v>
      </c>
      <c r="I50" t="s">
        <v>449</v>
      </c>
      <c r="J50" t="s">
        <v>450</v>
      </c>
    </row>
    <row r="51" spans="1:10" x14ac:dyDescent="0.25">
      <c r="A51">
        <v>47</v>
      </c>
      <c r="B51" t="s">
        <v>305</v>
      </c>
      <c r="C51">
        <v>76.67</v>
      </c>
      <c r="D51">
        <v>78.17</v>
      </c>
      <c r="E51">
        <v>74.92</v>
      </c>
      <c r="F51">
        <v>78.819999999999993</v>
      </c>
      <c r="G51">
        <v>79.89</v>
      </c>
      <c r="H51" t="s">
        <v>90</v>
      </c>
      <c r="I51" t="s">
        <v>451</v>
      </c>
      <c r="J51" t="s">
        <v>452</v>
      </c>
    </row>
    <row r="52" spans="1:10" x14ac:dyDescent="0.25">
      <c r="A52">
        <v>48</v>
      </c>
      <c r="B52" t="s">
        <v>306</v>
      </c>
      <c r="C52">
        <v>76.5</v>
      </c>
      <c r="D52">
        <v>77.92</v>
      </c>
      <c r="E52">
        <v>74.58</v>
      </c>
      <c r="F52">
        <v>78.36</v>
      </c>
      <c r="G52">
        <v>79.56</v>
      </c>
      <c r="H52" t="s">
        <v>90</v>
      </c>
      <c r="I52" t="s">
        <v>453</v>
      </c>
      <c r="J52" t="s">
        <v>454</v>
      </c>
    </row>
    <row r="53" spans="1:10" x14ac:dyDescent="0.25">
      <c r="A53">
        <v>49</v>
      </c>
      <c r="B53" t="s">
        <v>307</v>
      </c>
      <c r="C53">
        <v>81.17</v>
      </c>
      <c r="D53">
        <v>83.33</v>
      </c>
      <c r="E53">
        <v>80.5</v>
      </c>
      <c r="F53">
        <v>85.27</v>
      </c>
      <c r="G53">
        <v>86.11</v>
      </c>
      <c r="H53" t="s">
        <v>90</v>
      </c>
      <c r="I53" t="s">
        <v>455</v>
      </c>
      <c r="J53" t="s">
        <v>456</v>
      </c>
    </row>
    <row r="54" spans="1:10" x14ac:dyDescent="0.25">
      <c r="A54">
        <v>50</v>
      </c>
      <c r="B54" t="s">
        <v>308</v>
      </c>
      <c r="C54">
        <v>82.25</v>
      </c>
      <c r="D54">
        <v>84.5</v>
      </c>
      <c r="E54">
        <v>81.58</v>
      </c>
      <c r="F54">
        <v>86.55</v>
      </c>
      <c r="G54">
        <v>87.67</v>
      </c>
      <c r="H54" t="s">
        <v>90</v>
      </c>
      <c r="I54" t="s">
        <v>457</v>
      </c>
      <c r="J54" t="s">
        <v>458</v>
      </c>
    </row>
    <row r="55" spans="1:10" x14ac:dyDescent="0.25">
      <c r="A55">
        <v>51</v>
      </c>
      <c r="B55" t="s">
        <v>309</v>
      </c>
      <c r="C55">
        <v>81.58</v>
      </c>
      <c r="D55">
        <v>83.75</v>
      </c>
      <c r="E55">
        <v>80.92</v>
      </c>
      <c r="F55">
        <v>85.73</v>
      </c>
      <c r="G55">
        <v>86.89</v>
      </c>
      <c r="H55" t="s">
        <v>90</v>
      </c>
      <c r="I55" t="s">
        <v>459</v>
      </c>
      <c r="J55" t="s">
        <v>460</v>
      </c>
    </row>
    <row r="56" spans="1:10" x14ac:dyDescent="0.25">
      <c r="A56">
        <v>52</v>
      </c>
      <c r="B56" t="s">
        <v>310</v>
      </c>
      <c r="C56">
        <v>77.42</v>
      </c>
      <c r="D56">
        <v>79.17</v>
      </c>
      <c r="E56">
        <v>75.75</v>
      </c>
      <c r="F56">
        <v>79.64</v>
      </c>
      <c r="G56">
        <v>80.89</v>
      </c>
      <c r="H56" t="s">
        <v>90</v>
      </c>
      <c r="I56" t="s">
        <v>461</v>
      </c>
      <c r="J56" t="s">
        <v>462</v>
      </c>
    </row>
    <row r="57" spans="1:10" x14ac:dyDescent="0.25">
      <c r="A57">
        <v>53</v>
      </c>
      <c r="B57" t="s">
        <v>311</v>
      </c>
      <c r="C57">
        <v>76.83</v>
      </c>
      <c r="D57">
        <v>78.33</v>
      </c>
      <c r="E57">
        <v>75.08</v>
      </c>
      <c r="F57">
        <v>78.91</v>
      </c>
      <c r="G57">
        <v>80</v>
      </c>
      <c r="H57" t="s">
        <v>90</v>
      </c>
      <c r="I57" t="s">
        <v>463</v>
      </c>
      <c r="J57" t="s">
        <v>464</v>
      </c>
    </row>
    <row r="58" spans="1:10" x14ac:dyDescent="0.25">
      <c r="A58">
        <v>54</v>
      </c>
      <c r="B58" t="s">
        <v>312</v>
      </c>
      <c r="C58">
        <v>80.83</v>
      </c>
      <c r="D58">
        <v>83</v>
      </c>
      <c r="E58">
        <v>80.33</v>
      </c>
      <c r="F58">
        <v>84.91</v>
      </c>
      <c r="G58">
        <v>86</v>
      </c>
      <c r="H58" t="s">
        <v>90</v>
      </c>
      <c r="I58" t="s">
        <v>465</v>
      </c>
      <c r="J58" t="s">
        <v>466</v>
      </c>
    </row>
    <row r="59" spans="1:10" x14ac:dyDescent="0.25">
      <c r="A59">
        <v>55</v>
      </c>
      <c r="B59" t="s">
        <v>313</v>
      </c>
      <c r="C59">
        <v>80.25</v>
      </c>
      <c r="D59">
        <v>82.42</v>
      </c>
      <c r="E59">
        <v>79.83</v>
      </c>
      <c r="F59">
        <v>84.36</v>
      </c>
      <c r="G59">
        <v>85.44</v>
      </c>
      <c r="H59" t="s">
        <v>90</v>
      </c>
      <c r="I59" t="s">
        <v>467</v>
      </c>
      <c r="J59" t="s">
        <v>468</v>
      </c>
    </row>
    <row r="60" spans="1:10" x14ac:dyDescent="0.25">
      <c r="A60">
        <v>56</v>
      </c>
      <c r="B60" t="s">
        <v>314</v>
      </c>
      <c r="C60">
        <v>81.33</v>
      </c>
      <c r="D60">
        <v>83.5</v>
      </c>
      <c r="E60">
        <v>80.75</v>
      </c>
      <c r="F60">
        <v>85.45</v>
      </c>
      <c r="G60">
        <v>86.56</v>
      </c>
      <c r="H60" t="s">
        <v>90</v>
      </c>
      <c r="I60" t="s">
        <v>469</v>
      </c>
      <c r="J60" t="s">
        <v>470</v>
      </c>
    </row>
    <row r="61" spans="1:10" x14ac:dyDescent="0.25">
      <c r="A61">
        <v>57</v>
      </c>
      <c r="B61" t="s">
        <v>315</v>
      </c>
      <c r="C61">
        <v>80.5</v>
      </c>
      <c r="D61">
        <v>82.67</v>
      </c>
      <c r="E61">
        <v>79.92</v>
      </c>
      <c r="F61">
        <v>84.55</v>
      </c>
      <c r="G61">
        <v>85.67</v>
      </c>
      <c r="H61" t="s">
        <v>90</v>
      </c>
      <c r="I61" t="s">
        <v>471</v>
      </c>
      <c r="J61" t="s">
        <v>472</v>
      </c>
    </row>
    <row r="62" spans="1:10" x14ac:dyDescent="0.25">
      <c r="A62">
        <v>58</v>
      </c>
      <c r="B62" t="s">
        <v>316</v>
      </c>
      <c r="C62">
        <v>81</v>
      </c>
      <c r="D62">
        <v>83.17</v>
      </c>
      <c r="E62">
        <v>80.42</v>
      </c>
      <c r="F62">
        <v>85.09</v>
      </c>
      <c r="G62">
        <v>86.22</v>
      </c>
      <c r="H62" t="s">
        <v>90</v>
      </c>
      <c r="I62" t="s">
        <v>473</v>
      </c>
      <c r="J62" t="s">
        <v>474</v>
      </c>
    </row>
    <row r="63" spans="1:10" x14ac:dyDescent="0.25">
      <c r="A63">
        <v>59</v>
      </c>
      <c r="B63" t="s">
        <v>317</v>
      </c>
      <c r="C63">
        <v>80.67</v>
      </c>
      <c r="D63">
        <v>82.83</v>
      </c>
      <c r="E63">
        <v>80.08</v>
      </c>
      <c r="F63">
        <v>84.73</v>
      </c>
      <c r="G63">
        <v>85.89</v>
      </c>
      <c r="H63" t="s">
        <v>90</v>
      </c>
      <c r="I63" t="s">
        <v>475</v>
      </c>
      <c r="J63" t="s">
        <v>476</v>
      </c>
    </row>
    <row r="64" spans="1:10" x14ac:dyDescent="0.25">
      <c r="A64">
        <v>60</v>
      </c>
      <c r="B64" t="s">
        <v>318</v>
      </c>
      <c r="C64">
        <v>81.25</v>
      </c>
      <c r="D64">
        <v>83.42</v>
      </c>
      <c r="E64">
        <v>80.67</v>
      </c>
      <c r="F64">
        <v>85.36</v>
      </c>
      <c r="G64">
        <v>86.44</v>
      </c>
      <c r="H64" t="s">
        <v>90</v>
      </c>
      <c r="I64" t="s">
        <v>477</v>
      </c>
      <c r="J64" t="s">
        <v>478</v>
      </c>
    </row>
    <row r="65" spans="1:10" x14ac:dyDescent="0.25">
      <c r="A65">
        <v>61</v>
      </c>
      <c r="B65" t="s">
        <v>319</v>
      </c>
      <c r="C65">
        <v>80.33</v>
      </c>
      <c r="D65">
        <v>82.5</v>
      </c>
      <c r="E65">
        <v>79.75</v>
      </c>
      <c r="F65">
        <v>84.45</v>
      </c>
      <c r="G65">
        <v>85.56</v>
      </c>
      <c r="H65" t="s">
        <v>90</v>
      </c>
      <c r="I65" t="s">
        <v>479</v>
      </c>
      <c r="J65" t="s">
        <v>480</v>
      </c>
    </row>
    <row r="66" spans="1:10" x14ac:dyDescent="0.25">
      <c r="A66">
        <v>62</v>
      </c>
      <c r="B66" t="s">
        <v>320</v>
      </c>
      <c r="C66">
        <v>76.75</v>
      </c>
      <c r="D66">
        <v>78.25</v>
      </c>
      <c r="E66">
        <v>74.92</v>
      </c>
      <c r="F66">
        <v>78.819999999999993</v>
      </c>
      <c r="G66">
        <v>79.89</v>
      </c>
      <c r="H66" t="s">
        <v>90</v>
      </c>
      <c r="I66" t="s">
        <v>481</v>
      </c>
      <c r="J66" t="s">
        <v>482</v>
      </c>
    </row>
    <row r="67" spans="1:10" x14ac:dyDescent="0.25">
      <c r="A67">
        <v>63</v>
      </c>
      <c r="B67" t="s">
        <v>321</v>
      </c>
      <c r="C67">
        <v>76.5</v>
      </c>
      <c r="D67">
        <v>77.92</v>
      </c>
      <c r="E67">
        <v>74.58</v>
      </c>
      <c r="F67">
        <v>78.45</v>
      </c>
      <c r="G67">
        <v>79.56</v>
      </c>
      <c r="H67" t="s">
        <v>90</v>
      </c>
      <c r="I67" t="s">
        <v>453</v>
      </c>
      <c r="J67" t="s">
        <v>483</v>
      </c>
    </row>
    <row r="68" spans="1:10" x14ac:dyDescent="0.25">
      <c r="A68">
        <v>64</v>
      </c>
      <c r="B68" t="s">
        <v>322</v>
      </c>
      <c r="C68">
        <v>76.92</v>
      </c>
      <c r="D68">
        <v>78.42</v>
      </c>
      <c r="E68">
        <v>75.08</v>
      </c>
      <c r="F68">
        <v>79</v>
      </c>
      <c r="G68">
        <v>80.11</v>
      </c>
      <c r="H68" t="s">
        <v>90</v>
      </c>
      <c r="I68" t="s">
        <v>484</v>
      </c>
      <c r="J68" t="s">
        <v>485</v>
      </c>
    </row>
    <row r="69" spans="1:10" x14ac:dyDescent="0.25">
      <c r="A69">
        <v>65</v>
      </c>
      <c r="B69" t="s">
        <v>323</v>
      </c>
      <c r="C69">
        <v>80.58</v>
      </c>
      <c r="D69">
        <v>82.75</v>
      </c>
      <c r="E69">
        <v>80</v>
      </c>
      <c r="F69">
        <v>84.64</v>
      </c>
      <c r="G69">
        <v>85.78</v>
      </c>
      <c r="H69" t="s">
        <v>90</v>
      </c>
      <c r="I69" t="s">
        <v>486</v>
      </c>
      <c r="J69" t="s">
        <v>487</v>
      </c>
    </row>
    <row r="70" spans="1:10" x14ac:dyDescent="0.25">
      <c r="A70">
        <v>66</v>
      </c>
      <c r="B70" t="s">
        <v>324</v>
      </c>
      <c r="C70">
        <v>76.42</v>
      </c>
      <c r="D70">
        <v>77.83</v>
      </c>
      <c r="E70">
        <v>74.5</v>
      </c>
      <c r="F70">
        <v>78.36</v>
      </c>
      <c r="G70">
        <v>79.44</v>
      </c>
      <c r="H70" t="s">
        <v>90</v>
      </c>
      <c r="I70" t="s">
        <v>488</v>
      </c>
      <c r="J70" t="s">
        <v>489</v>
      </c>
    </row>
    <row r="71" spans="1:10" x14ac:dyDescent="0.25">
      <c r="A71">
        <v>67</v>
      </c>
      <c r="B71" t="s">
        <v>325</v>
      </c>
      <c r="C71">
        <v>76.67</v>
      </c>
      <c r="D71">
        <v>78.17</v>
      </c>
      <c r="E71">
        <v>74.83</v>
      </c>
      <c r="F71">
        <v>78.73</v>
      </c>
      <c r="G71">
        <v>79.78</v>
      </c>
      <c r="H71" t="s">
        <v>90</v>
      </c>
      <c r="I71" t="s">
        <v>490</v>
      </c>
      <c r="J71" t="s">
        <v>491</v>
      </c>
    </row>
    <row r="72" spans="1:10" x14ac:dyDescent="0.25">
      <c r="A72">
        <v>68</v>
      </c>
      <c r="B72" t="s">
        <v>228</v>
      </c>
      <c r="C72">
        <v>76.33</v>
      </c>
      <c r="D72">
        <v>77.75</v>
      </c>
      <c r="E72">
        <v>74.42</v>
      </c>
      <c r="F72">
        <v>78.27</v>
      </c>
      <c r="G72">
        <v>79.33</v>
      </c>
      <c r="H72" t="s">
        <v>90</v>
      </c>
      <c r="I72" t="s">
        <v>492</v>
      </c>
      <c r="J72" t="s">
        <v>493</v>
      </c>
    </row>
    <row r="73" spans="1:10" x14ac:dyDescent="0.25">
      <c r="A73">
        <v>69</v>
      </c>
      <c r="B73" t="s">
        <v>326</v>
      </c>
      <c r="C73">
        <v>82.17</v>
      </c>
      <c r="D73">
        <v>84.33</v>
      </c>
      <c r="E73">
        <v>81.42</v>
      </c>
      <c r="F73">
        <v>86.45</v>
      </c>
      <c r="G73">
        <v>87.56</v>
      </c>
      <c r="H73" t="s">
        <v>90</v>
      </c>
      <c r="I73" t="s">
        <v>494</v>
      </c>
      <c r="J73" t="s">
        <v>495</v>
      </c>
    </row>
    <row r="74" spans="1:10" x14ac:dyDescent="0.25">
      <c r="A74">
        <v>70</v>
      </c>
      <c r="B74" t="s">
        <v>327</v>
      </c>
      <c r="C74">
        <v>81.42</v>
      </c>
      <c r="D74">
        <v>83.58</v>
      </c>
      <c r="E74">
        <v>80.83</v>
      </c>
      <c r="F74">
        <v>85.64</v>
      </c>
      <c r="G74">
        <v>86.67</v>
      </c>
      <c r="H74" t="s">
        <v>90</v>
      </c>
      <c r="I74" t="s">
        <v>496</v>
      </c>
      <c r="J74" t="s">
        <v>497</v>
      </c>
    </row>
    <row r="75" spans="1:10" x14ac:dyDescent="0.25">
      <c r="A75">
        <v>71</v>
      </c>
      <c r="B75" t="s">
        <v>328</v>
      </c>
      <c r="C75">
        <v>76.58</v>
      </c>
      <c r="D75">
        <v>78</v>
      </c>
      <c r="E75">
        <v>74.67</v>
      </c>
      <c r="F75">
        <v>78.55</v>
      </c>
      <c r="G75">
        <v>79.67</v>
      </c>
      <c r="H75" t="s">
        <v>90</v>
      </c>
      <c r="I75" t="s">
        <v>498</v>
      </c>
      <c r="J75" t="s">
        <v>499</v>
      </c>
    </row>
    <row r="76" spans="1:10" x14ac:dyDescent="0.25">
      <c r="A76">
        <v>72</v>
      </c>
      <c r="B76" t="s">
        <v>229</v>
      </c>
      <c r="C76">
        <v>76.75</v>
      </c>
      <c r="D76">
        <v>78.25</v>
      </c>
      <c r="E76">
        <v>74.83</v>
      </c>
      <c r="F76">
        <v>78.73</v>
      </c>
      <c r="G76">
        <v>79.89</v>
      </c>
      <c r="H76" t="s">
        <v>90</v>
      </c>
      <c r="I76" t="s">
        <v>500</v>
      </c>
      <c r="J76" t="s">
        <v>501</v>
      </c>
    </row>
    <row r="77" spans="1:10" x14ac:dyDescent="0.25">
      <c r="A77">
        <v>73</v>
      </c>
      <c r="B77" t="s">
        <v>329</v>
      </c>
      <c r="C77">
        <v>76.42</v>
      </c>
      <c r="D77">
        <v>77.83</v>
      </c>
      <c r="E77">
        <v>74.5</v>
      </c>
      <c r="F77">
        <v>78.36</v>
      </c>
      <c r="G77">
        <v>79.44</v>
      </c>
      <c r="H77" t="s">
        <v>90</v>
      </c>
      <c r="I77" t="s">
        <v>488</v>
      </c>
      <c r="J77" t="s">
        <v>502</v>
      </c>
    </row>
    <row r="78" spans="1:10" x14ac:dyDescent="0.25">
      <c r="A78">
        <v>74</v>
      </c>
      <c r="B78" t="s">
        <v>330</v>
      </c>
      <c r="C78">
        <v>80.75</v>
      </c>
      <c r="D78">
        <v>82.92</v>
      </c>
      <c r="E78">
        <v>80.17</v>
      </c>
      <c r="F78">
        <v>84.82</v>
      </c>
      <c r="G78">
        <v>85.89</v>
      </c>
      <c r="H78" t="s">
        <v>90</v>
      </c>
      <c r="I78" t="s">
        <v>503</v>
      </c>
      <c r="J78" t="s">
        <v>504</v>
      </c>
    </row>
    <row r="79" spans="1:10" x14ac:dyDescent="0.25">
      <c r="A79">
        <v>75</v>
      </c>
      <c r="B79" t="s">
        <v>331</v>
      </c>
      <c r="C79">
        <v>76.67</v>
      </c>
      <c r="D79">
        <v>78.17</v>
      </c>
      <c r="E79">
        <v>74.83</v>
      </c>
      <c r="F79">
        <v>78.73</v>
      </c>
      <c r="G79">
        <v>79.78</v>
      </c>
      <c r="H79" t="s">
        <v>90</v>
      </c>
      <c r="I79" t="s">
        <v>490</v>
      </c>
      <c r="J79" t="s">
        <v>505</v>
      </c>
    </row>
    <row r="80" spans="1:10" x14ac:dyDescent="0.25">
      <c r="A80">
        <v>76</v>
      </c>
      <c r="B80" t="s">
        <v>332</v>
      </c>
      <c r="C80">
        <v>81.17</v>
      </c>
      <c r="D80">
        <v>83.33</v>
      </c>
      <c r="E80">
        <v>80.58</v>
      </c>
      <c r="F80">
        <v>85.27</v>
      </c>
      <c r="G80">
        <v>86.33</v>
      </c>
      <c r="H80" t="s">
        <v>90</v>
      </c>
      <c r="I80" t="s">
        <v>506</v>
      </c>
      <c r="J80" t="s">
        <v>507</v>
      </c>
    </row>
    <row r="81" spans="1:10" x14ac:dyDescent="0.25">
      <c r="A81">
        <v>77</v>
      </c>
      <c r="B81" t="s">
        <v>333</v>
      </c>
      <c r="C81">
        <v>80.33</v>
      </c>
      <c r="D81">
        <v>82.5</v>
      </c>
      <c r="E81">
        <v>79.75</v>
      </c>
      <c r="F81">
        <v>84.36</v>
      </c>
      <c r="G81">
        <v>85.44</v>
      </c>
      <c r="H81" t="s">
        <v>90</v>
      </c>
      <c r="I81" t="s">
        <v>508</v>
      </c>
      <c r="J81" t="s">
        <v>509</v>
      </c>
    </row>
    <row r="82" spans="1:10" x14ac:dyDescent="0.25">
      <c r="A82">
        <v>78</v>
      </c>
      <c r="B82" t="s">
        <v>334</v>
      </c>
      <c r="C82">
        <v>80.92</v>
      </c>
      <c r="D82">
        <v>83.08</v>
      </c>
      <c r="E82">
        <v>80.33</v>
      </c>
      <c r="F82">
        <v>85</v>
      </c>
      <c r="G82">
        <v>86.11</v>
      </c>
      <c r="H82" t="s">
        <v>90</v>
      </c>
      <c r="I82" t="s">
        <v>510</v>
      </c>
      <c r="J82" t="s">
        <v>511</v>
      </c>
    </row>
    <row r="83" spans="1:10" x14ac:dyDescent="0.25">
      <c r="A83">
        <v>79</v>
      </c>
      <c r="B83" t="s">
        <v>335</v>
      </c>
      <c r="C83">
        <v>76.5</v>
      </c>
      <c r="D83">
        <v>77.92</v>
      </c>
      <c r="E83">
        <v>74.58</v>
      </c>
      <c r="F83">
        <v>78.45</v>
      </c>
      <c r="G83">
        <v>79.56</v>
      </c>
      <c r="H83" t="s">
        <v>90</v>
      </c>
      <c r="I83" t="s">
        <v>453</v>
      </c>
      <c r="J83" t="s">
        <v>512</v>
      </c>
    </row>
    <row r="84" spans="1:10" x14ac:dyDescent="0.25">
      <c r="A84">
        <v>80</v>
      </c>
      <c r="B84" t="s">
        <v>336</v>
      </c>
      <c r="C84">
        <v>76.75</v>
      </c>
      <c r="D84">
        <v>78.25</v>
      </c>
      <c r="E84">
        <v>74.92</v>
      </c>
      <c r="F84">
        <v>78.819999999999993</v>
      </c>
      <c r="G84">
        <v>79.89</v>
      </c>
      <c r="H84" t="s">
        <v>90</v>
      </c>
      <c r="I84" t="s">
        <v>481</v>
      </c>
      <c r="J84" t="s">
        <v>513</v>
      </c>
    </row>
    <row r="85" spans="1:10" x14ac:dyDescent="0.25">
      <c r="A85">
        <v>81</v>
      </c>
      <c r="B85" t="s">
        <v>337</v>
      </c>
      <c r="C85">
        <v>81.42</v>
      </c>
      <c r="D85">
        <v>83.58</v>
      </c>
      <c r="E85">
        <v>80.83</v>
      </c>
      <c r="F85">
        <v>85.55</v>
      </c>
      <c r="G85">
        <v>86.67</v>
      </c>
      <c r="H85" t="s">
        <v>90</v>
      </c>
      <c r="I85" t="s">
        <v>496</v>
      </c>
      <c r="J85" t="s">
        <v>514</v>
      </c>
    </row>
    <row r="86" spans="1:10" x14ac:dyDescent="0.25">
      <c r="A86">
        <v>82</v>
      </c>
      <c r="B86" t="s">
        <v>338</v>
      </c>
      <c r="C86">
        <v>80.58</v>
      </c>
      <c r="D86">
        <v>82.75</v>
      </c>
      <c r="E86">
        <v>80</v>
      </c>
      <c r="F86">
        <v>84.64</v>
      </c>
      <c r="G86">
        <v>85.78</v>
      </c>
      <c r="H86" t="s">
        <v>90</v>
      </c>
      <c r="I86" t="s">
        <v>486</v>
      </c>
      <c r="J86" t="s">
        <v>515</v>
      </c>
    </row>
    <row r="87" spans="1:10" x14ac:dyDescent="0.25">
      <c r="A87">
        <v>83</v>
      </c>
      <c r="B87" t="s">
        <v>230</v>
      </c>
      <c r="C87">
        <v>76.42</v>
      </c>
      <c r="D87">
        <v>77.83</v>
      </c>
      <c r="E87">
        <v>74.5</v>
      </c>
      <c r="F87">
        <v>78.36</v>
      </c>
      <c r="G87">
        <v>79.44</v>
      </c>
      <c r="H87" t="s">
        <v>90</v>
      </c>
      <c r="I87" t="s">
        <v>488</v>
      </c>
      <c r="J87" t="s">
        <v>516</v>
      </c>
    </row>
    <row r="88" spans="1:10" x14ac:dyDescent="0.25">
      <c r="A88">
        <v>84</v>
      </c>
      <c r="B88" t="s">
        <v>339</v>
      </c>
      <c r="C88">
        <v>80.75</v>
      </c>
      <c r="D88">
        <v>82.92</v>
      </c>
      <c r="E88">
        <v>80.17</v>
      </c>
      <c r="F88">
        <v>84.82</v>
      </c>
      <c r="G88">
        <v>85.89</v>
      </c>
      <c r="H88" t="s">
        <v>90</v>
      </c>
      <c r="I88" t="s">
        <v>503</v>
      </c>
      <c r="J88" t="s">
        <v>517</v>
      </c>
    </row>
    <row r="89" spans="1:10" x14ac:dyDescent="0.25">
      <c r="A89">
        <v>85</v>
      </c>
      <c r="B89" t="s">
        <v>340</v>
      </c>
      <c r="C89">
        <v>81.17</v>
      </c>
      <c r="D89">
        <v>83.33</v>
      </c>
      <c r="E89">
        <v>80.58</v>
      </c>
      <c r="F89">
        <v>85.27</v>
      </c>
      <c r="G89">
        <v>86.33</v>
      </c>
      <c r="H89" t="s">
        <v>90</v>
      </c>
      <c r="I89" t="s">
        <v>506</v>
      </c>
      <c r="J89" t="s">
        <v>518</v>
      </c>
    </row>
    <row r="90" spans="1:10" x14ac:dyDescent="0.25">
      <c r="A90">
        <v>86</v>
      </c>
      <c r="B90" t="s">
        <v>341</v>
      </c>
      <c r="C90">
        <v>80.33</v>
      </c>
      <c r="D90">
        <v>82.5</v>
      </c>
      <c r="E90">
        <v>79.75</v>
      </c>
      <c r="F90">
        <v>84.36</v>
      </c>
      <c r="G90">
        <v>85.44</v>
      </c>
      <c r="H90" t="s">
        <v>90</v>
      </c>
      <c r="I90" t="s">
        <v>508</v>
      </c>
      <c r="J90" t="s">
        <v>519</v>
      </c>
    </row>
    <row r="91" spans="1:10" x14ac:dyDescent="0.25">
      <c r="A91">
        <v>87</v>
      </c>
      <c r="B91" t="s">
        <v>342</v>
      </c>
      <c r="C91">
        <v>80.92</v>
      </c>
      <c r="D91">
        <v>83.08</v>
      </c>
      <c r="E91">
        <v>80.33</v>
      </c>
      <c r="F91">
        <v>85</v>
      </c>
      <c r="G91">
        <v>86.11</v>
      </c>
      <c r="H91" t="s">
        <v>90</v>
      </c>
      <c r="I91" t="s">
        <v>510</v>
      </c>
      <c r="J91" t="s">
        <v>520</v>
      </c>
    </row>
    <row r="92" spans="1:10" x14ac:dyDescent="0.25">
      <c r="A92">
        <v>88</v>
      </c>
      <c r="B92" t="s">
        <v>343</v>
      </c>
      <c r="C92">
        <v>76.5</v>
      </c>
      <c r="D92">
        <v>77.92</v>
      </c>
      <c r="E92">
        <v>74.58</v>
      </c>
      <c r="F92">
        <v>78.45</v>
      </c>
      <c r="G92">
        <v>79.56</v>
      </c>
      <c r="H92" t="s">
        <v>90</v>
      </c>
      <c r="I92" t="s">
        <v>453</v>
      </c>
      <c r="J92" t="s">
        <v>521</v>
      </c>
    </row>
    <row r="93" spans="1:10" x14ac:dyDescent="0.25">
      <c r="A93">
        <v>89</v>
      </c>
      <c r="B93" t="s">
        <v>344</v>
      </c>
      <c r="C93">
        <v>81.42</v>
      </c>
      <c r="D93">
        <v>83.58</v>
      </c>
      <c r="E93">
        <v>80.83</v>
      </c>
      <c r="F93">
        <v>85.55</v>
      </c>
      <c r="G93">
        <v>86.67</v>
      </c>
      <c r="H93" t="s">
        <v>90</v>
      </c>
      <c r="I93" t="s">
        <v>496</v>
      </c>
      <c r="J93" t="s">
        <v>522</v>
      </c>
    </row>
    <row r="94" spans="1:10" x14ac:dyDescent="0.25">
      <c r="A94">
        <v>90</v>
      </c>
      <c r="B94" t="s">
        <v>345</v>
      </c>
      <c r="C94">
        <v>80.58</v>
      </c>
      <c r="D94">
        <v>82.75</v>
      </c>
      <c r="E94">
        <v>80</v>
      </c>
      <c r="F94">
        <v>84.64</v>
      </c>
      <c r="G94">
        <v>85.78</v>
      </c>
      <c r="H94" t="s">
        <v>90</v>
      </c>
      <c r="I94" t="s">
        <v>486</v>
      </c>
      <c r="J94" t="s">
        <v>523</v>
      </c>
    </row>
    <row r="95" spans="1:10" x14ac:dyDescent="0.25">
      <c r="A95">
        <v>91</v>
      </c>
      <c r="B95" t="s">
        <v>346</v>
      </c>
      <c r="C95">
        <v>76.42</v>
      </c>
      <c r="D95">
        <v>77.83</v>
      </c>
      <c r="E95">
        <v>74.5</v>
      </c>
      <c r="F95">
        <v>78.36</v>
      </c>
      <c r="G95">
        <v>79.44</v>
      </c>
      <c r="H95" t="s">
        <v>90</v>
      </c>
      <c r="I95" t="s">
        <v>488</v>
      </c>
      <c r="J95" t="s">
        <v>524</v>
      </c>
    </row>
    <row r="96" spans="1:10" x14ac:dyDescent="0.25">
      <c r="A96">
        <v>92</v>
      </c>
      <c r="B96" t="s">
        <v>347</v>
      </c>
      <c r="C96">
        <v>80.75</v>
      </c>
      <c r="D96">
        <v>82.92</v>
      </c>
      <c r="E96">
        <v>80.17</v>
      </c>
      <c r="F96">
        <v>84.82</v>
      </c>
      <c r="G96">
        <v>85.89</v>
      </c>
      <c r="H96" t="s">
        <v>90</v>
      </c>
      <c r="I96" t="s">
        <v>503</v>
      </c>
      <c r="J96" t="s">
        <v>525</v>
      </c>
    </row>
    <row r="97" spans="1:10" x14ac:dyDescent="0.25">
      <c r="A97">
        <v>93</v>
      </c>
      <c r="B97" t="s">
        <v>348</v>
      </c>
      <c r="C97">
        <v>81.17</v>
      </c>
      <c r="D97">
        <v>83.33</v>
      </c>
      <c r="E97">
        <v>80.58</v>
      </c>
      <c r="F97">
        <v>85.27</v>
      </c>
      <c r="G97">
        <v>86.33</v>
      </c>
      <c r="H97" t="s">
        <v>90</v>
      </c>
      <c r="I97" t="s">
        <v>506</v>
      </c>
      <c r="J97" t="s">
        <v>526</v>
      </c>
    </row>
    <row r="98" spans="1:10" x14ac:dyDescent="0.25">
      <c r="A98">
        <v>94</v>
      </c>
      <c r="B98" t="s">
        <v>349</v>
      </c>
      <c r="C98">
        <v>76.5</v>
      </c>
      <c r="D98">
        <v>77.92</v>
      </c>
      <c r="E98">
        <v>74.58</v>
      </c>
      <c r="F98">
        <v>78.45</v>
      </c>
      <c r="G98">
        <v>79.56</v>
      </c>
      <c r="H98" t="s">
        <v>90</v>
      </c>
      <c r="I98" t="s">
        <v>453</v>
      </c>
      <c r="J98" t="s">
        <v>527</v>
      </c>
    </row>
    <row r="99" spans="1:10" x14ac:dyDescent="0.25">
      <c r="A99">
        <v>95</v>
      </c>
      <c r="B99" t="s">
        <v>350</v>
      </c>
      <c r="C99">
        <v>81.42</v>
      </c>
      <c r="D99">
        <v>83.58</v>
      </c>
      <c r="E99">
        <v>80.83</v>
      </c>
      <c r="F99">
        <v>85.55</v>
      </c>
      <c r="G99">
        <v>86.67</v>
      </c>
      <c r="H99" t="s">
        <v>90</v>
      </c>
      <c r="I99" t="s">
        <v>496</v>
      </c>
      <c r="J99" t="s">
        <v>528</v>
      </c>
    </row>
    <row r="100" spans="1:10" x14ac:dyDescent="0.25">
      <c r="A100">
        <v>96</v>
      </c>
      <c r="B100" t="s">
        <v>351</v>
      </c>
      <c r="C100">
        <v>80.58</v>
      </c>
      <c r="D100">
        <v>82.75</v>
      </c>
      <c r="E100">
        <v>80</v>
      </c>
      <c r="F100">
        <v>84.64</v>
      </c>
      <c r="G100">
        <v>85.78</v>
      </c>
      <c r="H100" t="s">
        <v>90</v>
      </c>
      <c r="I100" t="s">
        <v>486</v>
      </c>
      <c r="J100" t="s">
        <v>529</v>
      </c>
    </row>
    <row r="101" spans="1:10" x14ac:dyDescent="0.25">
      <c r="A101">
        <v>97</v>
      </c>
      <c r="B101" t="s">
        <v>352</v>
      </c>
      <c r="C101">
        <v>76.42</v>
      </c>
      <c r="D101">
        <v>77.83</v>
      </c>
      <c r="E101">
        <v>74.5</v>
      </c>
      <c r="F101">
        <v>78.36</v>
      </c>
      <c r="G101">
        <v>79.44</v>
      </c>
      <c r="H101" t="s">
        <v>90</v>
      </c>
      <c r="I101" t="s">
        <v>488</v>
      </c>
      <c r="J101" t="s">
        <v>530</v>
      </c>
    </row>
    <row r="102" spans="1:10" x14ac:dyDescent="0.25">
      <c r="A102">
        <v>98</v>
      </c>
      <c r="B102" t="s">
        <v>353</v>
      </c>
      <c r="C102">
        <v>80.75</v>
      </c>
      <c r="D102">
        <v>82.92</v>
      </c>
      <c r="E102">
        <v>80.17</v>
      </c>
      <c r="F102">
        <v>84.82</v>
      </c>
      <c r="G102">
        <v>85.89</v>
      </c>
      <c r="H102" t="s">
        <v>90</v>
      </c>
      <c r="I102" t="s">
        <v>503</v>
      </c>
      <c r="J102" t="s">
        <v>531</v>
      </c>
    </row>
    <row r="103" spans="1:10" x14ac:dyDescent="0.25">
      <c r="A103">
        <v>99</v>
      </c>
      <c r="B103" t="s">
        <v>354</v>
      </c>
      <c r="C103">
        <v>76.67</v>
      </c>
      <c r="D103">
        <v>78.17</v>
      </c>
      <c r="E103">
        <v>74.83</v>
      </c>
      <c r="F103">
        <v>78.73</v>
      </c>
      <c r="G103">
        <v>79.78</v>
      </c>
      <c r="H103" t="s">
        <v>90</v>
      </c>
      <c r="I103" t="s">
        <v>490</v>
      </c>
      <c r="J103" t="s">
        <v>532</v>
      </c>
    </row>
    <row r="104" spans="1:10" x14ac:dyDescent="0.25">
      <c r="A104">
        <v>100</v>
      </c>
      <c r="B104" t="s">
        <v>355</v>
      </c>
      <c r="C104">
        <v>81.17</v>
      </c>
      <c r="D104">
        <v>83.33</v>
      </c>
      <c r="E104">
        <v>80.58</v>
      </c>
      <c r="F104">
        <v>85.27</v>
      </c>
      <c r="G104">
        <v>86.33</v>
      </c>
      <c r="H104" t="s">
        <v>90</v>
      </c>
      <c r="I104" t="s">
        <v>506</v>
      </c>
      <c r="J104" t="s">
        <v>533</v>
      </c>
    </row>
    <row r="105" spans="1:10" x14ac:dyDescent="0.25">
      <c r="A105">
        <v>101</v>
      </c>
      <c r="B105" t="s">
        <v>268</v>
      </c>
      <c r="C105">
        <v>79.83</v>
      </c>
      <c r="D105">
        <v>80.25</v>
      </c>
      <c r="E105">
        <v>74.5</v>
      </c>
      <c r="F105">
        <v>77.819999999999993</v>
      </c>
      <c r="G105">
        <v>78.56</v>
      </c>
      <c r="H105" t="s">
        <v>90</v>
      </c>
      <c r="I105" t="s">
        <v>534</v>
      </c>
      <c r="J105" t="s">
        <v>535</v>
      </c>
    </row>
    <row r="106" spans="1:10" x14ac:dyDescent="0.25">
      <c r="A106">
        <v>102</v>
      </c>
      <c r="B106" t="s">
        <v>269</v>
      </c>
      <c r="C106">
        <v>81.5</v>
      </c>
      <c r="D106">
        <v>82.33</v>
      </c>
      <c r="E106">
        <v>76.17</v>
      </c>
      <c r="F106">
        <v>79.55</v>
      </c>
      <c r="G106">
        <v>80.44</v>
      </c>
      <c r="H106" t="s">
        <v>90</v>
      </c>
      <c r="I106" t="s">
        <v>536</v>
      </c>
      <c r="J106" t="s">
        <v>537</v>
      </c>
    </row>
    <row r="107" spans="1:10" x14ac:dyDescent="0.25">
      <c r="A107">
        <v>103</v>
      </c>
      <c r="B107" t="s">
        <v>270</v>
      </c>
      <c r="C107">
        <v>83.17</v>
      </c>
      <c r="D107">
        <v>84</v>
      </c>
      <c r="E107">
        <v>81.5</v>
      </c>
      <c r="F107">
        <v>84.82</v>
      </c>
      <c r="G107">
        <v>86.22</v>
      </c>
      <c r="H107" t="s">
        <v>90</v>
      </c>
      <c r="I107" t="s">
        <v>538</v>
      </c>
      <c r="J107" t="s">
        <v>539</v>
      </c>
    </row>
    <row r="108" spans="1:10" x14ac:dyDescent="0.25">
      <c r="A108">
        <v>104</v>
      </c>
      <c r="B108" t="s">
        <v>271</v>
      </c>
      <c r="C108">
        <v>80.42</v>
      </c>
      <c r="D108">
        <v>81.08</v>
      </c>
      <c r="E108">
        <v>75</v>
      </c>
      <c r="F108">
        <v>78.180000000000007</v>
      </c>
      <c r="G108">
        <v>79.56</v>
      </c>
      <c r="H108" t="s">
        <v>90</v>
      </c>
      <c r="I108" t="s">
        <v>540</v>
      </c>
      <c r="J108" t="s">
        <v>541</v>
      </c>
    </row>
    <row r="109" spans="1:10" x14ac:dyDescent="0.25">
      <c r="A109">
        <v>105</v>
      </c>
      <c r="B109" t="s">
        <v>272</v>
      </c>
      <c r="C109">
        <v>82.83</v>
      </c>
      <c r="D109">
        <v>83.58</v>
      </c>
      <c r="E109">
        <v>79.42</v>
      </c>
      <c r="F109">
        <v>82.82</v>
      </c>
      <c r="G109">
        <v>84.44</v>
      </c>
      <c r="H109" t="s">
        <v>90</v>
      </c>
      <c r="I109" t="s">
        <v>542</v>
      </c>
      <c r="J109" t="s">
        <v>543</v>
      </c>
    </row>
    <row r="110" spans="1:10" x14ac:dyDescent="0.25">
      <c r="A110">
        <v>106</v>
      </c>
      <c r="B110" t="s">
        <v>273</v>
      </c>
      <c r="C110">
        <v>79.25</v>
      </c>
      <c r="D110">
        <v>80</v>
      </c>
      <c r="E110">
        <v>73.83</v>
      </c>
      <c r="F110">
        <v>77</v>
      </c>
      <c r="G110">
        <v>78.22</v>
      </c>
      <c r="H110" t="s">
        <v>90</v>
      </c>
      <c r="I110" t="s">
        <v>544</v>
      </c>
      <c r="J110" t="s">
        <v>545</v>
      </c>
    </row>
    <row r="111" spans="1:10" x14ac:dyDescent="0.25">
      <c r="A111">
        <v>107</v>
      </c>
      <c r="B111" t="s">
        <v>356</v>
      </c>
      <c r="C111">
        <v>84.5</v>
      </c>
      <c r="D111">
        <v>85.17</v>
      </c>
      <c r="E111">
        <v>82.75</v>
      </c>
      <c r="F111">
        <v>86.45</v>
      </c>
      <c r="G111">
        <v>88.56</v>
      </c>
      <c r="H111" t="s">
        <v>90</v>
      </c>
      <c r="I111" t="s">
        <v>546</v>
      </c>
      <c r="J111" t="s">
        <v>547</v>
      </c>
    </row>
    <row r="114" spans="2:2" x14ac:dyDescent="0.25">
      <c r="B114" t="s">
        <v>548</v>
      </c>
    </row>
    <row r="115" spans="2:2" ht="18" x14ac:dyDescent="0.25">
      <c r="B115" s="67" t="s">
        <v>549</v>
      </c>
    </row>
    <row r="117" spans="2:2" x14ac:dyDescent="0.25">
      <c r="B117" s="68" t="s">
        <v>550</v>
      </c>
    </row>
    <row r="119" spans="2:2" x14ac:dyDescent="0.25">
      <c r="B119" s="68" t="s">
        <v>551</v>
      </c>
    </row>
    <row r="120" spans="2:2" x14ac:dyDescent="0.25">
      <c r="B120" s="57"/>
    </row>
    <row r="121" spans="2:2" x14ac:dyDescent="0.25">
      <c r="B121" s="69" t="s">
        <v>552</v>
      </c>
    </row>
    <row r="122" spans="2:2" x14ac:dyDescent="0.25">
      <c r="B122" s="57"/>
    </row>
    <row r="123" spans="2:2" x14ac:dyDescent="0.25">
      <c r="B123" s="69" t="s">
        <v>553</v>
      </c>
    </row>
    <row r="124" spans="2:2" x14ac:dyDescent="0.25">
      <c r="B124" s="57"/>
    </row>
    <row r="125" spans="2:2" x14ac:dyDescent="0.25">
      <c r="B125" s="69" t="s">
        <v>554</v>
      </c>
    </row>
    <row r="127" spans="2:2" x14ac:dyDescent="0.25">
      <c r="B127" s="68" t="s">
        <v>555</v>
      </c>
    </row>
    <row r="128" spans="2:2" x14ac:dyDescent="0.25">
      <c r="B128" s="57"/>
    </row>
    <row r="129" spans="2:2" x14ac:dyDescent="0.25">
      <c r="B129" s="69" t="s">
        <v>556</v>
      </c>
    </row>
    <row r="131" spans="2:2" x14ac:dyDescent="0.25">
      <c r="B131" s="68" t="s">
        <v>557</v>
      </c>
    </row>
    <row r="135" spans="2:2" ht="18" x14ac:dyDescent="0.25">
      <c r="B135" s="67" t="s">
        <v>558</v>
      </c>
    </row>
    <row r="136" spans="2:2" x14ac:dyDescent="0.25">
      <c r="B136" s="57"/>
    </row>
    <row r="137" spans="2:2" x14ac:dyDescent="0.25">
      <c r="B137" s="57" t="s">
        <v>559</v>
      </c>
    </row>
    <row r="139" spans="2:2" x14ac:dyDescent="0.25">
      <c r="B139" t="s">
        <v>560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503EF-1615-495B-88A5-84F7496A7D93}">
  <dimension ref="A4:J56"/>
  <sheetViews>
    <sheetView tabSelected="1" topLeftCell="A26" workbookViewId="0">
      <selection activeCell="H36" sqref="H36"/>
    </sheetView>
  </sheetViews>
  <sheetFormatPr defaultRowHeight="15" x14ac:dyDescent="0.25"/>
  <sheetData>
    <row r="4" spans="1:10" x14ac:dyDescent="0.25">
      <c r="A4" t="s">
        <v>76</v>
      </c>
      <c r="B4" t="s">
        <v>77</v>
      </c>
      <c r="C4" t="s">
        <v>78</v>
      </c>
      <c r="D4" t="s">
        <v>79</v>
      </c>
      <c r="E4" t="s">
        <v>80</v>
      </c>
      <c r="F4" t="s">
        <v>81</v>
      </c>
      <c r="G4" t="s">
        <v>82</v>
      </c>
      <c r="H4" t="s">
        <v>83</v>
      </c>
      <c r="I4" t="s">
        <v>357</v>
      </c>
      <c r="J4" t="s">
        <v>358</v>
      </c>
    </row>
    <row r="5" spans="1:10" x14ac:dyDescent="0.25">
      <c r="A5">
        <v>1</v>
      </c>
      <c r="B5" t="s">
        <v>561</v>
      </c>
      <c r="C5" t="s">
        <v>235</v>
      </c>
      <c r="D5" t="s">
        <v>244</v>
      </c>
      <c r="E5" t="s">
        <v>107</v>
      </c>
      <c r="F5" t="s">
        <v>102</v>
      </c>
      <c r="G5" t="s">
        <v>562</v>
      </c>
      <c r="H5" t="s">
        <v>90</v>
      </c>
      <c r="I5" t="s">
        <v>621</v>
      </c>
      <c r="J5" t="s">
        <v>622</v>
      </c>
    </row>
    <row r="6" spans="1:10" x14ac:dyDescent="0.25">
      <c r="A6">
        <v>2</v>
      </c>
      <c r="B6" t="s">
        <v>563</v>
      </c>
      <c r="C6" t="s">
        <v>564</v>
      </c>
      <c r="D6" t="s">
        <v>118</v>
      </c>
      <c r="E6" t="s">
        <v>98</v>
      </c>
      <c r="F6" t="s">
        <v>267</v>
      </c>
      <c r="G6" t="s">
        <v>242</v>
      </c>
      <c r="H6" t="s">
        <v>90</v>
      </c>
      <c r="I6" t="s">
        <v>623</v>
      </c>
      <c r="J6" t="s">
        <v>624</v>
      </c>
    </row>
    <row r="7" spans="1:10" x14ac:dyDescent="0.25">
      <c r="A7">
        <v>3</v>
      </c>
      <c r="B7" t="s">
        <v>565</v>
      </c>
      <c r="C7" t="s">
        <v>124</v>
      </c>
      <c r="D7" t="s">
        <v>564</v>
      </c>
      <c r="E7" t="s">
        <v>231</v>
      </c>
      <c r="F7" t="s">
        <v>251</v>
      </c>
      <c r="G7" t="s">
        <v>123</v>
      </c>
      <c r="H7" t="s">
        <v>115</v>
      </c>
      <c r="I7" t="s">
        <v>625</v>
      </c>
      <c r="J7" t="s">
        <v>626</v>
      </c>
    </row>
    <row r="8" spans="1:10" x14ac:dyDescent="0.25">
      <c r="A8">
        <v>4</v>
      </c>
      <c r="B8" t="s">
        <v>566</v>
      </c>
      <c r="C8" t="s">
        <v>85</v>
      </c>
      <c r="D8" t="s">
        <v>124</v>
      </c>
      <c r="E8" t="s">
        <v>95</v>
      </c>
      <c r="F8" t="s">
        <v>251</v>
      </c>
      <c r="G8" t="s">
        <v>567</v>
      </c>
      <c r="H8" t="s">
        <v>90</v>
      </c>
      <c r="I8" t="s">
        <v>627</v>
      </c>
      <c r="J8" t="s">
        <v>628</v>
      </c>
    </row>
    <row r="9" spans="1:10" x14ac:dyDescent="0.25">
      <c r="A9">
        <v>5</v>
      </c>
      <c r="B9" t="s">
        <v>568</v>
      </c>
      <c r="C9" t="s">
        <v>104</v>
      </c>
      <c r="D9" t="s">
        <v>267</v>
      </c>
      <c r="E9" t="s">
        <v>92</v>
      </c>
      <c r="F9" t="s">
        <v>118</v>
      </c>
      <c r="G9" t="s">
        <v>92</v>
      </c>
      <c r="H9" t="s">
        <v>115</v>
      </c>
      <c r="I9" t="s">
        <v>629</v>
      </c>
      <c r="J9" t="s">
        <v>630</v>
      </c>
    </row>
    <row r="10" spans="1:10" x14ac:dyDescent="0.25">
      <c r="A10">
        <v>6</v>
      </c>
      <c r="B10" t="s">
        <v>569</v>
      </c>
      <c r="C10" t="s">
        <v>110</v>
      </c>
      <c r="D10" t="s">
        <v>104</v>
      </c>
      <c r="E10" t="s">
        <v>146</v>
      </c>
      <c r="F10" t="s">
        <v>244</v>
      </c>
      <c r="G10" t="s">
        <v>253</v>
      </c>
      <c r="H10" t="s">
        <v>90</v>
      </c>
      <c r="I10" t="s">
        <v>631</v>
      </c>
      <c r="J10" t="s">
        <v>632</v>
      </c>
    </row>
    <row r="11" spans="1:10" x14ac:dyDescent="0.25">
      <c r="A11">
        <v>7</v>
      </c>
      <c r="B11" t="s">
        <v>570</v>
      </c>
      <c r="C11" t="s">
        <v>236</v>
      </c>
      <c r="D11" t="s">
        <v>237</v>
      </c>
      <c r="E11" t="s">
        <v>133</v>
      </c>
      <c r="F11" t="s">
        <v>257</v>
      </c>
      <c r="G11" t="s">
        <v>258</v>
      </c>
      <c r="H11" t="s">
        <v>90</v>
      </c>
      <c r="I11" t="s">
        <v>633</v>
      </c>
      <c r="J11" t="s">
        <v>634</v>
      </c>
    </row>
    <row r="12" spans="1:10" x14ac:dyDescent="0.25">
      <c r="A12">
        <v>8</v>
      </c>
      <c r="B12" t="s">
        <v>571</v>
      </c>
      <c r="C12" t="s">
        <v>98</v>
      </c>
      <c r="D12" t="s">
        <v>236</v>
      </c>
      <c r="E12" t="s">
        <v>142</v>
      </c>
      <c r="F12" t="s">
        <v>140</v>
      </c>
      <c r="G12" t="s">
        <v>105</v>
      </c>
      <c r="H12" t="s">
        <v>90</v>
      </c>
      <c r="I12" t="s">
        <v>635</v>
      </c>
      <c r="J12" t="s">
        <v>636</v>
      </c>
    </row>
    <row r="13" spans="1:10" x14ac:dyDescent="0.25">
      <c r="A13">
        <v>9</v>
      </c>
      <c r="B13" t="s">
        <v>572</v>
      </c>
      <c r="C13" t="s">
        <v>127</v>
      </c>
      <c r="D13" t="s">
        <v>111</v>
      </c>
      <c r="E13" t="s">
        <v>246</v>
      </c>
      <c r="F13" t="s">
        <v>149</v>
      </c>
      <c r="G13" t="s">
        <v>573</v>
      </c>
      <c r="H13" t="s">
        <v>115</v>
      </c>
      <c r="I13" t="s">
        <v>637</v>
      </c>
      <c r="J13" t="s">
        <v>638</v>
      </c>
    </row>
    <row r="14" spans="1:10" x14ac:dyDescent="0.25">
      <c r="A14">
        <v>10</v>
      </c>
      <c r="B14" t="s">
        <v>574</v>
      </c>
      <c r="C14" t="s">
        <v>575</v>
      </c>
      <c r="D14" t="s">
        <v>149</v>
      </c>
      <c r="E14" t="s">
        <v>122</v>
      </c>
      <c r="F14" t="s">
        <v>114</v>
      </c>
      <c r="G14" t="s">
        <v>235</v>
      </c>
      <c r="H14" t="s">
        <v>115</v>
      </c>
      <c r="I14" t="s">
        <v>639</v>
      </c>
      <c r="J14" t="s">
        <v>640</v>
      </c>
    </row>
    <row r="15" spans="1:10" x14ac:dyDescent="0.25">
      <c r="A15">
        <v>11</v>
      </c>
      <c r="B15" t="s">
        <v>576</v>
      </c>
      <c r="C15" t="s">
        <v>128</v>
      </c>
      <c r="D15" t="s">
        <v>131</v>
      </c>
      <c r="E15" t="s">
        <v>236</v>
      </c>
      <c r="F15" t="s">
        <v>577</v>
      </c>
      <c r="G15" t="s">
        <v>101</v>
      </c>
      <c r="H15" t="s">
        <v>90</v>
      </c>
      <c r="I15" t="s">
        <v>641</v>
      </c>
      <c r="J15" t="s">
        <v>642</v>
      </c>
    </row>
    <row r="16" spans="1:10" x14ac:dyDescent="0.25">
      <c r="A16">
        <v>12</v>
      </c>
      <c r="B16" t="s">
        <v>578</v>
      </c>
      <c r="C16" t="s">
        <v>110</v>
      </c>
      <c r="D16" t="s">
        <v>244</v>
      </c>
      <c r="E16" t="s">
        <v>112</v>
      </c>
      <c r="F16" t="s">
        <v>251</v>
      </c>
      <c r="G16" t="s">
        <v>131</v>
      </c>
      <c r="H16" t="s">
        <v>90</v>
      </c>
      <c r="I16" t="s">
        <v>643</v>
      </c>
      <c r="J16" t="s">
        <v>644</v>
      </c>
    </row>
    <row r="17" spans="1:10" x14ac:dyDescent="0.25">
      <c r="A17">
        <v>13</v>
      </c>
      <c r="B17" t="s">
        <v>579</v>
      </c>
      <c r="C17" t="s">
        <v>98</v>
      </c>
      <c r="D17" t="s">
        <v>118</v>
      </c>
      <c r="E17" t="s">
        <v>139</v>
      </c>
      <c r="F17" t="s">
        <v>119</v>
      </c>
      <c r="G17" t="s">
        <v>108</v>
      </c>
      <c r="H17" t="s">
        <v>90</v>
      </c>
      <c r="I17" t="s">
        <v>645</v>
      </c>
      <c r="J17" t="s">
        <v>646</v>
      </c>
    </row>
    <row r="18" spans="1:10" x14ac:dyDescent="0.25">
      <c r="A18">
        <v>14</v>
      </c>
      <c r="B18" t="s">
        <v>580</v>
      </c>
      <c r="C18" t="s">
        <v>124</v>
      </c>
      <c r="D18" t="s">
        <v>100</v>
      </c>
      <c r="E18" t="s">
        <v>92</v>
      </c>
      <c r="F18" t="s">
        <v>149</v>
      </c>
      <c r="G18" t="s">
        <v>114</v>
      </c>
      <c r="H18" t="s">
        <v>90</v>
      </c>
      <c r="I18" t="s">
        <v>647</v>
      </c>
      <c r="J18" t="s">
        <v>648</v>
      </c>
    </row>
    <row r="19" spans="1:10" x14ac:dyDescent="0.25">
      <c r="A19">
        <v>15</v>
      </c>
      <c r="B19" t="s">
        <v>581</v>
      </c>
      <c r="C19" t="s">
        <v>582</v>
      </c>
      <c r="D19" t="s">
        <v>583</v>
      </c>
      <c r="E19" t="s">
        <v>233</v>
      </c>
      <c r="F19" t="s">
        <v>584</v>
      </c>
      <c r="G19" t="s">
        <v>585</v>
      </c>
      <c r="H19" t="s">
        <v>90</v>
      </c>
      <c r="I19" t="s">
        <v>649</v>
      </c>
      <c r="J19" t="s">
        <v>650</v>
      </c>
    </row>
    <row r="20" spans="1:10" x14ac:dyDescent="0.25">
      <c r="A20">
        <v>16</v>
      </c>
      <c r="B20" t="s">
        <v>586</v>
      </c>
      <c r="C20" t="s">
        <v>100</v>
      </c>
      <c r="D20" t="s">
        <v>114</v>
      </c>
      <c r="E20" t="s">
        <v>128</v>
      </c>
      <c r="F20" t="s">
        <v>267</v>
      </c>
      <c r="G20" t="s">
        <v>244</v>
      </c>
      <c r="H20" t="s">
        <v>90</v>
      </c>
      <c r="I20" t="s">
        <v>651</v>
      </c>
      <c r="J20" t="s">
        <v>652</v>
      </c>
    </row>
    <row r="21" spans="1:10" x14ac:dyDescent="0.25">
      <c r="A21">
        <v>17</v>
      </c>
      <c r="B21" t="s">
        <v>587</v>
      </c>
      <c r="C21" t="s">
        <v>139</v>
      </c>
      <c r="D21" t="s">
        <v>107</v>
      </c>
      <c r="E21" t="s">
        <v>240</v>
      </c>
      <c r="F21" t="s">
        <v>108</v>
      </c>
      <c r="G21" t="s">
        <v>257</v>
      </c>
      <c r="H21" t="s">
        <v>90</v>
      </c>
      <c r="I21" t="s">
        <v>653</v>
      </c>
      <c r="J21" t="s">
        <v>654</v>
      </c>
    </row>
    <row r="22" spans="1:10" x14ac:dyDescent="0.25">
      <c r="A22">
        <v>18</v>
      </c>
      <c r="B22" t="s">
        <v>588</v>
      </c>
      <c r="C22" t="s">
        <v>584</v>
      </c>
      <c r="D22" t="s">
        <v>589</v>
      </c>
      <c r="E22" t="s">
        <v>240</v>
      </c>
      <c r="F22" t="s">
        <v>590</v>
      </c>
      <c r="G22" t="s">
        <v>259</v>
      </c>
      <c r="H22" t="s">
        <v>90</v>
      </c>
      <c r="I22" t="s">
        <v>655</v>
      </c>
      <c r="J22" t="s">
        <v>656</v>
      </c>
    </row>
    <row r="23" spans="1:10" x14ac:dyDescent="0.25">
      <c r="A23">
        <v>19</v>
      </c>
      <c r="B23" t="s">
        <v>591</v>
      </c>
      <c r="C23" t="s">
        <v>98</v>
      </c>
      <c r="D23" t="s">
        <v>251</v>
      </c>
      <c r="E23" t="s">
        <v>127</v>
      </c>
      <c r="F23" t="s">
        <v>573</v>
      </c>
      <c r="G23" t="s">
        <v>244</v>
      </c>
      <c r="H23" t="s">
        <v>90</v>
      </c>
      <c r="I23" t="s">
        <v>657</v>
      </c>
      <c r="J23" t="s">
        <v>658</v>
      </c>
    </row>
    <row r="24" spans="1:10" x14ac:dyDescent="0.25">
      <c r="A24">
        <v>20</v>
      </c>
      <c r="B24" t="s">
        <v>592</v>
      </c>
      <c r="C24" t="s">
        <v>234</v>
      </c>
      <c r="D24" t="s">
        <v>93</v>
      </c>
      <c r="E24" t="s">
        <v>94</v>
      </c>
      <c r="F24" t="s">
        <v>575</v>
      </c>
      <c r="G24" t="s">
        <v>127</v>
      </c>
      <c r="H24" t="s">
        <v>90</v>
      </c>
      <c r="I24" t="s">
        <v>659</v>
      </c>
      <c r="J24" t="s">
        <v>660</v>
      </c>
    </row>
    <row r="25" spans="1:10" x14ac:dyDescent="0.25">
      <c r="A25">
        <v>21</v>
      </c>
      <c r="B25" t="s">
        <v>593</v>
      </c>
      <c r="C25" t="s">
        <v>249</v>
      </c>
      <c r="D25" t="s">
        <v>242</v>
      </c>
      <c r="E25" t="s">
        <v>594</v>
      </c>
      <c r="F25" t="s">
        <v>108</v>
      </c>
      <c r="G25" t="s">
        <v>595</v>
      </c>
      <c r="H25" t="s">
        <v>90</v>
      </c>
      <c r="I25" t="s">
        <v>661</v>
      </c>
      <c r="J25" t="s">
        <v>662</v>
      </c>
    </row>
    <row r="26" spans="1:10" x14ac:dyDescent="0.25">
      <c r="A26">
        <v>22</v>
      </c>
      <c r="B26" t="s">
        <v>596</v>
      </c>
      <c r="C26" t="s">
        <v>98</v>
      </c>
      <c r="D26" t="s">
        <v>128</v>
      </c>
      <c r="E26" t="s">
        <v>113</v>
      </c>
      <c r="F26" t="s">
        <v>594</v>
      </c>
      <c r="G26" t="s">
        <v>104</v>
      </c>
      <c r="H26" t="s">
        <v>90</v>
      </c>
      <c r="I26" t="s">
        <v>663</v>
      </c>
      <c r="J26" t="s">
        <v>664</v>
      </c>
    </row>
    <row r="27" spans="1:10" x14ac:dyDescent="0.25">
      <c r="A27">
        <v>23</v>
      </c>
      <c r="B27" t="s">
        <v>597</v>
      </c>
      <c r="C27" t="s">
        <v>112</v>
      </c>
      <c r="D27" t="s">
        <v>111</v>
      </c>
      <c r="E27" t="s">
        <v>238</v>
      </c>
      <c r="F27" t="s">
        <v>100</v>
      </c>
      <c r="G27" t="s">
        <v>251</v>
      </c>
      <c r="H27" t="s">
        <v>90</v>
      </c>
      <c r="I27" t="s">
        <v>665</v>
      </c>
      <c r="J27" t="s">
        <v>666</v>
      </c>
    </row>
    <row r="28" spans="1:10" x14ac:dyDescent="0.25">
      <c r="A28">
        <v>24</v>
      </c>
      <c r="B28" t="s">
        <v>598</v>
      </c>
      <c r="C28" t="s">
        <v>249</v>
      </c>
      <c r="D28" t="s">
        <v>113</v>
      </c>
      <c r="E28" t="s">
        <v>104</v>
      </c>
      <c r="F28" t="s">
        <v>108</v>
      </c>
      <c r="G28" t="s">
        <v>133</v>
      </c>
      <c r="H28" t="s">
        <v>90</v>
      </c>
      <c r="I28" t="s">
        <v>667</v>
      </c>
      <c r="J28" t="s">
        <v>668</v>
      </c>
    </row>
    <row r="29" spans="1:10" x14ac:dyDescent="0.25">
      <c r="A29">
        <v>25</v>
      </c>
      <c r="B29" t="s">
        <v>599</v>
      </c>
      <c r="C29" t="s">
        <v>86</v>
      </c>
      <c r="D29" t="s">
        <v>124</v>
      </c>
      <c r="E29" t="s">
        <v>106</v>
      </c>
      <c r="F29" t="s">
        <v>142</v>
      </c>
      <c r="G29" t="s">
        <v>100</v>
      </c>
      <c r="H29" t="s">
        <v>90</v>
      </c>
      <c r="I29" t="s">
        <v>669</v>
      </c>
      <c r="J29" t="s">
        <v>670</v>
      </c>
    </row>
    <row r="30" spans="1:10" x14ac:dyDescent="0.25">
      <c r="A30">
        <v>26</v>
      </c>
      <c r="B30" t="s">
        <v>600</v>
      </c>
      <c r="C30" t="s">
        <v>249</v>
      </c>
      <c r="D30" t="s">
        <v>239</v>
      </c>
      <c r="E30" t="s">
        <v>107</v>
      </c>
      <c r="F30" t="s">
        <v>274</v>
      </c>
      <c r="G30" t="s">
        <v>102</v>
      </c>
      <c r="H30" t="s">
        <v>90</v>
      </c>
      <c r="I30" t="s">
        <v>671</v>
      </c>
      <c r="J30" t="s">
        <v>672</v>
      </c>
    </row>
    <row r="31" spans="1:10" x14ac:dyDescent="0.25">
      <c r="A31">
        <v>27</v>
      </c>
      <c r="B31" t="s">
        <v>601</v>
      </c>
      <c r="C31" t="s">
        <v>602</v>
      </c>
      <c r="D31" t="s">
        <v>114</v>
      </c>
      <c r="E31" t="s">
        <v>107</v>
      </c>
      <c r="F31" t="s">
        <v>101</v>
      </c>
      <c r="G31" t="s">
        <v>108</v>
      </c>
      <c r="H31" t="s">
        <v>90</v>
      </c>
      <c r="I31" t="s">
        <v>673</v>
      </c>
      <c r="J31" t="s">
        <v>674</v>
      </c>
    </row>
    <row r="32" spans="1:10" x14ac:dyDescent="0.25">
      <c r="A32">
        <v>28</v>
      </c>
      <c r="B32" t="s">
        <v>603</v>
      </c>
      <c r="C32" t="s">
        <v>564</v>
      </c>
      <c r="D32" t="s">
        <v>104</v>
      </c>
      <c r="E32" t="s">
        <v>114</v>
      </c>
      <c r="F32" t="s">
        <v>114</v>
      </c>
      <c r="G32" t="s">
        <v>604</v>
      </c>
      <c r="H32" t="s">
        <v>90</v>
      </c>
      <c r="I32" t="s">
        <v>675</v>
      </c>
      <c r="J32" t="s">
        <v>676</v>
      </c>
    </row>
    <row r="33" spans="1:10" x14ac:dyDescent="0.25">
      <c r="A33">
        <v>29</v>
      </c>
      <c r="B33" t="s">
        <v>605</v>
      </c>
      <c r="C33" t="s">
        <v>132</v>
      </c>
      <c r="D33" t="s">
        <v>257</v>
      </c>
      <c r="E33" t="s">
        <v>144</v>
      </c>
      <c r="F33" t="s">
        <v>604</v>
      </c>
      <c r="G33" t="s">
        <v>606</v>
      </c>
      <c r="H33" t="s">
        <v>90</v>
      </c>
      <c r="I33" t="s">
        <v>677</v>
      </c>
      <c r="J33" t="s">
        <v>678</v>
      </c>
    </row>
    <row r="34" spans="1:10" x14ac:dyDescent="0.25">
      <c r="A34">
        <v>30</v>
      </c>
      <c r="B34" t="s">
        <v>607</v>
      </c>
      <c r="C34" t="s">
        <v>106</v>
      </c>
      <c r="D34" t="s">
        <v>107</v>
      </c>
      <c r="E34" t="s">
        <v>107</v>
      </c>
      <c r="F34" t="s">
        <v>608</v>
      </c>
      <c r="G34" t="s">
        <v>240</v>
      </c>
      <c r="H34" t="s">
        <v>90</v>
      </c>
      <c r="I34" t="s">
        <v>679</v>
      </c>
      <c r="J34" t="s">
        <v>680</v>
      </c>
    </row>
    <row r="35" spans="1:10" x14ac:dyDescent="0.25">
      <c r="A35">
        <v>31</v>
      </c>
      <c r="B35" t="s">
        <v>609</v>
      </c>
      <c r="C35" t="s">
        <v>123</v>
      </c>
      <c r="D35" t="s">
        <v>236</v>
      </c>
      <c r="E35" t="s">
        <v>85</v>
      </c>
      <c r="F35" t="s">
        <v>124</v>
      </c>
      <c r="G35" t="s">
        <v>143</v>
      </c>
      <c r="H35" t="s">
        <v>90</v>
      </c>
      <c r="I35" t="s">
        <v>681</v>
      </c>
      <c r="J35" t="s">
        <v>682</v>
      </c>
    </row>
    <row r="36" spans="1:10" x14ac:dyDescent="0.25">
      <c r="A36">
        <v>32</v>
      </c>
      <c r="B36" t="s">
        <v>610</v>
      </c>
      <c r="C36" t="s">
        <v>604</v>
      </c>
      <c r="D36" t="s">
        <v>102</v>
      </c>
      <c r="E36" t="s">
        <v>254</v>
      </c>
      <c r="F36" t="s">
        <v>257</v>
      </c>
      <c r="G36" t="s">
        <v>611</v>
      </c>
      <c r="H36" t="s">
        <v>90</v>
      </c>
      <c r="I36" t="s">
        <v>683</v>
      </c>
      <c r="J36" t="s">
        <v>684</v>
      </c>
    </row>
    <row r="37" spans="1:10" x14ac:dyDescent="0.25">
      <c r="A37">
        <v>33</v>
      </c>
      <c r="B37" t="s">
        <v>612</v>
      </c>
      <c r="C37" t="s">
        <v>143</v>
      </c>
      <c r="D37" t="s">
        <v>146</v>
      </c>
      <c r="E37" t="s">
        <v>124</v>
      </c>
      <c r="F37" t="s">
        <v>602</v>
      </c>
      <c r="G37" t="s">
        <v>602</v>
      </c>
      <c r="H37" t="s">
        <v>90</v>
      </c>
      <c r="I37" t="s">
        <v>685</v>
      </c>
      <c r="J37" t="s">
        <v>686</v>
      </c>
    </row>
    <row r="38" spans="1:10" x14ac:dyDescent="0.25">
      <c r="A38">
        <v>34</v>
      </c>
      <c r="B38" t="s">
        <v>613</v>
      </c>
      <c r="C38" t="s">
        <v>123</v>
      </c>
      <c r="D38" t="s">
        <v>106</v>
      </c>
      <c r="E38" t="s">
        <v>238</v>
      </c>
      <c r="F38" t="s">
        <v>127</v>
      </c>
      <c r="G38" t="s">
        <v>614</v>
      </c>
      <c r="H38" t="s">
        <v>115</v>
      </c>
      <c r="I38" t="s">
        <v>687</v>
      </c>
      <c r="J38" t="s">
        <v>688</v>
      </c>
    </row>
    <row r="39" spans="1:10" x14ac:dyDescent="0.25">
      <c r="A39">
        <v>35</v>
      </c>
      <c r="B39" t="s">
        <v>615</v>
      </c>
      <c r="C39" t="s">
        <v>98</v>
      </c>
      <c r="D39" t="s">
        <v>128</v>
      </c>
      <c r="E39" t="s">
        <v>92</v>
      </c>
      <c r="F39" t="s">
        <v>267</v>
      </c>
      <c r="G39" t="s">
        <v>107</v>
      </c>
      <c r="H39" t="s">
        <v>90</v>
      </c>
      <c r="I39" t="s">
        <v>689</v>
      </c>
      <c r="J39" t="s">
        <v>690</v>
      </c>
    </row>
    <row r="40" spans="1:10" x14ac:dyDescent="0.25">
      <c r="A40">
        <v>36</v>
      </c>
      <c r="B40" t="s">
        <v>337</v>
      </c>
      <c r="C40" t="s">
        <v>104</v>
      </c>
      <c r="D40" t="s">
        <v>244</v>
      </c>
      <c r="E40" t="s">
        <v>236</v>
      </c>
      <c r="F40" t="s">
        <v>608</v>
      </c>
      <c r="G40" t="s">
        <v>120</v>
      </c>
      <c r="H40" t="s">
        <v>90</v>
      </c>
      <c r="I40" t="s">
        <v>691</v>
      </c>
      <c r="J40" t="s">
        <v>692</v>
      </c>
    </row>
    <row r="41" spans="1:10" x14ac:dyDescent="0.25">
      <c r="A41">
        <v>37</v>
      </c>
      <c r="B41" t="s">
        <v>616</v>
      </c>
      <c r="C41" t="s">
        <v>132</v>
      </c>
      <c r="D41" t="s">
        <v>101</v>
      </c>
      <c r="E41" t="s">
        <v>128</v>
      </c>
      <c r="F41" t="s">
        <v>140</v>
      </c>
      <c r="G41" t="s">
        <v>617</v>
      </c>
      <c r="H41" t="s">
        <v>90</v>
      </c>
      <c r="I41" t="s">
        <v>693</v>
      </c>
      <c r="J41" t="s">
        <v>694</v>
      </c>
    </row>
    <row r="42" spans="1:10" x14ac:dyDescent="0.25">
      <c r="A42">
        <v>38</v>
      </c>
      <c r="B42" t="s">
        <v>618</v>
      </c>
      <c r="C42" t="s">
        <v>111</v>
      </c>
      <c r="D42" t="s">
        <v>111</v>
      </c>
      <c r="E42" t="s">
        <v>251</v>
      </c>
      <c r="F42" t="s">
        <v>253</v>
      </c>
      <c r="G42" t="s">
        <v>604</v>
      </c>
      <c r="H42" t="s">
        <v>90</v>
      </c>
      <c r="I42" t="s">
        <v>695</v>
      </c>
      <c r="J42" t="s">
        <v>696</v>
      </c>
    </row>
    <row r="43" spans="1:10" x14ac:dyDescent="0.25">
      <c r="A43">
        <v>39</v>
      </c>
      <c r="B43" t="s">
        <v>619</v>
      </c>
      <c r="C43" t="s">
        <v>128</v>
      </c>
      <c r="D43" t="s">
        <v>105</v>
      </c>
      <c r="E43" t="s">
        <v>107</v>
      </c>
      <c r="F43" t="s">
        <v>594</v>
      </c>
      <c r="G43" t="s">
        <v>232</v>
      </c>
      <c r="H43" t="s">
        <v>115</v>
      </c>
      <c r="I43" t="s">
        <v>697</v>
      </c>
      <c r="J43" t="s">
        <v>698</v>
      </c>
    </row>
    <row r="44" spans="1:10" x14ac:dyDescent="0.25">
      <c r="A44">
        <v>40</v>
      </c>
      <c r="B44" t="s">
        <v>620</v>
      </c>
      <c r="C44" t="s">
        <v>85</v>
      </c>
      <c r="D44" t="s">
        <v>98</v>
      </c>
      <c r="E44" t="s">
        <v>246</v>
      </c>
      <c r="F44" t="s">
        <v>118</v>
      </c>
      <c r="G44" t="s">
        <v>573</v>
      </c>
      <c r="H44" t="s">
        <v>115</v>
      </c>
      <c r="I44" t="s">
        <v>699</v>
      </c>
      <c r="J44" t="s">
        <v>700</v>
      </c>
    </row>
    <row r="47" spans="1:10" x14ac:dyDescent="0.25">
      <c r="B47" t="s">
        <v>701</v>
      </c>
    </row>
    <row r="48" spans="1:10" ht="18" x14ac:dyDescent="0.25">
      <c r="B48" s="67" t="s">
        <v>702</v>
      </c>
    </row>
    <row r="50" spans="2:2" x14ac:dyDescent="0.25">
      <c r="B50" s="68" t="s">
        <v>703</v>
      </c>
    </row>
    <row r="52" spans="2:2" x14ac:dyDescent="0.25">
      <c r="B52" s="68" t="s">
        <v>704</v>
      </c>
    </row>
    <row r="54" spans="2:2" x14ac:dyDescent="0.25">
      <c r="B54" s="68" t="s">
        <v>705</v>
      </c>
    </row>
    <row r="56" spans="2:2" x14ac:dyDescent="0.25">
      <c r="B56" s="68" t="s">
        <v>706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data TE</vt:lpstr>
      <vt:lpstr>data TKR</vt:lpstr>
      <vt:lpstr>data tkj</vt:lpstr>
      <vt:lpstr>data AK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2026-04-09T06:11:42Z</dcterms:created>
  <dcterms:modified xsi:type="dcterms:W3CDTF">2026-04-10T08:57:35Z</dcterms:modified>
</cp:coreProperties>
</file>