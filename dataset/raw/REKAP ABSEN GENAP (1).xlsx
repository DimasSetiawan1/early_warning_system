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thf\OneDrive\Dokumen\SMK Yatindo\ABSEN\2025-2026\"/>
    </mc:Choice>
  </mc:AlternateContent>
  <xr:revisionPtr revIDLastSave="0" documentId="13_ncr:1_{0D5919D4-EA56-43A8-906E-F78BE6589599}" xr6:coauthVersionLast="47" xr6:coauthVersionMax="47" xr10:uidLastSave="{00000000-0000-0000-0000-000000000000}"/>
  <bookViews>
    <workbookView xWindow="-110" yWindow="-110" windowWidth="19420" windowHeight="10300" xr2:uid="{D7636F04-69CF-4598-BB3F-2F06D47AA458}"/>
  </bookViews>
  <sheets>
    <sheet name="X" sheetId="12" r:id="rId1"/>
    <sheet name="Lembar1" sheetId="16" state="hidden" r:id="rId2"/>
    <sheet name="XI" sheetId="14" r:id="rId3"/>
    <sheet name="Lembar2" sheetId="17" state="hidden" r:id="rId4"/>
    <sheet name="XII" sheetId="15" r:id="rId5"/>
    <sheet name="REKAP ABSEN" sheetId="19" state="hidden" r:id="rId6"/>
    <sheet name="TERLAMBAT" sheetId="20" state="hidden" r:id="rId7"/>
    <sheet name="Lembar3" sheetId="18" state="hidden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89" i="15" l="1"/>
  <c r="BB59" i="14" a="1"/>
  <c r="BB59" i="14"/>
  <c r="AW9" i="15" l="1"/>
  <c r="AV9" i="15"/>
  <c r="AU9" i="15"/>
  <c r="BB213" i="15" a="1"/>
  <c r="BB213" i="15"/>
  <c r="BB174" i="15" a="1"/>
  <c r="BB174" i="15"/>
  <c r="BB137" i="15" a="1"/>
  <c r="BB137" i="15"/>
  <c r="BB102" i="15" a="1"/>
  <c r="BB102" i="15"/>
  <c r="BB65" i="15" a="1"/>
  <c r="BB65" i="15"/>
  <c r="BB28" i="15" a="1"/>
  <c r="BB28" i="15"/>
  <c r="BB9" i="15" a="1"/>
  <c r="BB9" i="15"/>
  <c r="BB181" i="14" a="1"/>
  <c r="BB181" i="14"/>
  <c r="BB139" i="14" a="1"/>
  <c r="BB139" i="14"/>
  <c r="BB93" i="14" a="1"/>
  <c r="BB93" i="14"/>
  <c r="BB26" i="14" a="1"/>
  <c r="BB26" i="14"/>
  <c r="BB10" i="14" a="1"/>
  <c r="BB10" i="14"/>
  <c r="BB271" i="12" a="1"/>
  <c r="BB271" i="12"/>
  <c r="BB227" i="12" a="1"/>
  <c r="BB227" i="12"/>
  <c r="BB182" i="12" a="1"/>
  <c r="BB182" i="12"/>
  <c r="BB137" i="12" a="1"/>
  <c r="BB137" i="12"/>
  <c r="BB87" i="12" a="1"/>
  <c r="BB87" i="12"/>
  <c r="BB37" i="12" a="1"/>
  <c r="BB37" i="12"/>
  <c r="BB9" i="12" a="1"/>
  <c r="BB9" i="12"/>
  <c r="P163" i="12" l="1"/>
  <c r="Q163" i="12"/>
  <c r="R163" i="12"/>
  <c r="W163" i="12"/>
  <c r="X163" i="12"/>
  <c r="Y163" i="12"/>
  <c r="AD163" i="12"/>
  <c r="AE163" i="12"/>
  <c r="AF163" i="12"/>
  <c r="AK163" i="12"/>
  <c r="AL163" i="12"/>
  <c r="AM163" i="12"/>
  <c r="AR163" i="12"/>
  <c r="AS163" i="12"/>
  <c r="AT163" i="12"/>
  <c r="AU163" i="12"/>
  <c r="AV163" i="12"/>
  <c r="AW163" i="12"/>
  <c r="AY163" i="12"/>
  <c r="AZ163" i="12"/>
  <c r="BC163" i="12"/>
  <c r="BD163" i="12"/>
  <c r="BF163" i="12"/>
  <c r="I163" i="12"/>
  <c r="J163" i="12"/>
  <c r="K163" i="12"/>
  <c r="AS138" i="15"/>
  <c r="AS139" i="15"/>
  <c r="AS140" i="15"/>
  <c r="AS141" i="15"/>
  <c r="AS142" i="15"/>
  <c r="AS143" i="15"/>
  <c r="AS144" i="15"/>
  <c r="AT144" i="15" s="1"/>
  <c r="AS145" i="15"/>
  <c r="AS146" i="15"/>
  <c r="AS147" i="15"/>
  <c r="AS148" i="15"/>
  <c r="AS149" i="15"/>
  <c r="AS150" i="15"/>
  <c r="AS151" i="15"/>
  <c r="AS152" i="15"/>
  <c r="AT152" i="15" s="1"/>
  <c r="AS153" i="15"/>
  <c r="AS154" i="15"/>
  <c r="AS155" i="15"/>
  <c r="AS156" i="15"/>
  <c r="AS157" i="15"/>
  <c r="AS158" i="15"/>
  <c r="AS159" i="15"/>
  <c r="AS160" i="15"/>
  <c r="AS161" i="15"/>
  <c r="AS162" i="15"/>
  <c r="AS163" i="15"/>
  <c r="AS164" i="15"/>
  <c r="AS165" i="15"/>
  <c r="AS166" i="15"/>
  <c r="AS167" i="15"/>
  <c r="AS168" i="15"/>
  <c r="AT168" i="15" s="1"/>
  <c r="AY213" i="15"/>
  <c r="AZ213" i="15" s="1"/>
  <c r="AR213" i="15"/>
  <c r="AS213" i="15" s="1"/>
  <c r="AT213" i="15" s="1"/>
  <c r="AK213" i="15"/>
  <c r="AL213" i="15" s="1"/>
  <c r="AM213" i="15" s="1"/>
  <c r="AD213" i="15"/>
  <c r="AE213" i="15" s="1"/>
  <c r="AF213" i="15" s="1"/>
  <c r="W213" i="15"/>
  <c r="X213" i="15" s="1"/>
  <c r="Y213" i="15" s="1"/>
  <c r="P213" i="15"/>
  <c r="Q213" i="15" s="1"/>
  <c r="R213" i="15" s="1"/>
  <c r="I213" i="15"/>
  <c r="J213" i="15" s="1"/>
  <c r="K213" i="15" s="1"/>
  <c r="AY174" i="15"/>
  <c r="AS174" i="15"/>
  <c r="AT174" i="15" s="1"/>
  <c r="AR174" i="15"/>
  <c r="AK174" i="15"/>
  <c r="AL174" i="15" s="1"/>
  <c r="AM174" i="15" s="1"/>
  <c r="AD174" i="15"/>
  <c r="AE174" i="15" s="1"/>
  <c r="AF174" i="15" s="1"/>
  <c r="W174" i="15"/>
  <c r="X174" i="15" s="1"/>
  <c r="Y174" i="15" s="1"/>
  <c r="P174" i="15"/>
  <c r="Q174" i="15" s="1"/>
  <c r="R174" i="15" s="1"/>
  <c r="I174" i="15"/>
  <c r="J174" i="15" s="1"/>
  <c r="K174" i="15" s="1"/>
  <c r="AY137" i="15"/>
  <c r="AR137" i="15"/>
  <c r="AS137" i="15" s="1"/>
  <c r="AT137" i="15" s="1"/>
  <c r="AK137" i="15"/>
  <c r="AL137" i="15" s="1"/>
  <c r="AM137" i="15" s="1"/>
  <c r="AE137" i="15"/>
  <c r="AF137" i="15" s="1"/>
  <c r="AD137" i="15"/>
  <c r="X137" i="15"/>
  <c r="Y137" i="15" s="1"/>
  <c r="W137" i="15"/>
  <c r="P137" i="15"/>
  <c r="Q137" i="15" s="1"/>
  <c r="R137" i="15" s="1"/>
  <c r="I137" i="15"/>
  <c r="J137" i="15" s="1"/>
  <c r="K137" i="15" s="1"/>
  <c r="AY102" i="15"/>
  <c r="AZ102" i="15" s="1"/>
  <c r="AR102" i="15"/>
  <c r="AS102" i="15" s="1"/>
  <c r="AT102" i="15" s="1"/>
  <c r="AK102" i="15"/>
  <c r="AL102" i="15" s="1"/>
  <c r="AM102" i="15" s="1"/>
  <c r="AD102" i="15"/>
  <c r="AE102" i="15" s="1"/>
  <c r="AF102" i="15" s="1"/>
  <c r="W102" i="15"/>
  <c r="X102" i="15" s="1"/>
  <c r="Y102" i="15" s="1"/>
  <c r="P102" i="15"/>
  <c r="Q102" i="15" s="1"/>
  <c r="R102" i="15" s="1"/>
  <c r="I102" i="15"/>
  <c r="J102" i="15" s="1"/>
  <c r="K102" i="15" s="1"/>
  <c r="AY65" i="15"/>
  <c r="AS65" i="15"/>
  <c r="AT65" i="15" s="1"/>
  <c r="AR65" i="15"/>
  <c r="AK65" i="15"/>
  <c r="AL65" i="15" s="1"/>
  <c r="AM65" i="15" s="1"/>
  <c r="AD65" i="15"/>
  <c r="AE65" i="15" s="1"/>
  <c r="AF65" i="15" s="1"/>
  <c r="W65" i="15"/>
  <c r="X65" i="15" s="1"/>
  <c r="Y65" i="15" s="1"/>
  <c r="P65" i="15"/>
  <c r="Q65" i="15" s="1"/>
  <c r="R65" i="15" s="1"/>
  <c r="I65" i="15"/>
  <c r="J65" i="15" s="1"/>
  <c r="K65" i="15" s="1"/>
  <c r="AY28" i="15"/>
  <c r="AR28" i="15"/>
  <c r="AS28" i="15" s="1"/>
  <c r="AT28" i="15" s="1"/>
  <c r="AK28" i="15"/>
  <c r="AL28" i="15" s="1"/>
  <c r="AM28" i="15" s="1"/>
  <c r="AD28" i="15"/>
  <c r="AE28" i="15" s="1"/>
  <c r="AF28" i="15" s="1"/>
  <c r="X28" i="15"/>
  <c r="Y28" i="15" s="1"/>
  <c r="W28" i="15"/>
  <c r="P28" i="15"/>
  <c r="Q28" i="15" s="1"/>
  <c r="R28" i="15" s="1"/>
  <c r="I28" i="15"/>
  <c r="J28" i="15" s="1"/>
  <c r="K28" i="15" s="1"/>
  <c r="AY9" i="15"/>
  <c r="AS9" i="15"/>
  <c r="AT9" i="15" s="1"/>
  <c r="AR9" i="15"/>
  <c r="AL9" i="15"/>
  <c r="AM9" i="15" s="1"/>
  <c r="AK9" i="15"/>
  <c r="AF9" i="15"/>
  <c r="AE9" i="15"/>
  <c r="AD9" i="15"/>
  <c r="W9" i="15"/>
  <c r="X9" i="15" s="1"/>
  <c r="Y9" i="15" s="1"/>
  <c r="P9" i="15"/>
  <c r="Q9" i="15" s="1"/>
  <c r="R9" i="15" s="1"/>
  <c r="I9" i="15"/>
  <c r="J9" i="15" s="1"/>
  <c r="K9" i="15" s="1"/>
  <c r="AL94" i="14"/>
  <c r="AL95" i="14"/>
  <c r="AL96" i="14"/>
  <c r="AL97" i="14"/>
  <c r="AL98" i="14"/>
  <c r="AL99" i="14"/>
  <c r="AL100" i="14"/>
  <c r="AL101" i="14"/>
  <c r="AL102" i="14"/>
  <c r="AL103" i="14"/>
  <c r="AL104" i="14"/>
  <c r="AL105" i="14"/>
  <c r="AL106" i="14"/>
  <c r="AL107" i="14"/>
  <c r="AL108" i="14"/>
  <c r="AL109" i="14"/>
  <c r="AL110" i="14"/>
  <c r="AL111" i="14"/>
  <c r="AL112" i="14"/>
  <c r="AL113" i="14"/>
  <c r="AL114" i="14"/>
  <c r="AL115" i="14"/>
  <c r="AL116" i="14"/>
  <c r="AL117" i="14"/>
  <c r="AL118" i="14"/>
  <c r="AL119" i="14"/>
  <c r="AL120" i="14"/>
  <c r="AL121" i="14"/>
  <c r="AL122" i="14"/>
  <c r="AL123" i="14"/>
  <c r="AL124" i="14"/>
  <c r="AL125" i="14"/>
  <c r="AL126" i="14"/>
  <c r="AL127" i="14"/>
  <c r="AL128" i="14"/>
  <c r="AL129" i="14"/>
  <c r="AL130" i="14"/>
  <c r="AL131" i="14"/>
  <c r="AL132" i="14"/>
  <c r="AL133" i="14"/>
  <c r="AE60" i="14"/>
  <c r="AE61" i="14"/>
  <c r="AE62" i="14"/>
  <c r="AE63" i="14"/>
  <c r="AE64" i="14"/>
  <c r="AE65" i="14"/>
  <c r="AE66" i="14"/>
  <c r="AE67" i="14"/>
  <c r="AF67" i="14" s="1"/>
  <c r="AE68" i="14"/>
  <c r="AE69" i="14"/>
  <c r="AE70" i="14"/>
  <c r="AE71" i="14"/>
  <c r="AE72" i="14"/>
  <c r="AE73" i="14"/>
  <c r="AF73" i="14" s="1"/>
  <c r="AE74" i="14"/>
  <c r="AE75" i="14"/>
  <c r="AF75" i="14" s="1"/>
  <c r="AE76" i="14"/>
  <c r="AE77" i="14"/>
  <c r="AE78" i="14"/>
  <c r="AE79" i="14"/>
  <c r="AE80" i="14"/>
  <c r="AE81" i="14"/>
  <c r="AF81" i="14" s="1"/>
  <c r="AE82" i="14"/>
  <c r="AE83" i="14"/>
  <c r="AE84" i="14"/>
  <c r="AE85" i="14"/>
  <c r="AE86" i="14"/>
  <c r="AE87" i="14"/>
  <c r="AL60" i="14"/>
  <c r="AL61" i="14"/>
  <c r="AL62" i="14"/>
  <c r="AL63" i="14"/>
  <c r="AL64" i="14"/>
  <c r="AL65" i="14"/>
  <c r="AL66" i="14"/>
  <c r="AL67" i="14"/>
  <c r="AL68" i="14"/>
  <c r="AL69" i="14"/>
  <c r="AL70" i="14"/>
  <c r="AL71" i="14"/>
  <c r="AL72" i="14"/>
  <c r="AL73" i="14"/>
  <c r="AL74" i="14"/>
  <c r="AL75" i="14"/>
  <c r="AL76" i="14"/>
  <c r="AL77" i="14"/>
  <c r="AL78" i="14"/>
  <c r="AL79" i="14"/>
  <c r="AL80" i="14"/>
  <c r="AL81" i="14"/>
  <c r="AL82" i="14"/>
  <c r="AL83" i="14"/>
  <c r="AL84" i="14"/>
  <c r="AL85" i="14"/>
  <c r="AL86" i="14"/>
  <c r="AL87" i="14"/>
  <c r="AS60" i="14"/>
  <c r="AS61" i="14"/>
  <c r="AS62" i="14"/>
  <c r="AS63" i="14"/>
  <c r="AS64" i="14"/>
  <c r="AS65" i="14"/>
  <c r="AS66" i="14"/>
  <c r="AS67" i="14"/>
  <c r="AT67" i="14" s="1"/>
  <c r="AS68" i="14"/>
  <c r="AS69" i="14"/>
  <c r="AS70" i="14"/>
  <c r="AS71" i="14"/>
  <c r="AS72" i="14"/>
  <c r="AS73" i="14"/>
  <c r="AS74" i="14"/>
  <c r="AS75" i="14"/>
  <c r="AT75" i="14" s="1"/>
  <c r="AS76" i="14"/>
  <c r="AS77" i="14"/>
  <c r="AS78" i="14"/>
  <c r="AS79" i="14"/>
  <c r="AS80" i="14"/>
  <c r="AS81" i="14"/>
  <c r="AS82" i="14"/>
  <c r="AS83" i="14"/>
  <c r="AT83" i="14" s="1"/>
  <c r="AS84" i="14"/>
  <c r="AS85" i="14"/>
  <c r="AS86" i="14"/>
  <c r="AS87" i="14"/>
  <c r="AS181" i="14"/>
  <c r="AT181" i="14" s="1"/>
  <c r="AR181" i="14"/>
  <c r="AK181" i="14"/>
  <c r="AL181" i="14" s="1"/>
  <c r="AM181" i="14" s="1"/>
  <c r="AE181" i="14"/>
  <c r="AF181" i="14" s="1"/>
  <c r="AD181" i="14"/>
  <c r="W181" i="14"/>
  <c r="X181" i="14" s="1"/>
  <c r="Y181" i="14" s="1"/>
  <c r="P181" i="14"/>
  <c r="Q181" i="14" s="1"/>
  <c r="R181" i="14" s="1"/>
  <c r="I181" i="14"/>
  <c r="J181" i="14" s="1"/>
  <c r="K181" i="14" s="1"/>
  <c r="AR139" i="14"/>
  <c r="AS139" i="14" s="1"/>
  <c r="AT139" i="14" s="1"/>
  <c r="AK139" i="14"/>
  <c r="AL139" i="14" s="1"/>
  <c r="AM139" i="14" s="1"/>
  <c r="AE139" i="14"/>
  <c r="AF139" i="14" s="1"/>
  <c r="AD139" i="14"/>
  <c r="W139" i="14"/>
  <c r="X139" i="14" s="1"/>
  <c r="Y139" i="14" s="1"/>
  <c r="P139" i="14"/>
  <c r="Q139" i="14" s="1"/>
  <c r="R139" i="14" s="1"/>
  <c r="I139" i="14"/>
  <c r="J139" i="14" s="1"/>
  <c r="K139" i="14" s="1"/>
  <c r="AS93" i="14"/>
  <c r="AT93" i="14" s="1"/>
  <c r="AR93" i="14"/>
  <c r="AK93" i="14"/>
  <c r="AL93" i="14" s="1"/>
  <c r="AM93" i="14" s="1"/>
  <c r="AD93" i="14"/>
  <c r="AE93" i="14" s="1"/>
  <c r="AF93" i="14" s="1"/>
  <c r="W93" i="14"/>
  <c r="X93" i="14" s="1"/>
  <c r="Y93" i="14" s="1"/>
  <c r="P93" i="14"/>
  <c r="Q93" i="14" s="1"/>
  <c r="R93" i="14" s="1"/>
  <c r="I93" i="14"/>
  <c r="J93" i="14" s="1"/>
  <c r="K93" i="14" s="1"/>
  <c r="AR59" i="14"/>
  <c r="AS59" i="14" s="1"/>
  <c r="AT59" i="14" s="1"/>
  <c r="AL59" i="14"/>
  <c r="AM59" i="14" s="1"/>
  <c r="AK59" i="14"/>
  <c r="AD59" i="14"/>
  <c r="AE59" i="14" s="1"/>
  <c r="AF59" i="14" s="1"/>
  <c r="W59" i="14"/>
  <c r="X59" i="14" s="1"/>
  <c r="Y59" i="14" s="1"/>
  <c r="P59" i="14"/>
  <c r="Q59" i="14" s="1"/>
  <c r="R59" i="14" s="1"/>
  <c r="I59" i="14"/>
  <c r="J59" i="14" s="1"/>
  <c r="K59" i="14" s="1"/>
  <c r="AW26" i="14"/>
  <c r="AV26" i="14"/>
  <c r="AU26" i="14"/>
  <c r="AR26" i="14"/>
  <c r="AS26" i="14" s="1"/>
  <c r="AT26" i="14" s="1"/>
  <c r="AK26" i="14"/>
  <c r="AL26" i="14" s="1"/>
  <c r="AM26" i="14" s="1"/>
  <c r="AE26" i="14"/>
  <c r="AF26" i="14" s="1"/>
  <c r="AD26" i="14"/>
  <c r="W26" i="14"/>
  <c r="X26" i="14" s="1"/>
  <c r="Y26" i="14" s="1"/>
  <c r="P26" i="14"/>
  <c r="Q26" i="14" s="1"/>
  <c r="R26" i="14" s="1"/>
  <c r="I26" i="14"/>
  <c r="J26" i="14" s="1"/>
  <c r="K26" i="14" s="1"/>
  <c r="AW10" i="14"/>
  <c r="AV10" i="14"/>
  <c r="AU10" i="14"/>
  <c r="AR10" i="14"/>
  <c r="AS10" i="14" s="1"/>
  <c r="AT10" i="14" s="1"/>
  <c r="AK10" i="14"/>
  <c r="AL10" i="14" s="1"/>
  <c r="AM10" i="14" s="1"/>
  <c r="AD10" i="14"/>
  <c r="AE10" i="14" s="1"/>
  <c r="AF10" i="14" s="1"/>
  <c r="W10" i="14"/>
  <c r="X10" i="14" s="1"/>
  <c r="Y10" i="14" s="1"/>
  <c r="P10" i="14"/>
  <c r="Q10" i="14" s="1"/>
  <c r="R10" i="14" s="1"/>
  <c r="I10" i="14"/>
  <c r="J10" i="14" s="1"/>
  <c r="K10" i="14" s="1"/>
  <c r="AW271" i="12"/>
  <c r="AV271" i="12"/>
  <c r="AU271" i="12"/>
  <c r="AR271" i="12"/>
  <c r="AS271" i="12" s="1"/>
  <c r="AT271" i="12" s="1"/>
  <c r="AK271" i="12"/>
  <c r="AL271" i="12" s="1"/>
  <c r="AM271" i="12" s="1"/>
  <c r="AD271" i="12"/>
  <c r="AE271" i="12" s="1"/>
  <c r="AF271" i="12" s="1"/>
  <c r="W271" i="12"/>
  <c r="X271" i="12" s="1"/>
  <c r="Y271" i="12" s="1"/>
  <c r="P271" i="12"/>
  <c r="Q271" i="12" s="1"/>
  <c r="R271" i="12" s="1"/>
  <c r="I271" i="12"/>
  <c r="J271" i="12" s="1"/>
  <c r="K271" i="12" s="1"/>
  <c r="AW227" i="12"/>
  <c r="AV227" i="12"/>
  <c r="AU227" i="12"/>
  <c r="AR227" i="12"/>
  <c r="AS227" i="12" s="1"/>
  <c r="AT227" i="12" s="1"/>
  <c r="AK227" i="12"/>
  <c r="AL227" i="12" s="1"/>
  <c r="AM227" i="12" s="1"/>
  <c r="AD227" i="12"/>
  <c r="AE227" i="12" s="1"/>
  <c r="AF227" i="12" s="1"/>
  <c r="W227" i="12"/>
  <c r="X227" i="12" s="1"/>
  <c r="Y227" i="12" s="1"/>
  <c r="P227" i="12"/>
  <c r="Q227" i="12" s="1"/>
  <c r="R227" i="12" s="1"/>
  <c r="I227" i="12"/>
  <c r="J227" i="12" s="1"/>
  <c r="K227" i="12" s="1"/>
  <c r="AW182" i="12"/>
  <c r="AV182" i="12"/>
  <c r="AU182" i="12"/>
  <c r="AR182" i="12"/>
  <c r="AS182" i="12" s="1"/>
  <c r="AT182" i="12" s="1"/>
  <c r="AK182" i="12"/>
  <c r="AL182" i="12" s="1"/>
  <c r="AM182" i="12" s="1"/>
  <c r="AD182" i="12"/>
  <c r="AE182" i="12" s="1"/>
  <c r="AF182" i="12" s="1"/>
  <c r="W182" i="12"/>
  <c r="X182" i="12" s="1"/>
  <c r="Y182" i="12" s="1"/>
  <c r="P182" i="12"/>
  <c r="Q182" i="12" s="1"/>
  <c r="R182" i="12" s="1"/>
  <c r="I182" i="12"/>
  <c r="J182" i="12" s="1"/>
  <c r="K182" i="12" s="1"/>
  <c r="I138" i="12"/>
  <c r="J138" i="12"/>
  <c r="K138" i="12"/>
  <c r="P138" i="12"/>
  <c r="Q138" i="12"/>
  <c r="R138" i="12"/>
  <c r="W138" i="12"/>
  <c r="X138" i="12"/>
  <c r="Y138" i="12"/>
  <c r="AD138" i="12"/>
  <c r="AE138" i="12"/>
  <c r="AF138" i="12"/>
  <c r="AK138" i="12"/>
  <c r="AL138" i="12"/>
  <c r="AM138" i="12"/>
  <c r="AR138" i="12"/>
  <c r="AS138" i="12"/>
  <c r="AT138" i="12"/>
  <c r="AU138" i="12"/>
  <c r="AV138" i="12"/>
  <c r="AW138" i="12"/>
  <c r="I139" i="12"/>
  <c r="J139" i="12"/>
  <c r="K139" i="12"/>
  <c r="P139" i="12"/>
  <c r="Q139" i="12"/>
  <c r="R139" i="12"/>
  <c r="W139" i="12"/>
  <c r="X139" i="12"/>
  <c r="Y139" i="12"/>
  <c r="AD139" i="12"/>
  <c r="AE139" i="12"/>
  <c r="AF139" i="12"/>
  <c r="AK139" i="12"/>
  <c r="AL139" i="12"/>
  <c r="AM139" i="12"/>
  <c r="AR139" i="12"/>
  <c r="AS139" i="12"/>
  <c r="AT139" i="12"/>
  <c r="AU139" i="12"/>
  <c r="AV139" i="12"/>
  <c r="AW139" i="12"/>
  <c r="I140" i="12"/>
  <c r="J140" i="12"/>
  <c r="K140" i="12"/>
  <c r="P140" i="12"/>
  <c r="Q140" i="12"/>
  <c r="R140" i="12"/>
  <c r="W140" i="12"/>
  <c r="X140" i="12"/>
  <c r="Y140" i="12"/>
  <c r="AD140" i="12"/>
  <c r="AE140" i="12"/>
  <c r="AF140" i="12"/>
  <c r="AK140" i="12"/>
  <c r="AL140" i="12"/>
  <c r="AM140" i="12"/>
  <c r="AR140" i="12"/>
  <c r="AS140" i="12"/>
  <c r="AT140" i="12"/>
  <c r="AU140" i="12"/>
  <c r="AV140" i="12"/>
  <c r="AW140" i="12"/>
  <c r="I141" i="12"/>
  <c r="J141" i="12"/>
  <c r="K141" i="12"/>
  <c r="P141" i="12"/>
  <c r="Q141" i="12"/>
  <c r="R141" i="12"/>
  <c r="W141" i="12"/>
  <c r="X141" i="12"/>
  <c r="Y141" i="12"/>
  <c r="AD141" i="12"/>
  <c r="AE141" i="12"/>
  <c r="AF141" i="12"/>
  <c r="AK141" i="12"/>
  <c r="AL141" i="12"/>
  <c r="AM141" i="12"/>
  <c r="AR141" i="12"/>
  <c r="AS141" i="12"/>
  <c r="AT141" i="12"/>
  <c r="AU141" i="12"/>
  <c r="AV141" i="12"/>
  <c r="AW141" i="12"/>
  <c r="I142" i="12"/>
  <c r="J142" i="12"/>
  <c r="K142" i="12"/>
  <c r="P142" i="12"/>
  <c r="Q142" i="12"/>
  <c r="R142" i="12"/>
  <c r="W142" i="12"/>
  <c r="X142" i="12"/>
  <c r="Y142" i="12"/>
  <c r="AD142" i="12"/>
  <c r="AE142" i="12"/>
  <c r="AF142" i="12"/>
  <c r="AK142" i="12"/>
  <c r="AL142" i="12"/>
  <c r="AM142" i="12"/>
  <c r="AR142" i="12"/>
  <c r="AS142" i="12"/>
  <c r="AT142" i="12"/>
  <c r="AU142" i="12"/>
  <c r="AV142" i="12"/>
  <c r="AW142" i="12"/>
  <c r="AW137" i="12"/>
  <c r="AV137" i="12"/>
  <c r="AU137" i="12"/>
  <c r="AR137" i="12"/>
  <c r="AS137" i="12" s="1"/>
  <c r="AT137" i="12" s="1"/>
  <c r="AK137" i="12"/>
  <c r="AL137" i="12" s="1"/>
  <c r="AM137" i="12" s="1"/>
  <c r="AD137" i="12"/>
  <c r="AE137" i="12" s="1"/>
  <c r="AF137" i="12" s="1"/>
  <c r="W137" i="12"/>
  <c r="X137" i="12" s="1"/>
  <c r="Y137" i="12" s="1"/>
  <c r="P137" i="12"/>
  <c r="Q137" i="12" s="1"/>
  <c r="R137" i="12" s="1"/>
  <c r="I137" i="12"/>
  <c r="J137" i="12" s="1"/>
  <c r="K137" i="12" s="1"/>
  <c r="I21" i="19"/>
  <c r="J21" i="19"/>
  <c r="I17" i="19"/>
  <c r="J17" i="19"/>
  <c r="I16" i="19"/>
  <c r="J16" i="19"/>
  <c r="I15" i="19"/>
  <c r="J15" i="19"/>
  <c r="I22" i="19"/>
  <c r="J22" i="19"/>
  <c r="I20" i="19"/>
  <c r="J20" i="19"/>
  <c r="I18" i="19"/>
  <c r="J18" i="19" s="1"/>
  <c r="I14" i="19"/>
  <c r="J14" i="19"/>
  <c r="I19" i="19"/>
  <c r="J19" i="19"/>
  <c r="I7" i="19"/>
  <c r="J7" i="19"/>
  <c r="I8" i="19"/>
  <c r="J8" i="19"/>
  <c r="I9" i="19"/>
  <c r="J9" i="19"/>
  <c r="I13" i="19"/>
  <c r="J13" i="19"/>
  <c r="I11" i="19"/>
  <c r="J11" i="19"/>
  <c r="I10" i="19"/>
  <c r="J10" i="19" s="1"/>
  <c r="I4" i="19"/>
  <c r="J4" i="19" s="1"/>
  <c r="I5" i="19"/>
  <c r="J5" i="19" s="1"/>
  <c r="I6" i="19"/>
  <c r="J6" i="19" s="1"/>
  <c r="I12" i="19"/>
  <c r="J12" i="19" s="1"/>
  <c r="BC15" i="12"/>
  <c r="BC38" i="14"/>
  <c r="BD213" i="15"/>
  <c r="BD174" i="15"/>
  <c r="BD137" i="15"/>
  <c r="BD102" i="15"/>
  <c r="BD65" i="15"/>
  <c r="BD28" i="15"/>
  <c r="BC14" i="15"/>
  <c r="BD103" i="15"/>
  <c r="BD111" i="15"/>
  <c r="BD119" i="15"/>
  <c r="BD130" i="15"/>
  <c r="AR214" i="15"/>
  <c r="AS214" i="15" s="1"/>
  <c r="AT214" i="15" s="1"/>
  <c r="AR215" i="15"/>
  <c r="AS215" i="15" s="1"/>
  <c r="AT215" i="15" s="1"/>
  <c r="AR216" i="15"/>
  <c r="AS216" i="15"/>
  <c r="AT216" i="15" s="1"/>
  <c r="AR217" i="15"/>
  <c r="AS217" i="15" s="1"/>
  <c r="AT217" i="15" s="1"/>
  <c r="AR218" i="15"/>
  <c r="AS218" i="15"/>
  <c r="AT218" i="15" s="1"/>
  <c r="AR219" i="15"/>
  <c r="AS219" i="15" s="1"/>
  <c r="AT219" i="15" s="1"/>
  <c r="AR220" i="15"/>
  <c r="AS220" i="15"/>
  <c r="AT220" i="15" s="1"/>
  <c r="AR221" i="15"/>
  <c r="AS221" i="15" s="1"/>
  <c r="AT221" i="15" s="1"/>
  <c r="AR222" i="15"/>
  <c r="AS222" i="15"/>
  <c r="AT222" i="15"/>
  <c r="AR223" i="15"/>
  <c r="AS223" i="15" s="1"/>
  <c r="AT223" i="15" s="1"/>
  <c r="AR224" i="15"/>
  <c r="AS224" i="15"/>
  <c r="AT224" i="15" s="1"/>
  <c r="AR225" i="15"/>
  <c r="AS225" i="15"/>
  <c r="AT225" i="15" s="1"/>
  <c r="AR226" i="15"/>
  <c r="AS226" i="15"/>
  <c r="AT226" i="15" s="1"/>
  <c r="AR227" i="15"/>
  <c r="AS227" i="15" s="1"/>
  <c r="AT227" i="15" s="1"/>
  <c r="AR228" i="15"/>
  <c r="AS228" i="15"/>
  <c r="AT228" i="15" s="1"/>
  <c r="AR229" i="15"/>
  <c r="AS229" i="15" s="1"/>
  <c r="AT229" i="15" s="1"/>
  <c r="AR230" i="15"/>
  <c r="AS230" i="15"/>
  <c r="AT230" i="15"/>
  <c r="AR231" i="15"/>
  <c r="AS231" i="15" s="1"/>
  <c r="AT231" i="15" s="1"/>
  <c r="AR232" i="15"/>
  <c r="AS232" i="15"/>
  <c r="AT232" i="15" s="1"/>
  <c r="AR233" i="15"/>
  <c r="AS233" i="15"/>
  <c r="AT233" i="15" s="1"/>
  <c r="AR234" i="15"/>
  <c r="AS234" i="15"/>
  <c r="AT234" i="15" s="1"/>
  <c r="AR235" i="15"/>
  <c r="AS235" i="15" s="1"/>
  <c r="AT235" i="15" s="1"/>
  <c r="AR236" i="15"/>
  <c r="AS236" i="15"/>
  <c r="AT236" i="15" s="1"/>
  <c r="AR237" i="15"/>
  <c r="AS237" i="15" s="1"/>
  <c r="AT237" i="15" s="1"/>
  <c r="AR238" i="15"/>
  <c r="AS238" i="15"/>
  <c r="AT238" i="15"/>
  <c r="AR239" i="15"/>
  <c r="AS239" i="15" s="1"/>
  <c r="AT239" i="15" s="1"/>
  <c r="AR240" i="15"/>
  <c r="AS240" i="15"/>
  <c r="AT240" i="15" s="1"/>
  <c r="AR241" i="15"/>
  <c r="AS241" i="15"/>
  <c r="AT241" i="15" s="1"/>
  <c r="AK214" i="15"/>
  <c r="AL214" i="15"/>
  <c r="AM214" i="15" s="1"/>
  <c r="AK215" i="15"/>
  <c r="AL215" i="15" s="1"/>
  <c r="AM215" i="15" s="1"/>
  <c r="AK216" i="15"/>
  <c r="AL216" i="15"/>
  <c r="AM216" i="15" s="1"/>
  <c r="AK217" i="15"/>
  <c r="AL217" i="15" s="1"/>
  <c r="AM217" i="15" s="1"/>
  <c r="AK218" i="15"/>
  <c r="AL218" i="15"/>
  <c r="AM218" i="15"/>
  <c r="AK219" i="15"/>
  <c r="AL219" i="15" s="1"/>
  <c r="AM219" i="15" s="1"/>
  <c r="AK220" i="15"/>
  <c r="AL220" i="15"/>
  <c r="AM220" i="15" s="1"/>
  <c r="AK221" i="15"/>
  <c r="AL221" i="15"/>
  <c r="AM221" i="15" s="1"/>
  <c r="AK222" i="15"/>
  <c r="AL222" i="15"/>
  <c r="AM222" i="15" s="1"/>
  <c r="AK223" i="15"/>
  <c r="AL223" i="15" s="1"/>
  <c r="AM223" i="15" s="1"/>
  <c r="AK224" i="15"/>
  <c r="AL224" i="15"/>
  <c r="AM224" i="15" s="1"/>
  <c r="AK225" i="15"/>
  <c r="AL225" i="15" s="1"/>
  <c r="AM225" i="15" s="1"/>
  <c r="AK226" i="15"/>
  <c r="AL226" i="15" s="1"/>
  <c r="AM226" i="15" s="1"/>
  <c r="AK227" i="15"/>
  <c r="AL227" i="15" s="1"/>
  <c r="AM227" i="15" s="1"/>
  <c r="AK228" i="15"/>
  <c r="AL228" i="15"/>
  <c r="AM228" i="15" s="1"/>
  <c r="AK229" i="15"/>
  <c r="AL229" i="15"/>
  <c r="AM229" i="15"/>
  <c r="AK230" i="15"/>
  <c r="AL230" i="15"/>
  <c r="AM230" i="15" s="1"/>
  <c r="AK231" i="15"/>
  <c r="AL231" i="15" s="1"/>
  <c r="AM231" i="15" s="1"/>
  <c r="AK232" i="15"/>
  <c r="AL232" i="15"/>
  <c r="AM232" i="15" s="1"/>
  <c r="AK233" i="15"/>
  <c r="AL233" i="15" s="1"/>
  <c r="AM233" i="15" s="1"/>
  <c r="AK234" i="15"/>
  <c r="AL234" i="15" s="1"/>
  <c r="AM234" i="15" s="1"/>
  <c r="AK235" i="15"/>
  <c r="AL235" i="15" s="1"/>
  <c r="AM235" i="15" s="1"/>
  <c r="AK236" i="15"/>
  <c r="AL236" i="15"/>
  <c r="AM236" i="15" s="1"/>
  <c r="AK237" i="15"/>
  <c r="AL237" i="15"/>
  <c r="AM237" i="15"/>
  <c r="AK238" i="15"/>
  <c r="AL238" i="15"/>
  <c r="AM238" i="15" s="1"/>
  <c r="AK239" i="15"/>
  <c r="AL239" i="15" s="1"/>
  <c r="AM239" i="15" s="1"/>
  <c r="AK240" i="15"/>
  <c r="AL240" i="15"/>
  <c r="AM240" i="15" s="1"/>
  <c r="AK241" i="15"/>
  <c r="AL241" i="15" s="1"/>
  <c r="AM241" i="15" s="1"/>
  <c r="AR175" i="15"/>
  <c r="AS175" i="15" s="1"/>
  <c r="AT175" i="15" s="1"/>
  <c r="AR176" i="15"/>
  <c r="AS176" i="15" s="1"/>
  <c r="AT176" i="15" s="1"/>
  <c r="AR177" i="15"/>
  <c r="AS177" i="15" s="1"/>
  <c r="AT177" i="15" s="1"/>
  <c r="AR178" i="15"/>
  <c r="AS178" i="15" s="1"/>
  <c r="AT178" i="15" s="1"/>
  <c r="AR179" i="15"/>
  <c r="AS179" i="15"/>
  <c r="AT179" i="15" s="1"/>
  <c r="AR180" i="15"/>
  <c r="AS180" i="15"/>
  <c r="AT180" i="15" s="1"/>
  <c r="AR181" i="15"/>
  <c r="AS181" i="15" s="1"/>
  <c r="AT181" i="15" s="1"/>
  <c r="AR182" i="15"/>
  <c r="AS182" i="15" s="1"/>
  <c r="AT182" i="15" s="1"/>
  <c r="AR183" i="15"/>
  <c r="AS183" i="15" s="1"/>
  <c r="AT183" i="15" s="1"/>
  <c r="AR184" i="15"/>
  <c r="AS184" i="15"/>
  <c r="AT184" i="15"/>
  <c r="AR185" i="15"/>
  <c r="AS185" i="15" s="1"/>
  <c r="AT185" i="15" s="1"/>
  <c r="AR186" i="15"/>
  <c r="AS186" i="15"/>
  <c r="AT186" i="15" s="1"/>
  <c r="AR187" i="15"/>
  <c r="AS187" i="15"/>
  <c r="AT187" i="15" s="1"/>
  <c r="AR188" i="15"/>
  <c r="AS188" i="15" s="1"/>
  <c r="AT188" i="15" s="1"/>
  <c r="AR189" i="15"/>
  <c r="AS189" i="15" s="1"/>
  <c r="AT189" i="15" s="1"/>
  <c r="AR190" i="15"/>
  <c r="AS190" i="15" s="1"/>
  <c r="AT190" i="15" s="1"/>
  <c r="AR191" i="15"/>
  <c r="AS191" i="15" s="1"/>
  <c r="AT191" i="15" s="1"/>
  <c r="AR192" i="15"/>
  <c r="AS192" i="15"/>
  <c r="AT192" i="15" s="1"/>
  <c r="AR193" i="15"/>
  <c r="AS193" i="15" s="1"/>
  <c r="AT193" i="15" s="1"/>
  <c r="AR194" i="15"/>
  <c r="AS194" i="15"/>
  <c r="AT194" i="15" s="1"/>
  <c r="AR195" i="15"/>
  <c r="AS195" i="15"/>
  <c r="AT195" i="15" s="1"/>
  <c r="AR196" i="15"/>
  <c r="AS196" i="15" s="1"/>
  <c r="AT196" i="15" s="1"/>
  <c r="AR197" i="15"/>
  <c r="AS197" i="15" s="1"/>
  <c r="AT197" i="15" s="1"/>
  <c r="AR198" i="15"/>
  <c r="AS198" i="15" s="1"/>
  <c r="AT198" i="15" s="1"/>
  <c r="AR199" i="15"/>
  <c r="AS199" i="15" s="1"/>
  <c r="AT199" i="15" s="1"/>
  <c r="AR200" i="15"/>
  <c r="AS200" i="15"/>
  <c r="AT200" i="15"/>
  <c r="AR201" i="15"/>
  <c r="AS201" i="15" s="1"/>
  <c r="AT201" i="15" s="1"/>
  <c r="AR202" i="15"/>
  <c r="AS202" i="15" s="1"/>
  <c r="AT202" i="15" s="1"/>
  <c r="AR203" i="15"/>
  <c r="AS203" i="15"/>
  <c r="AT203" i="15" s="1"/>
  <c r="AR204" i="15"/>
  <c r="AS204" i="15" s="1"/>
  <c r="AT204" i="15" s="1"/>
  <c r="AR205" i="15"/>
  <c r="AS205" i="15" s="1"/>
  <c r="AT205" i="15" s="1"/>
  <c r="AR206" i="15"/>
  <c r="AS206" i="15" s="1"/>
  <c r="AT206" i="15" s="1"/>
  <c r="AR207" i="15"/>
  <c r="AS207" i="15" s="1"/>
  <c r="AT207" i="15" s="1"/>
  <c r="AK175" i="15"/>
  <c r="AL175" i="15"/>
  <c r="AM175" i="15" s="1"/>
  <c r="AK176" i="15"/>
  <c r="AL176" i="15" s="1"/>
  <c r="AM176" i="15" s="1"/>
  <c r="AK177" i="15"/>
  <c r="AL177" i="15" s="1"/>
  <c r="AM177" i="15" s="1"/>
  <c r="AK178" i="15"/>
  <c r="AL178" i="15"/>
  <c r="AM178" i="15" s="1"/>
  <c r="AK179" i="15"/>
  <c r="AL179" i="15" s="1"/>
  <c r="AM179" i="15" s="1"/>
  <c r="AK180" i="15"/>
  <c r="AL180" i="15" s="1"/>
  <c r="AM180" i="15" s="1"/>
  <c r="AK181" i="15"/>
  <c r="AL181" i="15" s="1"/>
  <c r="AM181" i="15" s="1"/>
  <c r="AK182" i="15"/>
  <c r="AL182" i="15" s="1"/>
  <c r="AM182" i="15" s="1"/>
  <c r="AK183" i="15"/>
  <c r="AL183" i="15" s="1"/>
  <c r="AM183" i="15" s="1"/>
  <c r="AK184" i="15"/>
  <c r="AL184" i="15" s="1"/>
  <c r="AM184" i="15" s="1"/>
  <c r="AK185" i="15"/>
  <c r="AL185" i="15" s="1"/>
  <c r="AM185" i="15" s="1"/>
  <c r="AK186" i="15"/>
  <c r="AL186" i="15"/>
  <c r="AM186" i="15" s="1"/>
  <c r="AK187" i="15"/>
  <c r="AL187" i="15" s="1"/>
  <c r="AM187" i="15" s="1"/>
  <c r="AK188" i="15"/>
  <c r="AL188" i="15" s="1"/>
  <c r="AM188" i="15" s="1"/>
  <c r="AK189" i="15"/>
  <c r="AL189" i="15" s="1"/>
  <c r="AM189" i="15" s="1"/>
  <c r="AK190" i="15"/>
  <c r="AL190" i="15" s="1"/>
  <c r="AM190" i="15" s="1"/>
  <c r="AK191" i="15"/>
  <c r="AL191" i="15" s="1"/>
  <c r="AM191" i="15" s="1"/>
  <c r="AK192" i="15"/>
  <c r="AL192" i="15" s="1"/>
  <c r="AM192" i="15" s="1"/>
  <c r="AK193" i="15"/>
  <c r="AL193" i="15" s="1"/>
  <c r="AM193" i="15" s="1"/>
  <c r="AK194" i="15"/>
  <c r="AL194" i="15"/>
  <c r="AM194" i="15" s="1"/>
  <c r="AK195" i="15"/>
  <c r="AL195" i="15" s="1"/>
  <c r="AM195" i="15" s="1"/>
  <c r="AK196" i="15"/>
  <c r="AL196" i="15" s="1"/>
  <c r="AM196" i="15" s="1"/>
  <c r="AK197" i="15"/>
  <c r="AL197" i="15" s="1"/>
  <c r="AM197" i="15" s="1"/>
  <c r="AK198" i="15"/>
  <c r="AL198" i="15" s="1"/>
  <c r="AM198" i="15" s="1"/>
  <c r="AK199" i="15"/>
  <c r="AL199" i="15" s="1"/>
  <c r="AM199" i="15" s="1"/>
  <c r="AK200" i="15"/>
  <c r="AL200" i="15" s="1"/>
  <c r="AM200" i="15" s="1"/>
  <c r="AK201" i="15"/>
  <c r="AL201" i="15" s="1"/>
  <c r="AM201" i="15" s="1"/>
  <c r="AK202" i="15"/>
  <c r="AL202" i="15"/>
  <c r="AM202" i="15" s="1"/>
  <c r="AK203" i="15"/>
  <c r="AL203" i="15" s="1"/>
  <c r="AM203" i="15" s="1"/>
  <c r="AK204" i="15"/>
  <c r="AL204" i="15" s="1"/>
  <c r="AM204" i="15" s="1"/>
  <c r="AK205" i="15"/>
  <c r="AL205" i="15" s="1"/>
  <c r="AM205" i="15" s="1"/>
  <c r="AK206" i="15"/>
  <c r="AL206" i="15" s="1"/>
  <c r="AM206" i="15" s="1"/>
  <c r="AK207" i="15"/>
  <c r="AL207" i="15" s="1"/>
  <c r="AM207" i="15" s="1"/>
  <c r="AR138" i="15"/>
  <c r="AT138" i="15" s="1"/>
  <c r="AR139" i="15"/>
  <c r="AT139" i="15" s="1"/>
  <c r="AR140" i="15"/>
  <c r="AT140" i="15" s="1"/>
  <c r="AR141" i="15"/>
  <c r="AT141" i="15" s="1"/>
  <c r="AR142" i="15"/>
  <c r="AR143" i="15"/>
  <c r="AR144" i="15"/>
  <c r="AR145" i="15"/>
  <c r="AR146" i="15"/>
  <c r="AT146" i="15"/>
  <c r="AR147" i="15"/>
  <c r="AT147" i="15" s="1"/>
  <c r="AR148" i="15"/>
  <c r="AT148" i="15"/>
  <c r="AR149" i="15"/>
  <c r="AT149" i="15" s="1"/>
  <c r="AR150" i="15"/>
  <c r="AR151" i="15"/>
  <c r="AR152" i="15"/>
  <c r="AR153" i="15"/>
  <c r="AR154" i="15"/>
  <c r="AT154" i="15"/>
  <c r="AR155" i="15"/>
  <c r="AT155" i="15" s="1"/>
  <c r="AR156" i="15"/>
  <c r="AT156" i="15"/>
  <c r="AR157" i="15"/>
  <c r="AT157" i="15" s="1"/>
  <c r="AR158" i="15"/>
  <c r="AR159" i="15"/>
  <c r="AR160" i="15"/>
  <c r="AT160" i="15"/>
  <c r="AR161" i="15"/>
  <c r="AR162" i="15"/>
  <c r="AT162" i="15" s="1"/>
  <c r="AR163" i="15"/>
  <c r="AT163" i="15" s="1"/>
  <c r="AR164" i="15"/>
  <c r="AT164" i="15"/>
  <c r="AR165" i="15"/>
  <c r="AT165" i="15" s="1"/>
  <c r="AR166" i="15"/>
  <c r="AT166" i="15" s="1"/>
  <c r="AR167" i="15"/>
  <c r="AT167" i="15" s="1"/>
  <c r="AR168" i="15"/>
  <c r="AK138" i="15"/>
  <c r="AL138" i="15" s="1"/>
  <c r="AM138" i="15" s="1"/>
  <c r="AK139" i="15"/>
  <c r="AL139" i="15" s="1"/>
  <c r="AM139" i="15" s="1"/>
  <c r="AK140" i="15"/>
  <c r="AL140" i="15" s="1"/>
  <c r="AM140" i="15" s="1"/>
  <c r="AK141" i="15"/>
  <c r="AL141" i="15"/>
  <c r="AM141" i="15" s="1"/>
  <c r="AK142" i="15"/>
  <c r="AL142" i="15" s="1"/>
  <c r="AM142" i="15" s="1"/>
  <c r="AK143" i="15"/>
  <c r="AL143" i="15" s="1"/>
  <c r="AM143" i="15" s="1"/>
  <c r="AK144" i="15"/>
  <c r="AL144" i="15" s="1"/>
  <c r="AM144" i="15" s="1"/>
  <c r="AK145" i="15"/>
  <c r="AL145" i="15"/>
  <c r="AM145" i="15" s="1"/>
  <c r="AK146" i="15"/>
  <c r="AL146" i="15" s="1"/>
  <c r="AM146" i="15" s="1"/>
  <c r="AK147" i="15"/>
  <c r="AL147" i="15" s="1"/>
  <c r="AM147" i="15" s="1"/>
  <c r="AK148" i="15"/>
  <c r="AL148" i="15" s="1"/>
  <c r="AM148" i="15" s="1"/>
  <c r="AK149" i="15"/>
  <c r="AL149" i="15" s="1"/>
  <c r="AM149" i="15" s="1"/>
  <c r="AK150" i="15"/>
  <c r="AL150" i="15" s="1"/>
  <c r="AM150" i="15" s="1"/>
  <c r="AK151" i="15"/>
  <c r="AL151" i="15" s="1"/>
  <c r="AM151" i="15" s="1"/>
  <c r="AK152" i="15"/>
  <c r="AL152" i="15" s="1"/>
  <c r="AM152" i="15" s="1"/>
  <c r="AK153" i="15"/>
  <c r="AL153" i="15"/>
  <c r="AM153" i="15" s="1"/>
  <c r="AK154" i="15"/>
  <c r="AL154" i="15" s="1"/>
  <c r="AM154" i="15" s="1"/>
  <c r="AK155" i="15"/>
  <c r="AL155" i="15" s="1"/>
  <c r="AM155" i="15" s="1"/>
  <c r="AK156" i="15"/>
  <c r="AL156" i="15" s="1"/>
  <c r="AM156" i="15" s="1"/>
  <c r="AK157" i="15"/>
  <c r="AL157" i="15" s="1"/>
  <c r="AM157" i="15" s="1"/>
  <c r="AK158" i="15"/>
  <c r="AL158" i="15" s="1"/>
  <c r="AM158" i="15" s="1"/>
  <c r="AK159" i="15"/>
  <c r="AL159" i="15" s="1"/>
  <c r="AM159" i="15" s="1"/>
  <c r="AK160" i="15"/>
  <c r="AL160" i="15" s="1"/>
  <c r="AM160" i="15" s="1"/>
  <c r="AK161" i="15"/>
  <c r="AL161" i="15"/>
  <c r="AM161" i="15" s="1"/>
  <c r="AK162" i="15"/>
  <c r="AL162" i="15" s="1"/>
  <c r="AM162" i="15" s="1"/>
  <c r="AK163" i="15"/>
  <c r="AL163" i="15" s="1"/>
  <c r="AM163" i="15" s="1"/>
  <c r="AK164" i="15"/>
  <c r="AL164" i="15" s="1"/>
  <c r="AM164" i="15" s="1"/>
  <c r="AK165" i="15"/>
  <c r="AL165" i="15" s="1"/>
  <c r="AM165" i="15" s="1"/>
  <c r="AK166" i="15"/>
  <c r="AL166" i="15" s="1"/>
  <c r="AM166" i="15" s="1"/>
  <c r="AK167" i="15"/>
  <c r="AL167" i="15" s="1"/>
  <c r="AM167" i="15" s="1"/>
  <c r="AK168" i="15"/>
  <c r="AL168" i="15" s="1"/>
  <c r="AM168" i="15" s="1"/>
  <c r="AR103" i="15"/>
  <c r="AS103" i="15" s="1"/>
  <c r="AT103" i="15" s="1"/>
  <c r="AR104" i="15"/>
  <c r="AS104" i="15" s="1"/>
  <c r="AT104" i="15" s="1"/>
  <c r="AR105" i="15"/>
  <c r="AS105" i="15" s="1"/>
  <c r="AT105" i="15" s="1"/>
  <c r="AR106" i="15"/>
  <c r="AS106" i="15" s="1"/>
  <c r="AT106" i="15" s="1"/>
  <c r="AR107" i="15"/>
  <c r="AS107" i="15" s="1"/>
  <c r="AT107" i="15" s="1"/>
  <c r="AR108" i="15"/>
  <c r="AS108" i="15"/>
  <c r="AT108" i="15" s="1"/>
  <c r="AR109" i="15"/>
  <c r="AS109" i="15"/>
  <c r="AT109" i="15" s="1"/>
  <c r="AR110" i="15"/>
  <c r="AS110" i="15"/>
  <c r="AT110" i="15" s="1"/>
  <c r="AR111" i="15"/>
  <c r="AS111" i="15" s="1"/>
  <c r="AT111" i="15" s="1"/>
  <c r="AR112" i="15"/>
  <c r="AS112" i="15" s="1"/>
  <c r="AT112" i="15" s="1"/>
  <c r="AR113" i="15"/>
  <c r="AS113" i="15" s="1"/>
  <c r="AT113" i="15" s="1"/>
  <c r="AR114" i="15"/>
  <c r="AS114" i="15" s="1"/>
  <c r="AT114" i="15" s="1"/>
  <c r="AR115" i="15"/>
  <c r="AS115" i="15" s="1"/>
  <c r="AT115" i="15" s="1"/>
  <c r="AR116" i="15"/>
  <c r="AS116" i="15"/>
  <c r="AT116" i="15" s="1"/>
  <c r="AR117" i="15"/>
  <c r="AS117" i="15"/>
  <c r="AT117" i="15" s="1"/>
  <c r="AR118" i="15"/>
  <c r="AS118" i="15"/>
  <c r="AT118" i="15" s="1"/>
  <c r="AR119" i="15"/>
  <c r="AS119" i="15" s="1"/>
  <c r="AT119" i="15" s="1"/>
  <c r="AR120" i="15"/>
  <c r="AS120" i="15" s="1"/>
  <c r="AT120" i="15" s="1"/>
  <c r="AR121" i="15"/>
  <c r="AS121" i="15" s="1"/>
  <c r="AT121" i="15" s="1"/>
  <c r="AR122" i="15"/>
  <c r="AS122" i="15" s="1"/>
  <c r="AT122" i="15" s="1"/>
  <c r="AR123" i="15"/>
  <c r="AS123" i="15" s="1"/>
  <c r="AT123" i="15" s="1"/>
  <c r="AR124" i="15"/>
  <c r="AS124" i="15"/>
  <c r="AT124" i="15" s="1"/>
  <c r="AR125" i="15"/>
  <c r="AS125" i="15"/>
  <c r="AT125" i="15" s="1"/>
  <c r="AR126" i="15"/>
  <c r="AS126" i="15"/>
  <c r="AT126" i="15" s="1"/>
  <c r="AR127" i="15"/>
  <c r="AS127" i="15" s="1"/>
  <c r="AT127" i="15" s="1"/>
  <c r="AR128" i="15"/>
  <c r="AS128" i="15" s="1"/>
  <c r="AT128" i="15" s="1"/>
  <c r="AR129" i="15"/>
  <c r="AS129" i="15" s="1"/>
  <c r="AT129" i="15" s="1"/>
  <c r="AR130" i="15"/>
  <c r="AS130" i="15" s="1"/>
  <c r="AT130" i="15" s="1"/>
  <c r="AR131" i="15"/>
  <c r="AS131" i="15" s="1"/>
  <c r="AT131" i="15" s="1"/>
  <c r="AK103" i="15"/>
  <c r="AL103" i="15" s="1"/>
  <c r="AM103" i="15" s="1"/>
  <c r="AK104" i="15"/>
  <c r="AL104" i="15" s="1"/>
  <c r="AM104" i="15" s="1"/>
  <c r="AK105" i="15"/>
  <c r="AL105" i="15" s="1"/>
  <c r="AM105" i="15" s="1"/>
  <c r="AK106" i="15"/>
  <c r="AL106" i="15" s="1"/>
  <c r="AM106" i="15" s="1"/>
  <c r="AK107" i="15"/>
  <c r="AL107" i="15"/>
  <c r="AM107" i="15" s="1"/>
  <c r="AK108" i="15"/>
  <c r="AL108" i="15"/>
  <c r="AM108" i="15" s="1"/>
  <c r="AK109" i="15"/>
  <c r="AL109" i="15" s="1"/>
  <c r="AM109" i="15" s="1"/>
  <c r="AK110" i="15"/>
  <c r="AL110" i="15" s="1"/>
  <c r="AM110" i="15" s="1"/>
  <c r="AK111" i="15"/>
  <c r="AL111" i="15" s="1"/>
  <c r="AM111" i="15" s="1"/>
  <c r="AK112" i="15"/>
  <c r="AL112" i="15"/>
  <c r="AM112" i="15"/>
  <c r="AK113" i="15"/>
  <c r="AL113" i="15" s="1"/>
  <c r="AM113" i="15" s="1"/>
  <c r="AK114" i="15"/>
  <c r="AL114" i="15" s="1"/>
  <c r="AM114" i="15" s="1"/>
  <c r="AK115" i="15"/>
  <c r="AL115" i="15"/>
  <c r="AM115" i="15" s="1"/>
  <c r="AK116" i="15"/>
  <c r="AL116" i="15"/>
  <c r="AM116" i="15" s="1"/>
  <c r="AK117" i="15"/>
  <c r="AL117" i="15" s="1"/>
  <c r="AM117" i="15" s="1"/>
  <c r="AK118" i="15"/>
  <c r="AL118" i="15" s="1"/>
  <c r="AM118" i="15" s="1"/>
  <c r="AK119" i="15"/>
  <c r="AL119" i="15" s="1"/>
  <c r="AM119" i="15" s="1"/>
  <c r="AK120" i="15"/>
  <c r="AL120" i="15"/>
  <c r="AM120" i="15" s="1"/>
  <c r="AK121" i="15"/>
  <c r="AL121" i="15" s="1"/>
  <c r="AM121" i="15" s="1"/>
  <c r="AK122" i="15"/>
  <c r="AL122" i="15" s="1"/>
  <c r="AM122" i="15" s="1"/>
  <c r="AK123" i="15"/>
  <c r="AL123" i="15"/>
  <c r="AM123" i="15" s="1"/>
  <c r="AK124" i="15"/>
  <c r="AL124" i="15"/>
  <c r="AM124" i="15" s="1"/>
  <c r="AK125" i="15"/>
  <c r="AL125" i="15" s="1"/>
  <c r="AM125" i="15" s="1"/>
  <c r="AK126" i="15"/>
  <c r="AL126" i="15" s="1"/>
  <c r="AM126" i="15" s="1"/>
  <c r="AK127" i="15"/>
  <c r="AL127" i="15" s="1"/>
  <c r="AM127" i="15" s="1"/>
  <c r="AK128" i="15"/>
  <c r="AL128" i="15" s="1"/>
  <c r="AM128" i="15" s="1"/>
  <c r="AK129" i="15"/>
  <c r="AL129" i="15" s="1"/>
  <c r="AM129" i="15" s="1"/>
  <c r="AK130" i="15"/>
  <c r="AL130" i="15" s="1"/>
  <c r="AM130" i="15" s="1"/>
  <c r="AK131" i="15"/>
  <c r="AL131" i="15"/>
  <c r="AM131" i="15" s="1"/>
  <c r="AR66" i="15"/>
  <c r="AS66" i="15"/>
  <c r="AT66" i="15" s="1"/>
  <c r="AR67" i="15"/>
  <c r="AS67" i="15" s="1"/>
  <c r="AT67" i="15" s="1"/>
  <c r="AR68" i="15"/>
  <c r="AS68" i="15" s="1"/>
  <c r="AT68" i="15" s="1"/>
  <c r="AR69" i="15"/>
  <c r="AS69" i="15"/>
  <c r="AT69" i="15" s="1"/>
  <c r="AR70" i="15"/>
  <c r="AS70" i="15" s="1"/>
  <c r="AT70" i="15" s="1"/>
  <c r="AR71" i="15"/>
  <c r="AS71" i="15" s="1"/>
  <c r="AT71" i="15" s="1"/>
  <c r="AR72" i="15"/>
  <c r="AS72" i="15" s="1"/>
  <c r="AT72" i="15" s="1"/>
  <c r="AR73" i="15"/>
  <c r="AS73" i="15"/>
  <c r="AT73" i="15" s="1"/>
  <c r="AR74" i="15"/>
  <c r="AS74" i="15"/>
  <c r="AT74" i="15"/>
  <c r="AR75" i="15"/>
  <c r="AS75" i="15"/>
  <c r="AT75" i="15" s="1"/>
  <c r="AR76" i="15"/>
  <c r="AS76" i="15" s="1"/>
  <c r="AT76" i="15" s="1"/>
  <c r="AR77" i="15"/>
  <c r="AS77" i="15"/>
  <c r="AT77" i="15" s="1"/>
  <c r="AR78" i="15"/>
  <c r="AS78" i="15" s="1"/>
  <c r="AT78" i="15" s="1"/>
  <c r="AR79" i="15"/>
  <c r="AS79" i="15" s="1"/>
  <c r="AT79" i="15" s="1"/>
  <c r="AR80" i="15"/>
  <c r="AS80" i="15" s="1"/>
  <c r="AT80" i="15" s="1"/>
  <c r="AR81" i="15"/>
  <c r="AS81" i="15"/>
  <c r="AT81" i="15" s="1"/>
  <c r="AR82" i="15"/>
  <c r="AS82" i="15"/>
  <c r="AT82" i="15"/>
  <c r="AR83" i="15"/>
  <c r="AS83" i="15"/>
  <c r="AT83" i="15" s="1"/>
  <c r="AR84" i="15"/>
  <c r="AS84" i="15" s="1"/>
  <c r="AT84" i="15" s="1"/>
  <c r="AR85" i="15"/>
  <c r="AS85" i="15"/>
  <c r="AT85" i="15" s="1"/>
  <c r="AR86" i="15"/>
  <c r="AS86" i="15" s="1"/>
  <c r="AT86" i="15" s="1"/>
  <c r="AR87" i="15"/>
  <c r="AS87" i="15" s="1"/>
  <c r="AT87" i="15" s="1"/>
  <c r="AR88" i="15"/>
  <c r="AS88" i="15" s="1"/>
  <c r="AT88" i="15" s="1"/>
  <c r="AR89" i="15"/>
  <c r="AS89" i="15"/>
  <c r="AT89" i="15" s="1"/>
  <c r="AR90" i="15"/>
  <c r="AS90" i="15"/>
  <c r="AT90" i="15"/>
  <c r="AR91" i="15"/>
  <c r="AS91" i="15"/>
  <c r="AT91" i="15" s="1"/>
  <c r="AR92" i="15"/>
  <c r="AS92" i="15" s="1"/>
  <c r="AT92" i="15" s="1"/>
  <c r="AR93" i="15"/>
  <c r="AS93" i="15"/>
  <c r="AT93" i="15" s="1"/>
  <c r="AR94" i="15"/>
  <c r="AS94" i="15" s="1"/>
  <c r="AT94" i="15" s="1"/>
  <c r="AR95" i="15"/>
  <c r="AS95" i="15" s="1"/>
  <c r="AT95" i="15" s="1"/>
  <c r="AR96" i="15"/>
  <c r="AS96" i="15" s="1"/>
  <c r="AT96" i="15" s="1"/>
  <c r="AK66" i="15"/>
  <c r="AL66" i="15" s="1"/>
  <c r="AM66" i="15" s="1"/>
  <c r="AK67" i="15"/>
  <c r="AL67" i="15" s="1"/>
  <c r="AM67" i="15" s="1"/>
  <c r="AK68" i="15"/>
  <c r="AL68" i="15" s="1"/>
  <c r="AM68" i="15" s="1"/>
  <c r="AK69" i="15"/>
  <c r="AL69" i="15" s="1"/>
  <c r="AM69" i="15" s="1"/>
  <c r="AK70" i="15"/>
  <c r="AL70" i="15"/>
  <c r="AM70" i="15" s="1"/>
  <c r="AK71" i="15"/>
  <c r="AL71" i="15" s="1"/>
  <c r="AM71" i="15" s="1"/>
  <c r="AK72" i="15"/>
  <c r="AL72" i="15" s="1"/>
  <c r="AM72" i="15" s="1"/>
  <c r="AK73" i="15"/>
  <c r="AL73" i="15" s="1"/>
  <c r="AM73" i="15" s="1"/>
  <c r="AK74" i="15"/>
  <c r="AL74" i="15"/>
  <c r="AM74" i="15" s="1"/>
  <c r="AK75" i="15"/>
  <c r="AL75" i="15" s="1"/>
  <c r="AM75" i="15" s="1"/>
  <c r="AK76" i="15"/>
  <c r="AL76" i="15" s="1"/>
  <c r="AM76" i="15" s="1"/>
  <c r="AK77" i="15"/>
  <c r="AL77" i="15" s="1"/>
  <c r="AM77" i="15" s="1"/>
  <c r="AK78" i="15"/>
  <c r="AL78" i="15"/>
  <c r="AM78" i="15" s="1"/>
  <c r="AK79" i="15"/>
  <c r="AL79" i="15" s="1"/>
  <c r="AM79" i="15" s="1"/>
  <c r="AK80" i="15"/>
  <c r="AL80" i="15" s="1"/>
  <c r="AM80" i="15" s="1"/>
  <c r="AK81" i="15"/>
  <c r="AL81" i="15" s="1"/>
  <c r="AM81" i="15" s="1"/>
  <c r="AK82" i="15"/>
  <c r="AL82" i="15"/>
  <c r="AM82" i="15" s="1"/>
  <c r="AK83" i="15"/>
  <c r="AL83" i="15" s="1"/>
  <c r="AM83" i="15" s="1"/>
  <c r="AK84" i="15"/>
  <c r="AL84" i="15" s="1"/>
  <c r="AM84" i="15" s="1"/>
  <c r="AK85" i="15"/>
  <c r="AL85" i="15" s="1"/>
  <c r="AM85" i="15" s="1"/>
  <c r="AK86" i="15"/>
  <c r="AL86" i="15"/>
  <c r="AM86" i="15" s="1"/>
  <c r="AK87" i="15"/>
  <c r="AL87" i="15" s="1"/>
  <c r="AM87" i="15" s="1"/>
  <c r="AK88" i="15"/>
  <c r="AL88" i="15" s="1"/>
  <c r="AM88" i="15" s="1"/>
  <c r="AK89" i="15"/>
  <c r="AL89" i="15" s="1"/>
  <c r="AM89" i="15" s="1"/>
  <c r="AK90" i="15"/>
  <c r="AL90" i="15"/>
  <c r="AM90" i="15" s="1"/>
  <c r="AK91" i="15"/>
  <c r="AL91" i="15" s="1"/>
  <c r="AM91" i="15" s="1"/>
  <c r="AK92" i="15"/>
  <c r="AL92" i="15" s="1"/>
  <c r="AM92" i="15" s="1"/>
  <c r="AK93" i="15"/>
  <c r="AL93" i="15" s="1"/>
  <c r="AM93" i="15" s="1"/>
  <c r="AK94" i="15"/>
  <c r="AL94" i="15"/>
  <c r="AM94" i="15" s="1"/>
  <c r="AK95" i="15"/>
  <c r="AL95" i="15" s="1"/>
  <c r="AM95" i="15" s="1"/>
  <c r="AK96" i="15"/>
  <c r="AL96" i="15" s="1"/>
  <c r="AM96" i="15" s="1"/>
  <c r="BD30" i="15"/>
  <c r="BD36" i="15"/>
  <c r="BD38" i="15"/>
  <c r="BD50" i="15"/>
  <c r="BD58" i="15"/>
  <c r="BF58" i="15" s="1"/>
  <c r="AR29" i="15"/>
  <c r="AS29" i="15"/>
  <c r="AT29" i="15" s="1"/>
  <c r="AR30" i="15"/>
  <c r="AS30" i="15"/>
  <c r="AT30" i="15" s="1"/>
  <c r="AR31" i="15"/>
  <c r="AS31" i="15"/>
  <c r="AT31" i="15" s="1"/>
  <c r="AR32" i="15"/>
  <c r="AS32" i="15" s="1"/>
  <c r="AT32" i="15" s="1"/>
  <c r="AR33" i="15"/>
  <c r="AS33" i="15" s="1"/>
  <c r="AT33" i="15" s="1"/>
  <c r="AR34" i="15"/>
  <c r="AS34" i="15" s="1"/>
  <c r="AT34" i="15" s="1"/>
  <c r="AR35" i="15"/>
  <c r="AS35" i="15" s="1"/>
  <c r="AT35" i="15" s="1"/>
  <c r="AR36" i="15"/>
  <c r="AS36" i="15" s="1"/>
  <c r="AT36" i="15" s="1"/>
  <c r="AR37" i="15"/>
  <c r="AS37" i="15" s="1"/>
  <c r="AT37" i="15" s="1"/>
  <c r="AR38" i="15"/>
  <c r="AS38" i="15"/>
  <c r="AT38" i="15" s="1"/>
  <c r="AR39" i="15"/>
  <c r="AS39" i="15"/>
  <c r="AT39" i="15" s="1"/>
  <c r="AR40" i="15"/>
  <c r="AS40" i="15"/>
  <c r="AT40" i="15" s="1"/>
  <c r="AR41" i="15"/>
  <c r="AS41" i="15" s="1"/>
  <c r="AT41" i="15" s="1"/>
  <c r="AR42" i="15"/>
  <c r="AS42" i="15" s="1"/>
  <c r="AT42" i="15" s="1"/>
  <c r="AR43" i="15"/>
  <c r="AS43" i="15" s="1"/>
  <c r="AT43" i="15" s="1"/>
  <c r="AR44" i="15"/>
  <c r="AS44" i="15" s="1"/>
  <c r="AT44" i="15" s="1"/>
  <c r="AR45" i="15"/>
  <c r="AS45" i="15" s="1"/>
  <c r="AT45" i="15" s="1"/>
  <c r="AR46" i="15"/>
  <c r="AS46" i="15"/>
  <c r="AT46" i="15" s="1"/>
  <c r="AR47" i="15"/>
  <c r="AS47" i="15"/>
  <c r="AT47" i="15" s="1"/>
  <c r="AR48" i="15"/>
  <c r="AS48" i="15" s="1"/>
  <c r="AT48" i="15" s="1"/>
  <c r="AR49" i="15"/>
  <c r="AS49" i="15" s="1"/>
  <c r="AT49" i="15" s="1"/>
  <c r="AR50" i="15"/>
  <c r="AS50" i="15" s="1"/>
  <c r="AT50" i="15" s="1"/>
  <c r="AR51" i="15"/>
  <c r="AS51" i="15" s="1"/>
  <c r="AT51" i="15" s="1"/>
  <c r="AR52" i="15"/>
  <c r="AS52" i="15" s="1"/>
  <c r="AT52" i="15" s="1"/>
  <c r="AR53" i="15"/>
  <c r="AS53" i="15" s="1"/>
  <c r="AT53" i="15" s="1"/>
  <c r="AR54" i="15"/>
  <c r="AS54" i="15"/>
  <c r="AT54" i="15" s="1"/>
  <c r="AR55" i="15"/>
  <c r="AS55" i="15"/>
  <c r="AT55" i="15" s="1"/>
  <c r="AR56" i="15"/>
  <c r="AS56" i="15" s="1"/>
  <c r="AT56" i="15" s="1"/>
  <c r="AR57" i="15"/>
  <c r="AS57" i="15" s="1"/>
  <c r="AT57" i="15" s="1"/>
  <c r="AR58" i="15"/>
  <c r="AS58" i="15" s="1"/>
  <c r="AT58" i="15" s="1"/>
  <c r="AR59" i="15"/>
  <c r="AS59" i="15" s="1"/>
  <c r="AT59" i="15" s="1"/>
  <c r="AK29" i="15"/>
  <c r="AL29" i="15" s="1"/>
  <c r="AM29" i="15" s="1"/>
  <c r="AK30" i="15"/>
  <c r="AL30" i="15" s="1"/>
  <c r="AM30" i="15" s="1"/>
  <c r="AK31" i="15"/>
  <c r="AL31" i="15"/>
  <c r="AM31" i="15" s="1"/>
  <c r="AK32" i="15"/>
  <c r="AL32" i="15" s="1"/>
  <c r="AM32" i="15" s="1"/>
  <c r="AK33" i="15"/>
  <c r="AL33" i="15" s="1"/>
  <c r="AM33" i="15" s="1"/>
  <c r="AK34" i="15"/>
  <c r="AL34" i="15" s="1"/>
  <c r="AM34" i="15" s="1"/>
  <c r="AK35" i="15"/>
  <c r="AL35" i="15" s="1"/>
  <c r="AM35" i="15" s="1"/>
  <c r="AK36" i="15"/>
  <c r="AL36" i="15" s="1"/>
  <c r="AM36" i="15" s="1"/>
  <c r="AK37" i="15"/>
  <c r="AL37" i="15" s="1"/>
  <c r="AM37" i="15" s="1"/>
  <c r="AK38" i="15"/>
  <c r="AL38" i="15" s="1"/>
  <c r="AM38" i="15" s="1"/>
  <c r="AK39" i="15"/>
  <c r="AL39" i="15"/>
  <c r="AM39" i="15" s="1"/>
  <c r="AK40" i="15"/>
  <c r="AL40" i="15"/>
  <c r="AM40" i="15" s="1"/>
  <c r="AK41" i="15"/>
  <c r="AL41" i="15" s="1"/>
  <c r="AM41" i="15" s="1"/>
  <c r="AK42" i="15"/>
  <c r="AL42" i="15" s="1"/>
  <c r="AM42" i="15" s="1"/>
  <c r="AK43" i="15"/>
  <c r="AL43" i="15" s="1"/>
  <c r="AM43" i="15" s="1"/>
  <c r="AK44" i="15"/>
  <c r="AL44" i="15" s="1"/>
  <c r="AM44" i="15" s="1"/>
  <c r="AK45" i="15"/>
  <c r="AL45" i="15" s="1"/>
  <c r="AM45" i="15" s="1"/>
  <c r="AK46" i="15"/>
  <c r="AL46" i="15" s="1"/>
  <c r="AM46" i="15" s="1"/>
  <c r="AK47" i="15"/>
  <c r="AL47" i="15"/>
  <c r="AM47" i="15" s="1"/>
  <c r="AK48" i="15"/>
  <c r="AL48" i="15" s="1"/>
  <c r="AM48" i="15" s="1"/>
  <c r="AK49" i="15"/>
  <c r="AL49" i="15" s="1"/>
  <c r="AM49" i="15" s="1"/>
  <c r="AK50" i="15"/>
  <c r="AL50" i="15" s="1"/>
  <c r="AM50" i="15" s="1"/>
  <c r="AK51" i="15"/>
  <c r="AL51" i="15" s="1"/>
  <c r="AM51" i="15" s="1"/>
  <c r="AK52" i="15"/>
  <c r="AL52" i="15" s="1"/>
  <c r="AM52" i="15" s="1"/>
  <c r="AK53" i="15"/>
  <c r="AL53" i="15" s="1"/>
  <c r="AM53" i="15" s="1"/>
  <c r="AK54" i="15"/>
  <c r="AL54" i="15"/>
  <c r="AM54" i="15" s="1"/>
  <c r="AK55" i="15"/>
  <c r="AL55" i="15"/>
  <c r="AM55" i="15" s="1"/>
  <c r="AK56" i="15"/>
  <c r="AL56" i="15" s="1"/>
  <c r="AM56" i="15" s="1"/>
  <c r="AK57" i="15"/>
  <c r="AL57" i="15" s="1"/>
  <c r="AM57" i="15" s="1"/>
  <c r="AK58" i="15"/>
  <c r="AL58" i="15" s="1"/>
  <c r="AM58" i="15" s="1"/>
  <c r="AK59" i="15"/>
  <c r="AL59" i="15" s="1"/>
  <c r="AM59" i="15" s="1"/>
  <c r="AR182" i="14"/>
  <c r="AS182" i="14" s="1"/>
  <c r="AT182" i="14" s="1"/>
  <c r="AR183" i="14"/>
  <c r="AS183" i="14" s="1"/>
  <c r="AT183" i="14" s="1"/>
  <c r="AR184" i="14"/>
  <c r="AS184" i="14"/>
  <c r="AT184" i="14" s="1"/>
  <c r="AR185" i="14"/>
  <c r="AS185" i="14" s="1"/>
  <c r="AT185" i="14" s="1"/>
  <c r="AR186" i="14"/>
  <c r="AS186" i="14"/>
  <c r="AT186" i="14" s="1"/>
  <c r="AR187" i="14"/>
  <c r="AS187" i="14" s="1"/>
  <c r="AT187" i="14" s="1"/>
  <c r="AR188" i="14"/>
  <c r="AS188" i="14" s="1"/>
  <c r="AT188" i="14" s="1"/>
  <c r="AR189" i="14"/>
  <c r="AS189" i="14" s="1"/>
  <c r="AT189" i="14" s="1"/>
  <c r="AR190" i="14"/>
  <c r="AS190" i="14"/>
  <c r="AT190" i="14" s="1"/>
  <c r="AR191" i="14"/>
  <c r="AS191" i="14"/>
  <c r="AT191" i="14"/>
  <c r="AR192" i="14"/>
  <c r="AS192" i="14"/>
  <c r="AT192" i="14" s="1"/>
  <c r="AR193" i="14"/>
  <c r="AS193" i="14" s="1"/>
  <c r="AT193" i="14" s="1"/>
  <c r="AR194" i="14"/>
  <c r="AS194" i="14"/>
  <c r="AT194" i="14" s="1"/>
  <c r="AR195" i="14"/>
  <c r="AS195" i="14" s="1"/>
  <c r="AT195" i="14" s="1"/>
  <c r="AR196" i="14"/>
  <c r="AS196" i="14" s="1"/>
  <c r="AT196" i="14" s="1"/>
  <c r="AR197" i="14"/>
  <c r="AS197" i="14" s="1"/>
  <c r="AT197" i="14" s="1"/>
  <c r="AR198" i="14"/>
  <c r="AS198" i="14"/>
  <c r="AT198" i="14" s="1"/>
  <c r="AR199" i="14"/>
  <c r="AS199" i="14"/>
  <c r="AT199" i="14" s="1"/>
  <c r="AR200" i="14"/>
  <c r="AS200" i="14"/>
  <c r="AT200" i="14" s="1"/>
  <c r="AR201" i="14"/>
  <c r="AS201" i="14" s="1"/>
  <c r="AT201" i="14" s="1"/>
  <c r="AR202" i="14"/>
  <c r="AS202" i="14"/>
  <c r="AT202" i="14" s="1"/>
  <c r="AR203" i="14"/>
  <c r="AS203" i="14" s="1"/>
  <c r="AT203" i="14" s="1"/>
  <c r="AR204" i="14"/>
  <c r="AS204" i="14" s="1"/>
  <c r="AT204" i="14" s="1"/>
  <c r="AR205" i="14"/>
  <c r="AS205" i="14" s="1"/>
  <c r="AT205" i="14" s="1"/>
  <c r="AR206" i="14"/>
  <c r="AS206" i="14" s="1"/>
  <c r="AT206" i="14" s="1"/>
  <c r="AR207" i="14"/>
  <c r="AS207" i="14"/>
  <c r="AT207" i="14"/>
  <c r="AR208" i="14"/>
  <c r="AS208" i="14"/>
  <c r="AT208" i="14" s="1"/>
  <c r="AR209" i="14"/>
  <c r="AS209" i="14" s="1"/>
  <c r="AT209" i="14" s="1"/>
  <c r="AK182" i="14"/>
  <c r="AL182" i="14"/>
  <c r="AM182" i="14" s="1"/>
  <c r="AK183" i="14"/>
  <c r="AL183" i="14" s="1"/>
  <c r="AM183" i="14" s="1"/>
  <c r="AK184" i="14"/>
  <c r="AL184" i="14"/>
  <c r="AM184" i="14" s="1"/>
  <c r="AK185" i="14"/>
  <c r="AL185" i="14" s="1"/>
  <c r="AM185" i="14" s="1"/>
  <c r="AK186" i="14"/>
  <c r="AL186" i="14" s="1"/>
  <c r="AM186" i="14" s="1"/>
  <c r="AK187" i="14"/>
  <c r="AL187" i="14" s="1"/>
  <c r="AM187" i="14" s="1"/>
  <c r="AK188" i="14"/>
  <c r="AL188" i="14"/>
  <c r="AM188" i="14" s="1"/>
  <c r="AK189" i="14"/>
  <c r="AL189" i="14" s="1"/>
  <c r="AM189" i="14" s="1"/>
  <c r="AK190" i="14"/>
  <c r="AL190" i="14"/>
  <c r="AM190" i="14" s="1"/>
  <c r="AK191" i="14"/>
  <c r="AL191" i="14" s="1"/>
  <c r="AM191" i="14" s="1"/>
  <c r="AK192" i="14"/>
  <c r="AL192" i="14" s="1"/>
  <c r="AM192" i="14" s="1"/>
  <c r="AK193" i="14"/>
  <c r="AL193" i="14" s="1"/>
  <c r="AM193" i="14" s="1"/>
  <c r="AK194" i="14"/>
  <c r="AL194" i="14" s="1"/>
  <c r="AM194" i="14" s="1"/>
  <c r="AK195" i="14"/>
  <c r="AL195" i="14" s="1"/>
  <c r="AM195" i="14" s="1"/>
  <c r="AK196" i="14"/>
  <c r="AL196" i="14"/>
  <c r="AM196" i="14" s="1"/>
  <c r="AK197" i="14"/>
  <c r="AL197" i="14" s="1"/>
  <c r="AM197" i="14" s="1"/>
  <c r="AK198" i="14"/>
  <c r="AL198" i="14"/>
  <c r="AM198" i="14" s="1"/>
  <c r="AK199" i="14"/>
  <c r="AL199" i="14" s="1"/>
  <c r="AM199" i="14" s="1"/>
  <c r="AK200" i="14"/>
  <c r="AL200" i="14" s="1"/>
  <c r="AM200" i="14" s="1"/>
  <c r="AK201" i="14"/>
  <c r="AL201" i="14" s="1"/>
  <c r="AM201" i="14" s="1"/>
  <c r="AK202" i="14"/>
  <c r="AL202" i="14" s="1"/>
  <c r="AM202" i="14" s="1"/>
  <c r="AK203" i="14"/>
  <c r="AL203" i="14" s="1"/>
  <c r="AM203" i="14" s="1"/>
  <c r="AK204" i="14"/>
  <c r="AL204" i="14"/>
  <c r="AM204" i="14" s="1"/>
  <c r="AK205" i="14"/>
  <c r="AL205" i="14" s="1"/>
  <c r="AM205" i="14" s="1"/>
  <c r="AK206" i="14"/>
  <c r="AL206" i="14"/>
  <c r="AM206" i="14" s="1"/>
  <c r="AK207" i="14"/>
  <c r="AL207" i="14" s="1"/>
  <c r="AM207" i="14" s="1"/>
  <c r="AK208" i="14"/>
  <c r="AL208" i="14" s="1"/>
  <c r="AM208" i="14" s="1"/>
  <c r="AK209" i="14"/>
  <c r="AL209" i="14" s="1"/>
  <c r="AM209" i="14" s="1"/>
  <c r="AK140" i="14"/>
  <c r="AL140" i="14" s="1"/>
  <c r="AM140" i="14" s="1"/>
  <c r="AR140" i="14"/>
  <c r="AS140" i="14" s="1"/>
  <c r="AT140" i="14" s="1"/>
  <c r="AK141" i="14"/>
  <c r="AL141" i="14"/>
  <c r="AM141" i="14" s="1"/>
  <c r="AR141" i="14"/>
  <c r="AS141" i="14"/>
  <c r="AT141" i="14" s="1"/>
  <c r="AK142" i="14"/>
  <c r="AL142" i="14" s="1"/>
  <c r="AM142" i="14" s="1"/>
  <c r="AR142" i="14"/>
  <c r="AS142" i="14"/>
  <c r="AT142" i="14" s="1"/>
  <c r="AK143" i="14"/>
  <c r="AL143" i="14" s="1"/>
  <c r="AM143" i="14" s="1"/>
  <c r="AR143" i="14"/>
  <c r="AS143" i="14" s="1"/>
  <c r="AT143" i="14" s="1"/>
  <c r="AK144" i="14"/>
  <c r="AL144" i="14" s="1"/>
  <c r="AM144" i="14" s="1"/>
  <c r="AR144" i="14"/>
  <c r="AS144" i="14"/>
  <c r="AT144" i="14" s="1"/>
  <c r="AK145" i="14"/>
  <c r="AL145" i="14"/>
  <c r="AM145" i="14" s="1"/>
  <c r="AR145" i="14"/>
  <c r="AS145" i="14"/>
  <c r="AT145" i="14" s="1"/>
  <c r="AK146" i="14"/>
  <c r="AL146" i="14" s="1"/>
  <c r="AM146" i="14" s="1"/>
  <c r="AR146" i="14"/>
  <c r="AS146" i="14"/>
  <c r="AT146" i="14" s="1"/>
  <c r="AK147" i="14"/>
  <c r="AL147" i="14" s="1"/>
  <c r="AM147" i="14" s="1"/>
  <c r="AR147" i="14"/>
  <c r="AS147" i="14" s="1"/>
  <c r="AT147" i="14" s="1"/>
  <c r="AK148" i="14"/>
  <c r="AL148" i="14" s="1"/>
  <c r="AM148" i="14" s="1"/>
  <c r="AR148" i="14"/>
  <c r="AS148" i="14"/>
  <c r="AT148" i="14" s="1"/>
  <c r="AK149" i="14"/>
  <c r="AL149" i="14"/>
  <c r="AM149" i="14"/>
  <c r="AR149" i="14"/>
  <c r="AS149" i="14"/>
  <c r="AT149" i="14" s="1"/>
  <c r="AK150" i="14"/>
  <c r="AL150" i="14" s="1"/>
  <c r="AM150" i="14" s="1"/>
  <c r="AR150" i="14"/>
  <c r="AS150" i="14"/>
  <c r="AT150" i="14" s="1"/>
  <c r="AK151" i="14"/>
  <c r="AL151" i="14" s="1"/>
  <c r="AM151" i="14" s="1"/>
  <c r="AR151" i="14"/>
  <c r="AS151" i="14" s="1"/>
  <c r="AT151" i="14" s="1"/>
  <c r="AK152" i="14"/>
  <c r="AL152" i="14" s="1"/>
  <c r="AM152" i="14" s="1"/>
  <c r="AR152" i="14"/>
  <c r="AS152" i="14"/>
  <c r="AT152" i="14" s="1"/>
  <c r="AK153" i="14"/>
  <c r="AL153" i="14"/>
  <c r="AM153" i="14" s="1"/>
  <c r="AR153" i="14"/>
  <c r="AS153" i="14"/>
  <c r="AT153" i="14" s="1"/>
  <c r="AK154" i="14"/>
  <c r="AL154" i="14" s="1"/>
  <c r="AM154" i="14" s="1"/>
  <c r="AR154" i="14"/>
  <c r="AS154" i="14"/>
  <c r="AT154" i="14" s="1"/>
  <c r="AK155" i="14"/>
  <c r="AL155" i="14" s="1"/>
  <c r="AM155" i="14" s="1"/>
  <c r="AR155" i="14"/>
  <c r="AS155" i="14" s="1"/>
  <c r="AT155" i="14" s="1"/>
  <c r="AK156" i="14"/>
  <c r="AL156" i="14" s="1"/>
  <c r="AM156" i="14" s="1"/>
  <c r="AR156" i="14"/>
  <c r="AS156" i="14"/>
  <c r="AT156" i="14" s="1"/>
  <c r="AK157" i="14"/>
  <c r="AL157" i="14"/>
  <c r="AM157" i="14" s="1"/>
  <c r="AR157" i="14"/>
  <c r="AS157" i="14"/>
  <c r="AT157" i="14" s="1"/>
  <c r="AK158" i="14"/>
  <c r="AL158" i="14" s="1"/>
  <c r="AM158" i="14" s="1"/>
  <c r="AR158" i="14"/>
  <c r="AS158" i="14"/>
  <c r="AT158" i="14" s="1"/>
  <c r="AK159" i="14"/>
  <c r="AL159" i="14" s="1"/>
  <c r="AM159" i="14" s="1"/>
  <c r="AR159" i="14"/>
  <c r="AS159" i="14" s="1"/>
  <c r="AT159" i="14" s="1"/>
  <c r="AK160" i="14"/>
  <c r="AL160" i="14" s="1"/>
  <c r="AM160" i="14" s="1"/>
  <c r="AR160" i="14"/>
  <c r="AS160" i="14" s="1"/>
  <c r="AT160" i="14" s="1"/>
  <c r="AK161" i="14"/>
  <c r="AL161" i="14"/>
  <c r="AM161" i="14"/>
  <c r="AR161" i="14"/>
  <c r="AS161" i="14"/>
  <c r="AT161" i="14" s="1"/>
  <c r="AK162" i="14"/>
  <c r="AL162" i="14" s="1"/>
  <c r="AM162" i="14" s="1"/>
  <c r="AR162" i="14"/>
  <c r="AS162" i="14"/>
  <c r="AT162" i="14" s="1"/>
  <c r="AK163" i="14"/>
  <c r="AL163" i="14" s="1"/>
  <c r="AM163" i="14" s="1"/>
  <c r="AR163" i="14"/>
  <c r="AS163" i="14" s="1"/>
  <c r="AT163" i="14" s="1"/>
  <c r="AK164" i="14"/>
  <c r="AL164" i="14" s="1"/>
  <c r="AM164" i="14" s="1"/>
  <c r="AR164" i="14"/>
  <c r="AS164" i="14" s="1"/>
  <c r="AT164" i="14" s="1"/>
  <c r="AK165" i="14"/>
  <c r="AL165" i="14"/>
  <c r="AM165" i="14"/>
  <c r="AR165" i="14"/>
  <c r="AS165" i="14"/>
  <c r="AT165" i="14" s="1"/>
  <c r="AK166" i="14"/>
  <c r="AL166" i="14" s="1"/>
  <c r="AM166" i="14" s="1"/>
  <c r="AR166" i="14"/>
  <c r="AS166" i="14"/>
  <c r="AT166" i="14" s="1"/>
  <c r="AK167" i="14"/>
  <c r="AL167" i="14" s="1"/>
  <c r="AM167" i="14" s="1"/>
  <c r="AR167" i="14"/>
  <c r="AS167" i="14" s="1"/>
  <c r="AT167" i="14" s="1"/>
  <c r="AK168" i="14"/>
  <c r="AL168" i="14" s="1"/>
  <c r="AM168" i="14" s="1"/>
  <c r="AR168" i="14"/>
  <c r="AS168" i="14" s="1"/>
  <c r="AT168" i="14" s="1"/>
  <c r="AK169" i="14"/>
  <c r="AL169" i="14"/>
  <c r="AM169" i="14"/>
  <c r="AR169" i="14"/>
  <c r="AS169" i="14"/>
  <c r="AT169" i="14" s="1"/>
  <c r="AK170" i="14"/>
  <c r="AL170" i="14" s="1"/>
  <c r="AM170" i="14" s="1"/>
  <c r="AR170" i="14"/>
  <c r="AS170" i="14"/>
  <c r="AT170" i="14" s="1"/>
  <c r="AK171" i="14"/>
  <c r="AL171" i="14" s="1"/>
  <c r="AM171" i="14" s="1"/>
  <c r="AR171" i="14"/>
  <c r="AS171" i="14" s="1"/>
  <c r="AT171" i="14" s="1"/>
  <c r="AK172" i="14"/>
  <c r="AL172" i="14" s="1"/>
  <c r="AM172" i="14" s="1"/>
  <c r="AR172" i="14"/>
  <c r="AS172" i="14"/>
  <c r="AT172" i="14" s="1"/>
  <c r="AK173" i="14"/>
  <c r="AL173" i="14"/>
  <c r="AM173" i="14" s="1"/>
  <c r="AR173" i="14"/>
  <c r="AS173" i="14"/>
  <c r="AT173" i="14" s="1"/>
  <c r="AK174" i="14"/>
  <c r="AL174" i="14" s="1"/>
  <c r="AM174" i="14" s="1"/>
  <c r="AR174" i="14"/>
  <c r="AS174" i="14"/>
  <c r="AT174" i="14" s="1"/>
  <c r="AK175" i="14"/>
  <c r="AL175" i="14" s="1"/>
  <c r="AM175" i="14" s="1"/>
  <c r="AR175" i="14"/>
  <c r="AS175" i="14"/>
  <c r="AT175" i="14" s="1"/>
  <c r="AR94" i="14"/>
  <c r="AS94" i="14"/>
  <c r="AT94" i="14" s="1"/>
  <c r="AR95" i="14"/>
  <c r="AS95" i="14"/>
  <c r="AT95" i="14" s="1"/>
  <c r="AR96" i="14"/>
  <c r="AS96" i="14"/>
  <c r="AT96" i="14" s="1"/>
  <c r="AR97" i="14"/>
  <c r="AS97" i="14"/>
  <c r="AT97" i="14" s="1"/>
  <c r="AR98" i="14"/>
  <c r="AS98" i="14"/>
  <c r="AT98" i="14" s="1"/>
  <c r="AR99" i="14"/>
  <c r="AS99" i="14"/>
  <c r="AT99" i="14"/>
  <c r="AR100" i="14"/>
  <c r="AS100" i="14"/>
  <c r="AT100" i="14"/>
  <c r="AR101" i="14"/>
  <c r="AS101" i="14"/>
  <c r="AT101" i="14" s="1"/>
  <c r="AR102" i="14"/>
  <c r="AS102" i="14"/>
  <c r="AT102" i="14" s="1"/>
  <c r="AR103" i="14"/>
  <c r="AS103" i="14"/>
  <c r="AT103" i="14" s="1"/>
  <c r="AR104" i="14"/>
  <c r="AS104" i="14"/>
  <c r="AT104" i="14" s="1"/>
  <c r="AR105" i="14"/>
  <c r="AS105" i="14"/>
  <c r="AT105" i="14" s="1"/>
  <c r="AR106" i="14"/>
  <c r="AS106" i="14"/>
  <c r="AT106" i="14" s="1"/>
  <c r="AR107" i="14"/>
  <c r="AS107" i="14"/>
  <c r="AT107" i="14"/>
  <c r="AR108" i="14"/>
  <c r="AS108" i="14"/>
  <c r="AT108" i="14" s="1"/>
  <c r="AR109" i="14"/>
  <c r="AS109" i="14"/>
  <c r="AT109" i="14" s="1"/>
  <c r="AR110" i="14"/>
  <c r="AS110" i="14"/>
  <c r="AT110" i="14" s="1"/>
  <c r="AR111" i="14"/>
  <c r="AS111" i="14"/>
  <c r="AT111" i="14" s="1"/>
  <c r="AR112" i="14"/>
  <c r="AS112" i="14"/>
  <c r="AT112" i="14" s="1"/>
  <c r="AR113" i="14"/>
  <c r="AS113" i="14"/>
  <c r="AT113" i="14" s="1"/>
  <c r="AR114" i="14"/>
  <c r="AS114" i="14"/>
  <c r="AT114" i="14" s="1"/>
  <c r="AR115" i="14"/>
  <c r="AS115" i="14"/>
  <c r="AT115" i="14"/>
  <c r="AR116" i="14"/>
  <c r="AS116" i="14"/>
  <c r="AT116" i="14"/>
  <c r="AR117" i="14"/>
  <c r="AS117" i="14"/>
  <c r="AT117" i="14" s="1"/>
  <c r="AR118" i="14"/>
  <c r="AS118" i="14"/>
  <c r="AT118" i="14" s="1"/>
  <c r="AR119" i="14"/>
  <c r="AS119" i="14"/>
  <c r="AT119" i="14" s="1"/>
  <c r="AR120" i="14"/>
  <c r="AS120" i="14"/>
  <c r="AT120" i="14" s="1"/>
  <c r="AR121" i="14"/>
  <c r="AS121" i="14"/>
  <c r="AT121" i="14" s="1"/>
  <c r="AR122" i="14"/>
  <c r="AS122" i="14"/>
  <c r="AT122" i="14" s="1"/>
  <c r="AR123" i="14"/>
  <c r="AS123" i="14"/>
  <c r="AT123" i="14"/>
  <c r="AR124" i="14"/>
  <c r="AS124" i="14"/>
  <c r="AT124" i="14"/>
  <c r="AR125" i="14"/>
  <c r="AS125" i="14"/>
  <c r="AT125" i="14" s="1"/>
  <c r="AR126" i="14"/>
  <c r="AS126" i="14"/>
  <c r="AT126" i="14" s="1"/>
  <c r="AR127" i="14"/>
  <c r="AS127" i="14"/>
  <c r="AT127" i="14" s="1"/>
  <c r="AR128" i="14"/>
  <c r="AS128" i="14"/>
  <c r="AT128" i="14" s="1"/>
  <c r="AR129" i="14"/>
  <c r="AS129" i="14"/>
  <c r="AT129" i="14" s="1"/>
  <c r="AR130" i="14"/>
  <c r="AS130" i="14"/>
  <c r="AT130" i="14" s="1"/>
  <c r="AR131" i="14"/>
  <c r="AS131" i="14"/>
  <c r="AT131" i="14"/>
  <c r="AR132" i="14"/>
  <c r="AS132" i="14"/>
  <c r="AT132" i="14"/>
  <c r="AR133" i="14"/>
  <c r="AS133" i="14"/>
  <c r="AT133" i="14" s="1"/>
  <c r="AK94" i="14"/>
  <c r="AM94" i="14"/>
  <c r="AK95" i="14"/>
  <c r="AM95" i="14" s="1"/>
  <c r="AK96" i="14"/>
  <c r="AM96" i="14"/>
  <c r="AK97" i="14"/>
  <c r="AM97" i="14" s="1"/>
  <c r="AK98" i="14"/>
  <c r="AM98" i="14" s="1"/>
  <c r="AK99" i="14"/>
  <c r="AM99" i="14" s="1"/>
  <c r="AK100" i="14"/>
  <c r="AM100" i="14"/>
  <c r="AK101" i="14"/>
  <c r="AK102" i="14"/>
  <c r="AM102" i="14"/>
  <c r="AK103" i="14"/>
  <c r="AM103" i="14" s="1"/>
  <c r="AK104" i="14"/>
  <c r="AM104" i="14"/>
  <c r="AK105" i="14"/>
  <c r="AM105" i="14" s="1"/>
  <c r="AK106" i="14"/>
  <c r="AM106" i="14" s="1"/>
  <c r="AK107" i="14"/>
  <c r="AM107" i="14" s="1"/>
  <c r="AK108" i="14"/>
  <c r="AM108" i="14"/>
  <c r="AK109" i="14"/>
  <c r="AK110" i="14"/>
  <c r="AM110" i="14"/>
  <c r="AK111" i="14"/>
  <c r="AM111" i="14" s="1"/>
  <c r="AK112" i="14"/>
  <c r="AM112" i="14"/>
  <c r="AK113" i="14"/>
  <c r="AM113" i="14" s="1"/>
  <c r="AK114" i="14"/>
  <c r="AM114" i="14" s="1"/>
  <c r="AK115" i="14"/>
  <c r="AM115" i="14" s="1"/>
  <c r="AK116" i="14"/>
  <c r="AM116" i="14"/>
  <c r="AK117" i="14"/>
  <c r="AM117" i="14" s="1"/>
  <c r="AK118" i="14"/>
  <c r="AM118" i="14"/>
  <c r="AK119" i="14"/>
  <c r="AM119" i="14" s="1"/>
  <c r="AK120" i="14"/>
  <c r="AM120" i="14"/>
  <c r="AK121" i="14"/>
  <c r="AM121" i="14" s="1"/>
  <c r="AK122" i="14"/>
  <c r="AM122" i="14" s="1"/>
  <c r="AK123" i="14"/>
  <c r="AM123" i="14" s="1"/>
  <c r="AK124" i="14"/>
  <c r="AM124" i="14"/>
  <c r="AK125" i="14"/>
  <c r="AK126" i="14"/>
  <c r="AM126" i="14"/>
  <c r="AK127" i="14"/>
  <c r="AM127" i="14" s="1"/>
  <c r="AK128" i="14"/>
  <c r="AM128" i="14"/>
  <c r="AK129" i="14"/>
  <c r="AM129" i="14" s="1"/>
  <c r="AK130" i="14"/>
  <c r="AM130" i="14" s="1"/>
  <c r="AK131" i="14"/>
  <c r="AM131" i="14" s="1"/>
  <c r="AK132" i="14"/>
  <c r="AM132" i="14"/>
  <c r="AK133" i="14"/>
  <c r="AK60" i="14"/>
  <c r="AM60" i="14" s="1"/>
  <c r="AR60" i="14"/>
  <c r="AT60" i="14"/>
  <c r="AK61" i="14"/>
  <c r="AR61" i="14"/>
  <c r="AT61" i="14"/>
  <c r="AK62" i="14"/>
  <c r="AM62" i="14"/>
  <c r="AR62" i="14"/>
  <c r="AT62" i="14" s="1"/>
  <c r="AK63" i="14"/>
  <c r="AM63" i="14" s="1"/>
  <c r="AR63" i="14"/>
  <c r="AT63" i="14"/>
  <c r="AK64" i="14"/>
  <c r="AM64" i="14" s="1"/>
  <c r="AR64" i="14"/>
  <c r="AT64" i="14"/>
  <c r="AK65" i="14"/>
  <c r="AM65" i="14" s="1"/>
  <c r="AR65" i="14"/>
  <c r="AT65" i="14"/>
  <c r="AK66" i="14"/>
  <c r="AM66" i="14"/>
  <c r="AR66" i="14"/>
  <c r="AT66" i="14"/>
  <c r="AK67" i="14"/>
  <c r="AM67" i="14" s="1"/>
  <c r="AR67" i="14"/>
  <c r="AK68" i="14"/>
  <c r="AM68" i="14" s="1"/>
  <c r="AR68" i="14"/>
  <c r="AT68" i="14"/>
  <c r="AK69" i="14"/>
  <c r="AR69" i="14"/>
  <c r="AT69" i="14"/>
  <c r="AK70" i="14"/>
  <c r="AM70" i="14"/>
  <c r="AR70" i="14"/>
  <c r="AT70" i="14"/>
  <c r="AK71" i="14"/>
  <c r="AM71" i="14" s="1"/>
  <c r="AR71" i="14"/>
  <c r="AT71" i="14"/>
  <c r="AK72" i="14"/>
  <c r="AM72" i="14" s="1"/>
  <c r="AR72" i="14"/>
  <c r="AT72" i="14"/>
  <c r="AK73" i="14"/>
  <c r="AM73" i="14" s="1"/>
  <c r="AR73" i="14"/>
  <c r="AT73" i="14"/>
  <c r="AK74" i="14"/>
  <c r="AM74" i="14"/>
  <c r="AR74" i="14"/>
  <c r="AT74" i="14"/>
  <c r="AK75" i="14"/>
  <c r="AM75" i="14" s="1"/>
  <c r="AR75" i="14"/>
  <c r="AK76" i="14"/>
  <c r="AM76" i="14" s="1"/>
  <c r="AR76" i="14"/>
  <c r="AT76" i="14"/>
  <c r="AK77" i="14"/>
  <c r="AM77" i="14" s="1"/>
  <c r="AR77" i="14"/>
  <c r="AT77" i="14"/>
  <c r="AK78" i="14"/>
  <c r="AM78" i="14"/>
  <c r="AR78" i="14"/>
  <c r="AT78" i="14"/>
  <c r="AK79" i="14"/>
  <c r="AM79" i="14" s="1"/>
  <c r="AR79" i="14"/>
  <c r="AT79" i="14"/>
  <c r="AK80" i="14"/>
  <c r="AM80" i="14" s="1"/>
  <c r="AR80" i="14"/>
  <c r="AT80" i="14"/>
  <c r="AK81" i="14"/>
  <c r="AM81" i="14" s="1"/>
  <c r="AR81" i="14"/>
  <c r="AT81" i="14"/>
  <c r="AK82" i="14"/>
  <c r="AM82" i="14"/>
  <c r="AR82" i="14"/>
  <c r="AT82" i="14"/>
  <c r="AK83" i="14"/>
  <c r="AM83" i="14" s="1"/>
  <c r="AR83" i="14"/>
  <c r="AK84" i="14"/>
  <c r="AM84" i="14" s="1"/>
  <c r="AR84" i="14"/>
  <c r="AT84" i="14"/>
  <c r="AK85" i="14"/>
  <c r="AR85" i="14"/>
  <c r="AT85" i="14"/>
  <c r="AK86" i="14"/>
  <c r="AM86" i="14"/>
  <c r="AR86" i="14"/>
  <c r="AT86" i="14"/>
  <c r="AK87" i="14"/>
  <c r="AM87" i="14" s="1"/>
  <c r="AR87" i="14"/>
  <c r="AT87" i="14"/>
  <c r="AR27" i="14"/>
  <c r="AS27" i="14"/>
  <c r="AT27" i="14" s="1"/>
  <c r="AR28" i="14"/>
  <c r="AS28" i="14"/>
  <c r="AT28" i="14" s="1"/>
  <c r="AR29" i="14"/>
  <c r="AS29" i="14" s="1"/>
  <c r="AT29" i="14" s="1"/>
  <c r="AR30" i="14"/>
  <c r="AS30" i="14" s="1"/>
  <c r="AT30" i="14" s="1"/>
  <c r="AR31" i="14"/>
  <c r="AS31" i="14"/>
  <c r="AT31" i="14" s="1"/>
  <c r="AR32" i="14"/>
  <c r="AS32" i="14"/>
  <c r="AT32" i="14" s="1"/>
  <c r="AR33" i="14"/>
  <c r="AS33" i="14"/>
  <c r="AT33" i="14" s="1"/>
  <c r="AR34" i="14"/>
  <c r="AS34" i="14"/>
  <c r="AT34" i="14" s="1"/>
  <c r="AR35" i="14"/>
  <c r="AS35" i="14" s="1"/>
  <c r="AT35" i="14" s="1"/>
  <c r="AR36" i="14"/>
  <c r="AS36" i="14"/>
  <c r="AT36" i="14" s="1"/>
  <c r="AR37" i="14"/>
  <c r="AS37" i="14"/>
  <c r="AT37" i="14" s="1"/>
  <c r="AR38" i="14"/>
  <c r="AS38" i="14" s="1"/>
  <c r="AT38" i="14" s="1"/>
  <c r="AR39" i="14"/>
  <c r="AS39" i="14" s="1"/>
  <c r="AT39" i="14" s="1"/>
  <c r="AR40" i="14"/>
  <c r="AS40" i="14"/>
  <c r="AT40" i="14" s="1"/>
  <c r="AR41" i="14"/>
  <c r="AS41" i="14"/>
  <c r="AT41" i="14" s="1"/>
  <c r="AR42" i="14"/>
  <c r="AS42" i="14" s="1"/>
  <c r="AT42" i="14" s="1"/>
  <c r="AR43" i="14"/>
  <c r="AS43" i="14" s="1"/>
  <c r="AT43" i="14" s="1"/>
  <c r="AR44" i="14"/>
  <c r="AS44" i="14"/>
  <c r="AT44" i="14" s="1"/>
  <c r="AR45" i="14"/>
  <c r="AS45" i="14"/>
  <c r="AT45" i="14" s="1"/>
  <c r="AR46" i="14"/>
  <c r="AS46" i="14" s="1"/>
  <c r="AT46" i="14" s="1"/>
  <c r="AR47" i="14"/>
  <c r="AS47" i="14" s="1"/>
  <c r="AT47" i="14" s="1"/>
  <c r="AR48" i="14"/>
  <c r="AS48" i="14"/>
  <c r="AT48" i="14" s="1"/>
  <c r="AR49" i="14"/>
  <c r="AS49" i="14" s="1"/>
  <c r="AT49" i="14" s="1"/>
  <c r="AR50" i="14"/>
  <c r="AS50" i="14"/>
  <c r="AT50" i="14" s="1"/>
  <c r="AR51" i="14"/>
  <c r="AS51" i="14"/>
  <c r="AT51" i="14" s="1"/>
  <c r="AR52" i="14"/>
  <c r="AS52" i="14" s="1"/>
  <c r="AT52" i="14" s="1"/>
  <c r="AR53" i="14"/>
  <c r="AS53" i="14" s="1"/>
  <c r="AT53" i="14" s="1"/>
  <c r="AK27" i="14"/>
  <c r="AL27" i="14" s="1"/>
  <c r="AM27" i="14" s="1"/>
  <c r="AK28" i="14"/>
  <c r="AL28" i="14" s="1"/>
  <c r="AM28" i="14" s="1"/>
  <c r="AK29" i="14"/>
  <c r="AL29" i="14"/>
  <c r="AM29" i="14"/>
  <c r="AK30" i="14"/>
  <c r="AL30" i="14"/>
  <c r="AM30" i="14" s="1"/>
  <c r="AK31" i="14"/>
  <c r="AL31" i="14"/>
  <c r="AM31" i="14" s="1"/>
  <c r="AK32" i="14"/>
  <c r="AL32" i="14"/>
  <c r="AM32" i="14" s="1"/>
  <c r="AK33" i="14"/>
  <c r="AL33" i="14"/>
  <c r="AM33" i="14" s="1"/>
  <c r="AK34" i="14"/>
  <c r="AL34" i="14" s="1"/>
  <c r="AM34" i="14" s="1"/>
  <c r="AK35" i="14"/>
  <c r="AL35" i="14"/>
  <c r="AM35" i="14" s="1"/>
  <c r="AK36" i="14"/>
  <c r="AL36" i="14"/>
  <c r="AM36" i="14" s="1"/>
  <c r="AK37" i="14"/>
  <c r="AL37" i="14"/>
  <c r="AM37" i="14" s="1"/>
  <c r="AK38" i="14"/>
  <c r="AL38" i="14" s="1"/>
  <c r="AM38" i="14" s="1"/>
  <c r="AK39" i="14"/>
  <c r="AL39" i="14"/>
  <c r="AM39" i="14" s="1"/>
  <c r="AK40" i="14"/>
  <c r="AL40" i="14" s="1"/>
  <c r="AM40" i="14" s="1"/>
  <c r="AK41" i="14"/>
  <c r="AL41" i="14" s="1"/>
  <c r="AM41" i="14" s="1"/>
  <c r="AK42" i="14"/>
  <c r="AL42" i="14"/>
  <c r="AM42" i="14"/>
  <c r="AK43" i="14"/>
  <c r="AL43" i="14" s="1"/>
  <c r="AM43" i="14" s="1"/>
  <c r="AK44" i="14"/>
  <c r="AL44" i="14" s="1"/>
  <c r="AM44" i="14" s="1"/>
  <c r="AK45" i="14"/>
  <c r="AL45" i="14" s="1"/>
  <c r="AM45" i="14" s="1"/>
  <c r="AK46" i="14"/>
  <c r="AL46" i="14"/>
  <c r="AM46" i="14" s="1"/>
  <c r="AK47" i="14"/>
  <c r="AL47" i="14" s="1"/>
  <c r="AM47" i="14" s="1"/>
  <c r="AK48" i="14"/>
  <c r="AL48" i="14" s="1"/>
  <c r="AM48" i="14" s="1"/>
  <c r="AK49" i="14"/>
  <c r="AL49" i="14"/>
  <c r="AM49" i="14" s="1"/>
  <c r="AK50" i="14"/>
  <c r="AL50" i="14"/>
  <c r="AM50" i="14" s="1"/>
  <c r="AK51" i="14"/>
  <c r="AL51" i="14"/>
  <c r="AM51" i="14" s="1"/>
  <c r="AK52" i="14"/>
  <c r="AL52" i="14"/>
  <c r="AM52" i="14" s="1"/>
  <c r="AK53" i="14"/>
  <c r="AL53" i="14"/>
  <c r="AM53" i="14" s="1"/>
  <c r="AU9" i="12"/>
  <c r="I125" i="12"/>
  <c r="J125" i="12"/>
  <c r="K125" i="12"/>
  <c r="P125" i="12"/>
  <c r="Q125" i="12"/>
  <c r="R125" i="12"/>
  <c r="W125" i="12"/>
  <c r="X125" i="12"/>
  <c r="Y125" i="12"/>
  <c r="AD125" i="12"/>
  <c r="AE125" i="12"/>
  <c r="AF125" i="12"/>
  <c r="AK125" i="12"/>
  <c r="AL125" i="12"/>
  <c r="AM125" i="12"/>
  <c r="AR125" i="12"/>
  <c r="AS125" i="12"/>
  <c r="AT125" i="12"/>
  <c r="AU125" i="12"/>
  <c r="AV125" i="12"/>
  <c r="AW125" i="12"/>
  <c r="AY125" i="12"/>
  <c r="AZ125" i="12"/>
  <c r="BC125" i="12"/>
  <c r="BD125" i="12"/>
  <c r="BF125" i="12"/>
  <c r="AD214" i="15"/>
  <c r="AE214" i="15" s="1"/>
  <c r="AF214" i="15" s="1"/>
  <c r="AD215" i="15"/>
  <c r="AE215" i="15" s="1"/>
  <c r="AF215" i="15" s="1"/>
  <c r="AD216" i="15"/>
  <c r="AE216" i="15" s="1"/>
  <c r="AF216" i="15" s="1"/>
  <c r="AD217" i="15"/>
  <c r="AE217" i="15" s="1"/>
  <c r="AF217" i="15" s="1"/>
  <c r="AD218" i="15"/>
  <c r="AE218" i="15" s="1"/>
  <c r="AF218" i="15" s="1"/>
  <c r="AD219" i="15"/>
  <c r="AE219" i="15"/>
  <c r="AF219" i="15" s="1"/>
  <c r="AD220" i="15"/>
  <c r="AE220" i="15"/>
  <c r="AF220" i="15"/>
  <c r="AD221" i="15"/>
  <c r="AE221" i="15" s="1"/>
  <c r="AF221" i="15" s="1"/>
  <c r="AD222" i="15"/>
  <c r="AE222" i="15" s="1"/>
  <c r="AF222" i="15" s="1"/>
  <c r="AD223" i="15"/>
  <c r="AE223" i="15"/>
  <c r="AF223" i="15" s="1"/>
  <c r="AD224" i="15"/>
  <c r="AE224" i="15" s="1"/>
  <c r="AF224" i="15" s="1"/>
  <c r="AD225" i="15"/>
  <c r="AE225" i="15" s="1"/>
  <c r="AF225" i="15" s="1"/>
  <c r="AD226" i="15"/>
  <c r="AE226" i="15" s="1"/>
  <c r="AF226" i="15" s="1"/>
  <c r="AD227" i="15"/>
  <c r="AE227" i="15"/>
  <c r="AF227" i="15" s="1"/>
  <c r="AD228" i="15"/>
  <c r="AE228" i="15"/>
  <c r="AF228" i="15" s="1"/>
  <c r="AD229" i="15"/>
  <c r="AE229" i="15" s="1"/>
  <c r="AF229" i="15" s="1"/>
  <c r="AD230" i="15"/>
  <c r="AE230" i="15" s="1"/>
  <c r="AF230" i="15" s="1"/>
  <c r="AD231" i="15"/>
  <c r="AE231" i="15"/>
  <c r="AF231" i="15" s="1"/>
  <c r="AD232" i="15"/>
  <c r="AE232" i="15" s="1"/>
  <c r="AF232" i="15" s="1"/>
  <c r="AD233" i="15"/>
  <c r="AE233" i="15" s="1"/>
  <c r="AF233" i="15" s="1"/>
  <c r="AD234" i="15"/>
  <c r="AE234" i="15" s="1"/>
  <c r="AF234" i="15" s="1"/>
  <c r="AD235" i="15"/>
  <c r="AE235" i="15"/>
  <c r="AF235" i="15" s="1"/>
  <c r="AD236" i="15"/>
  <c r="AE236" i="15"/>
  <c r="AF236" i="15"/>
  <c r="AD237" i="15"/>
  <c r="AE237" i="15" s="1"/>
  <c r="AF237" i="15" s="1"/>
  <c r="AD238" i="15"/>
  <c r="AE238" i="15" s="1"/>
  <c r="AF238" i="15" s="1"/>
  <c r="AD239" i="15"/>
  <c r="AE239" i="15"/>
  <c r="AF239" i="15" s="1"/>
  <c r="AD240" i="15"/>
  <c r="AE240" i="15" s="1"/>
  <c r="AF240" i="15" s="1"/>
  <c r="AD241" i="15"/>
  <c r="AE241" i="15" s="1"/>
  <c r="AF241" i="15" s="1"/>
  <c r="AD175" i="15"/>
  <c r="AE175" i="15"/>
  <c r="AF175" i="15" s="1"/>
  <c r="AD176" i="15"/>
  <c r="AE176" i="15" s="1"/>
  <c r="AF176" i="15" s="1"/>
  <c r="AD177" i="15"/>
  <c r="AE177" i="15"/>
  <c r="AF177" i="15" s="1"/>
  <c r="AD178" i="15"/>
  <c r="AE178" i="15"/>
  <c r="AF178" i="15" s="1"/>
  <c r="AD179" i="15"/>
  <c r="AE179" i="15" s="1"/>
  <c r="AF179" i="15" s="1"/>
  <c r="AD180" i="15"/>
  <c r="AE180" i="15" s="1"/>
  <c r="AF180" i="15" s="1"/>
  <c r="AD181" i="15"/>
  <c r="AE181" i="15" s="1"/>
  <c r="AF181" i="15" s="1"/>
  <c r="AD182" i="15"/>
  <c r="AE182" i="15" s="1"/>
  <c r="AF182" i="15" s="1"/>
  <c r="AD183" i="15"/>
  <c r="AE183" i="15"/>
  <c r="AF183" i="15" s="1"/>
  <c r="AD184" i="15"/>
  <c r="AE184" i="15" s="1"/>
  <c r="AF184" i="15" s="1"/>
  <c r="AD185" i="15"/>
  <c r="AE185" i="15"/>
  <c r="AF185" i="15" s="1"/>
  <c r="AD186" i="15"/>
  <c r="AE186" i="15"/>
  <c r="AF186" i="15" s="1"/>
  <c r="AD187" i="15"/>
  <c r="AE187" i="15"/>
  <c r="AF187" i="15" s="1"/>
  <c r="AD188" i="15"/>
  <c r="AE188" i="15" s="1"/>
  <c r="AF188" i="15" s="1"/>
  <c r="AD189" i="15"/>
  <c r="AE189" i="15" s="1"/>
  <c r="AF189" i="15" s="1"/>
  <c r="AD190" i="15"/>
  <c r="AE190" i="15" s="1"/>
  <c r="AF190" i="15" s="1"/>
  <c r="AD191" i="15"/>
  <c r="AE191" i="15"/>
  <c r="AF191" i="15"/>
  <c r="AD192" i="15"/>
  <c r="AE192" i="15" s="1"/>
  <c r="AF192" i="15" s="1"/>
  <c r="AD193" i="15"/>
  <c r="AE193" i="15"/>
  <c r="AF193" i="15" s="1"/>
  <c r="AD194" i="15"/>
  <c r="AE194" i="15"/>
  <c r="AF194" i="15" s="1"/>
  <c r="AD195" i="15"/>
  <c r="AE195" i="15"/>
  <c r="AF195" i="15" s="1"/>
  <c r="AD196" i="15"/>
  <c r="AE196" i="15" s="1"/>
  <c r="AF196" i="15" s="1"/>
  <c r="AD197" i="15"/>
  <c r="AE197" i="15" s="1"/>
  <c r="AF197" i="15" s="1"/>
  <c r="AD198" i="15"/>
  <c r="AE198" i="15" s="1"/>
  <c r="AF198" i="15" s="1"/>
  <c r="AD199" i="15"/>
  <c r="AE199" i="15" s="1"/>
  <c r="AF199" i="15" s="1"/>
  <c r="AD200" i="15"/>
  <c r="AE200" i="15" s="1"/>
  <c r="AF200" i="15" s="1"/>
  <c r="AD201" i="15"/>
  <c r="AE201" i="15"/>
  <c r="AF201" i="15" s="1"/>
  <c r="AD202" i="15"/>
  <c r="AE202" i="15"/>
  <c r="AF202" i="15" s="1"/>
  <c r="AD203" i="15"/>
  <c r="AE203" i="15" s="1"/>
  <c r="AF203" i="15" s="1"/>
  <c r="AD204" i="15"/>
  <c r="AE204" i="15" s="1"/>
  <c r="AF204" i="15" s="1"/>
  <c r="AD205" i="15"/>
  <c r="AE205" i="15" s="1"/>
  <c r="AF205" i="15" s="1"/>
  <c r="AD206" i="15"/>
  <c r="AE206" i="15" s="1"/>
  <c r="AF206" i="15" s="1"/>
  <c r="AD207" i="15"/>
  <c r="AE207" i="15" s="1"/>
  <c r="AF207" i="15" s="1"/>
  <c r="AD138" i="15"/>
  <c r="AE138" i="15" s="1"/>
  <c r="AF138" i="15" s="1"/>
  <c r="AD139" i="15"/>
  <c r="AE139" i="15" s="1"/>
  <c r="AF139" i="15" s="1"/>
  <c r="AD140" i="15"/>
  <c r="AE140" i="15" s="1"/>
  <c r="AF140" i="15" s="1"/>
  <c r="AD141" i="15"/>
  <c r="AE141" i="15" s="1"/>
  <c r="AF141" i="15" s="1"/>
  <c r="AD142" i="15"/>
  <c r="AE142" i="15" s="1"/>
  <c r="AF142" i="15" s="1"/>
  <c r="AD143" i="15"/>
  <c r="AE143" i="15"/>
  <c r="AF143" i="15" s="1"/>
  <c r="AD144" i="15"/>
  <c r="AE144" i="15" s="1"/>
  <c r="AF144" i="15" s="1"/>
  <c r="AD145" i="15"/>
  <c r="AE145" i="15" s="1"/>
  <c r="AF145" i="15" s="1"/>
  <c r="AD146" i="15"/>
  <c r="AE146" i="15" s="1"/>
  <c r="AF146" i="15" s="1"/>
  <c r="AD147" i="15"/>
  <c r="AE147" i="15"/>
  <c r="AF147" i="15" s="1"/>
  <c r="AD148" i="15"/>
  <c r="AE148" i="15" s="1"/>
  <c r="AF148" i="15" s="1"/>
  <c r="AD149" i="15"/>
  <c r="AE149" i="15" s="1"/>
  <c r="AF149" i="15" s="1"/>
  <c r="AD150" i="15"/>
  <c r="AE150" i="15" s="1"/>
  <c r="AF150" i="15" s="1"/>
  <c r="AD151" i="15"/>
  <c r="AE151" i="15"/>
  <c r="AF151" i="15" s="1"/>
  <c r="AD152" i="15"/>
  <c r="AE152" i="15" s="1"/>
  <c r="AF152" i="15" s="1"/>
  <c r="AD153" i="15"/>
  <c r="AE153" i="15" s="1"/>
  <c r="AF153" i="15" s="1"/>
  <c r="AD154" i="15"/>
  <c r="AE154" i="15" s="1"/>
  <c r="AF154" i="15" s="1"/>
  <c r="AD155" i="15"/>
  <c r="AE155" i="15"/>
  <c r="AF155" i="15" s="1"/>
  <c r="AD156" i="15"/>
  <c r="AE156" i="15" s="1"/>
  <c r="AF156" i="15" s="1"/>
  <c r="AD157" i="15"/>
  <c r="AE157" i="15" s="1"/>
  <c r="AF157" i="15" s="1"/>
  <c r="AD158" i="15"/>
  <c r="AE158" i="15" s="1"/>
  <c r="AF158" i="15" s="1"/>
  <c r="AD159" i="15"/>
  <c r="AE159" i="15"/>
  <c r="AF159" i="15" s="1"/>
  <c r="AD160" i="15"/>
  <c r="AE160" i="15" s="1"/>
  <c r="AF160" i="15" s="1"/>
  <c r="AD161" i="15"/>
  <c r="AE161" i="15" s="1"/>
  <c r="AF161" i="15" s="1"/>
  <c r="AD162" i="15"/>
  <c r="AE162" i="15" s="1"/>
  <c r="AF162" i="15" s="1"/>
  <c r="AD163" i="15"/>
  <c r="AE163" i="15" s="1"/>
  <c r="AF163" i="15" s="1"/>
  <c r="AD164" i="15"/>
  <c r="AE164" i="15" s="1"/>
  <c r="AF164" i="15" s="1"/>
  <c r="AD165" i="15"/>
  <c r="AE165" i="15" s="1"/>
  <c r="AF165" i="15" s="1"/>
  <c r="AD166" i="15"/>
  <c r="AE166" i="15" s="1"/>
  <c r="AF166" i="15" s="1"/>
  <c r="AD167" i="15"/>
  <c r="AE167" i="15"/>
  <c r="AF167" i="15" s="1"/>
  <c r="AD168" i="15"/>
  <c r="AE168" i="15" s="1"/>
  <c r="AF168" i="15" s="1"/>
  <c r="AD103" i="15"/>
  <c r="AE103" i="15" s="1"/>
  <c r="AF103" i="15" s="1"/>
  <c r="AD104" i="15"/>
  <c r="AE104" i="15" s="1"/>
  <c r="AF104" i="15" s="1"/>
  <c r="AD105" i="15"/>
  <c r="AE105" i="15" s="1"/>
  <c r="AF105" i="15" s="1"/>
  <c r="AD106" i="15"/>
  <c r="AE106" i="15" s="1"/>
  <c r="AF106" i="15" s="1"/>
  <c r="AD107" i="15"/>
  <c r="AE107" i="15"/>
  <c r="AF107" i="15" s="1"/>
  <c r="AD108" i="15"/>
  <c r="AE108" i="15"/>
  <c r="AF108" i="15" s="1"/>
  <c r="AD109" i="15"/>
  <c r="AE109" i="15" s="1"/>
  <c r="AF109" i="15" s="1"/>
  <c r="AD110" i="15"/>
  <c r="AE110" i="15" s="1"/>
  <c r="AF110" i="15" s="1"/>
  <c r="AD111" i="15"/>
  <c r="AE111" i="15" s="1"/>
  <c r="AF111" i="15" s="1"/>
  <c r="AD112" i="15"/>
  <c r="AE112" i="15" s="1"/>
  <c r="AF112" i="15" s="1"/>
  <c r="AD113" i="15"/>
  <c r="AE113" i="15" s="1"/>
  <c r="AF113" i="15" s="1"/>
  <c r="AD114" i="15"/>
  <c r="AE114" i="15" s="1"/>
  <c r="AF114" i="15" s="1"/>
  <c r="AD115" i="15"/>
  <c r="AE115" i="15"/>
  <c r="AF115" i="15" s="1"/>
  <c r="AD116" i="15"/>
  <c r="AE116" i="15"/>
  <c r="AF116" i="15" s="1"/>
  <c r="AD117" i="15"/>
  <c r="AE117" i="15" s="1"/>
  <c r="AF117" i="15" s="1"/>
  <c r="AD118" i="15"/>
  <c r="AE118" i="15" s="1"/>
  <c r="AF118" i="15" s="1"/>
  <c r="AD119" i="15"/>
  <c r="AE119" i="15" s="1"/>
  <c r="AF119" i="15" s="1"/>
  <c r="AD120" i="15"/>
  <c r="AE120" i="15" s="1"/>
  <c r="AF120" i="15" s="1"/>
  <c r="AD121" i="15"/>
  <c r="AE121" i="15" s="1"/>
  <c r="AF121" i="15" s="1"/>
  <c r="AD122" i="15"/>
  <c r="AE122" i="15" s="1"/>
  <c r="AF122" i="15" s="1"/>
  <c r="AD123" i="15"/>
  <c r="AE123" i="15"/>
  <c r="AF123" i="15" s="1"/>
  <c r="AD124" i="15"/>
  <c r="AE124" i="15"/>
  <c r="AF124" i="15" s="1"/>
  <c r="AD125" i="15"/>
  <c r="AE125" i="15" s="1"/>
  <c r="AF125" i="15" s="1"/>
  <c r="AD126" i="15"/>
  <c r="AE126" i="15" s="1"/>
  <c r="AF126" i="15" s="1"/>
  <c r="AD127" i="15"/>
  <c r="AE127" i="15" s="1"/>
  <c r="AF127" i="15" s="1"/>
  <c r="AD128" i="15"/>
  <c r="AE128" i="15" s="1"/>
  <c r="AF128" i="15" s="1"/>
  <c r="AD129" i="15"/>
  <c r="AE129" i="15"/>
  <c r="AF129" i="15" s="1"/>
  <c r="AD130" i="15"/>
  <c r="AE130" i="15" s="1"/>
  <c r="AF130" i="15" s="1"/>
  <c r="AD131" i="15"/>
  <c r="AE131" i="15"/>
  <c r="AF131" i="15" s="1"/>
  <c r="AD66" i="15"/>
  <c r="AE66" i="15" s="1"/>
  <c r="AF66" i="15" s="1"/>
  <c r="AD67" i="15"/>
  <c r="AE67" i="15" s="1"/>
  <c r="AF67" i="15" s="1"/>
  <c r="AD68" i="15"/>
  <c r="AE68" i="15" s="1"/>
  <c r="AF68" i="15" s="1"/>
  <c r="AD69" i="15"/>
  <c r="AE69" i="15" s="1"/>
  <c r="AF69" i="15" s="1"/>
  <c r="AD70" i="15"/>
  <c r="AE70" i="15"/>
  <c r="AF70" i="15"/>
  <c r="AD71" i="15"/>
  <c r="AE71" i="15" s="1"/>
  <c r="AF71" i="15" s="1"/>
  <c r="AD72" i="15"/>
  <c r="AE72" i="15" s="1"/>
  <c r="AF72" i="15" s="1"/>
  <c r="AD73" i="15"/>
  <c r="AE73" i="15"/>
  <c r="AF73" i="15" s="1"/>
  <c r="AD74" i="15"/>
  <c r="AE74" i="15" s="1"/>
  <c r="AF74" i="15" s="1"/>
  <c r="AD75" i="15"/>
  <c r="AE75" i="15" s="1"/>
  <c r="AF75" i="15" s="1"/>
  <c r="AD76" i="15"/>
  <c r="AE76" i="15" s="1"/>
  <c r="AF76" i="15" s="1"/>
  <c r="AD77" i="15"/>
  <c r="AE77" i="15" s="1"/>
  <c r="AF77" i="15" s="1"/>
  <c r="AD78" i="15"/>
  <c r="AE78" i="15"/>
  <c r="AF78" i="15" s="1"/>
  <c r="AD79" i="15"/>
  <c r="AE79" i="15" s="1"/>
  <c r="AF79" i="15" s="1"/>
  <c r="AD80" i="15"/>
  <c r="AE80" i="15" s="1"/>
  <c r="AF80" i="15" s="1"/>
  <c r="AD81" i="15"/>
  <c r="AE81" i="15"/>
  <c r="AF81" i="15" s="1"/>
  <c r="AD82" i="15"/>
  <c r="AE82" i="15" s="1"/>
  <c r="AF82" i="15" s="1"/>
  <c r="AD83" i="15"/>
  <c r="AE83" i="15" s="1"/>
  <c r="AF83" i="15" s="1"/>
  <c r="AD84" i="15"/>
  <c r="AE84" i="15" s="1"/>
  <c r="AF84" i="15" s="1"/>
  <c r="AD85" i="15"/>
  <c r="AE85" i="15" s="1"/>
  <c r="AF85" i="15" s="1"/>
  <c r="AD86" i="15"/>
  <c r="AE86" i="15"/>
  <c r="AF86" i="15" s="1"/>
  <c r="AD87" i="15"/>
  <c r="AE87" i="15" s="1"/>
  <c r="AF87" i="15" s="1"/>
  <c r="AD88" i="15"/>
  <c r="AE88" i="15" s="1"/>
  <c r="AF88" i="15" s="1"/>
  <c r="AD89" i="15"/>
  <c r="AE89" i="15"/>
  <c r="AF89" i="15" s="1"/>
  <c r="AD90" i="15"/>
  <c r="AE90" i="15" s="1"/>
  <c r="AF90" i="15" s="1"/>
  <c r="AD91" i="15"/>
  <c r="AE91" i="15" s="1"/>
  <c r="AF91" i="15" s="1"/>
  <c r="AD92" i="15"/>
  <c r="AE92" i="15" s="1"/>
  <c r="AF92" i="15" s="1"/>
  <c r="AD93" i="15"/>
  <c r="AE93" i="15"/>
  <c r="AF93" i="15" s="1"/>
  <c r="AD94" i="15"/>
  <c r="AE94" i="15"/>
  <c r="AF94" i="15" s="1"/>
  <c r="AD95" i="15"/>
  <c r="AE95" i="15" s="1"/>
  <c r="AF95" i="15" s="1"/>
  <c r="AD96" i="15"/>
  <c r="AE96" i="15" s="1"/>
  <c r="AF96" i="15" s="1"/>
  <c r="AD29" i="15"/>
  <c r="AE29" i="15"/>
  <c r="AF29" i="15" s="1"/>
  <c r="AD30" i="15"/>
  <c r="AE30" i="15" s="1"/>
  <c r="AF30" i="15" s="1"/>
  <c r="AD31" i="15"/>
  <c r="AE31" i="15" s="1"/>
  <c r="AF31" i="15" s="1"/>
  <c r="AD32" i="15"/>
  <c r="AE32" i="15" s="1"/>
  <c r="AF32" i="15" s="1"/>
  <c r="AD33" i="15"/>
  <c r="AE33" i="15" s="1"/>
  <c r="AF33" i="15" s="1"/>
  <c r="AD34" i="15"/>
  <c r="AE34" i="15" s="1"/>
  <c r="AF34" i="15" s="1"/>
  <c r="AD35" i="15"/>
  <c r="AE35" i="15" s="1"/>
  <c r="AF35" i="15" s="1"/>
  <c r="AD36" i="15"/>
  <c r="AE36" i="15" s="1"/>
  <c r="AF36" i="15" s="1"/>
  <c r="AD37" i="15"/>
  <c r="AE37" i="15"/>
  <c r="AF37" i="15" s="1"/>
  <c r="AD38" i="15"/>
  <c r="AE38" i="15"/>
  <c r="AF38" i="15" s="1"/>
  <c r="AD39" i="15"/>
  <c r="AE39" i="15" s="1"/>
  <c r="AF39" i="15" s="1"/>
  <c r="AD40" i="15"/>
  <c r="AE40" i="15" s="1"/>
  <c r="AF40" i="15" s="1"/>
  <c r="AD41" i="15"/>
  <c r="AE41" i="15" s="1"/>
  <c r="AF41" i="15" s="1"/>
  <c r="AD42" i="15"/>
  <c r="AE42" i="15" s="1"/>
  <c r="AF42" i="15" s="1"/>
  <c r="AD43" i="15"/>
  <c r="AE43" i="15" s="1"/>
  <c r="AF43" i="15" s="1"/>
  <c r="AD44" i="15"/>
  <c r="AE44" i="15" s="1"/>
  <c r="AF44" i="15" s="1"/>
  <c r="AD45" i="15"/>
  <c r="AE45" i="15"/>
  <c r="AF45" i="15" s="1"/>
  <c r="AD46" i="15"/>
  <c r="AE46" i="15"/>
  <c r="AF46" i="15" s="1"/>
  <c r="AD47" i="15"/>
  <c r="AE47" i="15" s="1"/>
  <c r="AF47" i="15" s="1"/>
  <c r="AD48" i="15"/>
  <c r="AE48" i="15" s="1"/>
  <c r="AF48" i="15" s="1"/>
  <c r="AD49" i="15"/>
  <c r="AE49" i="15" s="1"/>
  <c r="AF49" i="15" s="1"/>
  <c r="AD50" i="15"/>
  <c r="AE50" i="15" s="1"/>
  <c r="AF50" i="15" s="1"/>
  <c r="AD51" i="15"/>
  <c r="AE51" i="15" s="1"/>
  <c r="AF51" i="15" s="1"/>
  <c r="AD52" i="15"/>
  <c r="AE52" i="15" s="1"/>
  <c r="AF52" i="15" s="1"/>
  <c r="AD53" i="15"/>
  <c r="AE53" i="15"/>
  <c r="AF53" i="15" s="1"/>
  <c r="AD54" i="15"/>
  <c r="AE54" i="15"/>
  <c r="AF54" i="15" s="1"/>
  <c r="AD55" i="15"/>
  <c r="AE55" i="15" s="1"/>
  <c r="AF55" i="15" s="1"/>
  <c r="AD56" i="15"/>
  <c r="AE56" i="15" s="1"/>
  <c r="AF56" i="15" s="1"/>
  <c r="AD57" i="15"/>
  <c r="AE57" i="15" s="1"/>
  <c r="AF57" i="15" s="1"/>
  <c r="AD58" i="15"/>
  <c r="AE58" i="15"/>
  <c r="AF58" i="15"/>
  <c r="AD59" i="15"/>
  <c r="AE59" i="15"/>
  <c r="AF59" i="15" s="1"/>
  <c r="AD182" i="14"/>
  <c r="AE182" i="14" s="1"/>
  <c r="AF182" i="14" s="1"/>
  <c r="AD183" i="14"/>
  <c r="AE183" i="14"/>
  <c r="AF183" i="14" s="1"/>
  <c r="AD184" i="14"/>
  <c r="AE184" i="14" s="1"/>
  <c r="AF184" i="14" s="1"/>
  <c r="AD185" i="14"/>
  <c r="AE185" i="14" s="1"/>
  <c r="AF185" i="14" s="1"/>
  <c r="AD186" i="14"/>
  <c r="AE186" i="14" s="1"/>
  <c r="AF186" i="14" s="1"/>
  <c r="AD187" i="14"/>
  <c r="AE187" i="14" s="1"/>
  <c r="AF187" i="14" s="1"/>
  <c r="AD188" i="14"/>
  <c r="AE188" i="14"/>
  <c r="AF188" i="14" s="1"/>
  <c r="AD189" i="14"/>
  <c r="AE189" i="14"/>
  <c r="AF189" i="14" s="1"/>
  <c r="AD190" i="14"/>
  <c r="AE190" i="14" s="1"/>
  <c r="AF190" i="14" s="1"/>
  <c r="AD191" i="14"/>
  <c r="AE191" i="14"/>
  <c r="AF191" i="14" s="1"/>
  <c r="AD192" i="14"/>
  <c r="AE192" i="14" s="1"/>
  <c r="AF192" i="14" s="1"/>
  <c r="AD193" i="14"/>
  <c r="AE193" i="14" s="1"/>
  <c r="AF193" i="14" s="1"/>
  <c r="AD194" i="14"/>
  <c r="AE194" i="14" s="1"/>
  <c r="AF194" i="14" s="1"/>
  <c r="AD195" i="14"/>
  <c r="AE195" i="14" s="1"/>
  <c r="AF195" i="14" s="1"/>
  <c r="AD196" i="14"/>
  <c r="AE196" i="14"/>
  <c r="AF196" i="14" s="1"/>
  <c r="AD197" i="14"/>
  <c r="AE197" i="14"/>
  <c r="AF197" i="14" s="1"/>
  <c r="AD198" i="14"/>
  <c r="AE198" i="14" s="1"/>
  <c r="AF198" i="14" s="1"/>
  <c r="AD199" i="14"/>
  <c r="AE199" i="14"/>
  <c r="AF199" i="14" s="1"/>
  <c r="AD200" i="14"/>
  <c r="AE200" i="14" s="1"/>
  <c r="AF200" i="14" s="1"/>
  <c r="AD201" i="14"/>
  <c r="AE201" i="14" s="1"/>
  <c r="AF201" i="14" s="1"/>
  <c r="AD202" i="14"/>
  <c r="AE202" i="14" s="1"/>
  <c r="AF202" i="14" s="1"/>
  <c r="AD203" i="14"/>
  <c r="AE203" i="14" s="1"/>
  <c r="AF203" i="14" s="1"/>
  <c r="AD204" i="14"/>
  <c r="AE204" i="14"/>
  <c r="AF204" i="14"/>
  <c r="AD205" i="14"/>
  <c r="AE205" i="14"/>
  <c r="AF205" i="14" s="1"/>
  <c r="AD206" i="14"/>
  <c r="AE206" i="14" s="1"/>
  <c r="AF206" i="14" s="1"/>
  <c r="AD207" i="14"/>
  <c r="AE207" i="14"/>
  <c r="AF207" i="14" s="1"/>
  <c r="AD208" i="14"/>
  <c r="AE208" i="14" s="1"/>
  <c r="AF208" i="14" s="1"/>
  <c r="AD209" i="14"/>
  <c r="AE209" i="14" s="1"/>
  <c r="AF209" i="14" s="1"/>
  <c r="AD140" i="14"/>
  <c r="AE140" i="14"/>
  <c r="AF140" i="14" s="1"/>
  <c r="AD141" i="14"/>
  <c r="AE141" i="14" s="1"/>
  <c r="AF141" i="14" s="1"/>
  <c r="AD142" i="14"/>
  <c r="AE142" i="14"/>
  <c r="AF142" i="14" s="1"/>
  <c r="AD143" i="14"/>
  <c r="AE143" i="14" s="1"/>
  <c r="AF143" i="14" s="1"/>
  <c r="AD144" i="14"/>
  <c r="AE144" i="14" s="1"/>
  <c r="AF144" i="14" s="1"/>
  <c r="AD145" i="14"/>
  <c r="AE145" i="14" s="1"/>
  <c r="AF145" i="14" s="1"/>
  <c r="AD146" i="14"/>
  <c r="AE146" i="14" s="1"/>
  <c r="AF146" i="14" s="1"/>
  <c r="AD147" i="14"/>
  <c r="AE147" i="14"/>
  <c r="AF147" i="14" s="1"/>
  <c r="AD148" i="14"/>
  <c r="AE148" i="14"/>
  <c r="AF148" i="14" s="1"/>
  <c r="AD149" i="14"/>
  <c r="AE149" i="14"/>
  <c r="AF149" i="14" s="1"/>
  <c r="AD150" i="14"/>
  <c r="AE150" i="14"/>
  <c r="AF150" i="14" s="1"/>
  <c r="AD151" i="14"/>
  <c r="AE151" i="14" s="1"/>
  <c r="AF151" i="14" s="1"/>
  <c r="AD152" i="14"/>
  <c r="AE152" i="14" s="1"/>
  <c r="AF152" i="14" s="1"/>
  <c r="AD153" i="14"/>
  <c r="AE153" i="14" s="1"/>
  <c r="AF153" i="14" s="1"/>
  <c r="AD154" i="14"/>
  <c r="AE154" i="14" s="1"/>
  <c r="AF154" i="14" s="1"/>
  <c r="AD155" i="14"/>
  <c r="AE155" i="14"/>
  <c r="AF155" i="14" s="1"/>
  <c r="AD156" i="14"/>
  <c r="AE156" i="14"/>
  <c r="AF156" i="14" s="1"/>
  <c r="AD157" i="14"/>
  <c r="AE157" i="14" s="1"/>
  <c r="AF157" i="14" s="1"/>
  <c r="AD158" i="14"/>
  <c r="AE158" i="14"/>
  <c r="AF158" i="14" s="1"/>
  <c r="AD159" i="14"/>
  <c r="AE159" i="14" s="1"/>
  <c r="AF159" i="14" s="1"/>
  <c r="AD160" i="14"/>
  <c r="AE160" i="14" s="1"/>
  <c r="AF160" i="14" s="1"/>
  <c r="AD161" i="14"/>
  <c r="AE161" i="14" s="1"/>
  <c r="AF161" i="14" s="1"/>
  <c r="AD162" i="14"/>
  <c r="AE162" i="14" s="1"/>
  <c r="AF162" i="14" s="1"/>
  <c r="AD163" i="14"/>
  <c r="AE163" i="14"/>
  <c r="AF163" i="14" s="1"/>
  <c r="AD164" i="14"/>
  <c r="AE164" i="14"/>
  <c r="AF164" i="14" s="1"/>
  <c r="AD165" i="14"/>
  <c r="AE165" i="14" s="1"/>
  <c r="AF165" i="14" s="1"/>
  <c r="AD166" i="14"/>
  <c r="AE166" i="14"/>
  <c r="AF166" i="14" s="1"/>
  <c r="AD167" i="14"/>
  <c r="AE167" i="14" s="1"/>
  <c r="AF167" i="14" s="1"/>
  <c r="AD168" i="14"/>
  <c r="AE168" i="14"/>
  <c r="AF168" i="14" s="1"/>
  <c r="AD169" i="14"/>
  <c r="AE169" i="14" s="1"/>
  <c r="AF169" i="14" s="1"/>
  <c r="AD170" i="14"/>
  <c r="AE170" i="14" s="1"/>
  <c r="AF170" i="14" s="1"/>
  <c r="AD171" i="14"/>
  <c r="AE171" i="14"/>
  <c r="AF171" i="14" s="1"/>
  <c r="AD172" i="14"/>
  <c r="AE172" i="14"/>
  <c r="AF172" i="14" s="1"/>
  <c r="AD173" i="14"/>
  <c r="AE173" i="14" s="1"/>
  <c r="AF173" i="14" s="1"/>
  <c r="AD174" i="14"/>
  <c r="AE174" i="14"/>
  <c r="AF174" i="14" s="1"/>
  <c r="AD175" i="14"/>
  <c r="AE175" i="14" s="1"/>
  <c r="AF175" i="14" s="1"/>
  <c r="AD94" i="14"/>
  <c r="AE94" i="14" s="1"/>
  <c r="AF94" i="14" s="1"/>
  <c r="AD95" i="14"/>
  <c r="AE95" i="14"/>
  <c r="AF95" i="14" s="1"/>
  <c r="AD96" i="14"/>
  <c r="AE96" i="14"/>
  <c r="AF96" i="14"/>
  <c r="AD97" i="14"/>
  <c r="AE97" i="14"/>
  <c r="AF97" i="14" s="1"/>
  <c r="AD98" i="14"/>
  <c r="AE98" i="14" s="1"/>
  <c r="AF98" i="14" s="1"/>
  <c r="AD99" i="14"/>
  <c r="AE99" i="14"/>
  <c r="AF99" i="14" s="1"/>
  <c r="AD100" i="14"/>
  <c r="AE100" i="14" s="1"/>
  <c r="AF100" i="14" s="1"/>
  <c r="AD101" i="14"/>
  <c r="AE101" i="14" s="1"/>
  <c r="AF101" i="14" s="1"/>
  <c r="AD102" i="14"/>
  <c r="AE102" i="14" s="1"/>
  <c r="AF102" i="14" s="1"/>
  <c r="AD103" i="14"/>
  <c r="AE103" i="14"/>
  <c r="AF103" i="14" s="1"/>
  <c r="AD104" i="14"/>
  <c r="AE104" i="14"/>
  <c r="AF104" i="14"/>
  <c r="AD105" i="14"/>
  <c r="AE105" i="14"/>
  <c r="AF105" i="14" s="1"/>
  <c r="AD106" i="14"/>
  <c r="AE106" i="14" s="1"/>
  <c r="AF106" i="14" s="1"/>
  <c r="AD107" i="14"/>
  <c r="AE107" i="14"/>
  <c r="AF107" i="14" s="1"/>
  <c r="AD108" i="14"/>
  <c r="AE108" i="14" s="1"/>
  <c r="AF108" i="14" s="1"/>
  <c r="AD109" i="14"/>
  <c r="AE109" i="14" s="1"/>
  <c r="AF109" i="14" s="1"/>
  <c r="AD110" i="14"/>
  <c r="AE110" i="14" s="1"/>
  <c r="AF110" i="14" s="1"/>
  <c r="AD111" i="14"/>
  <c r="AE111" i="14"/>
  <c r="AF111" i="14" s="1"/>
  <c r="AD112" i="14"/>
  <c r="AE112" i="14" s="1"/>
  <c r="AF112" i="14" s="1"/>
  <c r="AD113" i="14"/>
  <c r="AE113" i="14"/>
  <c r="AF113" i="14" s="1"/>
  <c r="AD114" i="14"/>
  <c r="AE114" i="14" s="1"/>
  <c r="AF114" i="14" s="1"/>
  <c r="AD115" i="14"/>
  <c r="AE115" i="14"/>
  <c r="AF115" i="14" s="1"/>
  <c r="AD116" i="14"/>
  <c r="AE116" i="14" s="1"/>
  <c r="AF116" i="14" s="1"/>
  <c r="AD117" i="14"/>
  <c r="AE117" i="14" s="1"/>
  <c r="AF117" i="14" s="1"/>
  <c r="AD118" i="14"/>
  <c r="AE118" i="14" s="1"/>
  <c r="AF118" i="14" s="1"/>
  <c r="AD119" i="14"/>
  <c r="AE119" i="14"/>
  <c r="AF119" i="14" s="1"/>
  <c r="AD120" i="14"/>
  <c r="AE120" i="14" s="1"/>
  <c r="AF120" i="14" s="1"/>
  <c r="AD121" i="14"/>
  <c r="AE121" i="14"/>
  <c r="AF121" i="14" s="1"/>
  <c r="AD122" i="14"/>
  <c r="AE122" i="14" s="1"/>
  <c r="AF122" i="14" s="1"/>
  <c r="AD123" i="14"/>
  <c r="AE123" i="14"/>
  <c r="AF123" i="14" s="1"/>
  <c r="AD124" i="14"/>
  <c r="AE124" i="14" s="1"/>
  <c r="AF124" i="14" s="1"/>
  <c r="AD125" i="14"/>
  <c r="AE125" i="14" s="1"/>
  <c r="AF125" i="14" s="1"/>
  <c r="AD126" i="14"/>
  <c r="AE126" i="14" s="1"/>
  <c r="AF126" i="14" s="1"/>
  <c r="AD127" i="14"/>
  <c r="AE127" i="14"/>
  <c r="AF127" i="14" s="1"/>
  <c r="AD128" i="14"/>
  <c r="AE128" i="14" s="1"/>
  <c r="AF128" i="14" s="1"/>
  <c r="AD129" i="14"/>
  <c r="AE129" i="14"/>
  <c r="AF129" i="14" s="1"/>
  <c r="AD130" i="14"/>
  <c r="AE130" i="14" s="1"/>
  <c r="AF130" i="14" s="1"/>
  <c r="AD131" i="14"/>
  <c r="AE131" i="14"/>
  <c r="AF131" i="14" s="1"/>
  <c r="AD132" i="14"/>
  <c r="AE132" i="14" s="1"/>
  <c r="AF132" i="14" s="1"/>
  <c r="AD133" i="14"/>
  <c r="AE133" i="14" s="1"/>
  <c r="AF133" i="14" s="1"/>
  <c r="AD60" i="14"/>
  <c r="AF60" i="14"/>
  <c r="AD61" i="14"/>
  <c r="AF61" i="14" s="1"/>
  <c r="AD62" i="14"/>
  <c r="AF62" i="14"/>
  <c r="AD63" i="14"/>
  <c r="AF63" i="14" s="1"/>
  <c r="AD64" i="14"/>
  <c r="AF64" i="14" s="1"/>
  <c r="AD65" i="14"/>
  <c r="AF65" i="14"/>
  <c r="AD66" i="14"/>
  <c r="AF66" i="14" s="1"/>
  <c r="AD67" i="14"/>
  <c r="AD68" i="14"/>
  <c r="AF68" i="14"/>
  <c r="AD69" i="14"/>
  <c r="AD70" i="14"/>
  <c r="AF70" i="14"/>
  <c r="AD71" i="14"/>
  <c r="AF71" i="14" s="1"/>
  <c r="AD72" i="14"/>
  <c r="AF72" i="14" s="1"/>
  <c r="AD73" i="14"/>
  <c r="AD74" i="14"/>
  <c r="AF74" i="14" s="1"/>
  <c r="AD75" i="14"/>
  <c r="AD76" i="14"/>
  <c r="AF76" i="14"/>
  <c r="AD77" i="14"/>
  <c r="AF77" i="14" s="1"/>
  <c r="AD78" i="14"/>
  <c r="AF78" i="14"/>
  <c r="AD79" i="14"/>
  <c r="AF79" i="14" s="1"/>
  <c r="AD80" i="14"/>
  <c r="AF80" i="14" s="1"/>
  <c r="AD81" i="14"/>
  <c r="AD82" i="14"/>
  <c r="AF82" i="14" s="1"/>
  <c r="AD83" i="14"/>
  <c r="AF83" i="14" s="1"/>
  <c r="AD84" i="14"/>
  <c r="AF84" i="14"/>
  <c r="AD85" i="14"/>
  <c r="AD86" i="14"/>
  <c r="AF86" i="14"/>
  <c r="AD87" i="14"/>
  <c r="AF87" i="14" s="1"/>
  <c r="AD27" i="14"/>
  <c r="AE27" i="14" s="1"/>
  <c r="AF27" i="14" s="1"/>
  <c r="AD28" i="14"/>
  <c r="AE28" i="14"/>
  <c r="AF28" i="14" s="1"/>
  <c r="AD29" i="14"/>
  <c r="AE29" i="14" s="1"/>
  <c r="AF29" i="14" s="1"/>
  <c r="AD30" i="14"/>
  <c r="AE30" i="14" s="1"/>
  <c r="AF30" i="14" s="1"/>
  <c r="AD31" i="14"/>
  <c r="AE31" i="14"/>
  <c r="AF31" i="14" s="1"/>
  <c r="AD32" i="14"/>
  <c r="AE32" i="14"/>
  <c r="AF32" i="14" s="1"/>
  <c r="AD33" i="14"/>
  <c r="AE33" i="14" s="1"/>
  <c r="AF33" i="14" s="1"/>
  <c r="AD34" i="14"/>
  <c r="AE34" i="14" s="1"/>
  <c r="AF34" i="14" s="1"/>
  <c r="AD35" i="14"/>
  <c r="AE35" i="14"/>
  <c r="AF35" i="14" s="1"/>
  <c r="AD36" i="14"/>
  <c r="AE36" i="14"/>
  <c r="AF36" i="14" s="1"/>
  <c r="AD37" i="14"/>
  <c r="AE37" i="14"/>
  <c r="AF37" i="14" s="1"/>
  <c r="AD38" i="14"/>
  <c r="AE38" i="14" s="1"/>
  <c r="AF38" i="14" s="1"/>
  <c r="AD39" i="14"/>
  <c r="AE39" i="14"/>
  <c r="AF39" i="14" s="1"/>
  <c r="AD40" i="14"/>
  <c r="AE40" i="14" s="1"/>
  <c r="AF40" i="14" s="1"/>
  <c r="AD41" i="14"/>
  <c r="AE41" i="14"/>
  <c r="AF41" i="14" s="1"/>
  <c r="AD42" i="14"/>
  <c r="AE42" i="14"/>
  <c r="AF42" i="14" s="1"/>
  <c r="AD43" i="14"/>
  <c r="AE43" i="14" s="1"/>
  <c r="AF43" i="14" s="1"/>
  <c r="AD44" i="14"/>
  <c r="AE44" i="14" s="1"/>
  <c r="AF44" i="14" s="1"/>
  <c r="AD45" i="14"/>
  <c r="AE45" i="14"/>
  <c r="AF45" i="14" s="1"/>
  <c r="AD46" i="14"/>
  <c r="AE46" i="14"/>
  <c r="AF46" i="14" s="1"/>
  <c r="AD47" i="14"/>
  <c r="AE47" i="14" s="1"/>
  <c r="AF47" i="14" s="1"/>
  <c r="AD48" i="14"/>
  <c r="AE48" i="14"/>
  <c r="AF48" i="14" s="1"/>
  <c r="AD49" i="14"/>
  <c r="AE49" i="14" s="1"/>
  <c r="AF49" i="14" s="1"/>
  <c r="AD50" i="14"/>
  <c r="AE50" i="14"/>
  <c r="AF50" i="14" s="1"/>
  <c r="AD51" i="14"/>
  <c r="AE51" i="14"/>
  <c r="AF51" i="14" s="1"/>
  <c r="AD52" i="14"/>
  <c r="AE52" i="14"/>
  <c r="AF52" i="14" s="1"/>
  <c r="AD53" i="14"/>
  <c r="AE53" i="14" s="1"/>
  <c r="AF53" i="14" s="1"/>
  <c r="BF174" i="15"/>
  <c r="BF159" i="15"/>
  <c r="BC9" i="12"/>
  <c r="AR10" i="15"/>
  <c r="AS10" i="15"/>
  <c r="AT10" i="15"/>
  <c r="AR11" i="15"/>
  <c r="AS11" i="15"/>
  <c r="AT11" i="15"/>
  <c r="AR12" i="15"/>
  <c r="AS12" i="15"/>
  <c r="AT12" i="15"/>
  <c r="AR13" i="15"/>
  <c r="AS13" i="15"/>
  <c r="AT13" i="15"/>
  <c r="AR14" i="15"/>
  <c r="AS14" i="15"/>
  <c r="AT14" i="15"/>
  <c r="AR15" i="15"/>
  <c r="AS15" i="15"/>
  <c r="AT15" i="15"/>
  <c r="AR16" i="15"/>
  <c r="AS16" i="15"/>
  <c r="AT16" i="15"/>
  <c r="AR17" i="15"/>
  <c r="AS17" i="15"/>
  <c r="AT17" i="15"/>
  <c r="AR18" i="15"/>
  <c r="AS18" i="15"/>
  <c r="AT18" i="15"/>
  <c r="AR19" i="15"/>
  <c r="AS19" i="15"/>
  <c r="AT19" i="15"/>
  <c r="AR20" i="15"/>
  <c r="AS20" i="15"/>
  <c r="AT20" i="15"/>
  <c r="AR21" i="15"/>
  <c r="AS21" i="15"/>
  <c r="AT21" i="15"/>
  <c r="AR22" i="15"/>
  <c r="AS22" i="15"/>
  <c r="AT22" i="15"/>
  <c r="AK10" i="15"/>
  <c r="AL10" i="15"/>
  <c r="AM10" i="15"/>
  <c r="AK11" i="15"/>
  <c r="AL11" i="15"/>
  <c r="AM11" i="15"/>
  <c r="AK12" i="15"/>
  <c r="AL12" i="15"/>
  <c r="AM12" i="15"/>
  <c r="AK13" i="15"/>
  <c r="AL13" i="15"/>
  <c r="AM13" i="15"/>
  <c r="AK14" i="15"/>
  <c r="AL14" i="15"/>
  <c r="AM14" i="15"/>
  <c r="AK15" i="15"/>
  <c r="AL15" i="15"/>
  <c r="AM15" i="15"/>
  <c r="AK16" i="15"/>
  <c r="AL16" i="15"/>
  <c r="AM16" i="15"/>
  <c r="AK17" i="15"/>
  <c r="AL17" i="15"/>
  <c r="AM17" i="15"/>
  <c r="AK18" i="15"/>
  <c r="AL18" i="15"/>
  <c r="AM18" i="15"/>
  <c r="AK19" i="15"/>
  <c r="AL19" i="15"/>
  <c r="AM19" i="15"/>
  <c r="AK20" i="15"/>
  <c r="AL20" i="15"/>
  <c r="AM20" i="15"/>
  <c r="AK21" i="15"/>
  <c r="AL21" i="15"/>
  <c r="AM21" i="15"/>
  <c r="AK22" i="15"/>
  <c r="AL22" i="15"/>
  <c r="AM22" i="15"/>
  <c r="AD10" i="15"/>
  <c r="AE10" i="15"/>
  <c r="AF10" i="15"/>
  <c r="AD11" i="15"/>
  <c r="AE11" i="15"/>
  <c r="AF11" i="15"/>
  <c r="AD12" i="15"/>
  <c r="AE12" i="15"/>
  <c r="AF12" i="15"/>
  <c r="AD13" i="15"/>
  <c r="AE13" i="15"/>
  <c r="AF13" i="15"/>
  <c r="AD14" i="15"/>
  <c r="AE14" i="15"/>
  <c r="AF14" i="15"/>
  <c r="AD15" i="15"/>
  <c r="AE15" i="15"/>
  <c r="AF15" i="15"/>
  <c r="AD16" i="15"/>
  <c r="AE16" i="15"/>
  <c r="AF16" i="15"/>
  <c r="AD17" i="15"/>
  <c r="AE17" i="15"/>
  <c r="AF17" i="15"/>
  <c r="AD18" i="15"/>
  <c r="AE18" i="15"/>
  <c r="AF18" i="15"/>
  <c r="AD19" i="15"/>
  <c r="AE19" i="15"/>
  <c r="AF19" i="15"/>
  <c r="AD20" i="15"/>
  <c r="AE20" i="15"/>
  <c r="AF20" i="15"/>
  <c r="AD21" i="15"/>
  <c r="AE21" i="15"/>
  <c r="AF21" i="15"/>
  <c r="AD22" i="15"/>
  <c r="AE22" i="15"/>
  <c r="AF22" i="15"/>
  <c r="BC214" i="15"/>
  <c r="BC215" i="15"/>
  <c r="BC216" i="15"/>
  <c r="BC217" i="15"/>
  <c r="BC218" i="15"/>
  <c r="BC219" i="15"/>
  <c r="BC220" i="15"/>
  <c r="BC221" i="15"/>
  <c r="BC222" i="15"/>
  <c r="BC223" i="15"/>
  <c r="BC224" i="15"/>
  <c r="BC225" i="15"/>
  <c r="BC226" i="15"/>
  <c r="BC227" i="15"/>
  <c r="BC228" i="15"/>
  <c r="BC229" i="15"/>
  <c r="BC230" i="15"/>
  <c r="BC231" i="15"/>
  <c r="BC232" i="15"/>
  <c r="BC233" i="15"/>
  <c r="BC234" i="15"/>
  <c r="BC235" i="15"/>
  <c r="BC236" i="15"/>
  <c r="BC237" i="15"/>
  <c r="BC238" i="15"/>
  <c r="BC239" i="15"/>
  <c r="BC240" i="15"/>
  <c r="BC241" i="15"/>
  <c r="BD214" i="15"/>
  <c r="BF214" i="15" s="1"/>
  <c r="BD215" i="15"/>
  <c r="BD216" i="15"/>
  <c r="BF216" i="15" s="1"/>
  <c r="BD217" i="15"/>
  <c r="BF217" i="15" s="1"/>
  <c r="BD218" i="15"/>
  <c r="BF218" i="15" s="1"/>
  <c r="BD219" i="15"/>
  <c r="BF219" i="15" s="1"/>
  <c r="BD220" i="15"/>
  <c r="BF220" i="15" s="1"/>
  <c r="BD221" i="15"/>
  <c r="BD222" i="15"/>
  <c r="BF222" i="15" s="1"/>
  <c r="BD223" i="15"/>
  <c r="BD224" i="15"/>
  <c r="BF224" i="15" s="1"/>
  <c r="BD225" i="15"/>
  <c r="BF225" i="15" s="1"/>
  <c r="BD226" i="15"/>
  <c r="BD227" i="15"/>
  <c r="BD228" i="15"/>
  <c r="BF228" i="15" s="1"/>
  <c r="BD229" i="15"/>
  <c r="BD230" i="15"/>
  <c r="BF230" i="15" s="1"/>
  <c r="BD231" i="15"/>
  <c r="BD232" i="15"/>
  <c r="BF232" i="15" s="1"/>
  <c r="BD233" i="15"/>
  <c r="BF233" i="15" s="1"/>
  <c r="BD234" i="15"/>
  <c r="BF234" i="15" s="1"/>
  <c r="BD235" i="15"/>
  <c r="BF235" i="15" s="1"/>
  <c r="BD236" i="15"/>
  <c r="BF236" i="15" s="1"/>
  <c r="BD237" i="15"/>
  <c r="BD238" i="15"/>
  <c r="BF238" i="15" s="1"/>
  <c r="BD239" i="15"/>
  <c r="BD240" i="15"/>
  <c r="BF240" i="15" s="1"/>
  <c r="BD241" i="15"/>
  <c r="BF241" i="15" s="1"/>
  <c r="W214" i="15"/>
  <c r="X214" i="15" s="1"/>
  <c r="Y214" i="15" s="1"/>
  <c r="W215" i="15"/>
  <c r="X215" i="15"/>
  <c r="Y215" i="15" s="1"/>
  <c r="W216" i="15"/>
  <c r="X216" i="15" s="1"/>
  <c r="Y216" i="15" s="1"/>
  <c r="W217" i="15"/>
  <c r="X217" i="15"/>
  <c r="Y217" i="15" s="1"/>
  <c r="W218" i="15"/>
  <c r="X218" i="15" s="1"/>
  <c r="Y218" i="15" s="1"/>
  <c r="W219" i="15"/>
  <c r="X219" i="15"/>
  <c r="Y219" i="15" s="1"/>
  <c r="W220" i="15"/>
  <c r="X220" i="15" s="1"/>
  <c r="Y220" i="15" s="1"/>
  <c r="W221" i="15"/>
  <c r="X221" i="15" s="1"/>
  <c r="Y221" i="15" s="1"/>
  <c r="W222" i="15"/>
  <c r="X222" i="15" s="1"/>
  <c r="Y222" i="15" s="1"/>
  <c r="W223" i="15"/>
  <c r="X223" i="15"/>
  <c r="Y223" i="15" s="1"/>
  <c r="W224" i="15"/>
  <c r="X224" i="15" s="1"/>
  <c r="Y224" i="15" s="1"/>
  <c r="W225" i="15"/>
  <c r="X225" i="15"/>
  <c r="Y225" i="15" s="1"/>
  <c r="W226" i="15"/>
  <c r="X226" i="15" s="1"/>
  <c r="Y226" i="15" s="1"/>
  <c r="W227" i="15"/>
  <c r="X227" i="15"/>
  <c r="Y227" i="15" s="1"/>
  <c r="W228" i="15"/>
  <c r="X228" i="15" s="1"/>
  <c r="Y228" i="15" s="1"/>
  <c r="W229" i="15"/>
  <c r="X229" i="15" s="1"/>
  <c r="Y229" i="15" s="1"/>
  <c r="W230" i="15"/>
  <c r="X230" i="15" s="1"/>
  <c r="Y230" i="15" s="1"/>
  <c r="W231" i="15"/>
  <c r="X231" i="15"/>
  <c r="Y231" i="15" s="1"/>
  <c r="W232" i="15"/>
  <c r="X232" i="15" s="1"/>
  <c r="Y232" i="15" s="1"/>
  <c r="W233" i="15"/>
  <c r="X233" i="15"/>
  <c r="Y233" i="15" s="1"/>
  <c r="W234" i="15"/>
  <c r="X234" i="15" s="1"/>
  <c r="Y234" i="15" s="1"/>
  <c r="W235" i="15"/>
  <c r="X235" i="15"/>
  <c r="Y235" i="15" s="1"/>
  <c r="W236" i="15"/>
  <c r="X236" i="15" s="1"/>
  <c r="Y236" i="15" s="1"/>
  <c r="W237" i="15"/>
  <c r="X237" i="15" s="1"/>
  <c r="Y237" i="15" s="1"/>
  <c r="W238" i="15"/>
  <c r="X238" i="15" s="1"/>
  <c r="Y238" i="15" s="1"/>
  <c r="W239" i="15"/>
  <c r="X239" i="15"/>
  <c r="Y239" i="15" s="1"/>
  <c r="W240" i="15"/>
  <c r="X240" i="15" s="1"/>
  <c r="Y240" i="15" s="1"/>
  <c r="W241" i="15"/>
  <c r="X241" i="15"/>
  <c r="Y241" i="15" s="1"/>
  <c r="BC213" i="15"/>
  <c r="BF213" i="15" s="1"/>
  <c r="P214" i="15"/>
  <c r="Q214" i="15" s="1"/>
  <c r="R214" i="15" s="1"/>
  <c r="P215" i="15"/>
  <c r="Q215" i="15"/>
  <c r="R215" i="15" s="1"/>
  <c r="P216" i="15"/>
  <c r="Q216" i="15" s="1"/>
  <c r="R216" i="15" s="1"/>
  <c r="P217" i="15"/>
  <c r="Q217" i="15"/>
  <c r="R217" i="15" s="1"/>
  <c r="P218" i="15"/>
  <c r="Q218" i="15" s="1"/>
  <c r="R218" i="15" s="1"/>
  <c r="P219" i="15"/>
  <c r="Q219" i="15"/>
  <c r="R219" i="15" s="1"/>
  <c r="P220" i="15"/>
  <c r="Q220" i="15" s="1"/>
  <c r="R220" i="15" s="1"/>
  <c r="P221" i="15"/>
  <c r="Q221" i="15"/>
  <c r="R221" i="15" s="1"/>
  <c r="P222" i="15"/>
  <c r="Q222" i="15" s="1"/>
  <c r="R222" i="15" s="1"/>
  <c r="P223" i="15"/>
  <c r="Q223" i="15"/>
  <c r="R223" i="15" s="1"/>
  <c r="P224" i="15"/>
  <c r="Q224" i="15" s="1"/>
  <c r="R224" i="15" s="1"/>
  <c r="P225" i="15"/>
  <c r="Q225" i="15"/>
  <c r="R225" i="15" s="1"/>
  <c r="P226" i="15"/>
  <c r="Q226" i="15" s="1"/>
  <c r="R226" i="15" s="1"/>
  <c r="P227" i="15"/>
  <c r="Q227" i="15"/>
  <c r="R227" i="15" s="1"/>
  <c r="P228" i="15"/>
  <c r="Q228" i="15" s="1"/>
  <c r="R228" i="15" s="1"/>
  <c r="P229" i="15"/>
  <c r="Q229" i="15"/>
  <c r="R229" i="15" s="1"/>
  <c r="P230" i="15"/>
  <c r="Q230" i="15" s="1"/>
  <c r="R230" i="15" s="1"/>
  <c r="P231" i="15"/>
  <c r="Q231" i="15"/>
  <c r="R231" i="15" s="1"/>
  <c r="P232" i="15"/>
  <c r="Q232" i="15" s="1"/>
  <c r="R232" i="15" s="1"/>
  <c r="P233" i="15"/>
  <c r="Q233" i="15"/>
  <c r="R233" i="15" s="1"/>
  <c r="P234" i="15"/>
  <c r="Q234" i="15" s="1"/>
  <c r="R234" i="15" s="1"/>
  <c r="P235" i="15"/>
  <c r="Q235" i="15"/>
  <c r="R235" i="15" s="1"/>
  <c r="P236" i="15"/>
  <c r="Q236" i="15" s="1"/>
  <c r="R236" i="15" s="1"/>
  <c r="P237" i="15"/>
  <c r="Q237" i="15"/>
  <c r="R237" i="15" s="1"/>
  <c r="P238" i="15"/>
  <c r="Q238" i="15" s="1"/>
  <c r="R238" i="15" s="1"/>
  <c r="P239" i="15"/>
  <c r="Q239" i="15"/>
  <c r="R239" i="15" s="1"/>
  <c r="P240" i="15"/>
  <c r="Q240" i="15" s="1"/>
  <c r="R240" i="15" s="1"/>
  <c r="P241" i="15"/>
  <c r="Q241" i="15"/>
  <c r="R241" i="15" s="1"/>
  <c r="I214" i="15"/>
  <c r="J214" i="15" s="1"/>
  <c r="K214" i="15" s="1"/>
  <c r="I215" i="15"/>
  <c r="J215" i="15"/>
  <c r="K215" i="15" s="1"/>
  <c r="I216" i="15"/>
  <c r="J216" i="15" s="1"/>
  <c r="K216" i="15" s="1"/>
  <c r="I217" i="15"/>
  <c r="J217" i="15"/>
  <c r="K217" i="15" s="1"/>
  <c r="I218" i="15"/>
  <c r="J218" i="15" s="1"/>
  <c r="K218" i="15" s="1"/>
  <c r="I219" i="15"/>
  <c r="J219" i="15"/>
  <c r="K219" i="15" s="1"/>
  <c r="I220" i="15"/>
  <c r="J220" i="15" s="1"/>
  <c r="K220" i="15" s="1"/>
  <c r="I221" i="15"/>
  <c r="J221" i="15"/>
  <c r="K221" i="15" s="1"/>
  <c r="I222" i="15"/>
  <c r="J222" i="15" s="1"/>
  <c r="K222" i="15" s="1"/>
  <c r="I223" i="15"/>
  <c r="J223" i="15"/>
  <c r="K223" i="15" s="1"/>
  <c r="I224" i="15"/>
  <c r="J224" i="15" s="1"/>
  <c r="K224" i="15" s="1"/>
  <c r="I225" i="15"/>
  <c r="J225" i="15"/>
  <c r="K225" i="15" s="1"/>
  <c r="I226" i="15"/>
  <c r="J226" i="15" s="1"/>
  <c r="K226" i="15" s="1"/>
  <c r="I227" i="15"/>
  <c r="J227" i="15"/>
  <c r="K227" i="15" s="1"/>
  <c r="I228" i="15"/>
  <c r="J228" i="15" s="1"/>
  <c r="K228" i="15" s="1"/>
  <c r="I229" i="15"/>
  <c r="J229" i="15"/>
  <c r="K229" i="15" s="1"/>
  <c r="I230" i="15"/>
  <c r="J230" i="15" s="1"/>
  <c r="K230" i="15" s="1"/>
  <c r="I231" i="15"/>
  <c r="J231" i="15"/>
  <c r="K231" i="15" s="1"/>
  <c r="I232" i="15"/>
  <c r="J232" i="15" s="1"/>
  <c r="K232" i="15" s="1"/>
  <c r="I233" i="15"/>
  <c r="J233" i="15"/>
  <c r="K233" i="15" s="1"/>
  <c r="I234" i="15"/>
  <c r="J234" i="15" s="1"/>
  <c r="K234" i="15" s="1"/>
  <c r="I235" i="15"/>
  <c r="J235" i="15"/>
  <c r="K235" i="15" s="1"/>
  <c r="I236" i="15"/>
  <c r="J236" i="15" s="1"/>
  <c r="K236" i="15" s="1"/>
  <c r="I237" i="15"/>
  <c r="J237" i="15"/>
  <c r="K237" i="15" s="1"/>
  <c r="I238" i="15"/>
  <c r="J238" i="15" s="1"/>
  <c r="K238" i="15" s="1"/>
  <c r="I239" i="15"/>
  <c r="J239" i="15"/>
  <c r="K239" i="15" s="1"/>
  <c r="I240" i="15"/>
  <c r="J240" i="15" s="1"/>
  <c r="K240" i="15" s="1"/>
  <c r="I241" i="15"/>
  <c r="J241" i="15"/>
  <c r="K241" i="15" s="1"/>
  <c r="BC175" i="15"/>
  <c r="BC176" i="15"/>
  <c r="BC177" i="15"/>
  <c r="BC178" i="15"/>
  <c r="BC179" i="15"/>
  <c r="BC180" i="15"/>
  <c r="BC181" i="15"/>
  <c r="BC182" i="15"/>
  <c r="BC183" i="15"/>
  <c r="BF183" i="15" s="1"/>
  <c r="BC184" i="15"/>
  <c r="BC185" i="15"/>
  <c r="BC186" i="15"/>
  <c r="BC187" i="15"/>
  <c r="BC188" i="15"/>
  <c r="BC189" i="15"/>
  <c r="BC190" i="15"/>
  <c r="BC191" i="15"/>
  <c r="BC192" i="15"/>
  <c r="BC193" i="15"/>
  <c r="BC194" i="15"/>
  <c r="BF194" i="15" s="1"/>
  <c r="BC195" i="15"/>
  <c r="BC196" i="15"/>
  <c r="BC197" i="15"/>
  <c r="BC198" i="15"/>
  <c r="BC199" i="15"/>
  <c r="BC200" i="15"/>
  <c r="BC201" i="15"/>
  <c r="BC202" i="15"/>
  <c r="BC203" i="15"/>
  <c r="BC204" i="15"/>
  <c r="BF204" i="15" s="1"/>
  <c r="BC205" i="15"/>
  <c r="BC206" i="15"/>
  <c r="BC207" i="15"/>
  <c r="BD175" i="15"/>
  <c r="BF175" i="15" s="1"/>
  <c r="BD176" i="15"/>
  <c r="BF176" i="15" s="1"/>
  <c r="BD177" i="15"/>
  <c r="BD178" i="15"/>
  <c r="BF178" i="15" s="1"/>
  <c r="BD179" i="15"/>
  <c r="BF179" i="15" s="1"/>
  <c r="BD180" i="15"/>
  <c r="BF180" i="15" s="1"/>
  <c r="BD181" i="15"/>
  <c r="BF181" i="15" s="1"/>
  <c r="BD182" i="15"/>
  <c r="BF182" i="15" s="1"/>
  <c r="BD183" i="15"/>
  <c r="BD184" i="15"/>
  <c r="BF184" i="15" s="1"/>
  <c r="BD185" i="15"/>
  <c r="BD186" i="15"/>
  <c r="BF186" i="15" s="1"/>
  <c r="BD187" i="15"/>
  <c r="BF187" i="15" s="1"/>
  <c r="BD188" i="15"/>
  <c r="BD189" i="15"/>
  <c r="BF189" i="15" s="1"/>
  <c r="BD190" i="15"/>
  <c r="BF190" i="15" s="1"/>
  <c r="BD191" i="15"/>
  <c r="BF191" i="15" s="1"/>
  <c r="BD192" i="15"/>
  <c r="BF192" i="15" s="1"/>
  <c r="BD193" i="15"/>
  <c r="BD194" i="15"/>
  <c r="BD195" i="15"/>
  <c r="BF195" i="15" s="1"/>
  <c r="BD196" i="15"/>
  <c r="BF196" i="15" s="1"/>
  <c r="BD197" i="15"/>
  <c r="BF197" i="15" s="1"/>
  <c r="BD198" i="15"/>
  <c r="BF198" i="15" s="1"/>
  <c r="BD199" i="15"/>
  <c r="BF199" i="15" s="1"/>
  <c r="BD200" i="15"/>
  <c r="BF200" i="15" s="1"/>
  <c r="BD201" i="15"/>
  <c r="BD202" i="15"/>
  <c r="BF202" i="15" s="1"/>
  <c r="BD203" i="15"/>
  <c r="BD204" i="15"/>
  <c r="BD205" i="15"/>
  <c r="BF205" i="15" s="1"/>
  <c r="BD206" i="15"/>
  <c r="BF206" i="15" s="1"/>
  <c r="BD207" i="15"/>
  <c r="W175" i="15"/>
  <c r="X175" i="15"/>
  <c r="Y175" i="15" s="1"/>
  <c r="W176" i="15"/>
  <c r="X176" i="15" s="1"/>
  <c r="Y176" i="15" s="1"/>
  <c r="W177" i="15"/>
  <c r="X177" i="15"/>
  <c r="Y177" i="15" s="1"/>
  <c r="W178" i="15"/>
  <c r="X178" i="15"/>
  <c r="Y178" i="15"/>
  <c r="W179" i="15"/>
  <c r="X179" i="15"/>
  <c r="Y179" i="15" s="1"/>
  <c r="W180" i="15"/>
  <c r="X180" i="15" s="1"/>
  <c r="Y180" i="15" s="1"/>
  <c r="W181" i="15"/>
  <c r="X181" i="15"/>
  <c r="Y181" i="15" s="1"/>
  <c r="W182" i="15"/>
  <c r="X182" i="15" s="1"/>
  <c r="Y182" i="15" s="1"/>
  <c r="W183" i="15"/>
  <c r="X183" i="15"/>
  <c r="Y183" i="15" s="1"/>
  <c r="W184" i="15"/>
  <c r="X184" i="15" s="1"/>
  <c r="Y184" i="15" s="1"/>
  <c r="W185" i="15"/>
  <c r="X185" i="15"/>
  <c r="Y185" i="15" s="1"/>
  <c r="W186" i="15"/>
  <c r="X186" i="15"/>
  <c r="Y186" i="15" s="1"/>
  <c r="W187" i="15"/>
  <c r="X187" i="15"/>
  <c r="Y187" i="15" s="1"/>
  <c r="W188" i="15"/>
  <c r="X188" i="15" s="1"/>
  <c r="Y188" i="15" s="1"/>
  <c r="W189" i="15"/>
  <c r="X189" i="15"/>
  <c r="Y189" i="15" s="1"/>
  <c r="W190" i="15"/>
  <c r="X190" i="15" s="1"/>
  <c r="Y190" i="15" s="1"/>
  <c r="W191" i="15"/>
  <c r="X191" i="15"/>
  <c r="Y191" i="15"/>
  <c r="W192" i="15"/>
  <c r="X192" i="15" s="1"/>
  <c r="Y192" i="15" s="1"/>
  <c r="W193" i="15"/>
  <c r="X193" i="15"/>
  <c r="Y193" i="15" s="1"/>
  <c r="W194" i="15"/>
  <c r="X194" i="15"/>
  <c r="Y194" i="15" s="1"/>
  <c r="W195" i="15"/>
  <c r="X195" i="15"/>
  <c r="Y195" i="15" s="1"/>
  <c r="W196" i="15"/>
  <c r="X196" i="15" s="1"/>
  <c r="Y196" i="15" s="1"/>
  <c r="W197" i="15"/>
  <c r="X197" i="15"/>
  <c r="Y197" i="15" s="1"/>
  <c r="W198" i="15"/>
  <c r="X198" i="15" s="1"/>
  <c r="Y198" i="15" s="1"/>
  <c r="W199" i="15"/>
  <c r="X199" i="15"/>
  <c r="Y199" i="15" s="1"/>
  <c r="W200" i="15"/>
  <c r="X200" i="15" s="1"/>
  <c r="Y200" i="15" s="1"/>
  <c r="W201" i="15"/>
  <c r="X201" i="15"/>
  <c r="Y201" i="15" s="1"/>
  <c r="W202" i="15"/>
  <c r="X202" i="15"/>
  <c r="Y202" i="15" s="1"/>
  <c r="W203" i="15"/>
  <c r="X203" i="15"/>
  <c r="Y203" i="15" s="1"/>
  <c r="W204" i="15"/>
  <c r="X204" i="15" s="1"/>
  <c r="Y204" i="15" s="1"/>
  <c r="W205" i="15"/>
  <c r="X205" i="15"/>
  <c r="Y205" i="15" s="1"/>
  <c r="W206" i="15"/>
  <c r="X206" i="15" s="1"/>
  <c r="Y206" i="15" s="1"/>
  <c r="W207" i="15"/>
  <c r="X207" i="15"/>
  <c r="Y207" i="15" s="1"/>
  <c r="BC174" i="15"/>
  <c r="AZ174" i="15"/>
  <c r="P175" i="15"/>
  <c r="Q175" i="15" s="1"/>
  <c r="R175" i="15" s="1"/>
  <c r="P176" i="15"/>
  <c r="Q176" i="15"/>
  <c r="R176" i="15" s="1"/>
  <c r="P177" i="15"/>
  <c r="Q177" i="15" s="1"/>
  <c r="R177" i="15" s="1"/>
  <c r="P178" i="15"/>
  <c r="Q178" i="15"/>
  <c r="R178" i="15" s="1"/>
  <c r="P179" i="15"/>
  <c r="Q179" i="15"/>
  <c r="R179" i="15" s="1"/>
  <c r="P180" i="15"/>
  <c r="Q180" i="15"/>
  <c r="R180" i="15" s="1"/>
  <c r="P181" i="15"/>
  <c r="Q181" i="15" s="1"/>
  <c r="R181" i="15" s="1"/>
  <c r="P182" i="15"/>
  <c r="Q182" i="15"/>
  <c r="R182" i="15" s="1"/>
  <c r="P183" i="15"/>
  <c r="Q183" i="15" s="1"/>
  <c r="R183" i="15" s="1"/>
  <c r="P184" i="15"/>
  <c r="Q184" i="15"/>
  <c r="R184" i="15" s="1"/>
  <c r="P185" i="15"/>
  <c r="Q185" i="15" s="1"/>
  <c r="R185" i="15" s="1"/>
  <c r="P186" i="15"/>
  <c r="Q186" i="15"/>
  <c r="R186" i="15" s="1"/>
  <c r="P187" i="15"/>
  <c r="Q187" i="15"/>
  <c r="R187" i="15"/>
  <c r="P188" i="15"/>
  <c r="Q188" i="15"/>
  <c r="R188" i="15" s="1"/>
  <c r="P189" i="15"/>
  <c r="Q189" i="15" s="1"/>
  <c r="R189" i="15" s="1"/>
  <c r="P190" i="15"/>
  <c r="Q190" i="15"/>
  <c r="R190" i="15" s="1"/>
  <c r="P191" i="15"/>
  <c r="Q191" i="15" s="1"/>
  <c r="R191" i="15" s="1"/>
  <c r="P192" i="15"/>
  <c r="Q192" i="15"/>
  <c r="R192" i="15" s="1"/>
  <c r="P193" i="15"/>
  <c r="Q193" i="15" s="1"/>
  <c r="R193" i="15" s="1"/>
  <c r="P194" i="15"/>
  <c r="Q194" i="15"/>
  <c r="R194" i="15" s="1"/>
  <c r="P195" i="15"/>
  <c r="Q195" i="15"/>
  <c r="R195" i="15" s="1"/>
  <c r="P196" i="15"/>
  <c r="Q196" i="15"/>
  <c r="R196" i="15" s="1"/>
  <c r="P197" i="15"/>
  <c r="Q197" i="15" s="1"/>
  <c r="R197" i="15" s="1"/>
  <c r="P198" i="15"/>
  <c r="Q198" i="15"/>
  <c r="R198" i="15" s="1"/>
  <c r="P199" i="15"/>
  <c r="Q199" i="15" s="1"/>
  <c r="R199" i="15" s="1"/>
  <c r="P200" i="15"/>
  <c r="Q200" i="15"/>
  <c r="R200" i="15" s="1"/>
  <c r="P201" i="15"/>
  <c r="Q201" i="15" s="1"/>
  <c r="R201" i="15" s="1"/>
  <c r="P202" i="15"/>
  <c r="Q202" i="15"/>
  <c r="R202" i="15" s="1"/>
  <c r="P203" i="15"/>
  <c r="Q203" i="15"/>
  <c r="R203" i="15"/>
  <c r="P204" i="15"/>
  <c r="Q204" i="15"/>
  <c r="R204" i="15" s="1"/>
  <c r="P205" i="15"/>
  <c r="Q205" i="15" s="1"/>
  <c r="R205" i="15" s="1"/>
  <c r="P206" i="15"/>
  <c r="Q206" i="15"/>
  <c r="R206" i="15" s="1"/>
  <c r="P207" i="15"/>
  <c r="Q207" i="15" s="1"/>
  <c r="R207" i="15" s="1"/>
  <c r="I175" i="15"/>
  <c r="J175" i="15"/>
  <c r="K175" i="15" s="1"/>
  <c r="I176" i="15"/>
  <c r="J176" i="15" s="1"/>
  <c r="K176" i="15" s="1"/>
  <c r="I177" i="15"/>
  <c r="J177" i="15"/>
  <c r="K177" i="15" s="1"/>
  <c r="I178" i="15"/>
  <c r="J178" i="15"/>
  <c r="K178" i="15" s="1"/>
  <c r="I179" i="15"/>
  <c r="J179" i="15"/>
  <c r="K179" i="15" s="1"/>
  <c r="I180" i="15"/>
  <c r="J180" i="15" s="1"/>
  <c r="K180" i="15" s="1"/>
  <c r="I181" i="15"/>
  <c r="J181" i="15"/>
  <c r="K181" i="15" s="1"/>
  <c r="I182" i="15"/>
  <c r="J182" i="15" s="1"/>
  <c r="K182" i="15" s="1"/>
  <c r="I183" i="15"/>
  <c r="J183" i="15"/>
  <c r="K183" i="15" s="1"/>
  <c r="I184" i="15"/>
  <c r="J184" i="15" s="1"/>
  <c r="K184" i="15" s="1"/>
  <c r="I185" i="15"/>
  <c r="J185" i="15"/>
  <c r="K185" i="15" s="1"/>
  <c r="I186" i="15"/>
  <c r="J186" i="15"/>
  <c r="K186" i="15"/>
  <c r="I187" i="15"/>
  <c r="J187" i="15"/>
  <c r="K187" i="15" s="1"/>
  <c r="I188" i="15"/>
  <c r="J188" i="15" s="1"/>
  <c r="K188" i="15" s="1"/>
  <c r="I189" i="15"/>
  <c r="J189" i="15"/>
  <c r="K189" i="15" s="1"/>
  <c r="I190" i="15"/>
  <c r="J190" i="15" s="1"/>
  <c r="K190" i="15" s="1"/>
  <c r="I191" i="15"/>
  <c r="J191" i="15"/>
  <c r="K191" i="15" s="1"/>
  <c r="I192" i="15"/>
  <c r="J192" i="15" s="1"/>
  <c r="K192" i="15" s="1"/>
  <c r="I193" i="15"/>
  <c r="J193" i="15"/>
  <c r="K193" i="15" s="1"/>
  <c r="I194" i="15"/>
  <c r="J194" i="15"/>
  <c r="K194" i="15" s="1"/>
  <c r="I195" i="15"/>
  <c r="J195" i="15"/>
  <c r="K195" i="15" s="1"/>
  <c r="I196" i="15"/>
  <c r="J196" i="15" s="1"/>
  <c r="K196" i="15" s="1"/>
  <c r="I197" i="15"/>
  <c r="J197" i="15"/>
  <c r="K197" i="15" s="1"/>
  <c r="I198" i="15"/>
  <c r="J198" i="15" s="1"/>
  <c r="K198" i="15" s="1"/>
  <c r="I199" i="15"/>
  <c r="J199" i="15"/>
  <c r="K199" i="15"/>
  <c r="I200" i="15"/>
  <c r="J200" i="15" s="1"/>
  <c r="K200" i="15" s="1"/>
  <c r="I201" i="15"/>
  <c r="J201" i="15"/>
  <c r="K201" i="15" s="1"/>
  <c r="I202" i="15"/>
  <c r="J202" i="15"/>
  <c r="K202" i="15"/>
  <c r="I203" i="15"/>
  <c r="J203" i="15"/>
  <c r="K203" i="15" s="1"/>
  <c r="I204" i="15"/>
  <c r="J204" i="15" s="1"/>
  <c r="K204" i="15" s="1"/>
  <c r="I205" i="15"/>
  <c r="J205" i="15"/>
  <c r="K205" i="15" s="1"/>
  <c r="I206" i="15"/>
  <c r="J206" i="15" s="1"/>
  <c r="K206" i="15" s="1"/>
  <c r="I207" i="15"/>
  <c r="J207" i="15"/>
  <c r="K207" i="15" s="1"/>
  <c r="BC138" i="15"/>
  <c r="BC139" i="15"/>
  <c r="BC140" i="15"/>
  <c r="BC141" i="15"/>
  <c r="BC142" i="15"/>
  <c r="BF142" i="15" s="1"/>
  <c r="BC143" i="15"/>
  <c r="BC144" i="15"/>
  <c r="BC145" i="15"/>
  <c r="BC146" i="15"/>
  <c r="BC147" i="15"/>
  <c r="BC148" i="15"/>
  <c r="BC149" i="15"/>
  <c r="BC150" i="15"/>
  <c r="BC151" i="15"/>
  <c r="BC152" i="15"/>
  <c r="BC153" i="15"/>
  <c r="BC154" i="15"/>
  <c r="BC155" i="15"/>
  <c r="BC156" i="15"/>
  <c r="BC157" i="15"/>
  <c r="BC158" i="15"/>
  <c r="BC159" i="15"/>
  <c r="BC160" i="15"/>
  <c r="BC161" i="15"/>
  <c r="BC162" i="15"/>
  <c r="BC163" i="15"/>
  <c r="BC164" i="15"/>
  <c r="BC165" i="15"/>
  <c r="BC166" i="15"/>
  <c r="BC167" i="15"/>
  <c r="BC168" i="15"/>
  <c r="BD138" i="15"/>
  <c r="BF138" i="15" s="1"/>
  <c r="BD139" i="15"/>
  <c r="BD140" i="15"/>
  <c r="BF140" i="15" s="1"/>
  <c r="BD141" i="15"/>
  <c r="BD142" i="15"/>
  <c r="BD143" i="15"/>
  <c r="BF143" i="15" s="1"/>
  <c r="BD144" i="15"/>
  <c r="BF144" i="15" s="1"/>
  <c r="BD147" i="15"/>
  <c r="BD150" i="15"/>
  <c r="BF150" i="15" s="1"/>
  <c r="BD151" i="15"/>
  <c r="BD152" i="15"/>
  <c r="BF152" i="15" s="1"/>
  <c r="BD154" i="15"/>
  <c r="BF154" i="15" s="1"/>
  <c r="BD155" i="15"/>
  <c r="BD156" i="15"/>
  <c r="BD157" i="15"/>
  <c r="BD159" i="15"/>
  <c r="BD160" i="15"/>
  <c r="BF160" i="15" s="1"/>
  <c r="BD161" i="15"/>
  <c r="BF161" i="15" s="1"/>
  <c r="BD162" i="15"/>
  <c r="BD163" i="15"/>
  <c r="BD164" i="15"/>
  <c r="BF164" i="15" s="1"/>
  <c r="BD168" i="15"/>
  <c r="BF168" i="15" s="1"/>
  <c r="W138" i="15"/>
  <c r="X138" i="15" s="1"/>
  <c r="Y138" i="15" s="1"/>
  <c r="W139" i="15"/>
  <c r="X139" i="15" s="1"/>
  <c r="Y139" i="15" s="1"/>
  <c r="W140" i="15"/>
  <c r="X140" i="15"/>
  <c r="Y140" i="15" s="1"/>
  <c r="W141" i="15"/>
  <c r="X141" i="15"/>
  <c r="Y141" i="15" s="1"/>
  <c r="W142" i="15"/>
  <c r="X142" i="15" s="1"/>
  <c r="Y142" i="15" s="1"/>
  <c r="W143" i="15"/>
  <c r="X143" i="15" s="1"/>
  <c r="Y143" i="15" s="1"/>
  <c r="W144" i="15"/>
  <c r="X144" i="15"/>
  <c r="Y144" i="15" s="1"/>
  <c r="W145" i="15"/>
  <c r="X145" i="15" s="1"/>
  <c r="Y145" i="15" s="1"/>
  <c r="W146" i="15"/>
  <c r="X146" i="15" s="1"/>
  <c r="Y146" i="15" s="1"/>
  <c r="W147" i="15"/>
  <c r="X147" i="15" s="1"/>
  <c r="Y147" i="15" s="1"/>
  <c r="W148" i="15"/>
  <c r="X148" i="15"/>
  <c r="Y148" i="15" s="1"/>
  <c r="W149" i="15"/>
  <c r="X149" i="15"/>
  <c r="Y149" i="15" s="1"/>
  <c r="W150" i="15"/>
  <c r="X150" i="15" s="1"/>
  <c r="Y150" i="15" s="1"/>
  <c r="W151" i="15"/>
  <c r="X151" i="15" s="1"/>
  <c r="Y151" i="15" s="1"/>
  <c r="W152" i="15"/>
  <c r="X152" i="15"/>
  <c r="Y152" i="15" s="1"/>
  <c r="W153" i="15"/>
  <c r="X153" i="15" s="1"/>
  <c r="Y153" i="15" s="1"/>
  <c r="W154" i="15"/>
  <c r="X154" i="15" s="1"/>
  <c r="Y154" i="15" s="1"/>
  <c r="W155" i="15"/>
  <c r="X155" i="15" s="1"/>
  <c r="Y155" i="15" s="1"/>
  <c r="W156" i="15"/>
  <c r="X156" i="15"/>
  <c r="Y156" i="15" s="1"/>
  <c r="W157" i="15"/>
  <c r="X157" i="15"/>
  <c r="Y157" i="15"/>
  <c r="W158" i="15"/>
  <c r="X158" i="15" s="1"/>
  <c r="Y158" i="15" s="1"/>
  <c r="W159" i="15"/>
  <c r="X159" i="15" s="1"/>
  <c r="Y159" i="15" s="1"/>
  <c r="W160" i="15"/>
  <c r="X160" i="15"/>
  <c r="Y160" i="15" s="1"/>
  <c r="W161" i="15"/>
  <c r="X161" i="15" s="1"/>
  <c r="Y161" i="15" s="1"/>
  <c r="W162" i="15"/>
  <c r="X162" i="15" s="1"/>
  <c r="Y162" i="15" s="1"/>
  <c r="W163" i="15"/>
  <c r="X163" i="15" s="1"/>
  <c r="Y163" i="15" s="1"/>
  <c r="W164" i="15"/>
  <c r="X164" i="15"/>
  <c r="Y164" i="15" s="1"/>
  <c r="W165" i="15"/>
  <c r="X165" i="15"/>
  <c r="Y165" i="15" s="1"/>
  <c r="W166" i="15"/>
  <c r="X166" i="15" s="1"/>
  <c r="Y166" i="15" s="1"/>
  <c r="W167" i="15"/>
  <c r="X167" i="15" s="1"/>
  <c r="Y167" i="15" s="1"/>
  <c r="W168" i="15"/>
  <c r="X168" i="15"/>
  <c r="Y168" i="15" s="1"/>
  <c r="BC137" i="15"/>
  <c r="BF137" i="15" s="1"/>
  <c r="AZ137" i="15"/>
  <c r="P138" i="15"/>
  <c r="Q138" i="15" s="1"/>
  <c r="R138" i="15" s="1"/>
  <c r="P139" i="15"/>
  <c r="Q139" i="15"/>
  <c r="R139" i="15" s="1"/>
  <c r="P140" i="15"/>
  <c r="Q140" i="15"/>
  <c r="R140" i="15"/>
  <c r="P141" i="15"/>
  <c r="Q141" i="15" s="1"/>
  <c r="R141" i="15" s="1"/>
  <c r="P142" i="15"/>
  <c r="Q142" i="15" s="1"/>
  <c r="R142" i="15" s="1"/>
  <c r="P143" i="15"/>
  <c r="Q143" i="15"/>
  <c r="R143" i="15" s="1"/>
  <c r="P144" i="15"/>
  <c r="Q144" i="15"/>
  <c r="R144" i="15"/>
  <c r="P145" i="15"/>
  <c r="Q145" i="15" s="1"/>
  <c r="R145" i="15" s="1"/>
  <c r="P146" i="15"/>
  <c r="Q146" i="15" s="1"/>
  <c r="R146" i="15" s="1"/>
  <c r="P147" i="15"/>
  <c r="Q147" i="15"/>
  <c r="R147" i="15" s="1"/>
  <c r="P148" i="15"/>
  <c r="Q148" i="15"/>
  <c r="R148" i="15"/>
  <c r="P149" i="15"/>
  <c r="Q149" i="15" s="1"/>
  <c r="R149" i="15" s="1"/>
  <c r="P150" i="15"/>
  <c r="Q150" i="15" s="1"/>
  <c r="R150" i="15" s="1"/>
  <c r="P151" i="15"/>
  <c r="Q151" i="15"/>
  <c r="R151" i="15" s="1"/>
  <c r="P152" i="15"/>
  <c r="Q152" i="15"/>
  <c r="R152" i="15" s="1"/>
  <c r="P153" i="15"/>
  <c r="Q153" i="15" s="1"/>
  <c r="R153" i="15" s="1"/>
  <c r="P154" i="15"/>
  <c r="Q154" i="15" s="1"/>
  <c r="R154" i="15" s="1"/>
  <c r="P155" i="15"/>
  <c r="Q155" i="15"/>
  <c r="R155" i="15" s="1"/>
  <c r="P156" i="15"/>
  <c r="Q156" i="15"/>
  <c r="R156" i="15"/>
  <c r="P157" i="15"/>
  <c r="Q157" i="15" s="1"/>
  <c r="R157" i="15" s="1"/>
  <c r="P158" i="15"/>
  <c r="Q158" i="15" s="1"/>
  <c r="R158" i="15" s="1"/>
  <c r="P159" i="15"/>
  <c r="Q159" i="15"/>
  <c r="R159" i="15" s="1"/>
  <c r="P160" i="15"/>
  <c r="Q160" i="15"/>
  <c r="R160" i="15" s="1"/>
  <c r="P161" i="15"/>
  <c r="Q161" i="15" s="1"/>
  <c r="R161" i="15" s="1"/>
  <c r="P162" i="15"/>
  <c r="Q162" i="15" s="1"/>
  <c r="R162" i="15" s="1"/>
  <c r="P163" i="15"/>
  <c r="Q163" i="15"/>
  <c r="R163" i="15" s="1"/>
  <c r="P164" i="15"/>
  <c r="Q164" i="15"/>
  <c r="R164" i="15" s="1"/>
  <c r="P165" i="15"/>
  <c r="Q165" i="15" s="1"/>
  <c r="R165" i="15" s="1"/>
  <c r="P166" i="15"/>
  <c r="Q166" i="15" s="1"/>
  <c r="R166" i="15" s="1"/>
  <c r="P167" i="15"/>
  <c r="Q167" i="15"/>
  <c r="R167" i="15" s="1"/>
  <c r="P168" i="15"/>
  <c r="Q168" i="15"/>
  <c r="R168" i="15" s="1"/>
  <c r="I138" i="15"/>
  <c r="J138" i="15" s="1"/>
  <c r="K138" i="15" s="1"/>
  <c r="I139" i="15"/>
  <c r="J139" i="15" s="1"/>
  <c r="K139" i="15" s="1"/>
  <c r="I140" i="15"/>
  <c r="J140" i="15"/>
  <c r="K140" i="15" s="1"/>
  <c r="I141" i="15"/>
  <c r="J141" i="15"/>
  <c r="K141" i="15" s="1"/>
  <c r="I142" i="15"/>
  <c r="J142" i="15"/>
  <c r="K142" i="15" s="1"/>
  <c r="I143" i="15"/>
  <c r="J143" i="15" s="1"/>
  <c r="K143" i="15" s="1"/>
  <c r="I144" i="15"/>
  <c r="J144" i="15"/>
  <c r="K144" i="15" s="1"/>
  <c r="I145" i="15"/>
  <c r="J145" i="15"/>
  <c r="K145" i="15" s="1"/>
  <c r="I146" i="15"/>
  <c r="J146" i="15" s="1"/>
  <c r="K146" i="15" s="1"/>
  <c r="I147" i="15"/>
  <c r="J147" i="15" s="1"/>
  <c r="K147" i="15" s="1"/>
  <c r="I148" i="15"/>
  <c r="J148" i="15"/>
  <c r="K148" i="15" s="1"/>
  <c r="I149" i="15"/>
  <c r="J149" i="15"/>
  <c r="K149" i="15"/>
  <c r="I150" i="15"/>
  <c r="J150" i="15"/>
  <c r="K150" i="15" s="1"/>
  <c r="I151" i="15"/>
  <c r="J151" i="15" s="1"/>
  <c r="K151" i="15" s="1"/>
  <c r="I152" i="15"/>
  <c r="J152" i="15"/>
  <c r="K152" i="15" s="1"/>
  <c r="I153" i="15"/>
  <c r="J153" i="15"/>
  <c r="K153" i="15" s="1"/>
  <c r="I154" i="15"/>
  <c r="J154" i="15" s="1"/>
  <c r="K154" i="15" s="1"/>
  <c r="I155" i="15"/>
  <c r="J155" i="15" s="1"/>
  <c r="K155" i="15" s="1"/>
  <c r="I156" i="15"/>
  <c r="J156" i="15"/>
  <c r="K156" i="15" s="1"/>
  <c r="I157" i="15"/>
  <c r="J157" i="15"/>
  <c r="K157" i="15"/>
  <c r="I158" i="15"/>
  <c r="J158" i="15"/>
  <c r="K158" i="15" s="1"/>
  <c r="I159" i="15"/>
  <c r="J159" i="15" s="1"/>
  <c r="K159" i="15" s="1"/>
  <c r="I160" i="15"/>
  <c r="J160" i="15"/>
  <c r="K160" i="15" s="1"/>
  <c r="I161" i="15"/>
  <c r="J161" i="15"/>
  <c r="K161" i="15" s="1"/>
  <c r="I162" i="15"/>
  <c r="J162" i="15" s="1"/>
  <c r="K162" i="15" s="1"/>
  <c r="I163" i="15"/>
  <c r="J163" i="15" s="1"/>
  <c r="K163" i="15" s="1"/>
  <c r="I164" i="15"/>
  <c r="J164" i="15"/>
  <c r="K164" i="15" s="1"/>
  <c r="I165" i="15"/>
  <c r="J165" i="15"/>
  <c r="K165" i="15"/>
  <c r="I166" i="15"/>
  <c r="J166" i="15"/>
  <c r="K166" i="15" s="1"/>
  <c r="I167" i="15"/>
  <c r="J167" i="15" s="1"/>
  <c r="K167" i="15" s="1"/>
  <c r="I168" i="15"/>
  <c r="J168" i="15"/>
  <c r="K168" i="15" s="1"/>
  <c r="BC103" i="15"/>
  <c r="BC104" i="15"/>
  <c r="BC105" i="15"/>
  <c r="BC106" i="15"/>
  <c r="BC107" i="15"/>
  <c r="BC108" i="15"/>
  <c r="BC109" i="15"/>
  <c r="BC110" i="15"/>
  <c r="BC111" i="15"/>
  <c r="BC112" i="15"/>
  <c r="BC113" i="15"/>
  <c r="BC114" i="15"/>
  <c r="BC115" i="15"/>
  <c r="BC116" i="15"/>
  <c r="BC117" i="15"/>
  <c r="BC118" i="15"/>
  <c r="BC119" i="15"/>
  <c r="BC120" i="15"/>
  <c r="BC121" i="15"/>
  <c r="BC122" i="15"/>
  <c r="BC123" i="15"/>
  <c r="BC124" i="15"/>
  <c r="BC125" i="15"/>
  <c r="BC126" i="15"/>
  <c r="BC127" i="15"/>
  <c r="BC128" i="15"/>
  <c r="BC129" i="15"/>
  <c r="BC130" i="15"/>
  <c r="BC131" i="15"/>
  <c r="BD104" i="15"/>
  <c r="BF104" i="15" s="1"/>
  <c r="BD105" i="15"/>
  <c r="BD106" i="15"/>
  <c r="BF106" i="15" s="1"/>
  <c r="BD107" i="15"/>
  <c r="BF107" i="15" s="1"/>
  <c r="BD108" i="15"/>
  <c r="BF108" i="15" s="1"/>
  <c r="BD109" i="15"/>
  <c r="BF109" i="15" s="1"/>
  <c r="BD110" i="15"/>
  <c r="BD112" i="15"/>
  <c r="BF112" i="15" s="1"/>
  <c r="BD113" i="15"/>
  <c r="BD114" i="15"/>
  <c r="BF114" i="15" s="1"/>
  <c r="BD115" i="15"/>
  <c r="BF115" i="15" s="1"/>
  <c r="BD116" i="15"/>
  <c r="BF116" i="15" s="1"/>
  <c r="BD117" i="15"/>
  <c r="BF117" i="15" s="1"/>
  <c r="BD118" i="15"/>
  <c r="BF118" i="15" s="1"/>
  <c r="BD120" i="15"/>
  <c r="BF120" i="15" s="1"/>
  <c r="BD121" i="15"/>
  <c r="BD122" i="15"/>
  <c r="BF122" i="15" s="1"/>
  <c r="BD123" i="15"/>
  <c r="BF123" i="15" s="1"/>
  <c r="BD124" i="15"/>
  <c r="BF124" i="15" s="1"/>
  <c r="BD125" i="15"/>
  <c r="BF125" i="15" s="1"/>
  <c r="BD126" i="15"/>
  <c r="BD127" i="15"/>
  <c r="BF127" i="15" s="1"/>
  <c r="BD128" i="15"/>
  <c r="BF128" i="15" s="1"/>
  <c r="BD129" i="15"/>
  <c r="BD131" i="15"/>
  <c r="BF131" i="15" s="1"/>
  <c r="W103" i="15"/>
  <c r="X103" i="15" s="1"/>
  <c r="Y103" i="15" s="1"/>
  <c r="W104" i="15"/>
  <c r="X104" i="15"/>
  <c r="Y104" i="15" s="1"/>
  <c r="W105" i="15"/>
  <c r="X105" i="15"/>
  <c r="Y105" i="15" s="1"/>
  <c r="W106" i="15"/>
  <c r="X106" i="15" s="1"/>
  <c r="Y106" i="15" s="1"/>
  <c r="W107" i="15"/>
  <c r="X107" i="15"/>
  <c r="Y107" i="15" s="1"/>
  <c r="W108" i="15"/>
  <c r="X108" i="15" s="1"/>
  <c r="Y108" i="15" s="1"/>
  <c r="W109" i="15"/>
  <c r="X109" i="15" s="1"/>
  <c r="Y109" i="15" s="1"/>
  <c r="W110" i="15"/>
  <c r="X110" i="15" s="1"/>
  <c r="Y110" i="15" s="1"/>
  <c r="W111" i="15"/>
  <c r="X111" i="15" s="1"/>
  <c r="Y111" i="15" s="1"/>
  <c r="W112" i="15"/>
  <c r="X112" i="15"/>
  <c r="Y112" i="15" s="1"/>
  <c r="W113" i="15"/>
  <c r="X113" i="15"/>
  <c r="Y113" i="15" s="1"/>
  <c r="W114" i="15"/>
  <c r="X114" i="15" s="1"/>
  <c r="Y114" i="15" s="1"/>
  <c r="W115" i="15"/>
  <c r="X115" i="15"/>
  <c r="Y115" i="15" s="1"/>
  <c r="W116" i="15"/>
  <c r="X116" i="15" s="1"/>
  <c r="Y116" i="15" s="1"/>
  <c r="W117" i="15"/>
  <c r="X117" i="15" s="1"/>
  <c r="Y117" i="15" s="1"/>
  <c r="W118" i="15"/>
  <c r="X118" i="15" s="1"/>
  <c r="Y118" i="15" s="1"/>
  <c r="W119" i="15"/>
  <c r="X119" i="15" s="1"/>
  <c r="Y119" i="15" s="1"/>
  <c r="W120" i="15"/>
  <c r="X120" i="15"/>
  <c r="Y120" i="15"/>
  <c r="W121" i="15"/>
  <c r="X121" i="15"/>
  <c r="Y121" i="15" s="1"/>
  <c r="W122" i="15"/>
  <c r="X122" i="15" s="1"/>
  <c r="Y122" i="15" s="1"/>
  <c r="W123" i="15"/>
  <c r="X123" i="15"/>
  <c r="Y123" i="15" s="1"/>
  <c r="W124" i="15"/>
  <c r="X124" i="15" s="1"/>
  <c r="Y124" i="15" s="1"/>
  <c r="W125" i="15"/>
  <c r="X125" i="15" s="1"/>
  <c r="Y125" i="15" s="1"/>
  <c r="W126" i="15"/>
  <c r="X126" i="15" s="1"/>
  <c r="Y126" i="15" s="1"/>
  <c r="W127" i="15"/>
  <c r="X127" i="15" s="1"/>
  <c r="Y127" i="15" s="1"/>
  <c r="W128" i="15"/>
  <c r="X128" i="15"/>
  <c r="Y128" i="15" s="1"/>
  <c r="W129" i="15"/>
  <c r="X129" i="15"/>
  <c r="Y129" i="15" s="1"/>
  <c r="W130" i="15"/>
  <c r="X130" i="15" s="1"/>
  <c r="Y130" i="15" s="1"/>
  <c r="W131" i="15"/>
  <c r="X131" i="15"/>
  <c r="Y131" i="15" s="1"/>
  <c r="BC102" i="15"/>
  <c r="BF102" i="15" s="1"/>
  <c r="P103" i="15"/>
  <c r="Q103" i="15" s="1"/>
  <c r="R103" i="15" s="1"/>
  <c r="P104" i="15"/>
  <c r="Q104" i="15" s="1"/>
  <c r="R104" i="15" s="1"/>
  <c r="P105" i="15"/>
  <c r="Q105" i="15" s="1"/>
  <c r="R105" i="15" s="1"/>
  <c r="P106" i="15"/>
  <c r="Q106" i="15"/>
  <c r="R106" i="15"/>
  <c r="P107" i="15"/>
  <c r="Q107" i="15"/>
  <c r="R107" i="15" s="1"/>
  <c r="P108" i="15"/>
  <c r="Q108" i="15" s="1"/>
  <c r="R108" i="15" s="1"/>
  <c r="P109" i="15"/>
  <c r="Q109" i="15"/>
  <c r="R109" i="15" s="1"/>
  <c r="P110" i="15"/>
  <c r="Q110" i="15" s="1"/>
  <c r="R110" i="15" s="1"/>
  <c r="P111" i="15"/>
  <c r="Q111" i="15" s="1"/>
  <c r="R111" i="15" s="1"/>
  <c r="P112" i="15"/>
  <c r="Q112" i="15" s="1"/>
  <c r="R112" i="15" s="1"/>
  <c r="P113" i="15"/>
  <c r="Q113" i="15" s="1"/>
  <c r="R113" i="15" s="1"/>
  <c r="P114" i="15"/>
  <c r="Q114" i="15"/>
  <c r="R114" i="15" s="1"/>
  <c r="P115" i="15"/>
  <c r="Q115" i="15"/>
  <c r="R115" i="15" s="1"/>
  <c r="P116" i="15"/>
  <c r="Q116" i="15" s="1"/>
  <c r="R116" i="15" s="1"/>
  <c r="P117" i="15"/>
  <c r="Q117" i="15"/>
  <c r="R117" i="15" s="1"/>
  <c r="P118" i="15"/>
  <c r="Q118" i="15" s="1"/>
  <c r="R118" i="15" s="1"/>
  <c r="P119" i="15"/>
  <c r="Q119" i="15" s="1"/>
  <c r="R119" i="15" s="1"/>
  <c r="P120" i="15"/>
  <c r="Q120" i="15" s="1"/>
  <c r="R120" i="15" s="1"/>
  <c r="P121" i="15"/>
  <c r="Q121" i="15" s="1"/>
  <c r="R121" i="15" s="1"/>
  <c r="P122" i="15"/>
  <c r="Q122" i="15"/>
  <c r="R122" i="15"/>
  <c r="P123" i="15"/>
  <c r="Q123" i="15"/>
  <c r="R123" i="15" s="1"/>
  <c r="P124" i="15"/>
  <c r="Q124" i="15" s="1"/>
  <c r="R124" i="15" s="1"/>
  <c r="P125" i="15"/>
  <c r="Q125" i="15"/>
  <c r="R125" i="15" s="1"/>
  <c r="P126" i="15"/>
  <c r="Q126" i="15" s="1"/>
  <c r="R126" i="15" s="1"/>
  <c r="P127" i="15"/>
  <c r="Q127" i="15"/>
  <c r="R127" i="15" s="1"/>
  <c r="P128" i="15"/>
  <c r="Q128" i="15" s="1"/>
  <c r="R128" i="15" s="1"/>
  <c r="P129" i="15"/>
  <c r="Q129" i="15" s="1"/>
  <c r="R129" i="15" s="1"/>
  <c r="P130" i="15"/>
  <c r="Q130" i="15"/>
  <c r="R130" i="15" s="1"/>
  <c r="P131" i="15"/>
  <c r="Q131" i="15"/>
  <c r="R131" i="15" s="1"/>
  <c r="I103" i="15"/>
  <c r="J103" i="15" s="1"/>
  <c r="K103" i="15" s="1"/>
  <c r="I104" i="15"/>
  <c r="J104" i="15"/>
  <c r="K104" i="15" s="1"/>
  <c r="I105" i="15"/>
  <c r="J105" i="15" s="1"/>
  <c r="K105" i="15" s="1"/>
  <c r="I106" i="15"/>
  <c r="J106" i="15"/>
  <c r="K106" i="15" s="1"/>
  <c r="I107" i="15"/>
  <c r="J107" i="15" s="1"/>
  <c r="K107" i="15" s="1"/>
  <c r="I108" i="15"/>
  <c r="J108" i="15" s="1"/>
  <c r="K108" i="15" s="1"/>
  <c r="I109" i="15"/>
  <c r="J109" i="15"/>
  <c r="K109" i="15"/>
  <c r="I110" i="15"/>
  <c r="J110" i="15"/>
  <c r="K110" i="15" s="1"/>
  <c r="I111" i="15"/>
  <c r="J111" i="15" s="1"/>
  <c r="K111" i="15" s="1"/>
  <c r="I112" i="15"/>
  <c r="J112" i="15"/>
  <c r="K112" i="15" s="1"/>
  <c r="I113" i="15"/>
  <c r="J113" i="15" s="1"/>
  <c r="K113" i="15" s="1"/>
  <c r="I114" i="15"/>
  <c r="J114" i="15"/>
  <c r="K114" i="15" s="1"/>
  <c r="I115" i="15"/>
  <c r="J115" i="15" s="1"/>
  <c r="K115" i="15" s="1"/>
  <c r="I116" i="15"/>
  <c r="J116" i="15" s="1"/>
  <c r="K116" i="15" s="1"/>
  <c r="I117" i="15"/>
  <c r="J117" i="15" s="1"/>
  <c r="K117" i="15" s="1"/>
  <c r="I118" i="15"/>
  <c r="J118" i="15"/>
  <c r="K118" i="15" s="1"/>
  <c r="I119" i="15"/>
  <c r="J119" i="15" s="1"/>
  <c r="K119" i="15" s="1"/>
  <c r="I120" i="15"/>
  <c r="J120" i="15" s="1"/>
  <c r="K120" i="15" s="1"/>
  <c r="I121" i="15"/>
  <c r="J121" i="15" s="1"/>
  <c r="K121" i="15" s="1"/>
  <c r="I122" i="15"/>
  <c r="J122" i="15"/>
  <c r="K122" i="15" s="1"/>
  <c r="I123" i="15"/>
  <c r="J123" i="15" s="1"/>
  <c r="K123" i="15" s="1"/>
  <c r="I124" i="15"/>
  <c r="J124" i="15" s="1"/>
  <c r="K124" i="15" s="1"/>
  <c r="I125" i="15"/>
  <c r="J125" i="15" s="1"/>
  <c r="K125" i="15" s="1"/>
  <c r="I126" i="15"/>
  <c r="J126" i="15" s="1"/>
  <c r="K126" i="15" s="1"/>
  <c r="I127" i="15"/>
  <c r="J127" i="15" s="1"/>
  <c r="K127" i="15" s="1"/>
  <c r="I128" i="15"/>
  <c r="J128" i="15" s="1"/>
  <c r="K128" i="15" s="1"/>
  <c r="I129" i="15"/>
  <c r="J129" i="15" s="1"/>
  <c r="K129" i="15" s="1"/>
  <c r="I130" i="15"/>
  <c r="J130" i="15" s="1"/>
  <c r="K130" i="15" s="1"/>
  <c r="I131" i="15"/>
  <c r="J131" i="15" s="1"/>
  <c r="K131" i="15" s="1"/>
  <c r="BC66" i="15"/>
  <c r="BC67" i="15"/>
  <c r="BC68" i="15"/>
  <c r="BF68" i="15" s="1"/>
  <c r="BC69" i="15"/>
  <c r="BC70" i="15"/>
  <c r="BC71" i="15"/>
  <c r="BC72" i="15"/>
  <c r="BF72" i="15" s="1"/>
  <c r="BC73" i="15"/>
  <c r="BC74" i="15"/>
  <c r="BC75" i="15"/>
  <c r="BC76" i="15"/>
  <c r="BC77" i="15"/>
  <c r="BC78" i="15"/>
  <c r="BC79" i="15"/>
  <c r="BC80" i="15"/>
  <c r="BC81" i="15"/>
  <c r="BC82" i="15"/>
  <c r="BC83" i="15"/>
  <c r="BC84" i="15"/>
  <c r="BF84" i="15" s="1"/>
  <c r="BC85" i="15"/>
  <c r="BC86" i="15"/>
  <c r="BC87" i="15"/>
  <c r="BC88" i="15"/>
  <c r="BC89" i="15"/>
  <c r="BC90" i="15"/>
  <c r="BF90" i="15" s="1"/>
  <c r="BC91" i="15"/>
  <c r="BC92" i="15"/>
  <c r="BC93" i="15"/>
  <c r="BC94" i="15"/>
  <c r="BC95" i="15"/>
  <c r="BC96" i="15"/>
  <c r="BD66" i="15"/>
  <c r="BD67" i="15"/>
  <c r="BF67" i="15" s="1"/>
  <c r="BD68" i="15"/>
  <c r="BD69" i="15"/>
  <c r="BF69" i="15" s="1"/>
  <c r="BD70" i="15"/>
  <c r="BD71" i="15"/>
  <c r="BD72" i="15"/>
  <c r="BD73" i="15"/>
  <c r="BD74" i="15"/>
  <c r="BD75" i="15"/>
  <c r="BF75" i="15" s="1"/>
  <c r="BD76" i="15"/>
  <c r="BD77" i="15"/>
  <c r="BF77" i="15" s="1"/>
  <c r="BD78" i="15"/>
  <c r="BF78" i="15" s="1"/>
  <c r="BD79" i="15"/>
  <c r="BF79" i="15" s="1"/>
  <c r="BD80" i="15"/>
  <c r="BF80" i="15" s="1"/>
  <c r="BD81" i="15"/>
  <c r="BD82" i="15"/>
  <c r="BF82" i="15" s="1"/>
  <c r="BD83" i="15"/>
  <c r="BD84" i="15"/>
  <c r="BD85" i="15"/>
  <c r="BF85" i="15" s="1"/>
  <c r="BD86" i="15"/>
  <c r="BF86" i="15" s="1"/>
  <c r="BD87" i="15"/>
  <c r="BF87" i="15" s="1"/>
  <c r="BD88" i="15"/>
  <c r="BD89" i="15"/>
  <c r="BD90" i="15"/>
  <c r="BD91" i="15"/>
  <c r="BF91" i="15" s="1"/>
  <c r="BD92" i="15"/>
  <c r="BD93" i="15"/>
  <c r="BD94" i="15"/>
  <c r="BF94" i="15" s="1"/>
  <c r="BD95" i="15"/>
  <c r="BD96" i="15"/>
  <c r="BF96" i="15" s="1"/>
  <c r="W66" i="15"/>
  <c r="X66" i="15"/>
  <c r="Y66" i="15" s="1"/>
  <c r="W67" i="15"/>
  <c r="X67" i="15"/>
  <c r="Y67" i="15" s="1"/>
  <c r="W68" i="15"/>
  <c r="X68" i="15" s="1"/>
  <c r="Y68" i="15" s="1"/>
  <c r="W69" i="15"/>
  <c r="X69" i="15" s="1"/>
  <c r="Y69" i="15" s="1"/>
  <c r="W70" i="15"/>
  <c r="X70" i="15" s="1"/>
  <c r="Y70" i="15" s="1"/>
  <c r="W71" i="15"/>
  <c r="X71" i="15" s="1"/>
  <c r="Y71" i="15" s="1"/>
  <c r="W72" i="15"/>
  <c r="X72" i="15" s="1"/>
  <c r="Y72" i="15" s="1"/>
  <c r="W73" i="15"/>
  <c r="X73" i="15"/>
  <c r="Y73" i="15" s="1"/>
  <c r="W74" i="15"/>
  <c r="X74" i="15"/>
  <c r="Y74" i="15" s="1"/>
  <c r="W75" i="15"/>
  <c r="X75" i="15"/>
  <c r="Y75" i="15" s="1"/>
  <c r="W76" i="15"/>
  <c r="X76" i="15" s="1"/>
  <c r="Y76" i="15" s="1"/>
  <c r="W77" i="15"/>
  <c r="X77" i="15" s="1"/>
  <c r="Y77" i="15" s="1"/>
  <c r="W78" i="15"/>
  <c r="X78" i="15"/>
  <c r="Y78" i="15" s="1"/>
  <c r="W79" i="15"/>
  <c r="X79" i="15" s="1"/>
  <c r="Y79" i="15" s="1"/>
  <c r="W80" i="15"/>
  <c r="X80" i="15" s="1"/>
  <c r="Y80" i="15" s="1"/>
  <c r="W81" i="15"/>
  <c r="X81" i="15"/>
  <c r="Y81" i="15" s="1"/>
  <c r="W82" i="15"/>
  <c r="X82" i="15" s="1"/>
  <c r="Y82" i="15" s="1"/>
  <c r="W83" i="15"/>
  <c r="X83" i="15" s="1"/>
  <c r="Y83" i="15" s="1"/>
  <c r="W84" i="15"/>
  <c r="X84" i="15" s="1"/>
  <c r="Y84" i="15" s="1"/>
  <c r="W85" i="15"/>
  <c r="X85" i="15" s="1"/>
  <c r="Y85" i="15" s="1"/>
  <c r="W86" i="15"/>
  <c r="X86" i="15" s="1"/>
  <c r="Y86" i="15" s="1"/>
  <c r="W87" i="15"/>
  <c r="X87" i="15" s="1"/>
  <c r="Y87" i="15" s="1"/>
  <c r="W88" i="15"/>
  <c r="X88" i="15" s="1"/>
  <c r="Y88" i="15" s="1"/>
  <c r="W89" i="15"/>
  <c r="X89" i="15"/>
  <c r="Y89" i="15" s="1"/>
  <c r="W90" i="15"/>
  <c r="X90" i="15" s="1"/>
  <c r="Y90" i="15" s="1"/>
  <c r="W91" i="15"/>
  <c r="X91" i="15" s="1"/>
  <c r="Y91" i="15" s="1"/>
  <c r="W92" i="15"/>
  <c r="X92" i="15" s="1"/>
  <c r="Y92" i="15" s="1"/>
  <c r="W93" i="15"/>
  <c r="X93" i="15"/>
  <c r="Y93" i="15" s="1"/>
  <c r="W94" i="15"/>
  <c r="X94" i="15" s="1"/>
  <c r="Y94" i="15" s="1"/>
  <c r="W95" i="15"/>
  <c r="X95" i="15" s="1"/>
  <c r="Y95" i="15" s="1"/>
  <c r="W96" i="15"/>
  <c r="X96" i="15" s="1"/>
  <c r="Y96" i="15" s="1"/>
  <c r="BC65" i="15"/>
  <c r="AZ65" i="15"/>
  <c r="P66" i="15"/>
  <c r="Q66" i="15" s="1"/>
  <c r="R66" i="15" s="1"/>
  <c r="P67" i="15"/>
  <c r="Q67" i="15" s="1"/>
  <c r="R67" i="15" s="1"/>
  <c r="P68" i="15"/>
  <c r="Q68" i="15"/>
  <c r="R68" i="15" s="1"/>
  <c r="P69" i="15"/>
  <c r="Q69" i="15" s="1"/>
  <c r="R69" i="15" s="1"/>
  <c r="P70" i="15"/>
  <c r="Q70" i="15" s="1"/>
  <c r="R70" i="15" s="1"/>
  <c r="P71" i="15"/>
  <c r="Q71" i="15" s="1"/>
  <c r="R71" i="15" s="1"/>
  <c r="P72" i="15"/>
  <c r="Q72" i="15"/>
  <c r="R72" i="15" s="1"/>
  <c r="P73" i="15"/>
  <c r="Q73" i="15" s="1"/>
  <c r="R73" i="15" s="1"/>
  <c r="P74" i="15"/>
  <c r="Q74" i="15" s="1"/>
  <c r="R74" i="15" s="1"/>
  <c r="P75" i="15"/>
  <c r="Q75" i="15" s="1"/>
  <c r="R75" i="15" s="1"/>
  <c r="P76" i="15"/>
  <c r="Q76" i="15"/>
  <c r="R76" i="15" s="1"/>
  <c r="P77" i="15"/>
  <c r="Q77" i="15" s="1"/>
  <c r="R77" i="15" s="1"/>
  <c r="P78" i="15"/>
  <c r="Q78" i="15" s="1"/>
  <c r="R78" i="15" s="1"/>
  <c r="P79" i="15"/>
  <c r="Q79" i="15" s="1"/>
  <c r="R79" i="15" s="1"/>
  <c r="P80" i="15"/>
  <c r="Q80" i="15"/>
  <c r="R80" i="15" s="1"/>
  <c r="P81" i="15"/>
  <c r="Q81" i="15" s="1"/>
  <c r="R81" i="15" s="1"/>
  <c r="P82" i="15"/>
  <c r="Q82" i="15" s="1"/>
  <c r="R82" i="15" s="1"/>
  <c r="P83" i="15"/>
  <c r="Q83" i="15" s="1"/>
  <c r="R83" i="15" s="1"/>
  <c r="P84" i="15"/>
  <c r="Q84" i="15"/>
  <c r="R84" i="15" s="1"/>
  <c r="P85" i="15"/>
  <c r="Q85" i="15" s="1"/>
  <c r="R85" i="15" s="1"/>
  <c r="P86" i="15"/>
  <c r="Q86" i="15" s="1"/>
  <c r="R86" i="15" s="1"/>
  <c r="P87" i="15"/>
  <c r="Q87" i="15" s="1"/>
  <c r="R87" i="15" s="1"/>
  <c r="P88" i="15"/>
  <c r="Q88" i="15"/>
  <c r="R88" i="15" s="1"/>
  <c r="P89" i="15"/>
  <c r="Q89" i="15" s="1"/>
  <c r="R89" i="15" s="1"/>
  <c r="P90" i="15"/>
  <c r="Q90" i="15" s="1"/>
  <c r="R90" i="15" s="1"/>
  <c r="P91" i="15"/>
  <c r="Q91" i="15" s="1"/>
  <c r="R91" i="15" s="1"/>
  <c r="P92" i="15"/>
  <c r="Q92" i="15"/>
  <c r="R92" i="15" s="1"/>
  <c r="P93" i="15"/>
  <c r="Q93" i="15" s="1"/>
  <c r="R93" i="15" s="1"/>
  <c r="P94" i="15"/>
  <c r="Q94" i="15" s="1"/>
  <c r="R94" i="15" s="1"/>
  <c r="P95" i="15"/>
  <c r="Q95" i="15" s="1"/>
  <c r="R95" i="15" s="1"/>
  <c r="P96" i="15"/>
  <c r="Q96" i="15"/>
  <c r="R96" i="15" s="1"/>
  <c r="I66" i="15"/>
  <c r="J66" i="15" s="1"/>
  <c r="K66" i="15" s="1"/>
  <c r="I67" i="15"/>
  <c r="J67" i="15" s="1"/>
  <c r="K67" i="15" s="1"/>
  <c r="I68" i="15"/>
  <c r="J68" i="15" s="1"/>
  <c r="K68" i="15" s="1"/>
  <c r="I69" i="15"/>
  <c r="J69" i="15"/>
  <c r="K69" i="15" s="1"/>
  <c r="I70" i="15"/>
  <c r="J70" i="15" s="1"/>
  <c r="K70" i="15" s="1"/>
  <c r="I71" i="15"/>
  <c r="J71" i="15" s="1"/>
  <c r="K71" i="15" s="1"/>
  <c r="I72" i="15"/>
  <c r="J72" i="15" s="1"/>
  <c r="K72" i="15" s="1"/>
  <c r="I73" i="15"/>
  <c r="J73" i="15"/>
  <c r="K73" i="15" s="1"/>
  <c r="I74" i="15"/>
  <c r="J74" i="15" s="1"/>
  <c r="K74" i="15" s="1"/>
  <c r="I75" i="15"/>
  <c r="J75" i="15" s="1"/>
  <c r="K75" i="15" s="1"/>
  <c r="I76" i="15"/>
  <c r="J76" i="15" s="1"/>
  <c r="K76" i="15" s="1"/>
  <c r="I77" i="15"/>
  <c r="J77" i="15"/>
  <c r="K77" i="15" s="1"/>
  <c r="I78" i="15"/>
  <c r="J78" i="15" s="1"/>
  <c r="K78" i="15" s="1"/>
  <c r="I79" i="15"/>
  <c r="J79" i="15" s="1"/>
  <c r="K79" i="15" s="1"/>
  <c r="I80" i="15"/>
  <c r="J80" i="15" s="1"/>
  <c r="K80" i="15" s="1"/>
  <c r="I81" i="15"/>
  <c r="J81" i="15"/>
  <c r="K81" i="15" s="1"/>
  <c r="I82" i="15"/>
  <c r="J82" i="15" s="1"/>
  <c r="K82" i="15" s="1"/>
  <c r="I83" i="15"/>
  <c r="J83" i="15"/>
  <c r="K83" i="15" s="1"/>
  <c r="I84" i="15"/>
  <c r="J84" i="15" s="1"/>
  <c r="K84" i="15" s="1"/>
  <c r="I85" i="15"/>
  <c r="J85" i="15"/>
  <c r="K85" i="15" s="1"/>
  <c r="I86" i="15"/>
  <c r="J86" i="15" s="1"/>
  <c r="K86" i="15" s="1"/>
  <c r="I87" i="15"/>
  <c r="J87" i="15" s="1"/>
  <c r="K87" i="15" s="1"/>
  <c r="I88" i="15"/>
  <c r="J88" i="15" s="1"/>
  <c r="K88" i="15" s="1"/>
  <c r="I89" i="15"/>
  <c r="J89" i="15"/>
  <c r="K89" i="15" s="1"/>
  <c r="I90" i="15"/>
  <c r="J90" i="15" s="1"/>
  <c r="K90" i="15" s="1"/>
  <c r="I91" i="15"/>
  <c r="J91" i="15" s="1"/>
  <c r="K91" i="15" s="1"/>
  <c r="I92" i="15"/>
  <c r="J92" i="15" s="1"/>
  <c r="K92" i="15" s="1"/>
  <c r="I93" i="15"/>
  <c r="J93" i="15"/>
  <c r="K93" i="15" s="1"/>
  <c r="I94" i="15"/>
  <c r="J94" i="15" s="1"/>
  <c r="K94" i="15" s="1"/>
  <c r="I95" i="15"/>
  <c r="J95" i="15" s="1"/>
  <c r="K95" i="15" s="1"/>
  <c r="I96" i="15"/>
  <c r="J96" i="15" s="1"/>
  <c r="K96" i="15" s="1"/>
  <c r="W54" i="15"/>
  <c r="X54" i="15" s="1"/>
  <c r="Y54" i="15" s="1"/>
  <c r="BC29" i="15"/>
  <c r="BC30" i="15"/>
  <c r="BC31" i="15"/>
  <c r="BC32" i="15"/>
  <c r="BC33" i="15"/>
  <c r="BC34" i="15"/>
  <c r="BC35" i="15"/>
  <c r="BC36" i="15"/>
  <c r="BC37" i="15"/>
  <c r="BC38" i="15"/>
  <c r="BC39" i="15"/>
  <c r="BC40" i="15"/>
  <c r="BC41" i="15"/>
  <c r="BC42" i="15"/>
  <c r="BC43" i="15"/>
  <c r="BC44" i="15"/>
  <c r="BC45" i="15"/>
  <c r="BC46" i="15"/>
  <c r="BC47" i="15"/>
  <c r="BC48" i="15"/>
  <c r="BC49" i="15"/>
  <c r="BC50" i="15"/>
  <c r="BC51" i="15"/>
  <c r="BC52" i="15"/>
  <c r="BC53" i="15"/>
  <c r="BC54" i="15"/>
  <c r="BC55" i="15"/>
  <c r="BC56" i="15"/>
  <c r="BC57" i="15"/>
  <c r="BC58" i="15"/>
  <c r="BC59" i="15"/>
  <c r="BD29" i="15"/>
  <c r="BF29" i="15" s="1"/>
  <c r="BD31" i="15"/>
  <c r="BD32" i="15"/>
  <c r="BD33" i="15"/>
  <c r="BD34" i="15"/>
  <c r="BF34" i="15" s="1"/>
  <c r="BD35" i="15"/>
  <c r="BF35" i="15" s="1"/>
  <c r="BD37" i="15"/>
  <c r="BF37" i="15" s="1"/>
  <c r="BD39" i="15"/>
  <c r="BD40" i="15"/>
  <c r="BD41" i="15"/>
  <c r="BD42" i="15"/>
  <c r="BF42" i="15" s="1"/>
  <c r="BD43" i="15"/>
  <c r="BF43" i="15" s="1"/>
  <c r="BD44" i="15"/>
  <c r="BF44" i="15" s="1"/>
  <c r="BD45" i="15"/>
  <c r="BF45" i="15" s="1"/>
  <c r="BD46" i="15"/>
  <c r="BF46" i="15" s="1"/>
  <c r="BD47" i="15"/>
  <c r="BD48" i="15"/>
  <c r="BD49" i="15"/>
  <c r="BD51" i="15"/>
  <c r="BF51" i="15" s="1"/>
  <c r="BD52" i="15"/>
  <c r="BF52" i="15" s="1"/>
  <c r="BD53" i="15"/>
  <c r="BF53" i="15" s="1"/>
  <c r="BD54" i="15"/>
  <c r="BF54" i="15" s="1"/>
  <c r="BD55" i="15"/>
  <c r="BD56" i="15"/>
  <c r="BD57" i="15"/>
  <c r="BD59" i="15"/>
  <c r="BF59" i="15" s="1"/>
  <c r="W29" i="15"/>
  <c r="X29" i="15"/>
  <c r="Y29" i="15" s="1"/>
  <c r="W30" i="15"/>
  <c r="X30" i="15"/>
  <c r="Y30" i="15" s="1"/>
  <c r="W31" i="15"/>
  <c r="X31" i="15" s="1"/>
  <c r="Y31" i="15" s="1"/>
  <c r="W32" i="15"/>
  <c r="X32" i="15" s="1"/>
  <c r="Y32" i="15" s="1"/>
  <c r="W33" i="15"/>
  <c r="X33" i="15" s="1"/>
  <c r="Y33" i="15" s="1"/>
  <c r="W34" i="15"/>
  <c r="X34" i="15" s="1"/>
  <c r="Y34" i="15" s="1"/>
  <c r="W35" i="15"/>
  <c r="X35" i="15"/>
  <c r="Y35" i="15" s="1"/>
  <c r="W36" i="15"/>
  <c r="X36" i="15" s="1"/>
  <c r="Y36" i="15" s="1"/>
  <c r="W37" i="15"/>
  <c r="X37" i="15"/>
  <c r="Y37" i="15" s="1"/>
  <c r="W38" i="15"/>
  <c r="X38" i="15"/>
  <c r="Y38" i="15" s="1"/>
  <c r="W39" i="15"/>
  <c r="X39" i="15"/>
  <c r="Y39" i="15" s="1"/>
  <c r="W40" i="15"/>
  <c r="X40" i="15" s="1"/>
  <c r="Y40" i="15" s="1"/>
  <c r="W41" i="15"/>
  <c r="X41" i="15" s="1"/>
  <c r="Y41" i="15" s="1"/>
  <c r="W42" i="15"/>
  <c r="X42" i="15" s="1"/>
  <c r="Y42" i="15" s="1"/>
  <c r="W43" i="15"/>
  <c r="X43" i="15"/>
  <c r="Y43" i="15" s="1"/>
  <c r="W44" i="15"/>
  <c r="X44" i="15" s="1"/>
  <c r="Y44" i="15" s="1"/>
  <c r="W45" i="15"/>
  <c r="X45" i="15"/>
  <c r="Y45" i="15" s="1"/>
  <c r="W46" i="15"/>
  <c r="X46" i="15"/>
  <c r="Y46" i="15" s="1"/>
  <c r="W47" i="15"/>
  <c r="X47" i="15"/>
  <c r="Y47" i="15" s="1"/>
  <c r="W48" i="15"/>
  <c r="X48" i="15" s="1"/>
  <c r="Y48" i="15" s="1"/>
  <c r="W49" i="15"/>
  <c r="X49" i="15" s="1"/>
  <c r="Y49" i="15" s="1"/>
  <c r="W50" i="15"/>
  <c r="X50" i="15" s="1"/>
  <c r="Y50" i="15" s="1"/>
  <c r="W51" i="15"/>
  <c r="X51" i="15" s="1"/>
  <c r="Y51" i="15" s="1"/>
  <c r="W52" i="15"/>
  <c r="X52" i="15" s="1"/>
  <c r="Y52" i="15" s="1"/>
  <c r="W53" i="15"/>
  <c r="X53" i="15" s="1"/>
  <c r="Y53" i="15" s="1"/>
  <c r="W55" i="15"/>
  <c r="X55" i="15" s="1"/>
  <c r="Y55" i="15" s="1"/>
  <c r="W56" i="15"/>
  <c r="X56" i="15" s="1"/>
  <c r="Y56" i="15" s="1"/>
  <c r="W57" i="15"/>
  <c r="X57" i="15" s="1"/>
  <c r="Y57" i="15" s="1"/>
  <c r="W58" i="15"/>
  <c r="X58" i="15" s="1"/>
  <c r="Y58" i="15" s="1"/>
  <c r="W59" i="15"/>
  <c r="X59" i="15" s="1"/>
  <c r="Y59" i="15" s="1"/>
  <c r="BC28" i="15"/>
  <c r="BF28" i="15"/>
  <c r="AZ28" i="15"/>
  <c r="W22" i="15"/>
  <c r="P29" i="15"/>
  <c r="Q29" i="15" s="1"/>
  <c r="R29" i="15" s="1"/>
  <c r="P30" i="15"/>
  <c r="Q30" i="15" s="1"/>
  <c r="R30" i="15" s="1"/>
  <c r="P31" i="15"/>
  <c r="Q31" i="15" s="1"/>
  <c r="R31" i="15" s="1"/>
  <c r="P32" i="15"/>
  <c r="Q32" i="15"/>
  <c r="R32" i="15" s="1"/>
  <c r="P33" i="15"/>
  <c r="Q33" i="15" s="1"/>
  <c r="R33" i="15" s="1"/>
  <c r="P34" i="15"/>
  <c r="Q34" i="15"/>
  <c r="R34" i="15" s="1"/>
  <c r="P35" i="15"/>
  <c r="Q35" i="15" s="1"/>
  <c r="R35" i="15" s="1"/>
  <c r="P36" i="15"/>
  <c r="Q36" i="15"/>
  <c r="R36" i="15" s="1"/>
  <c r="P37" i="15"/>
  <c r="Q37" i="15" s="1"/>
  <c r="R37" i="15" s="1"/>
  <c r="P38" i="15"/>
  <c r="Q38" i="15" s="1"/>
  <c r="R38" i="15" s="1"/>
  <c r="P39" i="15"/>
  <c r="Q39" i="15" s="1"/>
  <c r="R39" i="15" s="1"/>
  <c r="P40" i="15"/>
  <c r="Q40" i="15"/>
  <c r="R40" i="15" s="1"/>
  <c r="P41" i="15"/>
  <c r="Q41" i="15" s="1"/>
  <c r="R41" i="15" s="1"/>
  <c r="P42" i="15"/>
  <c r="Q42" i="15"/>
  <c r="R42" i="15" s="1"/>
  <c r="P43" i="15"/>
  <c r="Q43" i="15" s="1"/>
  <c r="R43" i="15" s="1"/>
  <c r="P44" i="15"/>
  <c r="Q44" i="15"/>
  <c r="R44" i="15" s="1"/>
  <c r="P45" i="15"/>
  <c r="Q45" i="15" s="1"/>
  <c r="R45" i="15" s="1"/>
  <c r="P46" i="15"/>
  <c r="Q46" i="15" s="1"/>
  <c r="R46" i="15" s="1"/>
  <c r="P47" i="15"/>
  <c r="Q47" i="15" s="1"/>
  <c r="R47" i="15" s="1"/>
  <c r="P48" i="15"/>
  <c r="Q48" i="15"/>
  <c r="R48" i="15" s="1"/>
  <c r="P49" i="15"/>
  <c r="Q49" i="15" s="1"/>
  <c r="R49" i="15" s="1"/>
  <c r="P50" i="15"/>
  <c r="Q50" i="15"/>
  <c r="R50" i="15" s="1"/>
  <c r="P51" i="15"/>
  <c r="Q51" i="15" s="1"/>
  <c r="R51" i="15" s="1"/>
  <c r="P52" i="15"/>
  <c r="Q52" i="15" s="1"/>
  <c r="R52" i="15" s="1"/>
  <c r="P53" i="15"/>
  <c r="Q53" i="15" s="1"/>
  <c r="R53" i="15" s="1"/>
  <c r="P54" i="15"/>
  <c r="Q54" i="15" s="1"/>
  <c r="R54" i="15" s="1"/>
  <c r="P55" i="15"/>
  <c r="Q55" i="15" s="1"/>
  <c r="R55" i="15" s="1"/>
  <c r="P56" i="15"/>
  <c r="Q56" i="15"/>
  <c r="R56" i="15" s="1"/>
  <c r="P57" i="15"/>
  <c r="Q57" i="15" s="1"/>
  <c r="R57" i="15" s="1"/>
  <c r="P58" i="15"/>
  <c r="Q58" i="15"/>
  <c r="R58" i="15" s="1"/>
  <c r="P59" i="15"/>
  <c r="Q59" i="15" s="1"/>
  <c r="R59" i="15" s="1"/>
  <c r="P22" i="15"/>
  <c r="Q22" i="15"/>
  <c r="R22" i="15"/>
  <c r="I29" i="15"/>
  <c r="J29" i="15" s="1"/>
  <c r="K29" i="15" s="1"/>
  <c r="I30" i="15"/>
  <c r="J30" i="15" s="1"/>
  <c r="K30" i="15" s="1"/>
  <c r="I31" i="15"/>
  <c r="J31" i="15" s="1"/>
  <c r="K31" i="15" s="1"/>
  <c r="I32" i="15"/>
  <c r="J32" i="15"/>
  <c r="K32" i="15" s="1"/>
  <c r="I33" i="15"/>
  <c r="J33" i="15" s="1"/>
  <c r="K33" i="15" s="1"/>
  <c r="I34" i="15"/>
  <c r="J34" i="15"/>
  <c r="K34" i="15" s="1"/>
  <c r="I35" i="15"/>
  <c r="J35" i="15" s="1"/>
  <c r="K35" i="15" s="1"/>
  <c r="I36" i="15"/>
  <c r="J36" i="15" s="1"/>
  <c r="K36" i="15" s="1"/>
  <c r="I37" i="15"/>
  <c r="J37" i="15" s="1"/>
  <c r="K37" i="15" s="1"/>
  <c r="I38" i="15"/>
  <c r="J38" i="15" s="1"/>
  <c r="K38" i="15" s="1"/>
  <c r="I39" i="15"/>
  <c r="J39" i="15" s="1"/>
  <c r="K39" i="15" s="1"/>
  <c r="I40" i="15"/>
  <c r="J40" i="15"/>
  <c r="K40" i="15" s="1"/>
  <c r="I41" i="15"/>
  <c r="J41" i="15" s="1"/>
  <c r="K41" i="15" s="1"/>
  <c r="I42" i="15"/>
  <c r="J42" i="15"/>
  <c r="K42" i="15" s="1"/>
  <c r="I43" i="15"/>
  <c r="J43" i="15" s="1"/>
  <c r="K43" i="15" s="1"/>
  <c r="I44" i="15"/>
  <c r="J44" i="15" s="1"/>
  <c r="K44" i="15" s="1"/>
  <c r="I45" i="15"/>
  <c r="J45" i="15" s="1"/>
  <c r="K45" i="15" s="1"/>
  <c r="I46" i="15"/>
  <c r="J46" i="15" s="1"/>
  <c r="K46" i="15" s="1"/>
  <c r="I47" i="15"/>
  <c r="J47" i="15" s="1"/>
  <c r="K47" i="15" s="1"/>
  <c r="I48" i="15"/>
  <c r="J48" i="15"/>
  <c r="K48" i="15" s="1"/>
  <c r="I49" i="15"/>
  <c r="J49" i="15" s="1"/>
  <c r="K49" i="15" s="1"/>
  <c r="I50" i="15"/>
  <c r="J50" i="15"/>
  <c r="K50" i="15" s="1"/>
  <c r="I51" i="15"/>
  <c r="J51" i="15" s="1"/>
  <c r="K51" i="15" s="1"/>
  <c r="I52" i="15"/>
  <c r="J52" i="15" s="1"/>
  <c r="K52" i="15" s="1"/>
  <c r="I53" i="15"/>
  <c r="J53" i="15" s="1"/>
  <c r="K53" i="15" s="1"/>
  <c r="I54" i="15"/>
  <c r="J54" i="15" s="1"/>
  <c r="K54" i="15" s="1"/>
  <c r="I55" i="15"/>
  <c r="J55" i="15" s="1"/>
  <c r="K55" i="15" s="1"/>
  <c r="I56" i="15"/>
  <c r="J56" i="15"/>
  <c r="K56" i="15" s="1"/>
  <c r="I57" i="15"/>
  <c r="J57" i="15" s="1"/>
  <c r="K57" i="15" s="1"/>
  <c r="I58" i="15"/>
  <c r="J58" i="15"/>
  <c r="K58" i="15" s="1"/>
  <c r="I59" i="15"/>
  <c r="J59" i="15" s="1"/>
  <c r="K59" i="15" s="1"/>
  <c r="AU10" i="15"/>
  <c r="AV10" i="15"/>
  <c r="AW10" i="15"/>
  <c r="AU11" i="15"/>
  <c r="AV11" i="15"/>
  <c r="AW11" i="15"/>
  <c r="AU12" i="15"/>
  <c r="AV12" i="15"/>
  <c r="AW12" i="15"/>
  <c r="AU13" i="15"/>
  <c r="AV13" i="15"/>
  <c r="AW13" i="15"/>
  <c r="AU14" i="15"/>
  <c r="AV14" i="15"/>
  <c r="AW14" i="15"/>
  <c r="AU15" i="15"/>
  <c r="AV15" i="15"/>
  <c r="AW15" i="15"/>
  <c r="AU16" i="15"/>
  <c r="AV16" i="15"/>
  <c r="AW16" i="15"/>
  <c r="AU17" i="15"/>
  <c r="AV17" i="15"/>
  <c r="AW17" i="15"/>
  <c r="AU18" i="15"/>
  <c r="AV18" i="15"/>
  <c r="AW18" i="15"/>
  <c r="AU19" i="15"/>
  <c r="AV19" i="15"/>
  <c r="AW19" i="15"/>
  <c r="AU20" i="15"/>
  <c r="AV20" i="15"/>
  <c r="AW20" i="15"/>
  <c r="AU21" i="15"/>
  <c r="AV21" i="15"/>
  <c r="AW21" i="15"/>
  <c r="AU22" i="15"/>
  <c r="AV22" i="15"/>
  <c r="AW22" i="15"/>
  <c r="W10" i="15"/>
  <c r="X10" i="15"/>
  <c r="Y10" i="15"/>
  <c r="W11" i="15"/>
  <c r="X11" i="15"/>
  <c r="Y11" i="15"/>
  <c r="W12" i="15"/>
  <c r="X12" i="15"/>
  <c r="Y12" i="15"/>
  <c r="W13" i="15"/>
  <c r="X13" i="15"/>
  <c r="Y13" i="15"/>
  <c r="W14" i="15"/>
  <c r="X14" i="15"/>
  <c r="Y14" i="15"/>
  <c r="W15" i="15"/>
  <c r="X15" i="15"/>
  <c r="Y15" i="15"/>
  <c r="W16" i="15"/>
  <c r="X16" i="15"/>
  <c r="Y16" i="15"/>
  <c r="W17" i="15"/>
  <c r="X17" i="15"/>
  <c r="Y17" i="15"/>
  <c r="W18" i="15"/>
  <c r="X18" i="15"/>
  <c r="Y18" i="15"/>
  <c r="W19" i="15"/>
  <c r="X19" i="15"/>
  <c r="Y19" i="15"/>
  <c r="W20" i="15"/>
  <c r="X20" i="15"/>
  <c r="Y20" i="15"/>
  <c r="W21" i="15"/>
  <c r="X21" i="15"/>
  <c r="Y21" i="15"/>
  <c r="X22" i="15"/>
  <c r="Y22" i="15" s="1"/>
  <c r="P10" i="15"/>
  <c r="Q10" i="15"/>
  <c r="R10" i="15"/>
  <c r="P11" i="15"/>
  <c r="Q11" i="15"/>
  <c r="R11" i="15"/>
  <c r="P12" i="15"/>
  <c r="Q12" i="15"/>
  <c r="R12" i="15"/>
  <c r="P13" i="15"/>
  <c r="Q13" i="15"/>
  <c r="R13" i="15"/>
  <c r="P14" i="15"/>
  <c r="Q14" i="15"/>
  <c r="R14" i="15"/>
  <c r="P15" i="15"/>
  <c r="Q15" i="15"/>
  <c r="R15" i="15"/>
  <c r="P16" i="15"/>
  <c r="Q16" i="15"/>
  <c r="R16" i="15"/>
  <c r="P17" i="15"/>
  <c r="Q17" i="15"/>
  <c r="R17" i="15"/>
  <c r="P18" i="15"/>
  <c r="Q18" i="15"/>
  <c r="R18" i="15"/>
  <c r="P19" i="15"/>
  <c r="Q19" i="15"/>
  <c r="R19" i="15"/>
  <c r="P20" i="15"/>
  <c r="Q20" i="15"/>
  <c r="R20" i="15"/>
  <c r="P21" i="15"/>
  <c r="Q21" i="15"/>
  <c r="R21" i="15"/>
  <c r="I10" i="15"/>
  <c r="J10" i="15"/>
  <c r="K10" i="15"/>
  <c r="I11" i="15"/>
  <c r="J11" i="15"/>
  <c r="K11" i="15"/>
  <c r="I12" i="15"/>
  <c r="J12" i="15"/>
  <c r="K12" i="15"/>
  <c r="I13" i="15"/>
  <c r="J13" i="15"/>
  <c r="K13" i="15"/>
  <c r="I14" i="15"/>
  <c r="J14" i="15"/>
  <c r="K14" i="15"/>
  <c r="I15" i="15"/>
  <c r="J15" i="15"/>
  <c r="K15" i="15"/>
  <c r="I16" i="15"/>
  <c r="J16" i="15"/>
  <c r="K16" i="15"/>
  <c r="I17" i="15"/>
  <c r="J17" i="15"/>
  <c r="K17" i="15"/>
  <c r="I18" i="15"/>
  <c r="J18" i="15"/>
  <c r="K18" i="15"/>
  <c r="I19" i="15"/>
  <c r="J19" i="15"/>
  <c r="K19" i="15"/>
  <c r="I20" i="15"/>
  <c r="J20" i="15"/>
  <c r="K20" i="15"/>
  <c r="I21" i="15"/>
  <c r="J21" i="15"/>
  <c r="K21" i="15"/>
  <c r="I22" i="15"/>
  <c r="J22" i="15"/>
  <c r="K22" i="15"/>
  <c r="BC10" i="15"/>
  <c r="BD10" i="15"/>
  <c r="BF10" i="15" s="1"/>
  <c r="BC11" i="15"/>
  <c r="BD11" i="15"/>
  <c r="BF11" i="15" s="1"/>
  <c r="BC12" i="15"/>
  <c r="BD12" i="15"/>
  <c r="BF12" i="15" s="1"/>
  <c r="BC13" i="15"/>
  <c r="BD13" i="15"/>
  <c r="BF13" i="15" s="1"/>
  <c r="BD14" i="15"/>
  <c r="BF14" i="15" s="1"/>
  <c r="BC15" i="15"/>
  <c r="BD15" i="15"/>
  <c r="BF15" i="15" s="1"/>
  <c r="BC16" i="15"/>
  <c r="BD16" i="15"/>
  <c r="BF16" i="15" s="1"/>
  <c r="BC17" i="15"/>
  <c r="BD17" i="15"/>
  <c r="BF17" i="15" s="1"/>
  <c r="BC18" i="15"/>
  <c r="BD18" i="15"/>
  <c r="BF18" i="15" s="1"/>
  <c r="BC19" i="15"/>
  <c r="BD19" i="15"/>
  <c r="BF19" i="15" s="1"/>
  <c r="BC20" i="15"/>
  <c r="BD20" i="15"/>
  <c r="BF20" i="15" s="1"/>
  <c r="BC21" i="15"/>
  <c r="BD21" i="15"/>
  <c r="BF21" i="15" s="1"/>
  <c r="BC22" i="15"/>
  <c r="BD22" i="15"/>
  <c r="BF22" i="15" s="1"/>
  <c r="BC9" i="15"/>
  <c r="AZ9" i="15"/>
  <c r="BC182" i="14"/>
  <c r="BC183" i="14"/>
  <c r="BC184" i="14"/>
  <c r="BC185" i="14"/>
  <c r="BC186" i="14"/>
  <c r="BC187" i="14"/>
  <c r="BC188" i="14"/>
  <c r="BC189" i="14"/>
  <c r="BC190" i="14"/>
  <c r="BC191" i="14"/>
  <c r="BC192" i="14"/>
  <c r="BC193" i="14"/>
  <c r="BC194" i="14"/>
  <c r="BC195" i="14"/>
  <c r="BC196" i="14"/>
  <c r="BC197" i="14"/>
  <c r="BC198" i="14"/>
  <c r="BC199" i="14"/>
  <c r="BC200" i="14"/>
  <c r="BC201" i="14"/>
  <c r="BC202" i="14"/>
  <c r="BC203" i="14"/>
  <c r="BC204" i="14"/>
  <c r="BC205" i="14"/>
  <c r="BC206" i="14"/>
  <c r="BC207" i="14"/>
  <c r="BC208" i="14"/>
  <c r="BC209" i="14"/>
  <c r="BC181" i="14"/>
  <c r="BC140" i="14"/>
  <c r="BC141" i="14"/>
  <c r="BC142" i="14"/>
  <c r="BC143" i="14"/>
  <c r="BC144" i="14"/>
  <c r="BC145" i="14"/>
  <c r="BC146" i="14"/>
  <c r="BC147" i="14"/>
  <c r="BC148" i="14"/>
  <c r="BC149" i="14"/>
  <c r="BC150" i="14"/>
  <c r="BC151" i="14"/>
  <c r="BC152" i="14"/>
  <c r="BC153" i="14"/>
  <c r="BC154" i="14"/>
  <c r="BC155" i="14"/>
  <c r="BC156" i="14"/>
  <c r="BC157" i="14"/>
  <c r="BC158" i="14"/>
  <c r="BC159" i="14"/>
  <c r="BC160" i="14"/>
  <c r="BC161" i="14"/>
  <c r="BC162" i="14"/>
  <c r="BC163" i="14"/>
  <c r="BC164" i="14"/>
  <c r="BC165" i="14"/>
  <c r="BC166" i="14"/>
  <c r="BC167" i="14"/>
  <c r="BC168" i="14"/>
  <c r="BC169" i="14"/>
  <c r="BC170" i="14"/>
  <c r="BC171" i="14"/>
  <c r="BC172" i="14"/>
  <c r="BC173" i="14"/>
  <c r="BC174" i="14"/>
  <c r="BC175" i="14"/>
  <c r="BC139" i="14"/>
  <c r="BC94" i="14"/>
  <c r="BC95" i="14"/>
  <c r="BC96" i="14"/>
  <c r="BC97" i="14"/>
  <c r="BC98" i="14"/>
  <c r="BC99" i="14"/>
  <c r="BC100" i="14"/>
  <c r="BC101" i="14"/>
  <c r="BC102" i="14"/>
  <c r="BC103" i="14"/>
  <c r="BC104" i="14"/>
  <c r="BC105" i="14"/>
  <c r="BC106" i="14"/>
  <c r="BC107" i="14"/>
  <c r="BC108" i="14"/>
  <c r="BC109" i="14"/>
  <c r="BC110" i="14"/>
  <c r="BC111" i="14"/>
  <c r="BC112" i="14"/>
  <c r="BC113" i="14"/>
  <c r="BC114" i="14"/>
  <c r="BC115" i="14"/>
  <c r="BC116" i="14"/>
  <c r="BC117" i="14"/>
  <c r="BC118" i="14"/>
  <c r="BC119" i="14"/>
  <c r="BC120" i="14"/>
  <c r="BC121" i="14"/>
  <c r="BC122" i="14"/>
  <c r="BC123" i="14"/>
  <c r="BC124" i="14"/>
  <c r="BC125" i="14"/>
  <c r="BC126" i="14"/>
  <c r="BC127" i="14"/>
  <c r="BC128" i="14"/>
  <c r="BC129" i="14"/>
  <c r="BC130" i="14"/>
  <c r="BC131" i="14"/>
  <c r="BC132" i="14"/>
  <c r="BC133" i="14"/>
  <c r="BC93" i="14"/>
  <c r="BC60" i="14"/>
  <c r="BC61" i="14"/>
  <c r="BC62" i="14"/>
  <c r="BC63" i="14"/>
  <c r="BC64" i="14"/>
  <c r="BC65" i="14"/>
  <c r="BC66" i="14"/>
  <c r="BC67" i="14"/>
  <c r="BC68" i="14"/>
  <c r="BC69" i="14"/>
  <c r="BC70" i="14"/>
  <c r="BC71" i="14"/>
  <c r="BC72" i="14"/>
  <c r="BC73" i="14"/>
  <c r="BC74" i="14"/>
  <c r="BC75" i="14"/>
  <c r="BC76" i="14"/>
  <c r="BC77" i="14"/>
  <c r="BC78" i="14"/>
  <c r="BC79" i="14"/>
  <c r="BC80" i="14"/>
  <c r="BC81" i="14"/>
  <c r="BC82" i="14"/>
  <c r="BC83" i="14"/>
  <c r="BC84" i="14"/>
  <c r="BC85" i="14"/>
  <c r="BC86" i="14"/>
  <c r="BC87" i="14"/>
  <c r="BC59" i="14"/>
  <c r="BC27" i="14"/>
  <c r="BC28" i="14"/>
  <c r="BC29" i="14"/>
  <c r="BC30" i="14"/>
  <c r="BC31" i="14"/>
  <c r="BC32" i="14"/>
  <c r="BC33" i="14"/>
  <c r="BC34" i="14"/>
  <c r="BC35" i="14"/>
  <c r="BC36" i="14"/>
  <c r="BC37" i="14"/>
  <c r="BC39" i="14"/>
  <c r="BC40" i="14"/>
  <c r="BC41" i="14"/>
  <c r="BC42" i="14"/>
  <c r="BC43" i="14"/>
  <c r="BC44" i="14"/>
  <c r="BC45" i="14"/>
  <c r="BC46" i="14"/>
  <c r="BC47" i="14"/>
  <c r="BC48" i="14"/>
  <c r="BC49" i="14"/>
  <c r="BC50" i="14"/>
  <c r="BC51" i="14"/>
  <c r="BC52" i="14"/>
  <c r="BC53" i="14"/>
  <c r="BC26" i="14"/>
  <c r="BC11" i="14"/>
  <c r="BC12" i="14"/>
  <c r="BC13" i="14"/>
  <c r="BC14" i="14"/>
  <c r="BC15" i="14"/>
  <c r="BC16" i="14"/>
  <c r="BC17" i="14"/>
  <c r="BC18" i="14"/>
  <c r="BC19" i="14"/>
  <c r="BC20" i="14"/>
  <c r="BC10" i="14"/>
  <c r="BC272" i="12"/>
  <c r="BC273" i="12"/>
  <c r="BC274" i="12"/>
  <c r="BC275" i="12"/>
  <c r="BC276" i="12"/>
  <c r="BC277" i="12"/>
  <c r="BC278" i="12"/>
  <c r="BC279" i="12"/>
  <c r="BC280" i="12"/>
  <c r="BC281" i="12"/>
  <c r="BC282" i="12"/>
  <c r="BC283" i="12"/>
  <c r="BC284" i="12"/>
  <c r="BC285" i="12"/>
  <c r="BC286" i="12"/>
  <c r="BC287" i="12"/>
  <c r="BC288" i="12"/>
  <c r="BC289" i="12"/>
  <c r="BC290" i="12"/>
  <c r="BC291" i="12"/>
  <c r="BC292" i="12"/>
  <c r="BC293" i="12"/>
  <c r="BC294" i="12"/>
  <c r="BC295" i="12"/>
  <c r="BC296" i="12"/>
  <c r="BC297" i="12"/>
  <c r="BC298" i="12"/>
  <c r="BC299" i="12"/>
  <c r="BC300" i="12"/>
  <c r="BC301" i="12"/>
  <c r="BC302" i="12"/>
  <c r="BC303" i="12"/>
  <c r="BC304" i="12"/>
  <c r="BC305" i="12"/>
  <c r="BC306" i="12"/>
  <c r="BC307" i="12"/>
  <c r="BC308" i="12"/>
  <c r="BC271" i="12"/>
  <c r="BC228" i="12"/>
  <c r="BC229" i="12"/>
  <c r="BC230" i="12"/>
  <c r="BC231" i="12"/>
  <c r="BC232" i="12"/>
  <c r="BC233" i="12"/>
  <c r="BC234" i="12"/>
  <c r="BC235" i="12"/>
  <c r="BC236" i="12"/>
  <c r="BC237" i="12"/>
  <c r="BC238" i="12"/>
  <c r="BC239" i="12"/>
  <c r="BC240" i="12"/>
  <c r="BC241" i="12"/>
  <c r="BC242" i="12"/>
  <c r="BC243" i="12"/>
  <c r="BC244" i="12"/>
  <c r="BC245" i="12"/>
  <c r="BC246" i="12"/>
  <c r="BC247" i="12"/>
  <c r="BC248" i="12"/>
  <c r="BC249" i="12"/>
  <c r="BC250" i="12"/>
  <c r="BC251" i="12"/>
  <c r="BC252" i="12"/>
  <c r="BC253" i="12"/>
  <c r="BC254" i="12"/>
  <c r="BC255" i="12"/>
  <c r="BC256" i="12"/>
  <c r="BC257" i="12"/>
  <c r="BC227" i="12"/>
  <c r="BC183" i="12"/>
  <c r="BC184" i="12"/>
  <c r="BC185" i="12"/>
  <c r="BC186" i="12"/>
  <c r="BC187" i="12"/>
  <c r="BC188" i="12"/>
  <c r="BC189" i="12"/>
  <c r="BC190" i="12"/>
  <c r="BC191" i="12"/>
  <c r="BC192" i="12"/>
  <c r="BC193" i="12"/>
  <c r="BC194" i="12"/>
  <c r="BC195" i="12"/>
  <c r="BC196" i="12"/>
  <c r="BC197" i="12"/>
  <c r="BC198" i="12"/>
  <c r="BC199" i="12"/>
  <c r="BC200" i="12"/>
  <c r="BC201" i="12"/>
  <c r="BC202" i="12"/>
  <c r="BC203" i="12"/>
  <c r="BC204" i="12"/>
  <c r="BC205" i="12"/>
  <c r="BC206" i="12"/>
  <c r="BC207" i="12"/>
  <c r="BC208" i="12"/>
  <c r="BC209" i="12"/>
  <c r="BC210" i="12"/>
  <c r="BC211" i="12"/>
  <c r="BC212" i="12"/>
  <c r="BC213" i="12"/>
  <c r="BC214" i="12"/>
  <c r="BC215" i="12"/>
  <c r="BC216" i="12"/>
  <c r="BC182" i="12"/>
  <c r="BC138" i="12"/>
  <c r="BC139" i="12"/>
  <c r="BC140" i="12"/>
  <c r="BC141" i="12"/>
  <c r="BC142" i="12"/>
  <c r="BC143" i="12"/>
  <c r="BC144" i="12"/>
  <c r="BC145" i="12"/>
  <c r="BC146" i="12"/>
  <c r="BC147" i="12"/>
  <c r="BC148" i="12"/>
  <c r="BC149" i="12"/>
  <c r="BC150" i="12"/>
  <c r="BC151" i="12"/>
  <c r="BC152" i="12"/>
  <c r="BC153" i="12"/>
  <c r="BC154" i="12"/>
  <c r="BC155" i="12"/>
  <c r="BC156" i="12"/>
  <c r="BC157" i="12"/>
  <c r="BC158" i="12"/>
  <c r="BC159" i="12"/>
  <c r="BC160" i="12"/>
  <c r="BC161" i="12"/>
  <c r="BC162" i="12"/>
  <c r="BC137" i="12"/>
  <c r="BC88" i="12"/>
  <c r="BC89" i="12"/>
  <c r="BC90" i="12"/>
  <c r="BC91" i="12"/>
  <c r="BC92" i="12"/>
  <c r="BC93" i="12"/>
  <c r="BC94" i="12"/>
  <c r="BC95" i="12"/>
  <c r="BC96" i="12"/>
  <c r="BC97" i="12"/>
  <c r="BC98" i="12"/>
  <c r="BC99" i="12"/>
  <c r="BC100" i="12"/>
  <c r="BC101" i="12"/>
  <c r="BC102" i="12"/>
  <c r="BC103" i="12"/>
  <c r="BC104" i="12"/>
  <c r="BC105" i="12"/>
  <c r="BC106" i="12"/>
  <c r="BC107" i="12"/>
  <c r="BC108" i="12"/>
  <c r="BC109" i="12"/>
  <c r="BC110" i="12"/>
  <c r="BC111" i="12"/>
  <c r="BC112" i="12"/>
  <c r="BC113" i="12"/>
  <c r="BC114" i="12"/>
  <c r="BC115" i="12"/>
  <c r="BC116" i="12"/>
  <c r="BC117" i="12"/>
  <c r="BC118" i="12"/>
  <c r="BC119" i="12"/>
  <c r="BC120" i="12"/>
  <c r="BC121" i="12"/>
  <c r="BC122" i="12"/>
  <c r="BC123" i="12"/>
  <c r="BC124" i="12"/>
  <c r="BC87" i="12"/>
  <c r="BC38" i="12"/>
  <c r="BC39" i="12"/>
  <c r="BC40" i="12"/>
  <c r="BC41" i="12"/>
  <c r="BC42" i="12"/>
  <c r="BC43" i="12"/>
  <c r="BC44" i="12"/>
  <c r="BC45" i="12"/>
  <c r="BC46" i="12"/>
  <c r="BC47" i="12"/>
  <c r="BC48" i="12"/>
  <c r="BC49" i="12"/>
  <c r="BC50" i="12"/>
  <c r="BC51" i="12"/>
  <c r="BC52" i="12"/>
  <c r="BC53" i="12"/>
  <c r="BC54" i="12"/>
  <c r="BC55" i="12"/>
  <c r="BC56" i="12"/>
  <c r="BC57" i="12"/>
  <c r="BC58" i="12"/>
  <c r="BC59" i="12"/>
  <c r="BC60" i="12"/>
  <c r="BC61" i="12"/>
  <c r="BC62" i="12"/>
  <c r="BC63" i="12"/>
  <c r="BC64" i="12"/>
  <c r="BC65" i="12"/>
  <c r="BC66" i="12"/>
  <c r="BC67" i="12"/>
  <c r="BC68" i="12"/>
  <c r="BC69" i="12"/>
  <c r="BC70" i="12"/>
  <c r="BC71" i="12"/>
  <c r="BC72" i="12"/>
  <c r="BC73" i="12"/>
  <c r="BC74" i="12"/>
  <c r="BC75" i="12"/>
  <c r="BC76" i="12"/>
  <c r="BC37" i="12"/>
  <c r="BC10" i="12"/>
  <c r="BC11" i="12"/>
  <c r="BC12" i="12"/>
  <c r="BC13" i="12"/>
  <c r="BC14" i="12"/>
  <c r="BC16" i="12"/>
  <c r="BC17" i="12"/>
  <c r="BC18" i="12"/>
  <c r="BC19" i="12"/>
  <c r="BC20" i="12"/>
  <c r="BC21" i="12"/>
  <c r="BC22" i="12"/>
  <c r="BC23" i="12"/>
  <c r="BC24" i="12"/>
  <c r="BC25" i="12"/>
  <c r="BC26" i="12"/>
  <c r="BC27" i="12"/>
  <c r="BC28" i="12"/>
  <c r="BC29" i="12"/>
  <c r="BD182" i="14"/>
  <c r="BF182" i="14" s="1"/>
  <c r="BD183" i="14"/>
  <c r="BF183" i="14" s="1"/>
  <c r="BD184" i="14"/>
  <c r="BF184" i="14" s="1"/>
  <c r="BD185" i="14"/>
  <c r="BF185" i="14" s="1"/>
  <c r="BD186" i="14"/>
  <c r="BF186" i="14" s="1"/>
  <c r="BD187" i="14"/>
  <c r="BD189" i="14"/>
  <c r="BF189" i="14" s="1"/>
  <c r="BD190" i="14"/>
  <c r="BF190" i="14" s="1"/>
  <c r="BD191" i="14"/>
  <c r="BF191" i="14" s="1"/>
  <c r="BD192" i="14"/>
  <c r="BF192" i="14" s="1"/>
  <c r="BD194" i="14"/>
  <c r="BF194" i="14" s="1"/>
  <c r="BD195" i="14"/>
  <c r="BD196" i="14"/>
  <c r="BF196" i="14" s="1"/>
  <c r="BD197" i="14"/>
  <c r="BF197" i="14" s="1"/>
  <c r="BD198" i="14"/>
  <c r="BF198" i="14" s="1"/>
  <c r="BD199" i="14"/>
  <c r="BF199" i="14" s="1"/>
  <c r="BD200" i="14"/>
  <c r="BF200" i="14" s="1"/>
  <c r="BD201" i="14"/>
  <c r="BF201" i="14" s="1"/>
  <c r="BD202" i="14"/>
  <c r="BF202" i="14" s="1"/>
  <c r="BD203" i="14"/>
  <c r="BD204" i="14"/>
  <c r="BF204" i="14" s="1"/>
  <c r="BD205" i="14"/>
  <c r="BF205" i="14" s="1"/>
  <c r="BD206" i="14"/>
  <c r="BF206" i="14" s="1"/>
  <c r="BD207" i="14"/>
  <c r="BF207" i="14" s="1"/>
  <c r="BD208" i="14"/>
  <c r="BF208" i="14" s="1"/>
  <c r="BD209" i="14"/>
  <c r="BF209" i="14" s="1"/>
  <c r="W182" i="14"/>
  <c r="X182" i="14" s="1"/>
  <c r="Y182" i="14" s="1"/>
  <c r="W183" i="14"/>
  <c r="X183" i="14"/>
  <c r="Y183" i="14" s="1"/>
  <c r="W184" i="14"/>
  <c r="X184" i="14"/>
  <c r="Y184" i="14"/>
  <c r="W185" i="14"/>
  <c r="X185" i="14" s="1"/>
  <c r="Y185" i="14" s="1"/>
  <c r="W186" i="14"/>
  <c r="X186" i="14" s="1"/>
  <c r="Y186" i="14" s="1"/>
  <c r="W187" i="14"/>
  <c r="X187" i="14"/>
  <c r="Y187" i="14" s="1"/>
  <c r="W188" i="14"/>
  <c r="X188" i="14"/>
  <c r="Y188" i="14"/>
  <c r="W189" i="14"/>
  <c r="X189" i="14" s="1"/>
  <c r="Y189" i="14" s="1"/>
  <c r="W190" i="14"/>
  <c r="X190" i="14" s="1"/>
  <c r="Y190" i="14" s="1"/>
  <c r="W191" i="14"/>
  <c r="X191" i="14"/>
  <c r="Y191" i="14" s="1"/>
  <c r="W192" i="14"/>
  <c r="X192" i="14"/>
  <c r="Y192" i="14" s="1"/>
  <c r="W193" i="14"/>
  <c r="X193" i="14"/>
  <c r="Y193" i="14" s="1"/>
  <c r="W194" i="14"/>
  <c r="X194" i="14" s="1"/>
  <c r="Y194" i="14" s="1"/>
  <c r="W195" i="14"/>
  <c r="X195" i="14"/>
  <c r="Y195" i="14" s="1"/>
  <c r="W196" i="14"/>
  <c r="X196" i="14"/>
  <c r="Y196" i="14" s="1"/>
  <c r="W197" i="14"/>
  <c r="X197" i="14" s="1"/>
  <c r="Y197" i="14" s="1"/>
  <c r="W198" i="14"/>
  <c r="X198" i="14" s="1"/>
  <c r="Y198" i="14" s="1"/>
  <c r="W199" i="14"/>
  <c r="X199" i="14"/>
  <c r="Y199" i="14" s="1"/>
  <c r="W200" i="14"/>
  <c r="X200" i="14"/>
  <c r="Y200" i="14"/>
  <c r="W201" i="14"/>
  <c r="X201" i="14" s="1"/>
  <c r="Y201" i="14" s="1"/>
  <c r="W202" i="14"/>
  <c r="X202" i="14" s="1"/>
  <c r="Y202" i="14" s="1"/>
  <c r="W203" i="14"/>
  <c r="X203" i="14"/>
  <c r="Y203" i="14" s="1"/>
  <c r="W204" i="14"/>
  <c r="X204" i="14"/>
  <c r="Y204" i="14" s="1"/>
  <c r="W205" i="14"/>
  <c r="X205" i="14" s="1"/>
  <c r="Y205" i="14" s="1"/>
  <c r="W206" i="14"/>
  <c r="X206" i="14" s="1"/>
  <c r="Y206" i="14" s="1"/>
  <c r="W207" i="14"/>
  <c r="X207" i="14"/>
  <c r="Y207" i="14" s="1"/>
  <c r="W208" i="14"/>
  <c r="X208" i="14"/>
  <c r="Y208" i="14" s="1"/>
  <c r="W209" i="14"/>
  <c r="X209" i="14" s="1"/>
  <c r="Y209" i="14" s="1"/>
  <c r="BD181" i="14"/>
  <c r="BF181" i="14" s="1"/>
  <c r="P182" i="14"/>
  <c r="Q182" i="14" s="1"/>
  <c r="R182" i="14" s="1"/>
  <c r="P183" i="14"/>
  <c r="Q183" i="14" s="1"/>
  <c r="R183" i="14" s="1"/>
  <c r="P184" i="14"/>
  <c r="Q184" i="14"/>
  <c r="R184" i="14" s="1"/>
  <c r="P185" i="14"/>
  <c r="Q185" i="14"/>
  <c r="R185" i="14"/>
  <c r="P186" i="14"/>
  <c r="Q186" i="14" s="1"/>
  <c r="R186" i="14" s="1"/>
  <c r="P187" i="14"/>
  <c r="Q187" i="14" s="1"/>
  <c r="R187" i="14" s="1"/>
  <c r="P188" i="14"/>
  <c r="Q188" i="14"/>
  <c r="R188" i="14" s="1"/>
  <c r="P189" i="14"/>
  <c r="Q189" i="14"/>
  <c r="R189" i="14"/>
  <c r="P190" i="14"/>
  <c r="Q190" i="14" s="1"/>
  <c r="R190" i="14" s="1"/>
  <c r="P191" i="14"/>
  <c r="Q191" i="14" s="1"/>
  <c r="R191" i="14" s="1"/>
  <c r="P192" i="14"/>
  <c r="Q192" i="14"/>
  <c r="R192" i="14" s="1"/>
  <c r="P193" i="14"/>
  <c r="Q193" i="14"/>
  <c r="R193" i="14" s="1"/>
  <c r="P194" i="14"/>
  <c r="Q194" i="14"/>
  <c r="R194" i="14" s="1"/>
  <c r="P195" i="14"/>
  <c r="Q195" i="14" s="1"/>
  <c r="R195" i="14" s="1"/>
  <c r="P196" i="14"/>
  <c r="Q196" i="14"/>
  <c r="R196" i="14" s="1"/>
  <c r="P197" i="14"/>
  <c r="Q197" i="14"/>
  <c r="R197" i="14" s="1"/>
  <c r="P198" i="14"/>
  <c r="Q198" i="14" s="1"/>
  <c r="R198" i="14" s="1"/>
  <c r="P199" i="14"/>
  <c r="Q199" i="14" s="1"/>
  <c r="R199" i="14" s="1"/>
  <c r="P200" i="14"/>
  <c r="Q200" i="14"/>
  <c r="R200" i="14" s="1"/>
  <c r="P201" i="14"/>
  <c r="Q201" i="14"/>
  <c r="R201" i="14"/>
  <c r="P202" i="14"/>
  <c r="Q202" i="14"/>
  <c r="R202" i="14" s="1"/>
  <c r="P203" i="14"/>
  <c r="Q203" i="14" s="1"/>
  <c r="R203" i="14" s="1"/>
  <c r="P204" i="14"/>
  <c r="Q204" i="14"/>
  <c r="R204" i="14" s="1"/>
  <c r="P205" i="14"/>
  <c r="Q205" i="14"/>
  <c r="R205" i="14" s="1"/>
  <c r="P206" i="14"/>
  <c r="Q206" i="14" s="1"/>
  <c r="R206" i="14" s="1"/>
  <c r="P207" i="14"/>
  <c r="Q207" i="14" s="1"/>
  <c r="R207" i="14" s="1"/>
  <c r="P208" i="14"/>
  <c r="Q208" i="14"/>
  <c r="R208" i="14" s="1"/>
  <c r="P209" i="14"/>
  <c r="Q209" i="14"/>
  <c r="R209" i="14"/>
  <c r="I182" i="14"/>
  <c r="J182" i="14" s="1"/>
  <c r="K182" i="14" s="1"/>
  <c r="I183" i="14"/>
  <c r="J183" i="14" s="1"/>
  <c r="K183" i="14" s="1"/>
  <c r="I184" i="14"/>
  <c r="J184" i="14"/>
  <c r="K184" i="14" s="1"/>
  <c r="I185" i="14"/>
  <c r="J185" i="14"/>
  <c r="K185" i="14"/>
  <c r="I186" i="14"/>
  <c r="J186" i="14" s="1"/>
  <c r="K186" i="14" s="1"/>
  <c r="I187" i="14"/>
  <c r="J187" i="14" s="1"/>
  <c r="K187" i="14" s="1"/>
  <c r="I188" i="14"/>
  <c r="J188" i="14"/>
  <c r="K188" i="14" s="1"/>
  <c r="I189" i="14"/>
  <c r="J189" i="14"/>
  <c r="K189" i="14"/>
  <c r="I190" i="14"/>
  <c r="J190" i="14" s="1"/>
  <c r="K190" i="14" s="1"/>
  <c r="I191" i="14"/>
  <c r="J191" i="14" s="1"/>
  <c r="K191" i="14" s="1"/>
  <c r="I192" i="14"/>
  <c r="J192" i="14"/>
  <c r="K192" i="14" s="1"/>
  <c r="I193" i="14"/>
  <c r="J193" i="14"/>
  <c r="K193" i="14" s="1"/>
  <c r="I194" i="14"/>
  <c r="J194" i="14" s="1"/>
  <c r="K194" i="14" s="1"/>
  <c r="I195" i="14"/>
  <c r="J195" i="14" s="1"/>
  <c r="K195" i="14" s="1"/>
  <c r="I196" i="14"/>
  <c r="J196" i="14"/>
  <c r="K196" i="14" s="1"/>
  <c r="I197" i="14"/>
  <c r="J197" i="14"/>
  <c r="K197" i="14"/>
  <c r="I198" i="14"/>
  <c r="J198" i="14"/>
  <c r="K198" i="14"/>
  <c r="I199" i="14"/>
  <c r="J199" i="14" s="1"/>
  <c r="K199" i="14" s="1"/>
  <c r="I200" i="14"/>
  <c r="J200" i="14"/>
  <c r="K200" i="14" s="1"/>
  <c r="I201" i="14"/>
  <c r="J201" i="14"/>
  <c r="K201" i="14"/>
  <c r="I202" i="14"/>
  <c r="J202" i="14" s="1"/>
  <c r="K202" i="14" s="1"/>
  <c r="I203" i="14"/>
  <c r="J203" i="14" s="1"/>
  <c r="K203" i="14" s="1"/>
  <c r="I204" i="14"/>
  <c r="J204" i="14"/>
  <c r="K204" i="14" s="1"/>
  <c r="I205" i="14"/>
  <c r="J205" i="14"/>
  <c r="K205" i="14"/>
  <c r="I206" i="14"/>
  <c r="J206" i="14"/>
  <c r="K206" i="14"/>
  <c r="I207" i="14"/>
  <c r="J207" i="14" s="1"/>
  <c r="K207" i="14" s="1"/>
  <c r="I208" i="14"/>
  <c r="J208" i="14"/>
  <c r="K208" i="14" s="1"/>
  <c r="I209" i="14"/>
  <c r="J209" i="14"/>
  <c r="K209" i="14"/>
  <c r="BD140" i="14"/>
  <c r="BF140" i="14" s="1"/>
  <c r="BD141" i="14"/>
  <c r="BF141" i="14" s="1"/>
  <c r="BD142" i="14"/>
  <c r="BF142" i="14" s="1"/>
  <c r="BD143" i="14"/>
  <c r="BF143" i="14" s="1"/>
  <c r="BD144" i="14"/>
  <c r="BF144" i="14" s="1"/>
  <c r="BD145" i="14"/>
  <c r="BD146" i="14"/>
  <c r="BF146" i="14" s="1"/>
  <c r="BD147" i="14"/>
  <c r="BF147" i="14" s="1"/>
  <c r="BD148" i="14"/>
  <c r="BF148" i="14" s="1"/>
  <c r="BD149" i="14"/>
  <c r="BF149" i="14" s="1"/>
  <c r="BD150" i="14"/>
  <c r="BF150" i="14" s="1"/>
  <c r="BD151" i="14"/>
  <c r="BF151" i="14" s="1"/>
  <c r="BD152" i="14"/>
  <c r="BF152" i="14" s="1"/>
  <c r="BD153" i="14"/>
  <c r="BD154" i="14"/>
  <c r="BF154" i="14" s="1"/>
  <c r="BD155" i="14"/>
  <c r="BF155" i="14" s="1"/>
  <c r="BD156" i="14"/>
  <c r="BF156" i="14" s="1"/>
  <c r="BD157" i="14"/>
  <c r="BF157" i="14" s="1"/>
  <c r="BD158" i="14"/>
  <c r="BF158" i="14" s="1"/>
  <c r="BD159" i="14"/>
  <c r="BF159" i="14" s="1"/>
  <c r="BD160" i="14"/>
  <c r="BF160" i="14" s="1"/>
  <c r="BD161" i="14"/>
  <c r="BD162" i="14"/>
  <c r="BF162" i="14" s="1"/>
  <c r="BD163" i="14"/>
  <c r="BF163" i="14" s="1"/>
  <c r="BD164" i="14"/>
  <c r="BF164" i="14" s="1"/>
  <c r="BD165" i="14"/>
  <c r="BF165" i="14" s="1"/>
  <c r="BD166" i="14"/>
  <c r="BF166" i="14" s="1"/>
  <c r="BD167" i="14"/>
  <c r="BF167" i="14" s="1"/>
  <c r="BD168" i="14"/>
  <c r="BF168" i="14" s="1"/>
  <c r="BD169" i="14"/>
  <c r="BD170" i="14"/>
  <c r="BF170" i="14" s="1"/>
  <c r="BD171" i="14"/>
  <c r="BF171" i="14" s="1"/>
  <c r="BD172" i="14"/>
  <c r="BF172" i="14" s="1"/>
  <c r="BD173" i="14"/>
  <c r="BF173" i="14" s="1"/>
  <c r="BD174" i="14"/>
  <c r="BF174" i="14" s="1"/>
  <c r="BD175" i="14"/>
  <c r="BF175" i="14" s="1"/>
  <c r="W140" i="14"/>
  <c r="X140" i="14"/>
  <c r="Y140" i="14" s="1"/>
  <c r="W141" i="14"/>
  <c r="X141" i="14"/>
  <c r="Y141" i="14"/>
  <c r="W142" i="14"/>
  <c r="X142" i="14"/>
  <c r="Y142" i="14" s="1"/>
  <c r="W143" i="14"/>
  <c r="X143" i="14" s="1"/>
  <c r="Y143" i="14" s="1"/>
  <c r="W144" i="14"/>
  <c r="X144" i="14"/>
  <c r="Y144" i="14" s="1"/>
  <c r="W145" i="14"/>
  <c r="X145" i="14" s="1"/>
  <c r="Y145" i="14" s="1"/>
  <c r="W146" i="14"/>
  <c r="X146" i="14" s="1"/>
  <c r="Y146" i="14" s="1"/>
  <c r="W147" i="14"/>
  <c r="X147" i="14" s="1"/>
  <c r="Y147" i="14" s="1"/>
  <c r="W148" i="14"/>
  <c r="X148" i="14"/>
  <c r="Y148" i="14" s="1"/>
  <c r="W149" i="14"/>
  <c r="X149" i="14"/>
  <c r="Y149" i="14"/>
  <c r="W150" i="14"/>
  <c r="X150" i="14"/>
  <c r="Y150" i="14" s="1"/>
  <c r="W151" i="14"/>
  <c r="X151" i="14" s="1"/>
  <c r="Y151" i="14" s="1"/>
  <c r="W152" i="14"/>
  <c r="X152" i="14"/>
  <c r="Y152" i="14" s="1"/>
  <c r="W153" i="14"/>
  <c r="X153" i="14" s="1"/>
  <c r="Y153" i="14" s="1"/>
  <c r="W154" i="14"/>
  <c r="X154" i="14" s="1"/>
  <c r="Y154" i="14" s="1"/>
  <c r="W155" i="14"/>
  <c r="X155" i="14" s="1"/>
  <c r="Y155" i="14" s="1"/>
  <c r="W156" i="14"/>
  <c r="X156" i="14"/>
  <c r="Y156" i="14" s="1"/>
  <c r="W157" i="14"/>
  <c r="X157" i="14"/>
  <c r="Y157" i="14"/>
  <c r="W158" i="14"/>
  <c r="X158" i="14"/>
  <c r="Y158" i="14" s="1"/>
  <c r="W159" i="14"/>
  <c r="X159" i="14" s="1"/>
  <c r="Y159" i="14" s="1"/>
  <c r="W160" i="14"/>
  <c r="X160" i="14"/>
  <c r="Y160" i="14" s="1"/>
  <c r="W161" i="14"/>
  <c r="X161" i="14" s="1"/>
  <c r="Y161" i="14" s="1"/>
  <c r="W162" i="14"/>
  <c r="X162" i="14" s="1"/>
  <c r="Y162" i="14" s="1"/>
  <c r="W163" i="14"/>
  <c r="X163" i="14" s="1"/>
  <c r="Y163" i="14" s="1"/>
  <c r="W164" i="14"/>
  <c r="X164" i="14"/>
  <c r="Y164" i="14" s="1"/>
  <c r="W165" i="14"/>
  <c r="X165" i="14" s="1"/>
  <c r="Y165" i="14" s="1"/>
  <c r="W166" i="14"/>
  <c r="X166" i="14"/>
  <c r="Y166" i="14" s="1"/>
  <c r="W167" i="14"/>
  <c r="X167" i="14" s="1"/>
  <c r="Y167" i="14" s="1"/>
  <c r="W168" i="14"/>
  <c r="X168" i="14"/>
  <c r="Y168" i="14" s="1"/>
  <c r="W169" i="14"/>
  <c r="X169" i="14" s="1"/>
  <c r="Y169" i="14" s="1"/>
  <c r="W170" i="14"/>
  <c r="X170" i="14" s="1"/>
  <c r="Y170" i="14" s="1"/>
  <c r="W171" i="14"/>
  <c r="X171" i="14" s="1"/>
  <c r="Y171" i="14" s="1"/>
  <c r="W172" i="14"/>
  <c r="X172" i="14" s="1"/>
  <c r="Y172" i="14" s="1"/>
  <c r="W173" i="14"/>
  <c r="X173" i="14" s="1"/>
  <c r="Y173" i="14" s="1"/>
  <c r="W174" i="14"/>
  <c r="X174" i="14"/>
  <c r="Y174" i="14" s="1"/>
  <c r="W175" i="14"/>
  <c r="X175" i="14" s="1"/>
  <c r="Y175" i="14" s="1"/>
  <c r="P140" i="14"/>
  <c r="Q140" i="14"/>
  <c r="R140" i="14" s="1"/>
  <c r="P141" i="14"/>
  <c r="Q141" i="14" s="1"/>
  <c r="R141" i="14" s="1"/>
  <c r="P142" i="14"/>
  <c r="Q142" i="14" s="1"/>
  <c r="R142" i="14" s="1"/>
  <c r="P143" i="14"/>
  <c r="Q143" i="14" s="1"/>
  <c r="R143" i="14" s="1"/>
  <c r="P144" i="14"/>
  <c r="Q144" i="14" s="1"/>
  <c r="R144" i="14" s="1"/>
  <c r="P145" i="14"/>
  <c r="Q145" i="14" s="1"/>
  <c r="R145" i="14" s="1"/>
  <c r="P146" i="14"/>
  <c r="Q146" i="14"/>
  <c r="R146" i="14" s="1"/>
  <c r="P147" i="14"/>
  <c r="Q147" i="14" s="1"/>
  <c r="R147" i="14" s="1"/>
  <c r="P148" i="14"/>
  <c r="Q148" i="14"/>
  <c r="R148" i="14" s="1"/>
  <c r="P149" i="14"/>
  <c r="Q149" i="14" s="1"/>
  <c r="R149" i="14" s="1"/>
  <c r="P150" i="14"/>
  <c r="Q150" i="14" s="1"/>
  <c r="R150" i="14" s="1"/>
  <c r="P151" i="14"/>
  <c r="Q151" i="14" s="1"/>
  <c r="R151" i="14" s="1"/>
  <c r="P152" i="14"/>
  <c r="Q152" i="14"/>
  <c r="R152" i="14" s="1"/>
  <c r="P153" i="14"/>
  <c r="Q153" i="14" s="1"/>
  <c r="R153" i="14" s="1"/>
  <c r="P154" i="14"/>
  <c r="Q154" i="14"/>
  <c r="R154" i="14" s="1"/>
  <c r="P155" i="14"/>
  <c r="Q155" i="14" s="1"/>
  <c r="R155" i="14" s="1"/>
  <c r="P156" i="14"/>
  <c r="Q156" i="14"/>
  <c r="R156" i="14" s="1"/>
  <c r="P157" i="14"/>
  <c r="Q157" i="14" s="1"/>
  <c r="R157" i="14" s="1"/>
  <c r="P158" i="14"/>
  <c r="Q158" i="14" s="1"/>
  <c r="R158" i="14" s="1"/>
  <c r="P159" i="14"/>
  <c r="Q159" i="14" s="1"/>
  <c r="R159" i="14" s="1"/>
  <c r="P160" i="14"/>
  <c r="Q160" i="14"/>
  <c r="R160" i="14" s="1"/>
  <c r="P161" i="14"/>
  <c r="Q161" i="14" s="1"/>
  <c r="R161" i="14" s="1"/>
  <c r="P162" i="14"/>
  <c r="Q162" i="14"/>
  <c r="R162" i="14" s="1"/>
  <c r="P163" i="14"/>
  <c r="Q163" i="14"/>
  <c r="R163" i="14" s="1"/>
  <c r="P164" i="14"/>
  <c r="Q164" i="14"/>
  <c r="R164" i="14" s="1"/>
  <c r="P165" i="14"/>
  <c r="Q165" i="14" s="1"/>
  <c r="R165" i="14" s="1"/>
  <c r="P166" i="14"/>
  <c r="Q166" i="14" s="1"/>
  <c r="R166" i="14" s="1"/>
  <c r="P167" i="14"/>
  <c r="Q167" i="14" s="1"/>
  <c r="R167" i="14" s="1"/>
  <c r="P168" i="14"/>
  <c r="Q168" i="14"/>
  <c r="R168" i="14" s="1"/>
  <c r="P169" i="14"/>
  <c r="Q169" i="14" s="1"/>
  <c r="R169" i="14" s="1"/>
  <c r="P170" i="14"/>
  <c r="Q170" i="14"/>
  <c r="R170" i="14" s="1"/>
  <c r="P171" i="14"/>
  <c r="Q171" i="14"/>
  <c r="R171" i="14" s="1"/>
  <c r="P172" i="14"/>
  <c r="Q172" i="14"/>
  <c r="R172" i="14" s="1"/>
  <c r="P173" i="14"/>
  <c r="Q173" i="14" s="1"/>
  <c r="R173" i="14" s="1"/>
  <c r="P174" i="14"/>
  <c r="Q174" i="14" s="1"/>
  <c r="R174" i="14" s="1"/>
  <c r="P175" i="14"/>
  <c r="Q175" i="14" s="1"/>
  <c r="R175" i="14" s="1"/>
  <c r="I140" i="14"/>
  <c r="J140" i="14"/>
  <c r="K140" i="14" s="1"/>
  <c r="I141" i="14"/>
  <c r="J141" i="14" s="1"/>
  <c r="K141" i="14" s="1"/>
  <c r="I142" i="14"/>
  <c r="J142" i="14"/>
  <c r="K142" i="14" s="1"/>
  <c r="I143" i="14"/>
  <c r="J143" i="14"/>
  <c r="K143" i="14" s="1"/>
  <c r="I144" i="14"/>
  <c r="J144" i="14"/>
  <c r="K144" i="14" s="1"/>
  <c r="I145" i="14"/>
  <c r="J145" i="14" s="1"/>
  <c r="K145" i="14" s="1"/>
  <c r="I146" i="14"/>
  <c r="J146" i="14" s="1"/>
  <c r="K146" i="14" s="1"/>
  <c r="I147" i="14"/>
  <c r="J147" i="14" s="1"/>
  <c r="K147" i="14" s="1"/>
  <c r="I148" i="14"/>
  <c r="J148" i="14"/>
  <c r="K148" i="14" s="1"/>
  <c r="I149" i="14"/>
  <c r="J149" i="14"/>
  <c r="K149" i="14"/>
  <c r="I150" i="14"/>
  <c r="J150" i="14"/>
  <c r="K150" i="14" s="1"/>
  <c r="I151" i="14"/>
  <c r="J151" i="14"/>
  <c r="K151" i="14" s="1"/>
  <c r="I152" i="14"/>
  <c r="J152" i="14"/>
  <c r="K152" i="14" s="1"/>
  <c r="I153" i="14"/>
  <c r="J153" i="14" s="1"/>
  <c r="K153" i="14" s="1"/>
  <c r="I154" i="14"/>
  <c r="J154" i="14" s="1"/>
  <c r="K154" i="14" s="1"/>
  <c r="I155" i="14"/>
  <c r="J155" i="14" s="1"/>
  <c r="K155" i="14" s="1"/>
  <c r="I156" i="14"/>
  <c r="J156" i="14"/>
  <c r="K156" i="14"/>
  <c r="I157" i="14"/>
  <c r="J157" i="14"/>
  <c r="K157" i="14"/>
  <c r="I158" i="14"/>
  <c r="J158" i="14"/>
  <c r="K158" i="14" s="1"/>
  <c r="I159" i="14"/>
  <c r="J159" i="14"/>
  <c r="K159" i="14" s="1"/>
  <c r="I160" i="14"/>
  <c r="J160" i="14"/>
  <c r="K160" i="14" s="1"/>
  <c r="I161" i="14"/>
  <c r="J161" i="14" s="1"/>
  <c r="K161" i="14" s="1"/>
  <c r="I162" i="14"/>
  <c r="J162" i="14" s="1"/>
  <c r="K162" i="14" s="1"/>
  <c r="I163" i="14"/>
  <c r="J163" i="14" s="1"/>
  <c r="K163" i="14" s="1"/>
  <c r="I164" i="14"/>
  <c r="J164" i="14"/>
  <c r="K164" i="14" s="1"/>
  <c r="I165" i="14"/>
  <c r="J165" i="14"/>
  <c r="K165" i="14" s="1"/>
  <c r="I166" i="14"/>
  <c r="J166" i="14"/>
  <c r="K166" i="14" s="1"/>
  <c r="I167" i="14"/>
  <c r="J167" i="14"/>
  <c r="K167" i="14" s="1"/>
  <c r="I168" i="14"/>
  <c r="J168" i="14"/>
  <c r="K168" i="14" s="1"/>
  <c r="I169" i="14"/>
  <c r="J169" i="14" s="1"/>
  <c r="K169" i="14" s="1"/>
  <c r="I170" i="14"/>
  <c r="J170" i="14" s="1"/>
  <c r="K170" i="14" s="1"/>
  <c r="I171" i="14"/>
  <c r="J171" i="14" s="1"/>
  <c r="K171" i="14" s="1"/>
  <c r="I172" i="14"/>
  <c r="J172" i="14"/>
  <c r="K172" i="14"/>
  <c r="I173" i="14"/>
  <c r="J173" i="14"/>
  <c r="K173" i="14" s="1"/>
  <c r="I174" i="14"/>
  <c r="J174" i="14"/>
  <c r="K174" i="14" s="1"/>
  <c r="I175" i="14"/>
  <c r="J175" i="14"/>
  <c r="K175" i="14" s="1"/>
  <c r="BD139" i="14"/>
  <c r="BF139" i="14" s="1"/>
  <c r="BD94" i="14"/>
  <c r="BD95" i="14"/>
  <c r="BD96" i="14"/>
  <c r="BD97" i="14"/>
  <c r="BF97" i="14" s="1"/>
  <c r="BD98" i="14"/>
  <c r="BD99" i="14"/>
  <c r="BD100" i="14"/>
  <c r="BD103" i="14"/>
  <c r="BD104" i="14"/>
  <c r="BD105" i="14"/>
  <c r="BD109" i="14"/>
  <c r="BF109" i="14" s="1"/>
  <c r="BD114" i="14"/>
  <c r="BD119" i="14"/>
  <c r="BD120" i="14"/>
  <c r="BD121" i="14"/>
  <c r="BD126" i="14"/>
  <c r="BD130" i="14"/>
  <c r="W94" i="14"/>
  <c r="X94" i="14" s="1"/>
  <c r="Y94" i="14" s="1"/>
  <c r="W95" i="14"/>
  <c r="X95" i="14" s="1"/>
  <c r="Y95" i="14" s="1"/>
  <c r="W96" i="14"/>
  <c r="X96" i="14"/>
  <c r="Y96" i="14" s="1"/>
  <c r="W97" i="14"/>
  <c r="X97" i="14"/>
  <c r="Y97" i="14" s="1"/>
  <c r="W98" i="14"/>
  <c r="X98" i="14" s="1"/>
  <c r="Y98" i="14" s="1"/>
  <c r="W99" i="14"/>
  <c r="X99" i="14"/>
  <c r="Y99" i="14" s="1"/>
  <c r="W100" i="14"/>
  <c r="X100" i="14" s="1"/>
  <c r="Y100" i="14" s="1"/>
  <c r="W101" i="14"/>
  <c r="X101" i="14"/>
  <c r="Y101" i="14" s="1"/>
  <c r="W102" i="14"/>
  <c r="X102" i="14" s="1"/>
  <c r="Y102" i="14" s="1"/>
  <c r="W103" i="14"/>
  <c r="X103" i="14"/>
  <c r="Y103" i="14" s="1"/>
  <c r="W104" i="14"/>
  <c r="X104" i="14"/>
  <c r="Y104" i="14" s="1"/>
  <c r="W105" i="14"/>
  <c r="X105" i="14"/>
  <c r="Y105" i="14" s="1"/>
  <c r="W106" i="14"/>
  <c r="X106" i="14" s="1"/>
  <c r="Y106" i="14" s="1"/>
  <c r="W107" i="14"/>
  <c r="X107" i="14"/>
  <c r="Y107" i="14" s="1"/>
  <c r="W108" i="14"/>
  <c r="X108" i="14" s="1"/>
  <c r="Y108" i="14" s="1"/>
  <c r="W109" i="14"/>
  <c r="X109" i="14"/>
  <c r="Y109" i="14" s="1"/>
  <c r="W110" i="14"/>
  <c r="X110" i="14" s="1"/>
  <c r="Y110" i="14" s="1"/>
  <c r="W111" i="14"/>
  <c r="X111" i="14"/>
  <c r="Y111" i="14" s="1"/>
  <c r="W112" i="14"/>
  <c r="X112" i="14"/>
  <c r="Y112" i="14" s="1"/>
  <c r="W113" i="14"/>
  <c r="X113" i="14"/>
  <c r="Y113" i="14" s="1"/>
  <c r="W114" i="14"/>
  <c r="X114" i="14" s="1"/>
  <c r="Y114" i="14" s="1"/>
  <c r="W115" i="14"/>
  <c r="X115" i="14"/>
  <c r="Y115" i="14" s="1"/>
  <c r="W116" i="14"/>
  <c r="X116" i="14" s="1"/>
  <c r="Y116" i="14" s="1"/>
  <c r="W117" i="14"/>
  <c r="X117" i="14"/>
  <c r="Y117" i="14" s="1"/>
  <c r="W118" i="14"/>
  <c r="X118" i="14" s="1"/>
  <c r="Y118" i="14" s="1"/>
  <c r="W119" i="14"/>
  <c r="X119" i="14"/>
  <c r="Y119" i="14" s="1"/>
  <c r="W120" i="14"/>
  <c r="X120" i="14"/>
  <c r="Y120" i="14"/>
  <c r="W121" i="14"/>
  <c r="X121" i="14"/>
  <c r="Y121" i="14" s="1"/>
  <c r="W122" i="14"/>
  <c r="X122" i="14" s="1"/>
  <c r="Y122" i="14" s="1"/>
  <c r="W123" i="14"/>
  <c r="X123" i="14"/>
  <c r="Y123" i="14" s="1"/>
  <c r="W124" i="14"/>
  <c r="X124" i="14" s="1"/>
  <c r="Y124" i="14" s="1"/>
  <c r="W125" i="14"/>
  <c r="X125" i="14"/>
  <c r="Y125" i="14" s="1"/>
  <c r="W126" i="14"/>
  <c r="X126" i="14" s="1"/>
  <c r="Y126" i="14" s="1"/>
  <c r="W127" i="14"/>
  <c r="X127" i="14"/>
  <c r="Y127" i="14" s="1"/>
  <c r="W128" i="14"/>
  <c r="X128" i="14"/>
  <c r="Y128" i="14" s="1"/>
  <c r="W129" i="14"/>
  <c r="X129" i="14"/>
  <c r="Y129" i="14" s="1"/>
  <c r="W130" i="14"/>
  <c r="X130" i="14" s="1"/>
  <c r="Y130" i="14" s="1"/>
  <c r="W131" i="14"/>
  <c r="X131" i="14"/>
  <c r="Y131" i="14" s="1"/>
  <c r="W132" i="14"/>
  <c r="X132" i="14" s="1"/>
  <c r="Y132" i="14" s="1"/>
  <c r="W133" i="14"/>
  <c r="X133" i="14"/>
  <c r="Y133" i="14"/>
  <c r="P94" i="14"/>
  <c r="Q94" i="14" s="1"/>
  <c r="R94" i="14" s="1"/>
  <c r="P95" i="14"/>
  <c r="Q95" i="14"/>
  <c r="R95" i="14" s="1"/>
  <c r="P96" i="14"/>
  <c r="Q96" i="14"/>
  <c r="R96" i="14"/>
  <c r="P97" i="14"/>
  <c r="Q97" i="14"/>
  <c r="R97" i="14" s="1"/>
  <c r="P98" i="14"/>
  <c r="Q98" i="14" s="1"/>
  <c r="R98" i="14" s="1"/>
  <c r="P99" i="14"/>
  <c r="Q99" i="14"/>
  <c r="R99" i="14" s="1"/>
  <c r="P100" i="14"/>
  <c r="Q100" i="14" s="1"/>
  <c r="R100" i="14" s="1"/>
  <c r="P101" i="14"/>
  <c r="Q101" i="14"/>
  <c r="R101" i="14"/>
  <c r="P102" i="14"/>
  <c r="Q102" i="14" s="1"/>
  <c r="R102" i="14" s="1"/>
  <c r="P103" i="14"/>
  <c r="Q103" i="14"/>
  <c r="R103" i="14" s="1"/>
  <c r="P104" i="14"/>
  <c r="Q104" i="14"/>
  <c r="R104" i="14"/>
  <c r="P105" i="14"/>
  <c r="Q105" i="14"/>
  <c r="R105" i="14" s="1"/>
  <c r="P106" i="14"/>
  <c r="Q106" i="14" s="1"/>
  <c r="R106" i="14" s="1"/>
  <c r="P107" i="14"/>
  <c r="Q107" i="14"/>
  <c r="R107" i="14" s="1"/>
  <c r="P108" i="14"/>
  <c r="Q108" i="14" s="1"/>
  <c r="R108" i="14" s="1"/>
  <c r="P109" i="14"/>
  <c r="Q109" i="14"/>
  <c r="R109" i="14"/>
  <c r="P110" i="14"/>
  <c r="Q110" i="14" s="1"/>
  <c r="R110" i="14" s="1"/>
  <c r="P111" i="14"/>
  <c r="Q111" i="14"/>
  <c r="R111" i="14" s="1"/>
  <c r="P112" i="14"/>
  <c r="Q112" i="14"/>
  <c r="R112" i="14"/>
  <c r="P113" i="14"/>
  <c r="Q113" i="14"/>
  <c r="R113" i="14" s="1"/>
  <c r="P114" i="14"/>
  <c r="Q114" i="14" s="1"/>
  <c r="R114" i="14" s="1"/>
  <c r="P115" i="14"/>
  <c r="Q115" i="14"/>
  <c r="R115" i="14" s="1"/>
  <c r="P116" i="14"/>
  <c r="Q116" i="14" s="1"/>
  <c r="R116" i="14" s="1"/>
  <c r="P117" i="14"/>
  <c r="Q117" i="14"/>
  <c r="R117" i="14"/>
  <c r="P118" i="14"/>
  <c r="Q118" i="14" s="1"/>
  <c r="R118" i="14" s="1"/>
  <c r="P119" i="14"/>
  <c r="Q119" i="14"/>
  <c r="R119" i="14" s="1"/>
  <c r="P120" i="14"/>
  <c r="Q120" i="14"/>
  <c r="R120" i="14"/>
  <c r="P121" i="14"/>
  <c r="Q121" i="14"/>
  <c r="R121" i="14" s="1"/>
  <c r="P122" i="14"/>
  <c r="Q122" i="14" s="1"/>
  <c r="R122" i="14" s="1"/>
  <c r="P123" i="14"/>
  <c r="Q123" i="14"/>
  <c r="R123" i="14" s="1"/>
  <c r="P124" i="14"/>
  <c r="Q124" i="14" s="1"/>
  <c r="R124" i="14" s="1"/>
  <c r="P125" i="14"/>
  <c r="Q125" i="14"/>
  <c r="R125" i="14"/>
  <c r="P126" i="14"/>
  <c r="Q126" i="14" s="1"/>
  <c r="R126" i="14" s="1"/>
  <c r="P127" i="14"/>
  <c r="Q127" i="14"/>
  <c r="R127" i="14" s="1"/>
  <c r="P128" i="14"/>
  <c r="Q128" i="14"/>
  <c r="R128" i="14"/>
  <c r="P129" i="14"/>
  <c r="Q129" i="14"/>
  <c r="R129" i="14" s="1"/>
  <c r="P130" i="14"/>
  <c r="Q130" i="14" s="1"/>
  <c r="R130" i="14" s="1"/>
  <c r="P131" i="14"/>
  <c r="Q131" i="14"/>
  <c r="R131" i="14" s="1"/>
  <c r="P132" i="14"/>
  <c r="Q132" i="14" s="1"/>
  <c r="R132" i="14" s="1"/>
  <c r="P133" i="14"/>
  <c r="Q133" i="14"/>
  <c r="R133" i="14"/>
  <c r="I94" i="14"/>
  <c r="J94" i="14" s="1"/>
  <c r="K94" i="14" s="1"/>
  <c r="I95" i="14"/>
  <c r="J95" i="14"/>
  <c r="K95" i="14" s="1"/>
  <c r="I96" i="14"/>
  <c r="J96" i="14"/>
  <c r="K96" i="14" s="1"/>
  <c r="I97" i="14"/>
  <c r="J97" i="14"/>
  <c r="K97" i="14" s="1"/>
  <c r="I98" i="14"/>
  <c r="J98" i="14" s="1"/>
  <c r="K98" i="14" s="1"/>
  <c r="I99" i="14"/>
  <c r="J99" i="14"/>
  <c r="K99" i="14" s="1"/>
  <c r="I100" i="14"/>
  <c r="J100" i="14" s="1"/>
  <c r="K100" i="14" s="1"/>
  <c r="I101" i="14"/>
  <c r="J101" i="14"/>
  <c r="K101" i="14" s="1"/>
  <c r="I102" i="14"/>
  <c r="J102" i="14" s="1"/>
  <c r="K102" i="14" s="1"/>
  <c r="I103" i="14"/>
  <c r="J103" i="14"/>
  <c r="K103" i="14" s="1"/>
  <c r="I104" i="14"/>
  <c r="J104" i="14"/>
  <c r="K104" i="14"/>
  <c r="I105" i="14"/>
  <c r="J105" i="14"/>
  <c r="K105" i="14" s="1"/>
  <c r="I106" i="14"/>
  <c r="J106" i="14" s="1"/>
  <c r="K106" i="14" s="1"/>
  <c r="I107" i="14"/>
  <c r="J107" i="14"/>
  <c r="K107" i="14" s="1"/>
  <c r="I108" i="14"/>
  <c r="J108" i="14" s="1"/>
  <c r="K108" i="14" s="1"/>
  <c r="I109" i="14"/>
  <c r="J109" i="14"/>
  <c r="K109" i="14" s="1"/>
  <c r="I110" i="14"/>
  <c r="J110" i="14" s="1"/>
  <c r="K110" i="14" s="1"/>
  <c r="I111" i="14"/>
  <c r="J111" i="14"/>
  <c r="K111" i="14" s="1"/>
  <c r="I112" i="14"/>
  <c r="J112" i="14"/>
  <c r="K112" i="14" s="1"/>
  <c r="I113" i="14"/>
  <c r="J113" i="14"/>
  <c r="K113" i="14" s="1"/>
  <c r="I114" i="14"/>
  <c r="J114" i="14" s="1"/>
  <c r="K114" i="14" s="1"/>
  <c r="I115" i="14"/>
  <c r="J115" i="14"/>
  <c r="K115" i="14" s="1"/>
  <c r="I116" i="14"/>
  <c r="J116" i="14" s="1"/>
  <c r="K116" i="14" s="1"/>
  <c r="I117" i="14"/>
  <c r="J117" i="14"/>
  <c r="K117" i="14"/>
  <c r="I118" i="14"/>
  <c r="J118" i="14" s="1"/>
  <c r="K118" i="14" s="1"/>
  <c r="I119" i="14"/>
  <c r="J119" i="14"/>
  <c r="K119" i="14" s="1"/>
  <c r="I120" i="14"/>
  <c r="J120" i="14"/>
  <c r="K120" i="14" s="1"/>
  <c r="I121" i="14"/>
  <c r="J121" i="14"/>
  <c r="K121" i="14" s="1"/>
  <c r="I122" i="14"/>
  <c r="J122" i="14" s="1"/>
  <c r="K122" i="14" s="1"/>
  <c r="I123" i="14"/>
  <c r="J123" i="14"/>
  <c r="K123" i="14" s="1"/>
  <c r="I124" i="14"/>
  <c r="J124" i="14" s="1"/>
  <c r="K124" i="14" s="1"/>
  <c r="I125" i="14"/>
  <c r="J125" i="14"/>
  <c r="K125" i="14" s="1"/>
  <c r="I126" i="14"/>
  <c r="J126" i="14" s="1"/>
  <c r="K126" i="14" s="1"/>
  <c r="I127" i="14"/>
  <c r="J127" i="14"/>
  <c r="K127" i="14" s="1"/>
  <c r="I128" i="14"/>
  <c r="J128" i="14"/>
  <c r="K128" i="14" s="1"/>
  <c r="I129" i="14"/>
  <c r="J129" i="14"/>
  <c r="K129" i="14" s="1"/>
  <c r="I130" i="14"/>
  <c r="J130" i="14" s="1"/>
  <c r="K130" i="14" s="1"/>
  <c r="I131" i="14"/>
  <c r="J131" i="14"/>
  <c r="K131" i="14" s="1"/>
  <c r="I132" i="14"/>
  <c r="J132" i="14" s="1"/>
  <c r="K132" i="14" s="1"/>
  <c r="I133" i="14"/>
  <c r="J133" i="14" s="1"/>
  <c r="K133" i="14" s="1"/>
  <c r="BD93" i="14"/>
  <c r="BF93" i="14" s="1"/>
  <c r="BD60" i="14"/>
  <c r="BF60" i="14" s="1"/>
  <c r="BD61" i="14"/>
  <c r="BD62" i="14"/>
  <c r="BF62" i="14" s="1"/>
  <c r="BD63" i="14"/>
  <c r="BF63" i="14" s="1"/>
  <c r="BD64" i="14"/>
  <c r="BF64" i="14" s="1"/>
  <c r="BD65" i="14"/>
  <c r="BF65" i="14" s="1"/>
  <c r="BD66" i="14"/>
  <c r="BF66" i="14" s="1"/>
  <c r="BD67" i="14"/>
  <c r="BD68" i="14"/>
  <c r="BF68" i="14" s="1"/>
  <c r="BD69" i="14"/>
  <c r="BD70" i="14"/>
  <c r="BF70" i="14" s="1"/>
  <c r="BD71" i="14"/>
  <c r="BF71" i="14" s="1"/>
  <c r="BD72" i="14"/>
  <c r="BF72" i="14" s="1"/>
  <c r="BD73" i="14"/>
  <c r="BF73" i="14" s="1"/>
  <c r="BD74" i="14"/>
  <c r="BF74" i="14" s="1"/>
  <c r="BD75" i="14"/>
  <c r="BD76" i="14"/>
  <c r="BF76" i="14" s="1"/>
  <c r="BD77" i="14"/>
  <c r="BD78" i="14"/>
  <c r="BF78" i="14" s="1"/>
  <c r="BD79" i="14"/>
  <c r="BF79" i="14" s="1"/>
  <c r="BD80" i="14"/>
  <c r="BF80" i="14" s="1"/>
  <c r="BD81" i="14"/>
  <c r="BF81" i="14" s="1"/>
  <c r="BD82" i="14"/>
  <c r="BF82" i="14" s="1"/>
  <c r="BD83" i="14"/>
  <c r="BD84" i="14"/>
  <c r="BF84" i="14" s="1"/>
  <c r="BD85" i="14"/>
  <c r="BD86" i="14"/>
  <c r="BF86" i="14" s="1"/>
  <c r="BD87" i="14"/>
  <c r="BF87" i="14" s="1"/>
  <c r="W60" i="14"/>
  <c r="X60" i="14"/>
  <c r="Y60" i="14" s="1"/>
  <c r="W61" i="14"/>
  <c r="X61" i="14" s="1"/>
  <c r="Y61" i="14" s="1"/>
  <c r="W62" i="14"/>
  <c r="X62" i="14"/>
  <c r="Y62" i="14" s="1"/>
  <c r="W63" i="14"/>
  <c r="X63" i="14" s="1"/>
  <c r="Y63" i="14" s="1"/>
  <c r="W64" i="14"/>
  <c r="X64" i="14"/>
  <c r="Y64" i="14"/>
  <c r="W65" i="14"/>
  <c r="X65" i="14" s="1"/>
  <c r="Y65" i="14" s="1"/>
  <c r="W66" i="14"/>
  <c r="X66" i="14"/>
  <c r="Y66" i="14" s="1"/>
  <c r="W67" i="14"/>
  <c r="X67" i="14"/>
  <c r="Y67" i="14"/>
  <c r="W68" i="14"/>
  <c r="X68" i="14"/>
  <c r="Y68" i="14" s="1"/>
  <c r="W69" i="14"/>
  <c r="X69" i="14" s="1"/>
  <c r="Y69" i="14" s="1"/>
  <c r="W70" i="14"/>
  <c r="X70" i="14"/>
  <c r="Y70" i="14" s="1"/>
  <c r="W71" i="14"/>
  <c r="X71" i="14" s="1"/>
  <c r="Y71" i="14" s="1"/>
  <c r="W72" i="14"/>
  <c r="X72" i="14"/>
  <c r="Y72" i="14"/>
  <c r="W73" i="14"/>
  <c r="X73" i="14" s="1"/>
  <c r="Y73" i="14" s="1"/>
  <c r="W74" i="14"/>
  <c r="X74" i="14"/>
  <c r="Y74" i="14" s="1"/>
  <c r="W75" i="14"/>
  <c r="X75" i="14"/>
  <c r="Y75" i="14"/>
  <c r="W76" i="14"/>
  <c r="X76" i="14"/>
  <c r="Y76" i="14" s="1"/>
  <c r="W77" i="14"/>
  <c r="X77" i="14" s="1"/>
  <c r="Y77" i="14" s="1"/>
  <c r="W78" i="14"/>
  <c r="X78" i="14"/>
  <c r="Y78" i="14" s="1"/>
  <c r="W79" i="14"/>
  <c r="X79" i="14" s="1"/>
  <c r="Y79" i="14" s="1"/>
  <c r="W80" i="14"/>
  <c r="X80" i="14"/>
  <c r="Y80" i="14"/>
  <c r="W81" i="14"/>
  <c r="X81" i="14" s="1"/>
  <c r="Y81" i="14" s="1"/>
  <c r="W82" i="14"/>
  <c r="X82" i="14"/>
  <c r="Y82" i="14" s="1"/>
  <c r="W83" i="14"/>
  <c r="X83" i="14"/>
  <c r="Y83" i="14"/>
  <c r="W84" i="14"/>
  <c r="X84" i="14"/>
  <c r="Y84" i="14" s="1"/>
  <c r="W85" i="14"/>
  <c r="X85" i="14" s="1"/>
  <c r="Y85" i="14" s="1"/>
  <c r="W86" i="14"/>
  <c r="X86" i="14"/>
  <c r="Y86" i="14" s="1"/>
  <c r="W87" i="14"/>
  <c r="X87" i="14" s="1"/>
  <c r="Y87" i="14" s="1"/>
  <c r="P60" i="14"/>
  <c r="Q60" i="14"/>
  <c r="R60" i="14"/>
  <c r="P61" i="14"/>
  <c r="Q61" i="14" s="1"/>
  <c r="R61" i="14" s="1"/>
  <c r="P62" i="14"/>
  <c r="Q62" i="14"/>
  <c r="R62" i="14" s="1"/>
  <c r="P63" i="14"/>
  <c r="Q63" i="14"/>
  <c r="R63" i="14" s="1"/>
  <c r="P64" i="14"/>
  <c r="Q64" i="14"/>
  <c r="R64" i="14" s="1"/>
  <c r="P65" i="14"/>
  <c r="Q65" i="14" s="1"/>
  <c r="R65" i="14" s="1"/>
  <c r="P66" i="14"/>
  <c r="Q66" i="14"/>
  <c r="R66" i="14" s="1"/>
  <c r="P67" i="14"/>
  <c r="Q67" i="14" s="1"/>
  <c r="R67" i="14" s="1"/>
  <c r="P68" i="14"/>
  <c r="Q68" i="14"/>
  <c r="R68" i="14" s="1"/>
  <c r="P69" i="14"/>
  <c r="Q69" i="14" s="1"/>
  <c r="R69" i="14" s="1"/>
  <c r="P70" i="14"/>
  <c r="Q70" i="14"/>
  <c r="R70" i="14" s="1"/>
  <c r="P71" i="14"/>
  <c r="Q71" i="14"/>
  <c r="R71" i="14" s="1"/>
  <c r="P72" i="14"/>
  <c r="Q72" i="14"/>
  <c r="R72" i="14" s="1"/>
  <c r="P73" i="14"/>
  <c r="Q73" i="14" s="1"/>
  <c r="R73" i="14" s="1"/>
  <c r="P74" i="14"/>
  <c r="Q74" i="14"/>
  <c r="R74" i="14" s="1"/>
  <c r="P75" i="14"/>
  <c r="Q75" i="14" s="1"/>
  <c r="R75" i="14" s="1"/>
  <c r="P76" i="14"/>
  <c r="Q76" i="14"/>
  <c r="R76" i="14" s="1"/>
  <c r="P77" i="14"/>
  <c r="Q77" i="14" s="1"/>
  <c r="R77" i="14" s="1"/>
  <c r="P78" i="14"/>
  <c r="Q78" i="14"/>
  <c r="R78" i="14" s="1"/>
  <c r="P79" i="14"/>
  <c r="Q79" i="14"/>
  <c r="R79" i="14" s="1"/>
  <c r="P80" i="14"/>
  <c r="Q80" i="14"/>
  <c r="R80" i="14" s="1"/>
  <c r="P81" i="14"/>
  <c r="Q81" i="14" s="1"/>
  <c r="R81" i="14" s="1"/>
  <c r="P82" i="14"/>
  <c r="Q82" i="14"/>
  <c r="R82" i="14" s="1"/>
  <c r="P83" i="14"/>
  <c r="Q83" i="14" s="1"/>
  <c r="R83" i="14" s="1"/>
  <c r="P84" i="14"/>
  <c r="Q84" i="14"/>
  <c r="R84" i="14" s="1"/>
  <c r="P85" i="14"/>
  <c r="Q85" i="14" s="1"/>
  <c r="R85" i="14" s="1"/>
  <c r="P86" i="14"/>
  <c r="Q86" i="14"/>
  <c r="R86" i="14" s="1"/>
  <c r="P87" i="14"/>
  <c r="Q87" i="14"/>
  <c r="R87" i="14" s="1"/>
  <c r="I60" i="14"/>
  <c r="J60" i="14" s="1"/>
  <c r="K60" i="14" s="1"/>
  <c r="I61" i="14"/>
  <c r="J61" i="14"/>
  <c r="K61" i="14" s="1"/>
  <c r="I62" i="14"/>
  <c r="J62" i="14" s="1"/>
  <c r="K62" i="14" s="1"/>
  <c r="I63" i="14"/>
  <c r="J63" i="14" s="1"/>
  <c r="K63" i="14" s="1"/>
  <c r="I64" i="14"/>
  <c r="J64" i="14" s="1"/>
  <c r="K64" i="14" s="1"/>
  <c r="I65" i="14"/>
  <c r="J65" i="14" s="1"/>
  <c r="K65" i="14" s="1"/>
  <c r="I66" i="14"/>
  <c r="J66" i="14"/>
  <c r="K66" i="14" s="1"/>
  <c r="I67" i="14"/>
  <c r="J67" i="14" s="1"/>
  <c r="K67" i="14" s="1"/>
  <c r="I68" i="14"/>
  <c r="J68" i="14"/>
  <c r="K68" i="14" s="1"/>
  <c r="I69" i="14"/>
  <c r="J69" i="14"/>
  <c r="K69" i="14" s="1"/>
  <c r="I70" i="14"/>
  <c r="J70" i="14"/>
  <c r="K70" i="14" s="1"/>
  <c r="I71" i="14"/>
  <c r="J71" i="14" s="1"/>
  <c r="K71" i="14" s="1"/>
  <c r="I72" i="14"/>
  <c r="J72" i="14" s="1"/>
  <c r="K72" i="14" s="1"/>
  <c r="I73" i="14"/>
  <c r="J73" i="14" s="1"/>
  <c r="K73" i="14" s="1"/>
  <c r="I74" i="14"/>
  <c r="J74" i="14"/>
  <c r="K74" i="14" s="1"/>
  <c r="I75" i="14"/>
  <c r="J75" i="14" s="1"/>
  <c r="K75" i="14" s="1"/>
  <c r="I76" i="14"/>
  <c r="J76" i="14"/>
  <c r="K76" i="14" s="1"/>
  <c r="I77" i="14"/>
  <c r="J77" i="14"/>
  <c r="K77" i="14" s="1"/>
  <c r="I78" i="14"/>
  <c r="J78" i="14"/>
  <c r="K78" i="14" s="1"/>
  <c r="I79" i="14"/>
  <c r="J79" i="14" s="1"/>
  <c r="K79" i="14" s="1"/>
  <c r="I80" i="14"/>
  <c r="J80" i="14" s="1"/>
  <c r="K80" i="14" s="1"/>
  <c r="I81" i="14"/>
  <c r="J81" i="14" s="1"/>
  <c r="K81" i="14" s="1"/>
  <c r="I82" i="14"/>
  <c r="J82" i="14"/>
  <c r="K82" i="14" s="1"/>
  <c r="I83" i="14"/>
  <c r="J83" i="14"/>
  <c r="K83" i="14" s="1"/>
  <c r="I84" i="14"/>
  <c r="J84" i="14"/>
  <c r="K84" i="14" s="1"/>
  <c r="I85" i="14"/>
  <c r="J85" i="14"/>
  <c r="K85" i="14" s="1"/>
  <c r="I86" i="14"/>
  <c r="J86" i="14"/>
  <c r="K86" i="14" s="1"/>
  <c r="I87" i="14"/>
  <c r="J87" i="14" s="1"/>
  <c r="K87" i="14" s="1"/>
  <c r="BD59" i="14"/>
  <c r="BF59" i="14" s="1"/>
  <c r="AU27" i="14"/>
  <c r="AV27" i="14"/>
  <c r="AW27" i="14"/>
  <c r="BD27" i="14" s="1"/>
  <c r="AU28" i="14"/>
  <c r="AV28" i="14"/>
  <c r="AW28" i="14"/>
  <c r="BD28" i="14" s="1"/>
  <c r="BF28" i="14" s="1"/>
  <c r="AU29" i="14"/>
  <c r="AV29" i="14"/>
  <c r="AW29" i="14"/>
  <c r="BD29" i="14" s="1"/>
  <c r="AU30" i="14"/>
  <c r="AV30" i="14"/>
  <c r="AW30" i="14"/>
  <c r="BD30" i="14" s="1"/>
  <c r="BF30" i="14" s="1"/>
  <c r="AU31" i="14"/>
  <c r="AV31" i="14"/>
  <c r="AW31" i="14"/>
  <c r="BD31" i="14" s="1"/>
  <c r="BF31" i="14" s="1"/>
  <c r="AU32" i="14"/>
  <c r="AV32" i="14"/>
  <c r="AW32" i="14"/>
  <c r="BD32" i="14" s="1"/>
  <c r="BF32" i="14" s="1"/>
  <c r="AU33" i="14"/>
  <c r="AV33" i="14"/>
  <c r="AW33" i="14"/>
  <c r="BD33" i="14" s="1"/>
  <c r="AU34" i="14"/>
  <c r="AV34" i="14"/>
  <c r="AW34" i="14"/>
  <c r="BD34" i="14" s="1"/>
  <c r="BF34" i="14" s="1"/>
  <c r="AU35" i="14"/>
  <c r="AV35" i="14"/>
  <c r="AW35" i="14"/>
  <c r="BD35" i="14" s="1"/>
  <c r="AU36" i="14"/>
  <c r="AV36" i="14"/>
  <c r="AW36" i="14"/>
  <c r="AU37" i="14"/>
  <c r="AV37" i="14"/>
  <c r="AW37" i="14"/>
  <c r="BD37" i="14" s="1"/>
  <c r="AU38" i="14"/>
  <c r="AV38" i="14"/>
  <c r="AW38" i="14"/>
  <c r="BD38" i="14" s="1"/>
  <c r="BF38" i="14" s="1"/>
  <c r="AU39" i="14"/>
  <c r="AV39" i="14"/>
  <c r="AW39" i="14"/>
  <c r="BD39" i="14" s="1"/>
  <c r="AU40" i="14"/>
  <c r="AV40" i="14"/>
  <c r="AW40" i="14"/>
  <c r="BD40" i="14" s="1"/>
  <c r="AU41" i="14"/>
  <c r="AV41" i="14"/>
  <c r="AW41" i="14"/>
  <c r="BD41" i="14" s="1"/>
  <c r="BF41" i="14" s="1"/>
  <c r="AU42" i="14"/>
  <c r="AV42" i="14"/>
  <c r="AW42" i="14"/>
  <c r="BD42" i="14" s="1"/>
  <c r="AU43" i="14"/>
  <c r="AV43" i="14"/>
  <c r="AW43" i="14"/>
  <c r="BD43" i="14" s="1"/>
  <c r="BF43" i="14" s="1"/>
  <c r="AU44" i="14"/>
  <c r="AV44" i="14"/>
  <c r="AW44" i="14"/>
  <c r="BD44" i="14" s="1"/>
  <c r="AU45" i="14"/>
  <c r="AV45" i="14"/>
  <c r="AW45" i="14"/>
  <c r="BD45" i="14" s="1"/>
  <c r="AU46" i="14"/>
  <c r="AV46" i="14"/>
  <c r="AW46" i="14"/>
  <c r="BD46" i="14" s="1"/>
  <c r="BF46" i="14" s="1"/>
  <c r="AU47" i="14"/>
  <c r="AV47" i="14"/>
  <c r="AW47" i="14"/>
  <c r="BD47" i="14" s="1"/>
  <c r="AU48" i="14"/>
  <c r="AV48" i="14"/>
  <c r="AW48" i="14"/>
  <c r="BD48" i="14" s="1"/>
  <c r="AU49" i="14"/>
  <c r="AV49" i="14"/>
  <c r="AW49" i="14"/>
  <c r="BD49" i="14" s="1"/>
  <c r="AU50" i="14"/>
  <c r="AV50" i="14"/>
  <c r="AW50" i="14"/>
  <c r="BD50" i="14" s="1"/>
  <c r="AU51" i="14"/>
  <c r="AV51" i="14"/>
  <c r="AW51" i="14"/>
  <c r="BD51" i="14" s="1"/>
  <c r="AU52" i="14"/>
  <c r="AV52" i="14"/>
  <c r="AW52" i="14"/>
  <c r="BD52" i="14" s="1"/>
  <c r="AU53" i="14"/>
  <c r="AV53" i="14"/>
  <c r="AW53" i="14"/>
  <c r="BD53" i="14" s="1"/>
  <c r="W27" i="14"/>
  <c r="X27" i="14"/>
  <c r="Y27" i="14" s="1"/>
  <c r="W28" i="14"/>
  <c r="X28" i="14" s="1"/>
  <c r="Y28" i="14" s="1"/>
  <c r="W29" i="14"/>
  <c r="X29" i="14"/>
  <c r="Y29" i="14" s="1"/>
  <c r="W30" i="14"/>
  <c r="X30" i="14"/>
  <c r="Y30" i="14" s="1"/>
  <c r="W31" i="14"/>
  <c r="X31" i="14"/>
  <c r="Y31" i="14" s="1"/>
  <c r="W32" i="14"/>
  <c r="X32" i="14" s="1"/>
  <c r="Y32" i="14" s="1"/>
  <c r="W33" i="14"/>
  <c r="X33" i="14"/>
  <c r="Y33" i="14" s="1"/>
  <c r="W34" i="14"/>
  <c r="X34" i="14"/>
  <c r="Y34" i="14" s="1"/>
  <c r="W35" i="14"/>
  <c r="X35" i="14"/>
  <c r="Y35" i="14" s="1"/>
  <c r="W36" i="14"/>
  <c r="X36" i="14" s="1"/>
  <c r="Y36" i="14" s="1"/>
  <c r="W37" i="14"/>
  <c r="X37" i="14"/>
  <c r="Y37" i="14" s="1"/>
  <c r="W38" i="14"/>
  <c r="X38" i="14"/>
  <c r="Y38" i="14" s="1"/>
  <c r="W39" i="14"/>
  <c r="X39" i="14"/>
  <c r="Y39" i="14" s="1"/>
  <c r="W40" i="14"/>
  <c r="X40" i="14" s="1"/>
  <c r="Y40" i="14" s="1"/>
  <c r="W41" i="14"/>
  <c r="X41" i="14"/>
  <c r="Y41" i="14" s="1"/>
  <c r="W42" i="14"/>
  <c r="X42" i="14"/>
  <c r="Y42" i="14" s="1"/>
  <c r="W43" i="14"/>
  <c r="X43" i="14"/>
  <c r="Y43" i="14" s="1"/>
  <c r="W44" i="14"/>
  <c r="X44" i="14" s="1"/>
  <c r="Y44" i="14" s="1"/>
  <c r="W45" i="14"/>
  <c r="X45" i="14"/>
  <c r="Y45" i="14" s="1"/>
  <c r="W46" i="14"/>
  <c r="X46" i="14"/>
  <c r="Y46" i="14" s="1"/>
  <c r="W47" i="14"/>
  <c r="X47" i="14"/>
  <c r="Y47" i="14" s="1"/>
  <c r="W48" i="14"/>
  <c r="X48" i="14" s="1"/>
  <c r="Y48" i="14" s="1"/>
  <c r="W49" i="14"/>
  <c r="X49" i="14"/>
  <c r="Y49" i="14" s="1"/>
  <c r="W50" i="14"/>
  <c r="X50" i="14"/>
  <c r="Y50" i="14" s="1"/>
  <c r="W51" i="14"/>
  <c r="X51" i="14"/>
  <c r="Y51" i="14" s="1"/>
  <c r="W52" i="14"/>
  <c r="X52" i="14" s="1"/>
  <c r="Y52" i="14" s="1"/>
  <c r="W53" i="14"/>
  <c r="X53" i="14"/>
  <c r="Y53" i="14" s="1"/>
  <c r="P27" i="14"/>
  <c r="Q27" i="14"/>
  <c r="R27" i="14" s="1"/>
  <c r="P28" i="14"/>
  <c r="Q28" i="14"/>
  <c r="R28" i="14" s="1"/>
  <c r="P29" i="14"/>
  <c r="Q29" i="14" s="1"/>
  <c r="R29" i="14" s="1"/>
  <c r="P30" i="14"/>
  <c r="Q30" i="14"/>
  <c r="R30" i="14" s="1"/>
  <c r="P31" i="14"/>
  <c r="Q31" i="14" s="1"/>
  <c r="R31" i="14" s="1"/>
  <c r="P32" i="14"/>
  <c r="Q32" i="14"/>
  <c r="R32" i="14" s="1"/>
  <c r="P33" i="14"/>
  <c r="Q33" i="14"/>
  <c r="R33" i="14" s="1"/>
  <c r="P34" i="14"/>
  <c r="Q34" i="14"/>
  <c r="R34" i="14" s="1"/>
  <c r="P35" i="14"/>
  <c r="Q35" i="14" s="1"/>
  <c r="R35" i="14" s="1"/>
  <c r="P36" i="14"/>
  <c r="Q36" i="14" s="1"/>
  <c r="R36" i="14" s="1"/>
  <c r="P37" i="14"/>
  <c r="Q37" i="14"/>
  <c r="R37" i="14" s="1"/>
  <c r="P38" i="14"/>
  <c r="Q38" i="14"/>
  <c r="R38" i="14" s="1"/>
  <c r="P39" i="14"/>
  <c r="Q39" i="14"/>
  <c r="R39" i="14" s="1"/>
  <c r="P40" i="14"/>
  <c r="Q40" i="14" s="1"/>
  <c r="R40" i="14" s="1"/>
  <c r="P41" i="14"/>
  <c r="Q41" i="14"/>
  <c r="R41" i="14" s="1"/>
  <c r="P42" i="14"/>
  <c r="Q42" i="14"/>
  <c r="R42" i="14" s="1"/>
  <c r="P43" i="14"/>
  <c r="Q43" i="14" s="1"/>
  <c r="R43" i="14" s="1"/>
  <c r="P44" i="14"/>
  <c r="Q44" i="14"/>
  <c r="R44" i="14" s="1"/>
  <c r="P45" i="14"/>
  <c r="Q45" i="14"/>
  <c r="R45" i="14" s="1"/>
  <c r="P46" i="14"/>
  <c r="Q46" i="14"/>
  <c r="R46" i="14"/>
  <c r="P47" i="14"/>
  <c r="Q47" i="14" s="1"/>
  <c r="R47" i="14" s="1"/>
  <c r="P48" i="14"/>
  <c r="Q48" i="14" s="1"/>
  <c r="R48" i="14" s="1"/>
  <c r="P49" i="14"/>
  <c r="Q49" i="14"/>
  <c r="R49" i="14" s="1"/>
  <c r="P50" i="14"/>
  <c r="Q50" i="14" s="1"/>
  <c r="R50" i="14" s="1"/>
  <c r="P51" i="14"/>
  <c r="Q51" i="14"/>
  <c r="R51" i="14" s="1"/>
  <c r="P52" i="14"/>
  <c r="Q52" i="14"/>
  <c r="R52" i="14" s="1"/>
  <c r="P53" i="14"/>
  <c r="Q53" i="14"/>
  <c r="R53" i="14" s="1"/>
  <c r="I27" i="14"/>
  <c r="J27" i="14" s="1"/>
  <c r="K27" i="14" s="1"/>
  <c r="I28" i="14"/>
  <c r="J28" i="14"/>
  <c r="K28" i="14" s="1"/>
  <c r="I29" i="14"/>
  <c r="J29" i="14" s="1"/>
  <c r="K29" i="14" s="1"/>
  <c r="I30" i="14"/>
  <c r="J30" i="14"/>
  <c r="K30" i="14" s="1"/>
  <c r="I31" i="14"/>
  <c r="J31" i="14" s="1"/>
  <c r="K31" i="14" s="1"/>
  <c r="I32" i="14"/>
  <c r="J32" i="14"/>
  <c r="K32" i="14" s="1"/>
  <c r="I33" i="14"/>
  <c r="J33" i="14" s="1"/>
  <c r="K33" i="14" s="1"/>
  <c r="I34" i="14"/>
  <c r="J34" i="14"/>
  <c r="K34" i="14" s="1"/>
  <c r="I35" i="14"/>
  <c r="J35" i="14"/>
  <c r="K35" i="14"/>
  <c r="I36" i="14"/>
  <c r="J36" i="14" s="1"/>
  <c r="K36" i="14" s="1"/>
  <c r="I37" i="14"/>
  <c r="J37" i="14"/>
  <c r="K37" i="14" s="1"/>
  <c r="I38" i="14"/>
  <c r="J38" i="14" s="1"/>
  <c r="K38" i="14" s="1"/>
  <c r="I39" i="14"/>
  <c r="J39" i="14"/>
  <c r="K39" i="14" s="1"/>
  <c r="I40" i="14"/>
  <c r="J40" i="14" s="1"/>
  <c r="K40" i="14" s="1"/>
  <c r="I41" i="14"/>
  <c r="J41" i="14"/>
  <c r="K41" i="14" s="1"/>
  <c r="I42" i="14"/>
  <c r="J42" i="14"/>
  <c r="K42" i="14"/>
  <c r="I43" i="14"/>
  <c r="J43" i="14" s="1"/>
  <c r="K43" i="14" s="1"/>
  <c r="I44" i="14"/>
  <c r="J44" i="14" s="1"/>
  <c r="K44" i="14" s="1"/>
  <c r="I45" i="14"/>
  <c r="J45" i="14"/>
  <c r="K45" i="14" s="1"/>
  <c r="I46" i="14"/>
  <c r="J46" i="14" s="1"/>
  <c r="K46" i="14" s="1"/>
  <c r="I47" i="14"/>
  <c r="J47" i="14" s="1"/>
  <c r="K47" i="14" s="1"/>
  <c r="I48" i="14"/>
  <c r="J48" i="14" s="1"/>
  <c r="K48" i="14" s="1"/>
  <c r="I49" i="14"/>
  <c r="J49" i="14"/>
  <c r="K49" i="14"/>
  <c r="I50" i="14"/>
  <c r="J50" i="14" s="1"/>
  <c r="K50" i="14" s="1"/>
  <c r="I51" i="14"/>
  <c r="J51" i="14" s="1"/>
  <c r="K51" i="14" s="1"/>
  <c r="I52" i="14"/>
  <c r="J52" i="14"/>
  <c r="K52" i="14" s="1"/>
  <c r="I53" i="14"/>
  <c r="J53" i="14" s="1"/>
  <c r="K53" i="14" s="1"/>
  <c r="BD26" i="14"/>
  <c r="AU11" i="14"/>
  <c r="AV11" i="14"/>
  <c r="AW11" i="14"/>
  <c r="BD11" i="14" s="1"/>
  <c r="AU12" i="14"/>
  <c r="AV12" i="14"/>
  <c r="AW12" i="14"/>
  <c r="BD12" i="14" s="1"/>
  <c r="AU13" i="14"/>
  <c r="AV13" i="14"/>
  <c r="AW13" i="14"/>
  <c r="BD13" i="14" s="1"/>
  <c r="AU14" i="14"/>
  <c r="AV14" i="14"/>
  <c r="AW14" i="14"/>
  <c r="BD14" i="14" s="1"/>
  <c r="AU15" i="14"/>
  <c r="AV15" i="14"/>
  <c r="AW15" i="14"/>
  <c r="BD15" i="14" s="1"/>
  <c r="AU16" i="14"/>
  <c r="AV16" i="14"/>
  <c r="AW16" i="14"/>
  <c r="BD16" i="14" s="1"/>
  <c r="BF16" i="14" s="1"/>
  <c r="AU17" i="14"/>
  <c r="AV17" i="14"/>
  <c r="AW17" i="14"/>
  <c r="BD17" i="14" s="1"/>
  <c r="AU18" i="14"/>
  <c r="AV18" i="14"/>
  <c r="AW18" i="14"/>
  <c r="BD18" i="14" s="1"/>
  <c r="BF18" i="14" s="1"/>
  <c r="AU19" i="14"/>
  <c r="AV19" i="14"/>
  <c r="AW19" i="14"/>
  <c r="BD19" i="14" s="1"/>
  <c r="AU20" i="14"/>
  <c r="AV20" i="14"/>
  <c r="AW20" i="14"/>
  <c r="BD20" i="14" s="1"/>
  <c r="AR11" i="14"/>
  <c r="AS11" i="14"/>
  <c r="AT11" i="14"/>
  <c r="AR12" i="14"/>
  <c r="AS12" i="14"/>
  <c r="AT12" i="14"/>
  <c r="AR13" i="14"/>
  <c r="AS13" i="14"/>
  <c r="AT13" i="14"/>
  <c r="AR14" i="14"/>
  <c r="AS14" i="14"/>
  <c r="AT14" i="14"/>
  <c r="AR15" i="14"/>
  <c r="AS15" i="14"/>
  <c r="AT15" i="14"/>
  <c r="AR16" i="14"/>
  <c r="AS16" i="14"/>
  <c r="AT16" i="14"/>
  <c r="AR17" i="14"/>
  <c r="AS17" i="14"/>
  <c r="AT17" i="14"/>
  <c r="AR18" i="14"/>
  <c r="AS18" i="14"/>
  <c r="AT18" i="14"/>
  <c r="AR19" i="14"/>
  <c r="AS19" i="14"/>
  <c r="AT19" i="14"/>
  <c r="AR20" i="14"/>
  <c r="AS20" i="14"/>
  <c r="AT20" i="14"/>
  <c r="AK11" i="14"/>
  <c r="AL11" i="14"/>
  <c r="AM11" i="14"/>
  <c r="AK12" i="14"/>
  <c r="AL12" i="14"/>
  <c r="AM12" i="14"/>
  <c r="AK13" i="14"/>
  <c r="AL13" i="14"/>
  <c r="AM13" i="14"/>
  <c r="AK14" i="14"/>
  <c r="AL14" i="14"/>
  <c r="AM14" i="14"/>
  <c r="AK15" i="14"/>
  <c r="AL15" i="14"/>
  <c r="AM15" i="14"/>
  <c r="AK16" i="14"/>
  <c r="AL16" i="14"/>
  <c r="AM16" i="14"/>
  <c r="AK17" i="14"/>
  <c r="AL17" i="14"/>
  <c r="AM17" i="14"/>
  <c r="AK18" i="14"/>
  <c r="AL18" i="14"/>
  <c r="AM18" i="14"/>
  <c r="AK19" i="14"/>
  <c r="AL19" i="14"/>
  <c r="AM19" i="14"/>
  <c r="AK20" i="14"/>
  <c r="AL20" i="14"/>
  <c r="AM20" i="14"/>
  <c r="AD11" i="14"/>
  <c r="AE11" i="14"/>
  <c r="AF11" i="14"/>
  <c r="AD12" i="14"/>
  <c r="AE12" i="14"/>
  <c r="AF12" i="14"/>
  <c r="AD13" i="14"/>
  <c r="AE13" i="14"/>
  <c r="AF13" i="14" s="1"/>
  <c r="AD14" i="14"/>
  <c r="AE14" i="14"/>
  <c r="AF14" i="14"/>
  <c r="AD15" i="14"/>
  <c r="AE15" i="14"/>
  <c r="AF15" i="14"/>
  <c r="AD16" i="14"/>
  <c r="AE16" i="14"/>
  <c r="AF16" i="14"/>
  <c r="AD17" i="14"/>
  <c r="AE17" i="14"/>
  <c r="AF17" i="14"/>
  <c r="AD18" i="14"/>
  <c r="AE18" i="14"/>
  <c r="AF18" i="14"/>
  <c r="AD19" i="14"/>
  <c r="AE19" i="14"/>
  <c r="AF19" i="14"/>
  <c r="AD20" i="14"/>
  <c r="AE20" i="14"/>
  <c r="AF20" i="14"/>
  <c r="W11" i="14"/>
  <c r="X11" i="14"/>
  <c r="Y11" i="14"/>
  <c r="W12" i="14"/>
  <c r="X12" i="14"/>
  <c r="Y12" i="14"/>
  <c r="W13" i="14"/>
  <c r="X13" i="14"/>
  <c r="Y13" i="14"/>
  <c r="W14" i="14"/>
  <c r="X14" i="14"/>
  <c r="Y14" i="14"/>
  <c r="W15" i="14"/>
  <c r="X15" i="14"/>
  <c r="Y15" i="14"/>
  <c r="W16" i="14"/>
  <c r="X16" i="14"/>
  <c r="Y16" i="14"/>
  <c r="W17" i="14"/>
  <c r="X17" i="14"/>
  <c r="Y17" i="14"/>
  <c r="W18" i="14"/>
  <c r="X18" i="14"/>
  <c r="Y18" i="14"/>
  <c r="W19" i="14"/>
  <c r="X19" i="14"/>
  <c r="Y19" i="14"/>
  <c r="W20" i="14"/>
  <c r="X20" i="14"/>
  <c r="Y20" i="14"/>
  <c r="P11" i="14"/>
  <c r="Q11" i="14"/>
  <c r="R11" i="14"/>
  <c r="P12" i="14"/>
  <c r="Q12" i="14"/>
  <c r="R12" i="14"/>
  <c r="P13" i="14"/>
  <c r="Q13" i="14"/>
  <c r="R13" i="14"/>
  <c r="P14" i="14"/>
  <c r="Q14" i="14"/>
  <c r="R14" i="14"/>
  <c r="P15" i="14"/>
  <c r="Q15" i="14"/>
  <c r="R15" i="14"/>
  <c r="P16" i="14"/>
  <c r="Q16" i="14"/>
  <c r="R16" i="14"/>
  <c r="P17" i="14"/>
  <c r="Q17" i="14"/>
  <c r="R17" i="14"/>
  <c r="P18" i="14"/>
  <c r="Q18" i="14"/>
  <c r="R18" i="14"/>
  <c r="P19" i="14"/>
  <c r="Q19" i="14"/>
  <c r="R19" i="14"/>
  <c r="P20" i="14"/>
  <c r="Q20" i="14"/>
  <c r="R20" i="14"/>
  <c r="BD10" i="14"/>
  <c r="AY10" i="14"/>
  <c r="AZ10" i="14" s="1"/>
  <c r="I11" i="14"/>
  <c r="J11" i="14"/>
  <c r="K11" i="14"/>
  <c r="I12" i="14"/>
  <c r="J12" i="14"/>
  <c r="K12" i="14"/>
  <c r="I13" i="14"/>
  <c r="J13" i="14"/>
  <c r="K13" i="14"/>
  <c r="I14" i="14"/>
  <c r="J14" i="14"/>
  <c r="K14" i="14"/>
  <c r="I15" i="14"/>
  <c r="J15" i="14"/>
  <c r="K15" i="14"/>
  <c r="I16" i="14"/>
  <c r="J16" i="14"/>
  <c r="K16" i="14"/>
  <c r="I17" i="14"/>
  <c r="J17" i="14"/>
  <c r="K17" i="14"/>
  <c r="I18" i="14"/>
  <c r="J18" i="14"/>
  <c r="K18" i="14"/>
  <c r="I19" i="14"/>
  <c r="J19" i="14"/>
  <c r="K19" i="14"/>
  <c r="I20" i="14"/>
  <c r="J20" i="14"/>
  <c r="K20" i="14"/>
  <c r="AU272" i="12"/>
  <c r="AV272" i="12"/>
  <c r="AW272" i="12"/>
  <c r="BD272" i="12" s="1"/>
  <c r="AU273" i="12"/>
  <c r="AV273" i="12"/>
  <c r="AW273" i="12"/>
  <c r="BD273" i="12" s="1"/>
  <c r="AU274" i="12"/>
  <c r="AV274" i="12"/>
  <c r="AW274" i="12"/>
  <c r="BD274" i="12" s="1"/>
  <c r="AU275" i="12"/>
  <c r="AV275" i="12"/>
  <c r="AW275" i="12"/>
  <c r="BD275" i="12" s="1"/>
  <c r="AU276" i="12"/>
  <c r="AV276" i="12"/>
  <c r="AW276" i="12"/>
  <c r="BD276" i="12" s="1"/>
  <c r="AU277" i="12"/>
  <c r="AV277" i="12"/>
  <c r="AW277" i="12"/>
  <c r="BD277" i="12" s="1"/>
  <c r="AU278" i="12"/>
  <c r="AV278" i="12"/>
  <c r="AW278" i="12"/>
  <c r="BD278" i="12" s="1"/>
  <c r="AU279" i="12"/>
  <c r="AV279" i="12"/>
  <c r="AW279" i="12"/>
  <c r="BD279" i="12" s="1"/>
  <c r="AU280" i="12"/>
  <c r="AV280" i="12"/>
  <c r="AW280" i="12"/>
  <c r="BD280" i="12" s="1"/>
  <c r="AU281" i="12"/>
  <c r="AV281" i="12"/>
  <c r="AW281" i="12"/>
  <c r="BD281" i="12" s="1"/>
  <c r="AU282" i="12"/>
  <c r="AV282" i="12"/>
  <c r="AW282" i="12"/>
  <c r="BD282" i="12" s="1"/>
  <c r="AU283" i="12"/>
  <c r="AV283" i="12"/>
  <c r="AW283" i="12"/>
  <c r="BD283" i="12" s="1"/>
  <c r="AU284" i="12"/>
  <c r="AV284" i="12"/>
  <c r="AW284" i="12"/>
  <c r="BD284" i="12" s="1"/>
  <c r="AU285" i="12"/>
  <c r="AV285" i="12"/>
  <c r="AW285" i="12"/>
  <c r="BD285" i="12" s="1"/>
  <c r="AU286" i="12"/>
  <c r="AV286" i="12"/>
  <c r="AW286" i="12"/>
  <c r="BD286" i="12" s="1"/>
  <c r="AU287" i="12"/>
  <c r="AV287" i="12"/>
  <c r="AW287" i="12"/>
  <c r="BD287" i="12" s="1"/>
  <c r="AU288" i="12"/>
  <c r="AV288" i="12"/>
  <c r="AW288" i="12"/>
  <c r="BD288" i="12" s="1"/>
  <c r="AU289" i="12"/>
  <c r="AV289" i="12"/>
  <c r="AW289" i="12"/>
  <c r="BD289" i="12" s="1"/>
  <c r="AU290" i="12"/>
  <c r="AV290" i="12"/>
  <c r="AW290" i="12"/>
  <c r="BD290" i="12" s="1"/>
  <c r="AU291" i="12"/>
  <c r="AV291" i="12"/>
  <c r="AW291" i="12"/>
  <c r="BD291" i="12" s="1"/>
  <c r="AU292" i="12"/>
  <c r="AV292" i="12"/>
  <c r="AW292" i="12"/>
  <c r="BD292" i="12" s="1"/>
  <c r="AU293" i="12"/>
  <c r="AV293" i="12"/>
  <c r="AW293" i="12"/>
  <c r="BD293" i="12" s="1"/>
  <c r="AU294" i="12"/>
  <c r="AV294" i="12"/>
  <c r="AW294" i="12"/>
  <c r="BD294" i="12" s="1"/>
  <c r="AU295" i="12"/>
  <c r="AV295" i="12"/>
  <c r="AW295" i="12"/>
  <c r="BD295" i="12" s="1"/>
  <c r="AU296" i="12"/>
  <c r="AV296" i="12"/>
  <c r="AW296" i="12"/>
  <c r="BD296" i="12" s="1"/>
  <c r="AU297" i="12"/>
  <c r="AV297" i="12"/>
  <c r="AW297" i="12"/>
  <c r="BD297" i="12" s="1"/>
  <c r="AU298" i="12"/>
  <c r="AV298" i="12"/>
  <c r="AW298" i="12"/>
  <c r="BD298" i="12" s="1"/>
  <c r="AU299" i="12"/>
  <c r="AV299" i="12"/>
  <c r="AW299" i="12"/>
  <c r="BD299" i="12" s="1"/>
  <c r="AU300" i="12"/>
  <c r="AV300" i="12"/>
  <c r="AW300" i="12"/>
  <c r="BD300" i="12" s="1"/>
  <c r="AU301" i="12"/>
  <c r="AV301" i="12"/>
  <c r="AW301" i="12"/>
  <c r="BD301" i="12" s="1"/>
  <c r="AU302" i="12"/>
  <c r="AV302" i="12"/>
  <c r="AW302" i="12"/>
  <c r="BD302" i="12" s="1"/>
  <c r="AU303" i="12"/>
  <c r="AV303" i="12"/>
  <c r="AW303" i="12"/>
  <c r="BD303" i="12" s="1"/>
  <c r="AU304" i="12"/>
  <c r="AV304" i="12"/>
  <c r="AW304" i="12"/>
  <c r="BD304" i="12" s="1"/>
  <c r="AU305" i="12"/>
  <c r="AV305" i="12"/>
  <c r="AW305" i="12"/>
  <c r="BD305" i="12" s="1"/>
  <c r="AU306" i="12"/>
  <c r="AV306" i="12"/>
  <c r="AW306" i="12"/>
  <c r="BD306" i="12" s="1"/>
  <c r="AU307" i="12"/>
  <c r="AV307" i="12"/>
  <c r="AW307" i="12"/>
  <c r="BD307" i="12" s="1"/>
  <c r="AU308" i="12"/>
  <c r="AV308" i="12"/>
  <c r="AW308" i="12"/>
  <c r="BD308" i="12" s="1"/>
  <c r="AR272" i="12"/>
  <c r="AS272" i="12"/>
  <c r="AT272" i="12"/>
  <c r="AR273" i="12"/>
  <c r="AS273" i="12"/>
  <c r="AT273" i="12"/>
  <c r="AR274" i="12"/>
  <c r="AS274" i="12"/>
  <c r="AT274" i="12"/>
  <c r="AR275" i="12"/>
  <c r="AS275" i="12"/>
  <c r="AT275" i="12"/>
  <c r="AR276" i="12"/>
  <c r="AS276" i="12"/>
  <c r="AT276" i="12"/>
  <c r="AR277" i="12"/>
  <c r="AS277" i="12"/>
  <c r="AT277" i="12"/>
  <c r="AR278" i="12"/>
  <c r="AS278" i="12"/>
  <c r="AT278" i="12"/>
  <c r="AR279" i="12"/>
  <c r="AS279" i="12"/>
  <c r="AT279" i="12"/>
  <c r="AR280" i="12"/>
  <c r="AS280" i="12"/>
  <c r="AT280" i="12"/>
  <c r="AR281" i="12"/>
  <c r="AS281" i="12"/>
  <c r="AT281" i="12"/>
  <c r="AR282" i="12"/>
  <c r="AS282" i="12"/>
  <c r="AT282" i="12"/>
  <c r="AR283" i="12"/>
  <c r="AS283" i="12"/>
  <c r="AT283" i="12"/>
  <c r="AR284" i="12"/>
  <c r="AS284" i="12"/>
  <c r="AT284" i="12"/>
  <c r="AR285" i="12"/>
  <c r="AS285" i="12"/>
  <c r="AT285" i="12"/>
  <c r="AR286" i="12"/>
  <c r="AS286" i="12"/>
  <c r="AT286" i="12"/>
  <c r="AR287" i="12"/>
  <c r="AS287" i="12"/>
  <c r="AT287" i="12"/>
  <c r="AR288" i="12"/>
  <c r="AS288" i="12"/>
  <c r="AT288" i="12"/>
  <c r="AR289" i="12"/>
  <c r="AS289" i="12"/>
  <c r="AT289" i="12"/>
  <c r="AR290" i="12"/>
  <c r="AS290" i="12"/>
  <c r="AT290" i="12"/>
  <c r="AR291" i="12"/>
  <c r="AS291" i="12"/>
  <c r="AT291" i="12"/>
  <c r="AR292" i="12"/>
  <c r="AS292" i="12"/>
  <c r="AT292" i="12"/>
  <c r="AR293" i="12"/>
  <c r="AS293" i="12"/>
  <c r="AT293" i="12"/>
  <c r="AR294" i="12"/>
  <c r="AS294" i="12"/>
  <c r="AT294" i="12"/>
  <c r="AR295" i="12"/>
  <c r="AS295" i="12"/>
  <c r="AT295" i="12"/>
  <c r="AR296" i="12"/>
  <c r="AS296" i="12"/>
  <c r="AT296" i="12"/>
  <c r="AR297" i="12"/>
  <c r="AS297" i="12"/>
  <c r="AT297" i="12"/>
  <c r="AR298" i="12"/>
  <c r="AS298" i="12"/>
  <c r="AT298" i="12"/>
  <c r="AR299" i="12"/>
  <c r="AS299" i="12"/>
  <c r="AT299" i="12"/>
  <c r="AR300" i="12"/>
  <c r="AS300" i="12"/>
  <c r="AT300" i="12"/>
  <c r="AR301" i="12"/>
  <c r="AS301" i="12"/>
  <c r="AT301" i="12"/>
  <c r="AR302" i="12"/>
  <c r="AS302" i="12"/>
  <c r="AT302" i="12"/>
  <c r="AR303" i="12"/>
  <c r="AS303" i="12"/>
  <c r="AT303" i="12"/>
  <c r="AR304" i="12"/>
  <c r="AS304" i="12"/>
  <c r="AT304" i="12"/>
  <c r="AR305" i="12"/>
  <c r="AS305" i="12"/>
  <c r="AT305" i="12"/>
  <c r="AR306" i="12"/>
  <c r="AS306" i="12"/>
  <c r="AT306" i="12"/>
  <c r="AR307" i="12"/>
  <c r="AS307" i="12"/>
  <c r="AT307" i="12"/>
  <c r="AR308" i="12"/>
  <c r="AS308" i="12"/>
  <c r="AT308" i="12"/>
  <c r="BD271" i="12"/>
  <c r="AY271" i="12"/>
  <c r="AZ271" i="12" s="1"/>
  <c r="AK272" i="12"/>
  <c r="AL272" i="12"/>
  <c r="AM272" i="12"/>
  <c r="AK273" i="12"/>
  <c r="AL273" i="12"/>
  <c r="AM273" i="12"/>
  <c r="AK274" i="12"/>
  <c r="AL274" i="12"/>
  <c r="AM274" i="12"/>
  <c r="AK275" i="12"/>
  <c r="AL275" i="12"/>
  <c r="AM275" i="12"/>
  <c r="AK276" i="12"/>
  <c r="AL276" i="12"/>
  <c r="AM276" i="12"/>
  <c r="AK277" i="12"/>
  <c r="AL277" i="12"/>
  <c r="AM277" i="12"/>
  <c r="AK278" i="12"/>
  <c r="AL278" i="12"/>
  <c r="AM278" i="12"/>
  <c r="AK279" i="12"/>
  <c r="AL279" i="12"/>
  <c r="AM279" i="12"/>
  <c r="AK280" i="12"/>
  <c r="AL280" i="12"/>
  <c r="AM280" i="12"/>
  <c r="AK281" i="12"/>
  <c r="AL281" i="12"/>
  <c r="AM281" i="12"/>
  <c r="AK282" i="12"/>
  <c r="AL282" i="12"/>
  <c r="AM282" i="12"/>
  <c r="AK283" i="12"/>
  <c r="AL283" i="12"/>
  <c r="AM283" i="12"/>
  <c r="AK284" i="12"/>
  <c r="AL284" i="12"/>
  <c r="AM284" i="12"/>
  <c r="AK285" i="12"/>
  <c r="AL285" i="12"/>
  <c r="AM285" i="12"/>
  <c r="AK286" i="12"/>
  <c r="AL286" i="12"/>
  <c r="AM286" i="12"/>
  <c r="AK287" i="12"/>
  <c r="AL287" i="12"/>
  <c r="AM287" i="12"/>
  <c r="AK288" i="12"/>
  <c r="AL288" i="12"/>
  <c r="AM288" i="12"/>
  <c r="AK289" i="12"/>
  <c r="AL289" i="12"/>
  <c r="AM289" i="12"/>
  <c r="AK290" i="12"/>
  <c r="AL290" i="12"/>
  <c r="AM290" i="12"/>
  <c r="AK291" i="12"/>
  <c r="AL291" i="12"/>
  <c r="AM291" i="12"/>
  <c r="AK292" i="12"/>
  <c r="AL292" i="12"/>
  <c r="AM292" i="12"/>
  <c r="AK293" i="12"/>
  <c r="AL293" i="12"/>
  <c r="AM293" i="12"/>
  <c r="AK294" i="12"/>
  <c r="AL294" i="12"/>
  <c r="AM294" i="12"/>
  <c r="AK295" i="12"/>
  <c r="AL295" i="12"/>
  <c r="AM295" i="12"/>
  <c r="AK296" i="12"/>
  <c r="AL296" i="12"/>
  <c r="AM296" i="12"/>
  <c r="AK297" i="12"/>
  <c r="AL297" i="12"/>
  <c r="AM297" i="12"/>
  <c r="AK298" i="12"/>
  <c r="AL298" i="12"/>
  <c r="AM298" i="12"/>
  <c r="AK299" i="12"/>
  <c r="AL299" i="12"/>
  <c r="AM299" i="12"/>
  <c r="AK300" i="12"/>
  <c r="AL300" i="12"/>
  <c r="AM300" i="12"/>
  <c r="AK301" i="12"/>
  <c r="AL301" i="12"/>
  <c r="AM301" i="12"/>
  <c r="AK302" i="12"/>
  <c r="AL302" i="12"/>
  <c r="AM302" i="12"/>
  <c r="AK303" i="12"/>
  <c r="AL303" i="12"/>
  <c r="AM303" i="12"/>
  <c r="AK304" i="12"/>
  <c r="AL304" i="12"/>
  <c r="AM304" i="12"/>
  <c r="AK305" i="12"/>
  <c r="AL305" i="12"/>
  <c r="AM305" i="12"/>
  <c r="AK306" i="12"/>
  <c r="AL306" i="12"/>
  <c r="AM306" i="12"/>
  <c r="AK307" i="12"/>
  <c r="AL307" i="12"/>
  <c r="AM307" i="12"/>
  <c r="AK308" i="12"/>
  <c r="AL308" i="12"/>
  <c r="AM308" i="12"/>
  <c r="AD272" i="12"/>
  <c r="AE272" i="12"/>
  <c r="AF272" i="12"/>
  <c r="AD273" i="12"/>
  <c r="AE273" i="12"/>
  <c r="AF273" i="12"/>
  <c r="AD274" i="12"/>
  <c r="AE274" i="12"/>
  <c r="AF274" i="12"/>
  <c r="AD275" i="12"/>
  <c r="AE275" i="12"/>
  <c r="AF275" i="12"/>
  <c r="AD276" i="12"/>
  <c r="AE276" i="12"/>
  <c r="AF276" i="12"/>
  <c r="AD277" i="12"/>
  <c r="AE277" i="12"/>
  <c r="AF277" i="12"/>
  <c r="AD278" i="12"/>
  <c r="AE278" i="12"/>
  <c r="AF278" i="12"/>
  <c r="AD279" i="12"/>
  <c r="AE279" i="12"/>
  <c r="AF279" i="12"/>
  <c r="AD280" i="12"/>
  <c r="AE280" i="12"/>
  <c r="AF280" i="12"/>
  <c r="AD281" i="12"/>
  <c r="AE281" i="12"/>
  <c r="AF281" i="12"/>
  <c r="AD282" i="12"/>
  <c r="AE282" i="12"/>
  <c r="AF282" i="12"/>
  <c r="AD283" i="12"/>
  <c r="AE283" i="12"/>
  <c r="AF283" i="12"/>
  <c r="AD284" i="12"/>
  <c r="AE284" i="12"/>
  <c r="AF284" i="12"/>
  <c r="AD285" i="12"/>
  <c r="AE285" i="12"/>
  <c r="AF285" i="12"/>
  <c r="AD286" i="12"/>
  <c r="AE286" i="12"/>
  <c r="AF286" i="12"/>
  <c r="AD287" i="12"/>
  <c r="AE287" i="12"/>
  <c r="AF287" i="12"/>
  <c r="AD288" i="12"/>
  <c r="AE288" i="12"/>
  <c r="AF288" i="12"/>
  <c r="AD289" i="12"/>
  <c r="AE289" i="12"/>
  <c r="AF289" i="12"/>
  <c r="AD290" i="12"/>
  <c r="AE290" i="12"/>
  <c r="AF290" i="12"/>
  <c r="AD291" i="12"/>
  <c r="AE291" i="12"/>
  <c r="AF291" i="12"/>
  <c r="AD292" i="12"/>
  <c r="AE292" i="12"/>
  <c r="AF292" i="12"/>
  <c r="AD293" i="12"/>
  <c r="AE293" i="12"/>
  <c r="AF293" i="12"/>
  <c r="AD294" i="12"/>
  <c r="AE294" i="12"/>
  <c r="AF294" i="12"/>
  <c r="AD295" i="12"/>
  <c r="AE295" i="12"/>
  <c r="AF295" i="12"/>
  <c r="AD296" i="12"/>
  <c r="AE296" i="12"/>
  <c r="AF296" i="12"/>
  <c r="AD297" i="12"/>
  <c r="AE297" i="12"/>
  <c r="AF297" i="12"/>
  <c r="AD298" i="12"/>
  <c r="AE298" i="12"/>
  <c r="AF298" i="12"/>
  <c r="AD299" i="12"/>
  <c r="AE299" i="12"/>
  <c r="AF299" i="12"/>
  <c r="AD300" i="12"/>
  <c r="AE300" i="12"/>
  <c r="AF300" i="12"/>
  <c r="AD301" i="12"/>
  <c r="AE301" i="12"/>
  <c r="AF301" i="12"/>
  <c r="AD302" i="12"/>
  <c r="AE302" i="12"/>
  <c r="AF302" i="12"/>
  <c r="AD303" i="12"/>
  <c r="AE303" i="12"/>
  <c r="AF303" i="12"/>
  <c r="AD304" i="12"/>
  <c r="AE304" i="12"/>
  <c r="AF304" i="12"/>
  <c r="AD305" i="12"/>
  <c r="AE305" i="12"/>
  <c r="AF305" i="12"/>
  <c r="AD306" i="12"/>
  <c r="AE306" i="12"/>
  <c r="AF306" i="12"/>
  <c r="AD307" i="12"/>
  <c r="AE307" i="12"/>
  <c r="AF307" i="12"/>
  <c r="AD308" i="12"/>
  <c r="AE308" i="12"/>
  <c r="AF308" i="12"/>
  <c r="W272" i="12"/>
  <c r="X272" i="12"/>
  <c r="Y272" i="12"/>
  <c r="W273" i="12"/>
  <c r="X273" i="12"/>
  <c r="Y273" i="12"/>
  <c r="W274" i="12"/>
  <c r="X274" i="12"/>
  <c r="Y274" i="12"/>
  <c r="W275" i="12"/>
  <c r="X275" i="12"/>
  <c r="Y275" i="12"/>
  <c r="W276" i="12"/>
  <c r="X276" i="12"/>
  <c r="Y276" i="12"/>
  <c r="W277" i="12"/>
  <c r="X277" i="12"/>
  <c r="Y277" i="12"/>
  <c r="W278" i="12"/>
  <c r="X278" i="12"/>
  <c r="Y278" i="12"/>
  <c r="W279" i="12"/>
  <c r="X279" i="12"/>
  <c r="Y279" i="12"/>
  <c r="W280" i="12"/>
  <c r="X280" i="12"/>
  <c r="Y280" i="12"/>
  <c r="W281" i="12"/>
  <c r="X281" i="12"/>
  <c r="Y281" i="12"/>
  <c r="W282" i="12"/>
  <c r="X282" i="12"/>
  <c r="Y282" i="12"/>
  <c r="W283" i="12"/>
  <c r="X283" i="12"/>
  <c r="Y283" i="12"/>
  <c r="W284" i="12"/>
  <c r="X284" i="12"/>
  <c r="Y284" i="12"/>
  <c r="W285" i="12"/>
  <c r="X285" i="12"/>
  <c r="Y285" i="12"/>
  <c r="W286" i="12"/>
  <c r="X286" i="12"/>
  <c r="Y286" i="12"/>
  <c r="W287" i="12"/>
  <c r="X287" i="12"/>
  <c r="Y287" i="12"/>
  <c r="W288" i="12"/>
  <c r="X288" i="12"/>
  <c r="Y288" i="12"/>
  <c r="W289" i="12"/>
  <c r="X289" i="12"/>
  <c r="Y289" i="12"/>
  <c r="W290" i="12"/>
  <c r="X290" i="12"/>
  <c r="Y290" i="12"/>
  <c r="W291" i="12"/>
  <c r="X291" i="12"/>
  <c r="Y291" i="12"/>
  <c r="W292" i="12"/>
  <c r="X292" i="12"/>
  <c r="Y292" i="12"/>
  <c r="W293" i="12"/>
  <c r="X293" i="12"/>
  <c r="Y293" i="12"/>
  <c r="W294" i="12"/>
  <c r="X294" i="12"/>
  <c r="Y294" i="12"/>
  <c r="W295" i="12"/>
  <c r="X295" i="12"/>
  <c r="Y295" i="12"/>
  <c r="W296" i="12"/>
  <c r="X296" i="12"/>
  <c r="Y296" i="12"/>
  <c r="W297" i="12"/>
  <c r="X297" i="12"/>
  <c r="Y297" i="12"/>
  <c r="W298" i="12"/>
  <c r="X298" i="12"/>
  <c r="Y298" i="12"/>
  <c r="W299" i="12"/>
  <c r="X299" i="12"/>
  <c r="Y299" i="12"/>
  <c r="W300" i="12"/>
  <c r="X300" i="12"/>
  <c r="Y300" i="12"/>
  <c r="W301" i="12"/>
  <c r="X301" i="12"/>
  <c r="Y301" i="12"/>
  <c r="W302" i="12"/>
  <c r="X302" i="12"/>
  <c r="Y302" i="12"/>
  <c r="W303" i="12"/>
  <c r="X303" i="12"/>
  <c r="Y303" i="12"/>
  <c r="W304" i="12"/>
  <c r="X304" i="12"/>
  <c r="Y304" i="12"/>
  <c r="W305" i="12"/>
  <c r="X305" i="12"/>
  <c r="Y305" i="12"/>
  <c r="W306" i="12"/>
  <c r="X306" i="12"/>
  <c r="Y306" i="12"/>
  <c r="W307" i="12"/>
  <c r="X307" i="12"/>
  <c r="Y307" i="12"/>
  <c r="W308" i="12"/>
  <c r="X308" i="12"/>
  <c r="Y308" i="12"/>
  <c r="P272" i="12"/>
  <c r="Q272" i="12"/>
  <c r="R272" i="12"/>
  <c r="P273" i="12"/>
  <c r="Q273" i="12"/>
  <c r="R273" i="12"/>
  <c r="P274" i="12"/>
  <c r="Q274" i="12"/>
  <c r="R274" i="12"/>
  <c r="P275" i="12"/>
  <c r="Q275" i="12"/>
  <c r="R275" i="12"/>
  <c r="P276" i="12"/>
  <c r="Q276" i="12"/>
  <c r="R276" i="12"/>
  <c r="P277" i="12"/>
  <c r="Q277" i="12"/>
  <c r="R277" i="12"/>
  <c r="P278" i="12"/>
  <c r="Q278" i="12"/>
  <c r="R278" i="12"/>
  <c r="P279" i="12"/>
  <c r="Q279" i="12"/>
  <c r="R279" i="12"/>
  <c r="P280" i="12"/>
  <c r="Q280" i="12"/>
  <c r="R280" i="12"/>
  <c r="P281" i="12"/>
  <c r="Q281" i="12"/>
  <c r="R281" i="12"/>
  <c r="P282" i="12"/>
  <c r="Q282" i="12"/>
  <c r="R282" i="12"/>
  <c r="P283" i="12"/>
  <c r="Q283" i="12"/>
  <c r="R283" i="12"/>
  <c r="P284" i="12"/>
  <c r="Q284" i="12"/>
  <c r="R284" i="12"/>
  <c r="P285" i="12"/>
  <c r="Q285" i="12"/>
  <c r="R285" i="12"/>
  <c r="P286" i="12"/>
  <c r="Q286" i="12"/>
  <c r="R286" i="12"/>
  <c r="P287" i="12"/>
  <c r="Q287" i="12"/>
  <c r="R287" i="12"/>
  <c r="P288" i="12"/>
  <c r="Q288" i="12"/>
  <c r="R288" i="12"/>
  <c r="P289" i="12"/>
  <c r="Q289" i="12"/>
  <c r="R289" i="12"/>
  <c r="P290" i="12"/>
  <c r="Q290" i="12"/>
  <c r="R290" i="12"/>
  <c r="P291" i="12"/>
  <c r="Q291" i="12"/>
  <c r="R291" i="12"/>
  <c r="P292" i="12"/>
  <c r="Q292" i="12"/>
  <c r="R292" i="12"/>
  <c r="P293" i="12"/>
  <c r="Q293" i="12"/>
  <c r="R293" i="12"/>
  <c r="P294" i="12"/>
  <c r="Q294" i="12"/>
  <c r="R294" i="12"/>
  <c r="P295" i="12"/>
  <c r="Q295" i="12"/>
  <c r="R295" i="12"/>
  <c r="P296" i="12"/>
  <c r="Q296" i="12"/>
  <c r="R296" i="12"/>
  <c r="P297" i="12"/>
  <c r="Q297" i="12"/>
  <c r="R297" i="12"/>
  <c r="P298" i="12"/>
  <c r="Q298" i="12"/>
  <c r="R298" i="12"/>
  <c r="P299" i="12"/>
  <c r="Q299" i="12"/>
  <c r="R299" i="12"/>
  <c r="P300" i="12"/>
  <c r="Q300" i="12"/>
  <c r="R300" i="12"/>
  <c r="P301" i="12"/>
  <c r="Q301" i="12"/>
  <c r="R301" i="12"/>
  <c r="P302" i="12"/>
  <c r="Q302" i="12"/>
  <c r="R302" i="12"/>
  <c r="P303" i="12"/>
  <c r="Q303" i="12"/>
  <c r="R303" i="12"/>
  <c r="P304" i="12"/>
  <c r="Q304" i="12"/>
  <c r="R304" i="12"/>
  <c r="P305" i="12"/>
  <c r="Q305" i="12"/>
  <c r="R305" i="12"/>
  <c r="P306" i="12"/>
  <c r="Q306" i="12"/>
  <c r="R306" i="12"/>
  <c r="P307" i="12"/>
  <c r="Q307" i="12"/>
  <c r="R307" i="12"/>
  <c r="P308" i="12"/>
  <c r="Q308" i="12"/>
  <c r="R308" i="12"/>
  <c r="I272" i="12"/>
  <c r="J272" i="12"/>
  <c r="K272" i="12"/>
  <c r="I273" i="12"/>
  <c r="J273" i="12"/>
  <c r="K273" i="12"/>
  <c r="I274" i="12"/>
  <c r="J274" i="12"/>
  <c r="K274" i="12"/>
  <c r="I275" i="12"/>
  <c r="J275" i="12"/>
  <c r="K275" i="12"/>
  <c r="I276" i="12"/>
  <c r="J276" i="12"/>
  <c r="K276" i="12"/>
  <c r="I277" i="12"/>
  <c r="J277" i="12"/>
  <c r="K277" i="12"/>
  <c r="I278" i="12"/>
  <c r="J278" i="12"/>
  <c r="K278" i="12"/>
  <c r="I279" i="12"/>
  <c r="J279" i="12"/>
  <c r="K279" i="12"/>
  <c r="I280" i="12"/>
  <c r="J280" i="12"/>
  <c r="K280" i="12"/>
  <c r="I281" i="12"/>
  <c r="J281" i="12"/>
  <c r="K281" i="12"/>
  <c r="I282" i="12"/>
  <c r="J282" i="12"/>
  <c r="K282" i="12"/>
  <c r="I283" i="12"/>
  <c r="J283" i="12"/>
  <c r="K283" i="12"/>
  <c r="I284" i="12"/>
  <c r="J284" i="12"/>
  <c r="K284" i="12"/>
  <c r="I285" i="12"/>
  <c r="J285" i="12"/>
  <c r="K285" i="12"/>
  <c r="I286" i="12"/>
  <c r="J286" i="12"/>
  <c r="K286" i="12"/>
  <c r="I287" i="12"/>
  <c r="J287" i="12"/>
  <c r="K287" i="12"/>
  <c r="I288" i="12"/>
  <c r="J288" i="12"/>
  <c r="K288" i="12"/>
  <c r="I289" i="12"/>
  <c r="J289" i="12"/>
  <c r="K289" i="12"/>
  <c r="I290" i="12"/>
  <c r="J290" i="12"/>
  <c r="K290" i="12"/>
  <c r="I291" i="12"/>
  <c r="J291" i="12"/>
  <c r="K291" i="12"/>
  <c r="I292" i="12"/>
  <c r="J292" i="12"/>
  <c r="K292" i="12"/>
  <c r="I293" i="12"/>
  <c r="J293" i="12"/>
  <c r="K293" i="12"/>
  <c r="I294" i="12"/>
  <c r="J294" i="12"/>
  <c r="K294" i="12"/>
  <c r="I295" i="12"/>
  <c r="J295" i="12"/>
  <c r="K295" i="12"/>
  <c r="I296" i="12"/>
  <c r="J296" i="12"/>
  <c r="K296" i="12"/>
  <c r="I297" i="12"/>
  <c r="J297" i="12"/>
  <c r="K297" i="12"/>
  <c r="I298" i="12"/>
  <c r="J298" i="12"/>
  <c r="K298" i="12"/>
  <c r="I299" i="12"/>
  <c r="J299" i="12"/>
  <c r="K299" i="12"/>
  <c r="I300" i="12"/>
  <c r="J300" i="12"/>
  <c r="K300" i="12"/>
  <c r="I301" i="12"/>
  <c r="J301" i="12"/>
  <c r="K301" i="12"/>
  <c r="I302" i="12"/>
  <c r="J302" i="12"/>
  <c r="K302" i="12"/>
  <c r="I303" i="12"/>
  <c r="J303" i="12"/>
  <c r="K303" i="12"/>
  <c r="I304" i="12"/>
  <c r="J304" i="12"/>
  <c r="K304" i="12"/>
  <c r="I305" i="12"/>
  <c r="J305" i="12"/>
  <c r="K305" i="12"/>
  <c r="I306" i="12"/>
  <c r="J306" i="12"/>
  <c r="K306" i="12"/>
  <c r="I307" i="12"/>
  <c r="J307" i="12"/>
  <c r="K307" i="12"/>
  <c r="I308" i="12"/>
  <c r="J308" i="12"/>
  <c r="K308" i="12"/>
  <c r="AU228" i="12"/>
  <c r="AV228" i="12"/>
  <c r="AW228" i="12"/>
  <c r="BD228" i="12" s="1"/>
  <c r="AU229" i="12"/>
  <c r="AV229" i="12"/>
  <c r="AW229" i="12"/>
  <c r="BD229" i="12" s="1"/>
  <c r="AU230" i="12"/>
  <c r="AV230" i="12"/>
  <c r="AW230" i="12"/>
  <c r="BD230" i="12" s="1"/>
  <c r="AU231" i="12"/>
  <c r="AV231" i="12"/>
  <c r="AW231" i="12"/>
  <c r="BD231" i="12" s="1"/>
  <c r="AU232" i="12"/>
  <c r="AV232" i="12"/>
  <c r="AW232" i="12"/>
  <c r="BD232" i="12" s="1"/>
  <c r="AU233" i="12"/>
  <c r="AV233" i="12"/>
  <c r="AW233" i="12"/>
  <c r="BD233" i="12" s="1"/>
  <c r="AU234" i="12"/>
  <c r="AV234" i="12"/>
  <c r="AW234" i="12"/>
  <c r="BD234" i="12" s="1"/>
  <c r="AU235" i="12"/>
  <c r="AV235" i="12"/>
  <c r="AW235" i="12"/>
  <c r="BD235" i="12" s="1"/>
  <c r="AU236" i="12"/>
  <c r="AV236" i="12"/>
  <c r="AW236" i="12"/>
  <c r="BD236" i="12" s="1"/>
  <c r="AU237" i="12"/>
  <c r="AV237" i="12"/>
  <c r="AW237" i="12"/>
  <c r="BD237" i="12" s="1"/>
  <c r="AU238" i="12"/>
  <c r="AV238" i="12"/>
  <c r="AW238" i="12"/>
  <c r="BD238" i="12" s="1"/>
  <c r="AU239" i="12"/>
  <c r="AV239" i="12"/>
  <c r="AW239" i="12"/>
  <c r="BD239" i="12" s="1"/>
  <c r="AU240" i="12"/>
  <c r="AV240" i="12"/>
  <c r="AW240" i="12"/>
  <c r="BD240" i="12" s="1"/>
  <c r="AU241" i="12"/>
  <c r="AV241" i="12"/>
  <c r="AW241" i="12"/>
  <c r="BD241" i="12" s="1"/>
  <c r="AU242" i="12"/>
  <c r="AV242" i="12"/>
  <c r="AW242" i="12"/>
  <c r="BD242" i="12" s="1"/>
  <c r="AU243" i="12"/>
  <c r="AV243" i="12"/>
  <c r="AW243" i="12"/>
  <c r="BD243" i="12" s="1"/>
  <c r="AU244" i="12"/>
  <c r="AV244" i="12"/>
  <c r="AW244" i="12"/>
  <c r="BD244" i="12" s="1"/>
  <c r="AU245" i="12"/>
  <c r="AV245" i="12"/>
  <c r="AW245" i="12"/>
  <c r="AU246" i="12"/>
  <c r="AV246" i="12"/>
  <c r="AW246" i="12"/>
  <c r="BD246" i="12" s="1"/>
  <c r="AU247" i="12"/>
  <c r="AV247" i="12"/>
  <c r="AW247" i="12"/>
  <c r="BD247" i="12" s="1"/>
  <c r="AU248" i="12"/>
  <c r="AV248" i="12"/>
  <c r="AW248" i="12"/>
  <c r="BD248" i="12" s="1"/>
  <c r="AU249" i="12"/>
  <c r="AV249" i="12"/>
  <c r="AW249" i="12"/>
  <c r="BD249" i="12" s="1"/>
  <c r="BF249" i="12" s="1"/>
  <c r="AU250" i="12"/>
  <c r="AV250" i="12"/>
  <c r="AW250" i="12"/>
  <c r="BD250" i="12" s="1"/>
  <c r="AU251" i="12"/>
  <c r="AV251" i="12"/>
  <c r="AW251" i="12"/>
  <c r="BD251" i="12" s="1"/>
  <c r="AU252" i="12"/>
  <c r="AV252" i="12"/>
  <c r="AW252" i="12"/>
  <c r="BD252" i="12" s="1"/>
  <c r="AU253" i="12"/>
  <c r="AV253" i="12"/>
  <c r="AW253" i="12"/>
  <c r="BD253" i="12" s="1"/>
  <c r="AU254" i="12"/>
  <c r="AV254" i="12"/>
  <c r="AW254" i="12"/>
  <c r="BD254" i="12" s="1"/>
  <c r="AU255" i="12"/>
  <c r="AV255" i="12"/>
  <c r="AW255" i="12"/>
  <c r="BD255" i="12" s="1"/>
  <c r="AU256" i="12"/>
  <c r="AV256" i="12"/>
  <c r="AW256" i="12"/>
  <c r="BD256" i="12" s="1"/>
  <c r="AU257" i="12"/>
  <c r="AV257" i="12"/>
  <c r="AW257" i="12"/>
  <c r="BD257" i="12" s="1"/>
  <c r="AR228" i="12"/>
  <c r="AS228" i="12"/>
  <c r="AT228" i="12"/>
  <c r="AR229" i="12"/>
  <c r="AS229" i="12"/>
  <c r="AT229" i="12"/>
  <c r="AR230" i="12"/>
  <c r="AS230" i="12"/>
  <c r="AT230" i="12"/>
  <c r="AR231" i="12"/>
  <c r="AS231" i="12"/>
  <c r="AT231" i="12"/>
  <c r="AR232" i="12"/>
  <c r="AS232" i="12"/>
  <c r="AT232" i="12"/>
  <c r="AR233" i="12"/>
  <c r="AS233" i="12"/>
  <c r="AT233" i="12"/>
  <c r="AR234" i="12"/>
  <c r="AS234" i="12"/>
  <c r="AT234" i="12"/>
  <c r="AR235" i="12"/>
  <c r="AS235" i="12"/>
  <c r="AT235" i="12"/>
  <c r="AR236" i="12"/>
  <c r="AS236" i="12"/>
  <c r="AT236" i="12"/>
  <c r="AR237" i="12"/>
  <c r="AS237" i="12"/>
  <c r="AT237" i="12"/>
  <c r="AR238" i="12"/>
  <c r="AS238" i="12"/>
  <c r="AT238" i="12"/>
  <c r="AR239" i="12"/>
  <c r="AS239" i="12"/>
  <c r="AT239" i="12"/>
  <c r="AR240" i="12"/>
  <c r="AS240" i="12"/>
  <c r="AT240" i="12"/>
  <c r="AR241" i="12"/>
  <c r="AS241" i="12"/>
  <c r="AT241" i="12"/>
  <c r="AR242" i="12"/>
  <c r="AS242" i="12"/>
  <c r="AT242" i="12"/>
  <c r="AR243" i="12"/>
  <c r="AS243" i="12"/>
  <c r="AT243" i="12"/>
  <c r="AR244" i="12"/>
  <c r="AS244" i="12"/>
  <c r="AT244" i="12"/>
  <c r="AR245" i="12"/>
  <c r="AS245" i="12"/>
  <c r="AT245" i="12"/>
  <c r="AR246" i="12"/>
  <c r="AS246" i="12"/>
  <c r="AT246" i="12"/>
  <c r="AR247" i="12"/>
  <c r="AS247" i="12"/>
  <c r="AT247" i="12"/>
  <c r="AR248" i="12"/>
  <c r="AS248" i="12"/>
  <c r="AT248" i="12"/>
  <c r="AR249" i="12"/>
  <c r="AS249" i="12"/>
  <c r="AT249" i="12"/>
  <c r="AR250" i="12"/>
  <c r="AS250" i="12"/>
  <c r="AT250" i="12"/>
  <c r="AR251" i="12"/>
  <c r="AS251" i="12"/>
  <c r="AT251" i="12"/>
  <c r="AR252" i="12"/>
  <c r="AS252" i="12"/>
  <c r="AT252" i="12"/>
  <c r="AR253" i="12"/>
  <c r="AS253" i="12"/>
  <c r="AT253" i="12"/>
  <c r="AR254" i="12"/>
  <c r="AS254" i="12"/>
  <c r="AT254" i="12"/>
  <c r="AR255" i="12"/>
  <c r="AS255" i="12"/>
  <c r="AT255" i="12"/>
  <c r="AR256" i="12"/>
  <c r="AS256" i="12"/>
  <c r="AT256" i="12"/>
  <c r="AR257" i="12"/>
  <c r="AS257" i="12"/>
  <c r="AT257" i="12"/>
  <c r="BD227" i="12"/>
  <c r="AY227" i="12"/>
  <c r="AZ227" i="12" s="1"/>
  <c r="AK228" i="12"/>
  <c r="AL228" i="12"/>
  <c r="AM228" i="12"/>
  <c r="AK229" i="12"/>
  <c r="AL229" i="12"/>
  <c r="AM229" i="12"/>
  <c r="AK230" i="12"/>
  <c r="AL230" i="12"/>
  <c r="AM230" i="12"/>
  <c r="AK231" i="12"/>
  <c r="AL231" i="12"/>
  <c r="AM231" i="12"/>
  <c r="AK232" i="12"/>
  <c r="AL232" i="12"/>
  <c r="AM232" i="12"/>
  <c r="AK233" i="12"/>
  <c r="AL233" i="12"/>
  <c r="AM233" i="12"/>
  <c r="AK234" i="12"/>
  <c r="AL234" i="12"/>
  <c r="AM234" i="12"/>
  <c r="AK235" i="12"/>
  <c r="AL235" i="12"/>
  <c r="AM235" i="12"/>
  <c r="AK236" i="12"/>
  <c r="AL236" i="12"/>
  <c r="AM236" i="12"/>
  <c r="AK237" i="12"/>
  <c r="AL237" i="12"/>
  <c r="AM237" i="12"/>
  <c r="AK238" i="12"/>
  <c r="AL238" i="12"/>
  <c r="AM238" i="12"/>
  <c r="AK239" i="12"/>
  <c r="AL239" i="12"/>
  <c r="AM239" i="12"/>
  <c r="AK240" i="12"/>
  <c r="AL240" i="12"/>
  <c r="AM240" i="12"/>
  <c r="AK241" i="12"/>
  <c r="AL241" i="12"/>
  <c r="AM241" i="12"/>
  <c r="AK242" i="12"/>
  <c r="AL242" i="12"/>
  <c r="AM242" i="12"/>
  <c r="AK243" i="12"/>
  <c r="AL243" i="12"/>
  <c r="AM243" i="12"/>
  <c r="AK244" i="12"/>
  <c r="AL244" i="12"/>
  <c r="AM244" i="12"/>
  <c r="AK245" i="12"/>
  <c r="AL245" i="12"/>
  <c r="AM245" i="12"/>
  <c r="AK246" i="12"/>
  <c r="AL246" i="12"/>
  <c r="AM246" i="12"/>
  <c r="AK247" i="12"/>
  <c r="AL247" i="12"/>
  <c r="AM247" i="12"/>
  <c r="AK248" i="12"/>
  <c r="AL248" i="12"/>
  <c r="AM248" i="12"/>
  <c r="AK249" i="12"/>
  <c r="AL249" i="12"/>
  <c r="AM249" i="12"/>
  <c r="AK250" i="12"/>
  <c r="AL250" i="12"/>
  <c r="AM250" i="12"/>
  <c r="AK251" i="12"/>
  <c r="AL251" i="12"/>
  <c r="AM251" i="12"/>
  <c r="AK252" i="12"/>
  <c r="AL252" i="12"/>
  <c r="AM252" i="12"/>
  <c r="AK253" i="12"/>
  <c r="AL253" i="12"/>
  <c r="AM253" i="12"/>
  <c r="AK254" i="12"/>
  <c r="AL254" i="12"/>
  <c r="AM254" i="12"/>
  <c r="AK255" i="12"/>
  <c r="AL255" i="12"/>
  <c r="AM255" i="12"/>
  <c r="AK256" i="12"/>
  <c r="AL256" i="12"/>
  <c r="AM256" i="12"/>
  <c r="AK257" i="12"/>
  <c r="AL257" i="12"/>
  <c r="AM257" i="12"/>
  <c r="AD228" i="12"/>
  <c r="AE228" i="12"/>
  <c r="AF228" i="12"/>
  <c r="AD229" i="12"/>
  <c r="AE229" i="12"/>
  <c r="AF229" i="12"/>
  <c r="AD230" i="12"/>
  <c r="AE230" i="12"/>
  <c r="AF230" i="12"/>
  <c r="AD231" i="12"/>
  <c r="AE231" i="12"/>
  <c r="AF231" i="12"/>
  <c r="AD232" i="12"/>
  <c r="AE232" i="12"/>
  <c r="AF232" i="12"/>
  <c r="AD233" i="12"/>
  <c r="AE233" i="12"/>
  <c r="AF233" i="12"/>
  <c r="AD234" i="12"/>
  <c r="AE234" i="12"/>
  <c r="AF234" i="12"/>
  <c r="AD235" i="12"/>
  <c r="AE235" i="12"/>
  <c r="AF235" i="12"/>
  <c r="AD236" i="12"/>
  <c r="AE236" i="12"/>
  <c r="AF236" i="12"/>
  <c r="AD237" i="12"/>
  <c r="AE237" i="12"/>
  <c r="AF237" i="12"/>
  <c r="AD238" i="12"/>
  <c r="AE238" i="12"/>
  <c r="AF238" i="12"/>
  <c r="AD239" i="12"/>
  <c r="AE239" i="12"/>
  <c r="AF239" i="12"/>
  <c r="AD240" i="12"/>
  <c r="AE240" i="12"/>
  <c r="AF240" i="12"/>
  <c r="AD241" i="12"/>
  <c r="AE241" i="12"/>
  <c r="AF241" i="12"/>
  <c r="AD242" i="12"/>
  <c r="AE242" i="12"/>
  <c r="AF242" i="12"/>
  <c r="AD243" i="12"/>
  <c r="AE243" i="12"/>
  <c r="AF243" i="12"/>
  <c r="AD244" i="12"/>
  <c r="AE244" i="12"/>
  <c r="AF244" i="12"/>
  <c r="AD245" i="12"/>
  <c r="AE245" i="12"/>
  <c r="AF245" i="12"/>
  <c r="AD246" i="12"/>
  <c r="AE246" i="12"/>
  <c r="AF246" i="12"/>
  <c r="AD247" i="12"/>
  <c r="AE247" i="12"/>
  <c r="AF247" i="12"/>
  <c r="AD248" i="12"/>
  <c r="AE248" i="12"/>
  <c r="AF248" i="12"/>
  <c r="AD249" i="12"/>
  <c r="AE249" i="12"/>
  <c r="AF249" i="12"/>
  <c r="AD250" i="12"/>
  <c r="AE250" i="12"/>
  <c r="AF250" i="12"/>
  <c r="AD251" i="12"/>
  <c r="AE251" i="12"/>
  <c r="AF251" i="12"/>
  <c r="AD252" i="12"/>
  <c r="AE252" i="12"/>
  <c r="AF252" i="12"/>
  <c r="AD253" i="12"/>
  <c r="AE253" i="12"/>
  <c r="AF253" i="12"/>
  <c r="AD254" i="12"/>
  <c r="AE254" i="12"/>
  <c r="AF254" i="12"/>
  <c r="AD255" i="12"/>
  <c r="AE255" i="12"/>
  <c r="AF255" i="12"/>
  <c r="AD256" i="12"/>
  <c r="AE256" i="12"/>
  <c r="AF256" i="12"/>
  <c r="AD257" i="12"/>
  <c r="AE257" i="12"/>
  <c r="AF257" i="12"/>
  <c r="W228" i="12"/>
  <c r="X228" i="12"/>
  <c r="Y228" i="12"/>
  <c r="W229" i="12"/>
  <c r="X229" i="12"/>
  <c r="Y229" i="12"/>
  <c r="W230" i="12"/>
  <c r="X230" i="12"/>
  <c r="Y230" i="12"/>
  <c r="W231" i="12"/>
  <c r="X231" i="12"/>
  <c r="Y231" i="12"/>
  <c r="W232" i="12"/>
  <c r="X232" i="12"/>
  <c r="Y232" i="12"/>
  <c r="W233" i="12"/>
  <c r="X233" i="12"/>
  <c r="Y233" i="12"/>
  <c r="W234" i="12"/>
  <c r="X234" i="12"/>
  <c r="Y234" i="12"/>
  <c r="W235" i="12"/>
  <c r="X235" i="12"/>
  <c r="Y235" i="12"/>
  <c r="W236" i="12"/>
  <c r="X236" i="12"/>
  <c r="Y236" i="12"/>
  <c r="W237" i="12"/>
  <c r="X237" i="12"/>
  <c r="Y237" i="12"/>
  <c r="W238" i="12"/>
  <c r="X238" i="12"/>
  <c r="Y238" i="12"/>
  <c r="W239" i="12"/>
  <c r="X239" i="12"/>
  <c r="Y239" i="12"/>
  <c r="W240" i="12"/>
  <c r="X240" i="12"/>
  <c r="Y240" i="12"/>
  <c r="W241" i="12"/>
  <c r="X241" i="12"/>
  <c r="Y241" i="12"/>
  <c r="W242" i="12"/>
  <c r="X242" i="12"/>
  <c r="Y242" i="12"/>
  <c r="W243" i="12"/>
  <c r="X243" i="12"/>
  <c r="Y243" i="12"/>
  <c r="W244" i="12"/>
  <c r="X244" i="12"/>
  <c r="Y244" i="12"/>
  <c r="W245" i="12"/>
  <c r="X245" i="12"/>
  <c r="Y245" i="12"/>
  <c r="W246" i="12"/>
  <c r="X246" i="12"/>
  <c r="Y246" i="12"/>
  <c r="W247" i="12"/>
  <c r="X247" i="12"/>
  <c r="Y247" i="12"/>
  <c r="W248" i="12"/>
  <c r="X248" i="12"/>
  <c r="Y248" i="12"/>
  <c r="W249" i="12"/>
  <c r="X249" i="12"/>
  <c r="Y249" i="12"/>
  <c r="W250" i="12"/>
  <c r="X250" i="12"/>
  <c r="Y250" i="12"/>
  <c r="W251" i="12"/>
  <c r="X251" i="12"/>
  <c r="Y251" i="12"/>
  <c r="W252" i="12"/>
  <c r="X252" i="12"/>
  <c r="Y252" i="12"/>
  <c r="W253" i="12"/>
  <c r="X253" i="12"/>
  <c r="Y253" i="12"/>
  <c r="W254" i="12"/>
  <c r="X254" i="12"/>
  <c r="Y254" i="12"/>
  <c r="W255" i="12"/>
  <c r="X255" i="12"/>
  <c r="Y255" i="12"/>
  <c r="W256" i="12"/>
  <c r="X256" i="12"/>
  <c r="Y256" i="12"/>
  <c r="W257" i="12"/>
  <c r="X257" i="12"/>
  <c r="Y257" i="12"/>
  <c r="P228" i="12"/>
  <c r="Q228" i="12"/>
  <c r="R228" i="12"/>
  <c r="P229" i="12"/>
  <c r="Q229" i="12"/>
  <c r="R229" i="12"/>
  <c r="P230" i="12"/>
  <c r="Q230" i="12"/>
  <c r="R230" i="12"/>
  <c r="P231" i="12"/>
  <c r="Q231" i="12"/>
  <c r="R231" i="12"/>
  <c r="P232" i="12"/>
  <c r="Q232" i="12"/>
  <c r="R232" i="12"/>
  <c r="P233" i="12"/>
  <c r="Q233" i="12"/>
  <c r="R233" i="12"/>
  <c r="P234" i="12"/>
  <c r="Q234" i="12"/>
  <c r="R234" i="12"/>
  <c r="P235" i="12"/>
  <c r="Q235" i="12"/>
  <c r="R235" i="12"/>
  <c r="P236" i="12"/>
  <c r="Q236" i="12"/>
  <c r="R236" i="12"/>
  <c r="P237" i="12"/>
  <c r="Q237" i="12"/>
  <c r="R237" i="12"/>
  <c r="P238" i="12"/>
  <c r="Q238" i="12"/>
  <c r="R238" i="12"/>
  <c r="P239" i="12"/>
  <c r="Q239" i="12"/>
  <c r="R239" i="12"/>
  <c r="P240" i="12"/>
  <c r="Q240" i="12"/>
  <c r="R240" i="12"/>
  <c r="P241" i="12"/>
  <c r="Q241" i="12"/>
  <c r="R241" i="12"/>
  <c r="P242" i="12"/>
  <c r="Q242" i="12"/>
  <c r="R242" i="12"/>
  <c r="P243" i="12"/>
  <c r="Q243" i="12"/>
  <c r="R243" i="12"/>
  <c r="P244" i="12"/>
  <c r="Q244" i="12"/>
  <c r="R244" i="12"/>
  <c r="P245" i="12"/>
  <c r="Q245" i="12"/>
  <c r="R245" i="12"/>
  <c r="P246" i="12"/>
  <c r="Q246" i="12"/>
  <c r="R246" i="12"/>
  <c r="P247" i="12"/>
  <c r="Q247" i="12"/>
  <c r="R247" i="12"/>
  <c r="P248" i="12"/>
  <c r="Q248" i="12"/>
  <c r="R248" i="12"/>
  <c r="P249" i="12"/>
  <c r="Q249" i="12"/>
  <c r="R249" i="12"/>
  <c r="P250" i="12"/>
  <c r="Q250" i="12"/>
  <c r="R250" i="12"/>
  <c r="P251" i="12"/>
  <c r="Q251" i="12"/>
  <c r="R251" i="12"/>
  <c r="P252" i="12"/>
  <c r="Q252" i="12"/>
  <c r="R252" i="12"/>
  <c r="P253" i="12"/>
  <c r="Q253" i="12"/>
  <c r="R253" i="12"/>
  <c r="P254" i="12"/>
  <c r="Q254" i="12"/>
  <c r="R254" i="12"/>
  <c r="P255" i="12"/>
  <c r="Q255" i="12"/>
  <c r="R255" i="12"/>
  <c r="P256" i="12"/>
  <c r="Q256" i="12"/>
  <c r="R256" i="12"/>
  <c r="P257" i="12"/>
  <c r="Q257" i="12"/>
  <c r="R257" i="12"/>
  <c r="I228" i="12"/>
  <c r="J228" i="12"/>
  <c r="K228" i="12"/>
  <c r="I229" i="12"/>
  <c r="J229" i="12"/>
  <c r="K229" i="12"/>
  <c r="I230" i="12"/>
  <c r="J230" i="12"/>
  <c r="K230" i="12"/>
  <c r="I231" i="12"/>
  <c r="J231" i="12"/>
  <c r="K231" i="12"/>
  <c r="I232" i="12"/>
  <c r="J232" i="12"/>
  <c r="K232" i="12"/>
  <c r="I233" i="12"/>
  <c r="J233" i="12"/>
  <c r="K233" i="12"/>
  <c r="I234" i="12"/>
  <c r="J234" i="12"/>
  <c r="K234" i="12"/>
  <c r="I235" i="12"/>
  <c r="J235" i="12"/>
  <c r="K235" i="12"/>
  <c r="I236" i="12"/>
  <c r="J236" i="12"/>
  <c r="K236" i="12"/>
  <c r="I237" i="12"/>
  <c r="J237" i="12"/>
  <c r="K237" i="12"/>
  <c r="I238" i="12"/>
  <c r="J238" i="12"/>
  <c r="K238" i="12"/>
  <c r="I239" i="12"/>
  <c r="J239" i="12"/>
  <c r="K239" i="12"/>
  <c r="I240" i="12"/>
  <c r="J240" i="12"/>
  <c r="K240" i="12"/>
  <c r="I241" i="12"/>
  <c r="J241" i="12"/>
  <c r="K241" i="12"/>
  <c r="I242" i="12"/>
  <c r="J242" i="12"/>
  <c r="K242" i="12"/>
  <c r="I243" i="12"/>
  <c r="J243" i="12"/>
  <c r="K243" i="12"/>
  <c r="I244" i="12"/>
  <c r="J244" i="12"/>
  <c r="K244" i="12"/>
  <c r="I245" i="12"/>
  <c r="J245" i="12"/>
  <c r="K245" i="12"/>
  <c r="I246" i="12"/>
  <c r="J246" i="12"/>
  <c r="K246" i="12"/>
  <c r="I247" i="12"/>
  <c r="J247" i="12"/>
  <c r="K247" i="12"/>
  <c r="I248" i="12"/>
  <c r="J248" i="12"/>
  <c r="K248" i="12"/>
  <c r="I249" i="12"/>
  <c r="J249" i="12"/>
  <c r="K249" i="12"/>
  <c r="I250" i="12"/>
  <c r="J250" i="12"/>
  <c r="K250" i="12"/>
  <c r="I251" i="12"/>
  <c r="J251" i="12"/>
  <c r="K251" i="12"/>
  <c r="I252" i="12"/>
  <c r="J252" i="12"/>
  <c r="K252" i="12"/>
  <c r="I253" i="12"/>
  <c r="J253" i="12"/>
  <c r="K253" i="12"/>
  <c r="I254" i="12"/>
  <c r="J254" i="12"/>
  <c r="K254" i="12"/>
  <c r="I255" i="12"/>
  <c r="J255" i="12"/>
  <c r="K255" i="12"/>
  <c r="I256" i="12"/>
  <c r="J256" i="12"/>
  <c r="K256" i="12"/>
  <c r="I257" i="12"/>
  <c r="J257" i="12"/>
  <c r="K257" i="12"/>
  <c r="AU183" i="12"/>
  <c r="AV183" i="12"/>
  <c r="AW183" i="12"/>
  <c r="BD183" i="12" s="1"/>
  <c r="AU184" i="12"/>
  <c r="AV184" i="12"/>
  <c r="AW184" i="12"/>
  <c r="BD184" i="12" s="1"/>
  <c r="AU185" i="12"/>
  <c r="AV185" i="12"/>
  <c r="AW185" i="12"/>
  <c r="BD185" i="12" s="1"/>
  <c r="AU186" i="12"/>
  <c r="AV186" i="12"/>
  <c r="AW186" i="12"/>
  <c r="BD186" i="12" s="1"/>
  <c r="AU187" i="12"/>
  <c r="AV187" i="12"/>
  <c r="AW187" i="12"/>
  <c r="BD187" i="12" s="1"/>
  <c r="AU188" i="12"/>
  <c r="AV188" i="12"/>
  <c r="AW188" i="12"/>
  <c r="BD188" i="12" s="1"/>
  <c r="AU189" i="12"/>
  <c r="AV189" i="12"/>
  <c r="AW189" i="12"/>
  <c r="BD189" i="12" s="1"/>
  <c r="AU190" i="12"/>
  <c r="AV190" i="12"/>
  <c r="AW190" i="12"/>
  <c r="AU191" i="12"/>
  <c r="AV191" i="12"/>
  <c r="AW191" i="12"/>
  <c r="BD191" i="12" s="1"/>
  <c r="AU192" i="12"/>
  <c r="AV192" i="12"/>
  <c r="AW192" i="12"/>
  <c r="BD192" i="12" s="1"/>
  <c r="AU193" i="12"/>
  <c r="AV193" i="12"/>
  <c r="AW193" i="12"/>
  <c r="BD193" i="12" s="1"/>
  <c r="AU194" i="12"/>
  <c r="AV194" i="12"/>
  <c r="AW194" i="12"/>
  <c r="BD194" i="12" s="1"/>
  <c r="AU195" i="12"/>
  <c r="AV195" i="12"/>
  <c r="AW195" i="12"/>
  <c r="BD195" i="12" s="1"/>
  <c r="AU196" i="12"/>
  <c r="AV196" i="12"/>
  <c r="AW196" i="12"/>
  <c r="BD196" i="12" s="1"/>
  <c r="AU197" i="12"/>
  <c r="AV197" i="12"/>
  <c r="AW197" i="12"/>
  <c r="BD197" i="12" s="1"/>
  <c r="AU198" i="12"/>
  <c r="AV198" i="12"/>
  <c r="AW198" i="12"/>
  <c r="BD198" i="12" s="1"/>
  <c r="AU199" i="12"/>
  <c r="AV199" i="12"/>
  <c r="AW199" i="12"/>
  <c r="BD199" i="12" s="1"/>
  <c r="AU200" i="12"/>
  <c r="AV200" i="12"/>
  <c r="AW200" i="12"/>
  <c r="BD200" i="12" s="1"/>
  <c r="AU201" i="12"/>
  <c r="AV201" i="12"/>
  <c r="AW201" i="12"/>
  <c r="BD201" i="12" s="1"/>
  <c r="AU202" i="12"/>
  <c r="AV202" i="12"/>
  <c r="AW202" i="12"/>
  <c r="BD202" i="12" s="1"/>
  <c r="AU203" i="12"/>
  <c r="AV203" i="12"/>
  <c r="AW203" i="12"/>
  <c r="BD203" i="12" s="1"/>
  <c r="AU204" i="12"/>
  <c r="AV204" i="12"/>
  <c r="AW204" i="12"/>
  <c r="BD204" i="12" s="1"/>
  <c r="AU205" i="12"/>
  <c r="AV205" i="12"/>
  <c r="AW205" i="12"/>
  <c r="BD205" i="12" s="1"/>
  <c r="AU206" i="12"/>
  <c r="AV206" i="12"/>
  <c r="AW206" i="12"/>
  <c r="BD206" i="12" s="1"/>
  <c r="AU207" i="12"/>
  <c r="AV207" i="12"/>
  <c r="AW207" i="12"/>
  <c r="BD207" i="12" s="1"/>
  <c r="AU208" i="12"/>
  <c r="AV208" i="12"/>
  <c r="AW208" i="12"/>
  <c r="BD208" i="12" s="1"/>
  <c r="AU209" i="12"/>
  <c r="AV209" i="12"/>
  <c r="AW209" i="12"/>
  <c r="BD209" i="12" s="1"/>
  <c r="AU210" i="12"/>
  <c r="AV210" i="12"/>
  <c r="AW210" i="12"/>
  <c r="BD210" i="12" s="1"/>
  <c r="AU211" i="12"/>
  <c r="AV211" i="12"/>
  <c r="AW211" i="12"/>
  <c r="BD211" i="12" s="1"/>
  <c r="AU212" i="12"/>
  <c r="AV212" i="12"/>
  <c r="AW212" i="12"/>
  <c r="BD212" i="12" s="1"/>
  <c r="BF212" i="12" s="1"/>
  <c r="AU213" i="12"/>
  <c r="AV213" i="12"/>
  <c r="AW213" i="12"/>
  <c r="BD213" i="12" s="1"/>
  <c r="AU214" i="12"/>
  <c r="AV214" i="12"/>
  <c r="AW214" i="12"/>
  <c r="BD214" i="12" s="1"/>
  <c r="AU215" i="12"/>
  <c r="AV215" i="12"/>
  <c r="AW215" i="12"/>
  <c r="BD215" i="12" s="1"/>
  <c r="AU216" i="12"/>
  <c r="AV216" i="12"/>
  <c r="AW216" i="12"/>
  <c r="BD216" i="12" s="1"/>
  <c r="AR183" i="12"/>
  <c r="AS183" i="12"/>
  <c r="AT183" i="12"/>
  <c r="AR184" i="12"/>
  <c r="AS184" i="12"/>
  <c r="AT184" i="12"/>
  <c r="AR185" i="12"/>
  <c r="AS185" i="12"/>
  <c r="AT185" i="12"/>
  <c r="AR186" i="12"/>
  <c r="AS186" i="12"/>
  <c r="AT186" i="12"/>
  <c r="AR187" i="12"/>
  <c r="AS187" i="12"/>
  <c r="AT187" i="12"/>
  <c r="AR188" i="12"/>
  <c r="AS188" i="12"/>
  <c r="AT188" i="12"/>
  <c r="AR189" i="12"/>
  <c r="AS189" i="12"/>
  <c r="AT189" i="12"/>
  <c r="AR190" i="12"/>
  <c r="AS190" i="12"/>
  <c r="AT190" i="12"/>
  <c r="AR191" i="12"/>
  <c r="AS191" i="12"/>
  <c r="AT191" i="12"/>
  <c r="AR192" i="12"/>
  <c r="AS192" i="12"/>
  <c r="AT192" i="12"/>
  <c r="AR193" i="12"/>
  <c r="AS193" i="12"/>
  <c r="AT193" i="12"/>
  <c r="AR194" i="12"/>
  <c r="AS194" i="12"/>
  <c r="AT194" i="12"/>
  <c r="AR195" i="12"/>
  <c r="AS195" i="12"/>
  <c r="AT195" i="12"/>
  <c r="AR196" i="12"/>
  <c r="AS196" i="12"/>
  <c r="AT196" i="12"/>
  <c r="AR197" i="12"/>
  <c r="AS197" i="12"/>
  <c r="AT197" i="12"/>
  <c r="AR198" i="12"/>
  <c r="AS198" i="12"/>
  <c r="AT198" i="12"/>
  <c r="AR199" i="12"/>
  <c r="AS199" i="12"/>
  <c r="AT199" i="12"/>
  <c r="AR200" i="12"/>
  <c r="AS200" i="12"/>
  <c r="AT200" i="12"/>
  <c r="AR201" i="12"/>
  <c r="AS201" i="12"/>
  <c r="AT201" i="12"/>
  <c r="AR202" i="12"/>
  <c r="AS202" i="12"/>
  <c r="AT202" i="12"/>
  <c r="AR203" i="12"/>
  <c r="AS203" i="12"/>
  <c r="AT203" i="12"/>
  <c r="AR204" i="12"/>
  <c r="AS204" i="12"/>
  <c r="AT204" i="12"/>
  <c r="AR205" i="12"/>
  <c r="AS205" i="12"/>
  <c r="AT205" i="12"/>
  <c r="AR206" i="12"/>
  <c r="AS206" i="12"/>
  <c r="AT206" i="12"/>
  <c r="AR207" i="12"/>
  <c r="AS207" i="12"/>
  <c r="AT207" i="12"/>
  <c r="AR208" i="12"/>
  <c r="AS208" i="12"/>
  <c r="AT208" i="12"/>
  <c r="AR209" i="12"/>
  <c r="AS209" i="12"/>
  <c r="AT209" i="12"/>
  <c r="AR210" i="12"/>
  <c r="AS210" i="12"/>
  <c r="AT210" i="12"/>
  <c r="AR211" i="12"/>
  <c r="AS211" i="12"/>
  <c r="AT211" i="12"/>
  <c r="AR212" i="12"/>
  <c r="AS212" i="12"/>
  <c r="AT212" i="12" s="1"/>
  <c r="AR213" i="12"/>
  <c r="AS213" i="12"/>
  <c r="AT213" i="12"/>
  <c r="AR214" i="12"/>
  <c r="AS214" i="12"/>
  <c r="AT214" i="12"/>
  <c r="AR215" i="12"/>
  <c r="AS215" i="12"/>
  <c r="AT215" i="12"/>
  <c r="AR216" i="12"/>
  <c r="AS216" i="12"/>
  <c r="AT216" i="12"/>
  <c r="BD182" i="12"/>
  <c r="AY182" i="12"/>
  <c r="AZ182" i="12" s="1"/>
  <c r="AK183" i="12"/>
  <c r="AL183" i="12"/>
  <c r="AM183" i="12"/>
  <c r="AK184" i="12"/>
  <c r="AL184" i="12"/>
  <c r="AM184" i="12"/>
  <c r="AK185" i="12"/>
  <c r="AL185" i="12"/>
  <c r="AM185" i="12"/>
  <c r="AK186" i="12"/>
  <c r="AL186" i="12"/>
  <c r="AM186" i="12"/>
  <c r="AK187" i="12"/>
  <c r="AL187" i="12"/>
  <c r="AM187" i="12"/>
  <c r="AK188" i="12"/>
  <c r="AL188" i="12"/>
  <c r="AM188" i="12"/>
  <c r="AK189" i="12"/>
  <c r="AL189" i="12"/>
  <c r="AM189" i="12"/>
  <c r="AK190" i="12"/>
  <c r="AL190" i="12"/>
  <c r="AM190" i="12"/>
  <c r="AK191" i="12"/>
  <c r="AL191" i="12"/>
  <c r="AM191" i="12"/>
  <c r="AK192" i="12"/>
  <c r="AL192" i="12"/>
  <c r="AM192" i="12"/>
  <c r="AK193" i="12"/>
  <c r="AL193" i="12"/>
  <c r="AM193" i="12"/>
  <c r="AK194" i="12"/>
  <c r="AL194" i="12"/>
  <c r="AM194" i="12"/>
  <c r="AK195" i="12"/>
  <c r="AL195" i="12"/>
  <c r="AM195" i="12"/>
  <c r="AK196" i="12"/>
  <c r="AL196" i="12"/>
  <c r="AM196" i="12"/>
  <c r="AK197" i="12"/>
  <c r="AL197" i="12"/>
  <c r="AM197" i="12"/>
  <c r="AK198" i="12"/>
  <c r="AL198" i="12"/>
  <c r="AM198" i="12"/>
  <c r="AK199" i="12"/>
  <c r="AL199" i="12"/>
  <c r="AM199" i="12"/>
  <c r="AK200" i="12"/>
  <c r="AL200" i="12"/>
  <c r="AM200" i="12"/>
  <c r="AK201" i="12"/>
  <c r="AL201" i="12"/>
  <c r="AM201" i="12"/>
  <c r="AK202" i="12"/>
  <c r="AL202" i="12"/>
  <c r="AM202" i="12"/>
  <c r="AK203" i="12"/>
  <c r="AL203" i="12"/>
  <c r="AM203" i="12"/>
  <c r="AK204" i="12"/>
  <c r="AL204" i="12"/>
  <c r="AM204" i="12"/>
  <c r="AK205" i="12"/>
  <c r="AL205" i="12"/>
  <c r="AM205" i="12"/>
  <c r="AK206" i="12"/>
  <c r="AL206" i="12"/>
  <c r="AM206" i="12"/>
  <c r="AK207" i="12"/>
  <c r="AL207" i="12"/>
  <c r="AM207" i="12"/>
  <c r="AK208" i="12"/>
  <c r="AL208" i="12"/>
  <c r="AM208" i="12"/>
  <c r="AK209" i="12"/>
  <c r="AL209" i="12"/>
  <c r="AM209" i="12"/>
  <c r="AK210" i="12"/>
  <c r="AL210" i="12"/>
  <c r="AM210" i="12"/>
  <c r="AK211" i="12"/>
  <c r="AL211" i="12"/>
  <c r="AM211" i="12"/>
  <c r="AK212" i="12"/>
  <c r="AL212" i="12"/>
  <c r="AM212" i="12"/>
  <c r="AK213" i="12"/>
  <c r="AL213" i="12"/>
  <c r="AM213" i="12"/>
  <c r="AK214" i="12"/>
  <c r="AL214" i="12"/>
  <c r="AM214" i="12"/>
  <c r="AK215" i="12"/>
  <c r="AL215" i="12"/>
  <c r="AM215" i="12"/>
  <c r="AK216" i="12"/>
  <c r="AL216" i="12"/>
  <c r="AM216" i="12"/>
  <c r="AD183" i="12"/>
  <c r="AE183" i="12"/>
  <c r="AF183" i="12"/>
  <c r="AD184" i="12"/>
  <c r="AE184" i="12"/>
  <c r="AF184" i="12"/>
  <c r="AD185" i="12"/>
  <c r="AE185" i="12"/>
  <c r="AF185" i="12"/>
  <c r="AD186" i="12"/>
  <c r="AE186" i="12"/>
  <c r="AF186" i="12"/>
  <c r="AD187" i="12"/>
  <c r="AE187" i="12"/>
  <c r="AF187" i="12"/>
  <c r="AD188" i="12"/>
  <c r="AE188" i="12"/>
  <c r="AF188" i="12"/>
  <c r="AD189" i="12"/>
  <c r="AE189" i="12"/>
  <c r="AF189" i="12"/>
  <c r="AD190" i="12"/>
  <c r="AE190" i="12"/>
  <c r="AF190" i="12"/>
  <c r="AD191" i="12"/>
  <c r="AE191" i="12"/>
  <c r="AF191" i="12"/>
  <c r="AD192" i="12"/>
  <c r="AE192" i="12"/>
  <c r="AF192" i="12"/>
  <c r="AD193" i="12"/>
  <c r="AE193" i="12"/>
  <c r="AF193" i="12"/>
  <c r="AD194" i="12"/>
  <c r="AE194" i="12"/>
  <c r="AF194" i="12"/>
  <c r="AD195" i="12"/>
  <c r="AE195" i="12"/>
  <c r="AF195" i="12"/>
  <c r="AD196" i="12"/>
  <c r="AE196" i="12"/>
  <c r="AF196" i="12"/>
  <c r="AD197" i="12"/>
  <c r="AE197" i="12"/>
  <c r="AF197" i="12"/>
  <c r="AD198" i="12"/>
  <c r="AE198" i="12"/>
  <c r="AF198" i="12"/>
  <c r="AD199" i="12"/>
  <c r="AE199" i="12"/>
  <c r="AF199" i="12"/>
  <c r="AD200" i="12"/>
  <c r="AE200" i="12"/>
  <c r="AF200" i="12"/>
  <c r="AD201" i="12"/>
  <c r="AE201" i="12"/>
  <c r="AF201" i="12"/>
  <c r="AD202" i="12"/>
  <c r="AE202" i="12"/>
  <c r="AF202" i="12"/>
  <c r="AD203" i="12"/>
  <c r="AE203" i="12"/>
  <c r="AF203" i="12"/>
  <c r="AD204" i="12"/>
  <c r="AE204" i="12"/>
  <c r="AF204" i="12"/>
  <c r="AD205" i="12"/>
  <c r="AE205" i="12"/>
  <c r="AF205" i="12"/>
  <c r="AD206" i="12"/>
  <c r="AE206" i="12"/>
  <c r="AF206" i="12"/>
  <c r="AD207" i="12"/>
  <c r="AE207" i="12"/>
  <c r="AF207" i="12"/>
  <c r="AD208" i="12"/>
  <c r="AE208" i="12"/>
  <c r="AF208" i="12"/>
  <c r="AD209" i="12"/>
  <c r="AE209" i="12"/>
  <c r="AF209" i="12"/>
  <c r="AD210" i="12"/>
  <c r="AE210" i="12"/>
  <c r="AF210" i="12"/>
  <c r="AD211" i="12"/>
  <c r="AE211" i="12"/>
  <c r="AF211" i="12"/>
  <c r="AD212" i="12"/>
  <c r="AE212" i="12"/>
  <c r="AF212" i="12"/>
  <c r="AD213" i="12"/>
  <c r="AE213" i="12"/>
  <c r="AF213" i="12"/>
  <c r="AD214" i="12"/>
  <c r="AE214" i="12"/>
  <c r="AF214" i="12"/>
  <c r="AD215" i="12"/>
  <c r="AE215" i="12"/>
  <c r="AF215" i="12"/>
  <c r="AD216" i="12"/>
  <c r="AE216" i="12"/>
  <c r="AF216" i="12"/>
  <c r="W183" i="12"/>
  <c r="X183" i="12"/>
  <c r="Y183" i="12"/>
  <c r="W184" i="12"/>
  <c r="X184" i="12"/>
  <c r="Y184" i="12"/>
  <c r="W185" i="12"/>
  <c r="X185" i="12"/>
  <c r="Y185" i="12"/>
  <c r="W186" i="12"/>
  <c r="X186" i="12"/>
  <c r="Y186" i="12"/>
  <c r="W187" i="12"/>
  <c r="X187" i="12"/>
  <c r="Y187" i="12"/>
  <c r="W188" i="12"/>
  <c r="X188" i="12"/>
  <c r="Y188" i="12"/>
  <c r="W189" i="12"/>
  <c r="X189" i="12"/>
  <c r="Y189" i="12"/>
  <c r="W190" i="12"/>
  <c r="X190" i="12"/>
  <c r="Y190" i="12"/>
  <c r="W191" i="12"/>
  <c r="X191" i="12"/>
  <c r="Y191" i="12"/>
  <c r="W192" i="12"/>
  <c r="X192" i="12"/>
  <c r="Y192" i="12"/>
  <c r="W193" i="12"/>
  <c r="X193" i="12"/>
  <c r="Y193" i="12"/>
  <c r="W194" i="12"/>
  <c r="X194" i="12"/>
  <c r="Y194" i="12"/>
  <c r="W195" i="12"/>
  <c r="X195" i="12"/>
  <c r="Y195" i="12"/>
  <c r="W196" i="12"/>
  <c r="X196" i="12"/>
  <c r="Y196" i="12"/>
  <c r="W197" i="12"/>
  <c r="X197" i="12"/>
  <c r="Y197" i="12"/>
  <c r="W198" i="12"/>
  <c r="X198" i="12"/>
  <c r="Y198" i="12"/>
  <c r="W199" i="12"/>
  <c r="X199" i="12"/>
  <c r="Y199" i="12"/>
  <c r="W200" i="12"/>
  <c r="X200" i="12"/>
  <c r="Y200" i="12"/>
  <c r="W201" i="12"/>
  <c r="X201" i="12"/>
  <c r="Y201" i="12"/>
  <c r="W202" i="12"/>
  <c r="X202" i="12"/>
  <c r="Y202" i="12"/>
  <c r="W203" i="12"/>
  <c r="X203" i="12"/>
  <c r="Y203" i="12"/>
  <c r="W204" i="12"/>
  <c r="X204" i="12"/>
  <c r="Y204" i="12"/>
  <c r="W205" i="12"/>
  <c r="X205" i="12"/>
  <c r="Y205" i="12"/>
  <c r="W206" i="12"/>
  <c r="X206" i="12"/>
  <c r="Y206" i="12"/>
  <c r="W207" i="12"/>
  <c r="X207" i="12"/>
  <c r="Y207" i="12"/>
  <c r="W208" i="12"/>
  <c r="X208" i="12"/>
  <c r="Y208" i="12"/>
  <c r="W209" i="12"/>
  <c r="X209" i="12"/>
  <c r="Y209" i="12"/>
  <c r="W210" i="12"/>
  <c r="X210" i="12"/>
  <c r="Y210" i="12"/>
  <c r="W211" i="12"/>
  <c r="X211" i="12"/>
  <c r="Y211" i="12"/>
  <c r="W212" i="12"/>
  <c r="X212" i="12"/>
  <c r="Y212" i="12"/>
  <c r="W213" i="12"/>
  <c r="X213" i="12"/>
  <c r="Y213" i="12"/>
  <c r="W214" i="12"/>
  <c r="X214" i="12"/>
  <c r="Y214" i="12"/>
  <c r="W215" i="12"/>
  <c r="X215" i="12"/>
  <c r="Y215" i="12"/>
  <c r="W216" i="12"/>
  <c r="X216" i="12"/>
  <c r="Y216" i="12"/>
  <c r="P183" i="12"/>
  <c r="Q183" i="12"/>
  <c r="R183" i="12"/>
  <c r="P184" i="12"/>
  <c r="Q184" i="12"/>
  <c r="R184" i="12"/>
  <c r="P185" i="12"/>
  <c r="Q185" i="12"/>
  <c r="R185" i="12"/>
  <c r="P186" i="12"/>
  <c r="Q186" i="12"/>
  <c r="R186" i="12"/>
  <c r="P187" i="12"/>
  <c r="Q187" i="12"/>
  <c r="R187" i="12"/>
  <c r="P188" i="12"/>
  <c r="Q188" i="12"/>
  <c r="R188" i="12"/>
  <c r="P189" i="12"/>
  <c r="Q189" i="12"/>
  <c r="R189" i="12"/>
  <c r="P190" i="12"/>
  <c r="Q190" i="12"/>
  <c r="R190" i="12"/>
  <c r="P191" i="12"/>
  <c r="Q191" i="12"/>
  <c r="R191" i="12"/>
  <c r="P192" i="12"/>
  <c r="Q192" i="12"/>
  <c r="R192" i="12"/>
  <c r="P193" i="12"/>
  <c r="Q193" i="12"/>
  <c r="R193" i="12"/>
  <c r="P194" i="12"/>
  <c r="Q194" i="12"/>
  <c r="R194" i="12"/>
  <c r="P195" i="12"/>
  <c r="Q195" i="12"/>
  <c r="R195" i="12"/>
  <c r="P196" i="12"/>
  <c r="Q196" i="12"/>
  <c r="R196" i="12"/>
  <c r="P197" i="12"/>
  <c r="Q197" i="12"/>
  <c r="R197" i="12"/>
  <c r="P198" i="12"/>
  <c r="Q198" i="12"/>
  <c r="R198" i="12"/>
  <c r="P199" i="12"/>
  <c r="Q199" i="12"/>
  <c r="R199" i="12"/>
  <c r="P200" i="12"/>
  <c r="Q200" i="12"/>
  <c r="R200" i="12"/>
  <c r="P201" i="12"/>
  <c r="Q201" i="12"/>
  <c r="R201" i="12"/>
  <c r="P202" i="12"/>
  <c r="Q202" i="12"/>
  <c r="R202" i="12"/>
  <c r="P203" i="12"/>
  <c r="Q203" i="12"/>
  <c r="R203" i="12"/>
  <c r="P204" i="12"/>
  <c r="Q204" i="12"/>
  <c r="R204" i="12"/>
  <c r="P205" i="12"/>
  <c r="Q205" i="12"/>
  <c r="R205" i="12"/>
  <c r="P206" i="12"/>
  <c r="Q206" i="12"/>
  <c r="R206" i="12"/>
  <c r="P207" i="12"/>
  <c r="Q207" i="12"/>
  <c r="R207" i="12"/>
  <c r="P208" i="12"/>
  <c r="Q208" i="12"/>
  <c r="R208" i="12"/>
  <c r="P209" i="12"/>
  <c r="Q209" i="12"/>
  <c r="R209" i="12"/>
  <c r="P210" i="12"/>
  <c r="Q210" i="12"/>
  <c r="R210" i="12"/>
  <c r="P211" i="12"/>
  <c r="Q211" i="12"/>
  <c r="R211" i="12"/>
  <c r="P212" i="12"/>
  <c r="Q212" i="12"/>
  <c r="R212" i="12"/>
  <c r="P213" i="12"/>
  <c r="Q213" i="12"/>
  <c r="R213" i="12"/>
  <c r="P214" i="12"/>
  <c r="Q214" i="12"/>
  <c r="R214" i="12"/>
  <c r="P215" i="12"/>
  <c r="Q215" i="12"/>
  <c r="R215" i="12"/>
  <c r="P216" i="12"/>
  <c r="Q216" i="12"/>
  <c r="R216" i="12"/>
  <c r="I183" i="12"/>
  <c r="J183" i="12"/>
  <c r="K183" i="12"/>
  <c r="I184" i="12"/>
  <c r="J184" i="12"/>
  <c r="K184" i="12"/>
  <c r="I185" i="12"/>
  <c r="J185" i="12"/>
  <c r="K185" i="12"/>
  <c r="I186" i="12"/>
  <c r="J186" i="12"/>
  <c r="K186" i="12"/>
  <c r="I187" i="12"/>
  <c r="J187" i="12"/>
  <c r="K187" i="12"/>
  <c r="I188" i="12"/>
  <c r="J188" i="12"/>
  <c r="K188" i="12"/>
  <c r="I189" i="12"/>
  <c r="J189" i="12"/>
  <c r="K189" i="12"/>
  <c r="I190" i="12"/>
  <c r="J190" i="12"/>
  <c r="K190" i="12"/>
  <c r="I191" i="12"/>
  <c r="J191" i="12"/>
  <c r="K191" i="12"/>
  <c r="I192" i="12"/>
  <c r="J192" i="12"/>
  <c r="K192" i="12"/>
  <c r="I193" i="12"/>
  <c r="J193" i="12"/>
  <c r="K193" i="12"/>
  <c r="I194" i="12"/>
  <c r="J194" i="12"/>
  <c r="K194" i="12"/>
  <c r="I195" i="12"/>
  <c r="J195" i="12"/>
  <c r="K195" i="12"/>
  <c r="I196" i="12"/>
  <c r="J196" i="12"/>
  <c r="K196" i="12"/>
  <c r="I197" i="12"/>
  <c r="J197" i="12"/>
  <c r="K197" i="12"/>
  <c r="I198" i="12"/>
  <c r="J198" i="12"/>
  <c r="K198" i="12"/>
  <c r="I199" i="12"/>
  <c r="J199" i="12"/>
  <c r="K199" i="12"/>
  <c r="I200" i="12"/>
  <c r="J200" i="12"/>
  <c r="K200" i="12"/>
  <c r="I201" i="12"/>
  <c r="J201" i="12"/>
  <c r="K201" i="12"/>
  <c r="I202" i="12"/>
  <c r="J202" i="12"/>
  <c r="K202" i="12"/>
  <c r="I203" i="12"/>
  <c r="J203" i="12"/>
  <c r="K203" i="12"/>
  <c r="I204" i="12"/>
  <c r="J204" i="12"/>
  <c r="K204" i="12"/>
  <c r="I205" i="12"/>
  <c r="J205" i="12"/>
  <c r="K205" i="12"/>
  <c r="I206" i="12"/>
  <c r="J206" i="12"/>
  <c r="K206" i="12"/>
  <c r="I207" i="12"/>
  <c r="J207" i="12"/>
  <c r="K207" i="12"/>
  <c r="I208" i="12"/>
  <c r="J208" i="12"/>
  <c r="K208" i="12"/>
  <c r="I209" i="12"/>
  <c r="J209" i="12"/>
  <c r="K209" i="12"/>
  <c r="I210" i="12"/>
  <c r="J210" i="12"/>
  <c r="K210" i="12"/>
  <c r="I211" i="12"/>
  <c r="J211" i="12"/>
  <c r="K211" i="12"/>
  <c r="I212" i="12"/>
  <c r="J212" i="12"/>
  <c r="K212" i="12"/>
  <c r="I213" i="12"/>
  <c r="J213" i="12"/>
  <c r="K213" i="12"/>
  <c r="I214" i="12"/>
  <c r="J214" i="12"/>
  <c r="K214" i="12"/>
  <c r="I215" i="12"/>
  <c r="J215" i="12"/>
  <c r="K215" i="12"/>
  <c r="I216" i="12"/>
  <c r="J216" i="12"/>
  <c r="K216" i="12"/>
  <c r="BD139" i="12"/>
  <c r="BD140" i="12"/>
  <c r="BF140" i="12" s="1"/>
  <c r="BD142" i="12"/>
  <c r="BF142" i="12" s="1"/>
  <c r="AU143" i="12"/>
  <c r="AV143" i="12"/>
  <c r="AW143" i="12"/>
  <c r="BD143" i="12" s="1"/>
  <c r="BF143" i="12" s="1"/>
  <c r="AU144" i="12"/>
  <c r="AV144" i="12"/>
  <c r="AW144" i="12"/>
  <c r="BD144" i="12" s="1"/>
  <c r="AU145" i="12"/>
  <c r="AV145" i="12"/>
  <c r="AW145" i="12"/>
  <c r="BD145" i="12" s="1"/>
  <c r="AU146" i="12"/>
  <c r="AV146" i="12"/>
  <c r="AW146" i="12"/>
  <c r="BD146" i="12" s="1"/>
  <c r="BF146" i="12" s="1"/>
  <c r="AU147" i="12"/>
  <c r="AV147" i="12"/>
  <c r="AW147" i="12"/>
  <c r="BD147" i="12" s="1"/>
  <c r="AU148" i="12"/>
  <c r="AV148" i="12"/>
  <c r="AW148" i="12"/>
  <c r="BD148" i="12" s="1"/>
  <c r="BF148" i="12" s="1"/>
  <c r="AU149" i="12"/>
  <c r="AV149" i="12"/>
  <c r="AW149" i="12"/>
  <c r="BD149" i="12" s="1"/>
  <c r="BF149" i="12" s="1"/>
  <c r="AU150" i="12"/>
  <c r="AV150" i="12"/>
  <c r="AW150" i="12"/>
  <c r="BD150" i="12" s="1"/>
  <c r="AU151" i="12"/>
  <c r="AV151" i="12"/>
  <c r="AW151" i="12"/>
  <c r="BD151" i="12" s="1"/>
  <c r="AU152" i="12"/>
  <c r="AV152" i="12"/>
  <c r="AW152" i="12"/>
  <c r="BD152" i="12" s="1"/>
  <c r="AU153" i="12"/>
  <c r="AV153" i="12"/>
  <c r="AW153" i="12"/>
  <c r="BD153" i="12" s="1"/>
  <c r="AU154" i="12"/>
  <c r="AV154" i="12"/>
  <c r="AW154" i="12"/>
  <c r="BD154" i="12" s="1"/>
  <c r="BF154" i="12" s="1"/>
  <c r="AU155" i="12"/>
  <c r="AV155" i="12"/>
  <c r="AW155" i="12"/>
  <c r="BD155" i="12" s="1"/>
  <c r="AU156" i="12"/>
  <c r="AV156" i="12"/>
  <c r="AW156" i="12"/>
  <c r="BD156" i="12" s="1"/>
  <c r="BF156" i="12" s="1"/>
  <c r="AU157" i="12"/>
  <c r="AV157" i="12"/>
  <c r="AW157" i="12"/>
  <c r="BD157" i="12" s="1"/>
  <c r="AU158" i="12"/>
  <c r="AV158" i="12"/>
  <c r="AW158" i="12"/>
  <c r="BD158" i="12" s="1"/>
  <c r="AU159" i="12"/>
  <c r="AV159" i="12"/>
  <c r="AW159" i="12"/>
  <c r="BD159" i="12" s="1"/>
  <c r="AU160" i="12"/>
  <c r="AV160" i="12"/>
  <c r="AW160" i="12"/>
  <c r="BD160" i="12" s="1"/>
  <c r="AU161" i="12"/>
  <c r="AV161" i="12"/>
  <c r="AW161" i="12"/>
  <c r="BD161" i="12" s="1"/>
  <c r="AU162" i="12"/>
  <c r="AV162" i="12"/>
  <c r="AW162" i="12"/>
  <c r="BD162" i="12" s="1"/>
  <c r="BD137" i="12"/>
  <c r="BF137" i="12" s="1"/>
  <c r="AY137" i="12"/>
  <c r="AZ137" i="12" s="1"/>
  <c r="AR143" i="12"/>
  <c r="AS143" i="12"/>
  <c r="AT143" i="12"/>
  <c r="AR144" i="12"/>
  <c r="AS144" i="12"/>
  <c r="AT144" i="12"/>
  <c r="AR145" i="12"/>
  <c r="AS145" i="12"/>
  <c r="AT145" i="12"/>
  <c r="AR146" i="12"/>
  <c r="AS146" i="12"/>
  <c r="AT146" i="12"/>
  <c r="AR147" i="12"/>
  <c r="AS147" i="12"/>
  <c r="AT147" i="12"/>
  <c r="AR148" i="12"/>
  <c r="AS148" i="12"/>
  <c r="AT148" i="12"/>
  <c r="AR149" i="12"/>
  <c r="AS149" i="12"/>
  <c r="AT149" i="12"/>
  <c r="AR150" i="12"/>
  <c r="AS150" i="12"/>
  <c r="AT150" i="12"/>
  <c r="AR151" i="12"/>
  <c r="AS151" i="12"/>
  <c r="AT151" i="12"/>
  <c r="AR152" i="12"/>
  <c r="AS152" i="12"/>
  <c r="AT152" i="12"/>
  <c r="AR153" i="12"/>
  <c r="AS153" i="12"/>
  <c r="AT153" i="12"/>
  <c r="AR154" i="12"/>
  <c r="AS154" i="12"/>
  <c r="AT154" i="12"/>
  <c r="AR155" i="12"/>
  <c r="AS155" i="12"/>
  <c r="AT155" i="12"/>
  <c r="AR156" i="12"/>
  <c r="AS156" i="12"/>
  <c r="AT156" i="12"/>
  <c r="AR157" i="12"/>
  <c r="AS157" i="12"/>
  <c r="AT157" i="12"/>
  <c r="AR158" i="12"/>
  <c r="AS158" i="12"/>
  <c r="AT158" i="12"/>
  <c r="AR159" i="12"/>
  <c r="AS159" i="12"/>
  <c r="AT159" i="12"/>
  <c r="AR160" i="12"/>
  <c r="AS160" i="12"/>
  <c r="AT160" i="12"/>
  <c r="AR161" i="12"/>
  <c r="AS161" i="12"/>
  <c r="AT161" i="12"/>
  <c r="AR162" i="12"/>
  <c r="AS162" i="12"/>
  <c r="AT162" i="12"/>
  <c r="AK143" i="12"/>
  <c r="AL143" i="12"/>
  <c r="AM143" i="12"/>
  <c r="AK144" i="12"/>
  <c r="AL144" i="12"/>
  <c r="AM144" i="12"/>
  <c r="AK145" i="12"/>
  <c r="AL145" i="12"/>
  <c r="AM145" i="12"/>
  <c r="AK146" i="12"/>
  <c r="AL146" i="12"/>
  <c r="AM146" i="12"/>
  <c r="AK147" i="12"/>
  <c r="AL147" i="12"/>
  <c r="AM147" i="12"/>
  <c r="AK148" i="12"/>
  <c r="AL148" i="12"/>
  <c r="AM148" i="12"/>
  <c r="AK149" i="12"/>
  <c r="AL149" i="12"/>
  <c r="AM149" i="12"/>
  <c r="AK150" i="12"/>
  <c r="AL150" i="12"/>
  <c r="AM150" i="12"/>
  <c r="AK151" i="12"/>
  <c r="AL151" i="12"/>
  <c r="AM151" i="12"/>
  <c r="AK152" i="12"/>
  <c r="AL152" i="12"/>
  <c r="AM152" i="12"/>
  <c r="AK153" i="12"/>
  <c r="AL153" i="12"/>
  <c r="AM153" i="12"/>
  <c r="AK154" i="12"/>
  <c r="AL154" i="12"/>
  <c r="AM154" i="12"/>
  <c r="AK155" i="12"/>
  <c r="AL155" i="12"/>
  <c r="AM155" i="12"/>
  <c r="AK156" i="12"/>
  <c r="AL156" i="12"/>
  <c r="AM156" i="12"/>
  <c r="AK157" i="12"/>
  <c r="AL157" i="12"/>
  <c r="AM157" i="12"/>
  <c r="AK158" i="12"/>
  <c r="AL158" i="12"/>
  <c r="AM158" i="12"/>
  <c r="AK159" i="12"/>
  <c r="AL159" i="12"/>
  <c r="AM159" i="12"/>
  <c r="AK160" i="12"/>
  <c r="AL160" i="12"/>
  <c r="AM160" i="12"/>
  <c r="AK161" i="12"/>
  <c r="AL161" i="12"/>
  <c r="AM161" i="12"/>
  <c r="AK162" i="12"/>
  <c r="AL162" i="12"/>
  <c r="AM162" i="12"/>
  <c r="AD143" i="12"/>
  <c r="AE143" i="12"/>
  <c r="AF143" i="12"/>
  <c r="AD144" i="12"/>
  <c r="AE144" i="12"/>
  <c r="AF144" i="12"/>
  <c r="AD145" i="12"/>
  <c r="AE145" i="12"/>
  <c r="AF145" i="12"/>
  <c r="AD146" i="12"/>
  <c r="AE146" i="12"/>
  <c r="AF146" i="12"/>
  <c r="AD147" i="12"/>
  <c r="AE147" i="12"/>
  <c r="AF147" i="12"/>
  <c r="AD148" i="12"/>
  <c r="AE148" i="12"/>
  <c r="AF148" i="12"/>
  <c r="AD149" i="12"/>
  <c r="AE149" i="12"/>
  <c r="AF149" i="12"/>
  <c r="AD150" i="12"/>
  <c r="AE150" i="12"/>
  <c r="AF150" i="12"/>
  <c r="AD151" i="12"/>
  <c r="AE151" i="12"/>
  <c r="AF151" i="12"/>
  <c r="AD152" i="12"/>
  <c r="AE152" i="12"/>
  <c r="AF152" i="12"/>
  <c r="AD153" i="12"/>
  <c r="AE153" i="12"/>
  <c r="AF153" i="12"/>
  <c r="AD154" i="12"/>
  <c r="AE154" i="12"/>
  <c r="AF154" i="12"/>
  <c r="AD155" i="12"/>
  <c r="AE155" i="12"/>
  <c r="AF155" i="12"/>
  <c r="AD156" i="12"/>
  <c r="AE156" i="12"/>
  <c r="AF156" i="12"/>
  <c r="AD157" i="12"/>
  <c r="AE157" i="12"/>
  <c r="AF157" i="12"/>
  <c r="AD158" i="12"/>
  <c r="AE158" i="12"/>
  <c r="AF158" i="12"/>
  <c r="AD159" i="12"/>
  <c r="AE159" i="12"/>
  <c r="AF159" i="12"/>
  <c r="AD160" i="12"/>
  <c r="AE160" i="12"/>
  <c r="AF160" i="12"/>
  <c r="AD161" i="12"/>
  <c r="AE161" i="12"/>
  <c r="AF161" i="12"/>
  <c r="AD162" i="12"/>
  <c r="AE162" i="12"/>
  <c r="AF162" i="12"/>
  <c r="W143" i="12"/>
  <c r="X143" i="12"/>
  <c r="Y143" i="12"/>
  <c r="W144" i="12"/>
  <c r="X144" i="12"/>
  <c r="Y144" i="12"/>
  <c r="W145" i="12"/>
  <c r="X145" i="12"/>
  <c r="Y145" i="12"/>
  <c r="W146" i="12"/>
  <c r="X146" i="12"/>
  <c r="Y146" i="12"/>
  <c r="W147" i="12"/>
  <c r="X147" i="12"/>
  <c r="Y147" i="12"/>
  <c r="W148" i="12"/>
  <c r="X148" i="12"/>
  <c r="Y148" i="12"/>
  <c r="W149" i="12"/>
  <c r="X149" i="12"/>
  <c r="Y149" i="12"/>
  <c r="W150" i="12"/>
  <c r="X150" i="12"/>
  <c r="Y150" i="12"/>
  <c r="W151" i="12"/>
  <c r="X151" i="12"/>
  <c r="Y151" i="12"/>
  <c r="W152" i="12"/>
  <c r="X152" i="12"/>
  <c r="Y152" i="12"/>
  <c r="W153" i="12"/>
  <c r="X153" i="12"/>
  <c r="Y153" i="12"/>
  <c r="W154" i="12"/>
  <c r="X154" i="12"/>
  <c r="Y154" i="12"/>
  <c r="W155" i="12"/>
  <c r="X155" i="12"/>
  <c r="Y155" i="12"/>
  <c r="W156" i="12"/>
  <c r="X156" i="12"/>
  <c r="Y156" i="12"/>
  <c r="W157" i="12"/>
  <c r="X157" i="12"/>
  <c r="Y157" i="12"/>
  <c r="W158" i="12"/>
  <c r="X158" i="12"/>
  <c r="Y158" i="12"/>
  <c r="W159" i="12"/>
  <c r="X159" i="12"/>
  <c r="Y159" i="12"/>
  <c r="W160" i="12"/>
  <c r="X160" i="12"/>
  <c r="Y160" i="12"/>
  <c r="W161" i="12"/>
  <c r="X161" i="12"/>
  <c r="Y161" i="12"/>
  <c r="W162" i="12"/>
  <c r="X162" i="12"/>
  <c r="Y162" i="12"/>
  <c r="P143" i="12"/>
  <c r="Q143" i="12"/>
  <c r="R143" i="12"/>
  <c r="P144" i="12"/>
  <c r="Q144" i="12"/>
  <c r="R144" i="12"/>
  <c r="P145" i="12"/>
  <c r="Q145" i="12"/>
  <c r="R145" i="12"/>
  <c r="P146" i="12"/>
  <c r="Q146" i="12"/>
  <c r="R146" i="12"/>
  <c r="P147" i="12"/>
  <c r="Q147" i="12"/>
  <c r="R147" i="12"/>
  <c r="P148" i="12"/>
  <c r="Q148" i="12"/>
  <c r="R148" i="12"/>
  <c r="P149" i="12"/>
  <c r="Q149" i="12"/>
  <c r="R149" i="12"/>
  <c r="P150" i="12"/>
  <c r="Q150" i="12"/>
  <c r="R150" i="12"/>
  <c r="P151" i="12"/>
  <c r="Q151" i="12"/>
  <c r="R151" i="12"/>
  <c r="P152" i="12"/>
  <c r="Q152" i="12"/>
  <c r="R152" i="12"/>
  <c r="P153" i="12"/>
  <c r="Q153" i="12"/>
  <c r="R153" i="12"/>
  <c r="P154" i="12"/>
  <c r="Q154" i="12"/>
  <c r="R154" i="12"/>
  <c r="P155" i="12"/>
  <c r="Q155" i="12"/>
  <c r="R155" i="12"/>
  <c r="P156" i="12"/>
  <c r="Q156" i="12"/>
  <c r="R156" i="12"/>
  <c r="P157" i="12"/>
  <c r="Q157" i="12"/>
  <c r="R157" i="12"/>
  <c r="P158" i="12"/>
  <c r="Q158" i="12"/>
  <c r="R158" i="12"/>
  <c r="P159" i="12"/>
  <c r="Q159" i="12"/>
  <c r="R159" i="12"/>
  <c r="P160" i="12"/>
  <c r="Q160" i="12"/>
  <c r="R160" i="12"/>
  <c r="P161" i="12"/>
  <c r="Q161" i="12"/>
  <c r="R161" i="12"/>
  <c r="P162" i="12"/>
  <c r="Q162" i="12"/>
  <c r="R162" i="12"/>
  <c r="I143" i="12"/>
  <c r="J143" i="12"/>
  <c r="K143" i="12"/>
  <c r="I144" i="12"/>
  <c r="J144" i="12"/>
  <c r="K144" i="12"/>
  <c r="I145" i="12"/>
  <c r="J145" i="12"/>
  <c r="K145" i="12"/>
  <c r="I146" i="12"/>
  <c r="J146" i="12"/>
  <c r="K146" i="12"/>
  <c r="I147" i="12"/>
  <c r="J147" i="12"/>
  <c r="K147" i="12"/>
  <c r="I148" i="12"/>
  <c r="J148" i="12"/>
  <c r="K148" i="12"/>
  <c r="I149" i="12"/>
  <c r="J149" i="12"/>
  <c r="K149" i="12"/>
  <c r="I150" i="12"/>
  <c r="J150" i="12"/>
  <c r="K150" i="12"/>
  <c r="I151" i="12"/>
  <c r="J151" i="12"/>
  <c r="K151" i="12"/>
  <c r="I152" i="12"/>
  <c r="J152" i="12"/>
  <c r="K152" i="12"/>
  <c r="I153" i="12"/>
  <c r="J153" i="12"/>
  <c r="K153" i="12"/>
  <c r="I154" i="12"/>
  <c r="J154" i="12"/>
  <c r="K154" i="12"/>
  <c r="I155" i="12"/>
  <c r="J155" i="12"/>
  <c r="K155" i="12"/>
  <c r="I156" i="12"/>
  <c r="J156" i="12"/>
  <c r="K156" i="12"/>
  <c r="I157" i="12"/>
  <c r="J157" i="12"/>
  <c r="K157" i="12"/>
  <c r="I158" i="12"/>
  <c r="J158" i="12"/>
  <c r="K158" i="12"/>
  <c r="I159" i="12"/>
  <c r="J159" i="12"/>
  <c r="K159" i="12"/>
  <c r="I160" i="12"/>
  <c r="J160" i="12"/>
  <c r="K160" i="12"/>
  <c r="I161" i="12"/>
  <c r="J161" i="12"/>
  <c r="K161" i="12"/>
  <c r="I162" i="12"/>
  <c r="J162" i="12"/>
  <c r="K162" i="12"/>
  <c r="AR88" i="12"/>
  <c r="AS88" i="12"/>
  <c r="AT88" i="12"/>
  <c r="AR89" i="12"/>
  <c r="AS89" i="12"/>
  <c r="AT89" i="12"/>
  <c r="AR90" i="12"/>
  <c r="AS90" i="12"/>
  <c r="AT90" i="12"/>
  <c r="AR91" i="12"/>
  <c r="AS91" i="12"/>
  <c r="AT91" i="12"/>
  <c r="AR92" i="12"/>
  <c r="AS92" i="12"/>
  <c r="AT92" i="12"/>
  <c r="AR93" i="12"/>
  <c r="AS93" i="12"/>
  <c r="AT93" i="12"/>
  <c r="AR94" i="12"/>
  <c r="AS94" i="12"/>
  <c r="AT94" i="12"/>
  <c r="AR95" i="12"/>
  <c r="AS95" i="12"/>
  <c r="AT95" i="12"/>
  <c r="AR96" i="12"/>
  <c r="AS96" i="12"/>
  <c r="AT96" i="12"/>
  <c r="AR97" i="12"/>
  <c r="AS97" i="12"/>
  <c r="AT97" i="12"/>
  <c r="AR98" i="12"/>
  <c r="AS98" i="12"/>
  <c r="AT98" i="12"/>
  <c r="AR99" i="12"/>
  <c r="AS99" i="12"/>
  <c r="AT99" i="12"/>
  <c r="AR100" i="12"/>
  <c r="AS100" i="12"/>
  <c r="AT100" i="12"/>
  <c r="AR101" i="12"/>
  <c r="AS101" i="12"/>
  <c r="AT101" i="12"/>
  <c r="AR102" i="12"/>
  <c r="AS102" i="12"/>
  <c r="AT102" i="12"/>
  <c r="AR103" i="12"/>
  <c r="AS103" i="12"/>
  <c r="AT103" i="12"/>
  <c r="AR104" i="12"/>
  <c r="AS104" i="12"/>
  <c r="AT104" i="12"/>
  <c r="AR105" i="12"/>
  <c r="AS105" i="12"/>
  <c r="AT105" i="12"/>
  <c r="AR106" i="12"/>
  <c r="AS106" i="12"/>
  <c r="AT106" i="12"/>
  <c r="AR107" i="12"/>
  <c r="AS107" i="12"/>
  <c r="AT107" i="12"/>
  <c r="AR108" i="12"/>
  <c r="AS108" i="12"/>
  <c r="AT108" i="12"/>
  <c r="AR109" i="12"/>
  <c r="AS109" i="12"/>
  <c r="AT109" i="12"/>
  <c r="AR110" i="12"/>
  <c r="AS110" i="12"/>
  <c r="AT110" i="12"/>
  <c r="AR111" i="12"/>
  <c r="AS111" i="12"/>
  <c r="AT111" i="12"/>
  <c r="AR112" i="12"/>
  <c r="AS112" i="12"/>
  <c r="AT112" i="12"/>
  <c r="AR113" i="12"/>
  <c r="AS113" i="12"/>
  <c r="AT113" i="12"/>
  <c r="AR114" i="12"/>
  <c r="AS114" i="12"/>
  <c r="AT114" i="12"/>
  <c r="AR115" i="12"/>
  <c r="AS115" i="12"/>
  <c r="AT115" i="12"/>
  <c r="AR116" i="12"/>
  <c r="AS116" i="12"/>
  <c r="AT116" i="12"/>
  <c r="AR117" i="12"/>
  <c r="AS117" i="12"/>
  <c r="AT117" i="12"/>
  <c r="AR118" i="12"/>
  <c r="AS118" i="12"/>
  <c r="AT118" i="12"/>
  <c r="AR119" i="12"/>
  <c r="AS119" i="12"/>
  <c r="AT119" i="12"/>
  <c r="AR120" i="12"/>
  <c r="AS120" i="12"/>
  <c r="AT120" i="12"/>
  <c r="AR121" i="12"/>
  <c r="AS121" i="12"/>
  <c r="AT121" i="12"/>
  <c r="AR122" i="12"/>
  <c r="AS122" i="12"/>
  <c r="AT122" i="12"/>
  <c r="AR123" i="12"/>
  <c r="AS123" i="12"/>
  <c r="AT123" i="12"/>
  <c r="AR124" i="12"/>
  <c r="AS124" i="12"/>
  <c r="AT124" i="12"/>
  <c r="AR87" i="12"/>
  <c r="AS87" i="12" s="1"/>
  <c r="AT87" i="12" s="1"/>
  <c r="AK88" i="12"/>
  <c r="AL88" i="12"/>
  <c r="AM88" i="12"/>
  <c r="AK89" i="12"/>
  <c r="AL89" i="12"/>
  <c r="AM89" i="12"/>
  <c r="AK90" i="12"/>
  <c r="AL90" i="12"/>
  <c r="AM90" i="12"/>
  <c r="AK91" i="12"/>
  <c r="AL91" i="12"/>
  <c r="AM91" i="12"/>
  <c r="AK92" i="12"/>
  <c r="AL92" i="12"/>
  <c r="AM92" i="12"/>
  <c r="AK93" i="12"/>
  <c r="AL93" i="12"/>
  <c r="AM93" i="12"/>
  <c r="AK94" i="12"/>
  <c r="AL94" i="12"/>
  <c r="AM94" i="12"/>
  <c r="AK95" i="12"/>
  <c r="AL95" i="12"/>
  <c r="AM95" i="12"/>
  <c r="AK96" i="12"/>
  <c r="AL96" i="12"/>
  <c r="AM96" i="12"/>
  <c r="AK97" i="12"/>
  <c r="AL97" i="12"/>
  <c r="AM97" i="12"/>
  <c r="AK98" i="12"/>
  <c r="AL98" i="12"/>
  <c r="AM98" i="12"/>
  <c r="AK99" i="12"/>
  <c r="AL99" i="12"/>
  <c r="AM99" i="12"/>
  <c r="AK100" i="12"/>
  <c r="AL100" i="12"/>
  <c r="AM100" i="12"/>
  <c r="AK101" i="12"/>
  <c r="AL101" i="12"/>
  <c r="AM101" i="12"/>
  <c r="AK102" i="12"/>
  <c r="AL102" i="12"/>
  <c r="AM102" i="12"/>
  <c r="AK103" i="12"/>
  <c r="AL103" i="12"/>
  <c r="AM103" i="12"/>
  <c r="AK104" i="12"/>
  <c r="AL104" i="12"/>
  <c r="AM104" i="12"/>
  <c r="AK105" i="12"/>
  <c r="AL105" i="12"/>
  <c r="AM105" i="12"/>
  <c r="AK106" i="12"/>
  <c r="AL106" i="12"/>
  <c r="AM106" i="12"/>
  <c r="AK107" i="12"/>
  <c r="AL107" i="12"/>
  <c r="AM107" i="12"/>
  <c r="AK108" i="12"/>
  <c r="AL108" i="12"/>
  <c r="AM108" i="12"/>
  <c r="AK109" i="12"/>
  <c r="AL109" i="12"/>
  <c r="AM109" i="12"/>
  <c r="AK110" i="12"/>
  <c r="AL110" i="12"/>
  <c r="AM110" i="12"/>
  <c r="AK111" i="12"/>
  <c r="AL111" i="12"/>
  <c r="AM111" i="12"/>
  <c r="AK112" i="12"/>
  <c r="AL112" i="12"/>
  <c r="AM112" i="12"/>
  <c r="AK113" i="12"/>
  <c r="AL113" i="12"/>
  <c r="AM113" i="12"/>
  <c r="AK114" i="12"/>
  <c r="AL114" i="12"/>
  <c r="AM114" i="12"/>
  <c r="AK115" i="12"/>
  <c r="AL115" i="12"/>
  <c r="AM115" i="12"/>
  <c r="AK116" i="12"/>
  <c r="AL116" i="12"/>
  <c r="AM116" i="12"/>
  <c r="AK117" i="12"/>
  <c r="AL117" i="12"/>
  <c r="AM117" i="12"/>
  <c r="AK118" i="12"/>
  <c r="AL118" i="12"/>
  <c r="AM118" i="12"/>
  <c r="AK119" i="12"/>
  <c r="AL119" i="12"/>
  <c r="AM119" i="12"/>
  <c r="AK120" i="12"/>
  <c r="AL120" i="12"/>
  <c r="AM120" i="12"/>
  <c r="AK121" i="12"/>
  <c r="AL121" i="12"/>
  <c r="AM121" i="12"/>
  <c r="AK122" i="12"/>
  <c r="AL122" i="12"/>
  <c r="AM122" i="12"/>
  <c r="AK123" i="12"/>
  <c r="AL123" i="12"/>
  <c r="AM123" i="12"/>
  <c r="AK124" i="12"/>
  <c r="AL124" i="12"/>
  <c r="AM124" i="12"/>
  <c r="AK87" i="12"/>
  <c r="AL87" i="12" s="1"/>
  <c r="AM87" i="12" s="1"/>
  <c r="AD88" i="12"/>
  <c r="AE88" i="12"/>
  <c r="AF88" i="12"/>
  <c r="AD89" i="12"/>
  <c r="AE89" i="12"/>
  <c r="AF89" i="12"/>
  <c r="AD90" i="12"/>
  <c r="AE90" i="12"/>
  <c r="AF90" i="12"/>
  <c r="AD91" i="12"/>
  <c r="AE91" i="12"/>
  <c r="AF91" i="12"/>
  <c r="AD92" i="12"/>
  <c r="AE92" i="12"/>
  <c r="AF92" i="12"/>
  <c r="AD93" i="12"/>
  <c r="AE93" i="12"/>
  <c r="AF93" i="12"/>
  <c r="AD94" i="12"/>
  <c r="AE94" i="12"/>
  <c r="AF94" i="12"/>
  <c r="AD95" i="12"/>
  <c r="AE95" i="12"/>
  <c r="AF95" i="12"/>
  <c r="AD96" i="12"/>
  <c r="AE96" i="12"/>
  <c r="AF96" i="12"/>
  <c r="AD97" i="12"/>
  <c r="AE97" i="12"/>
  <c r="AF97" i="12"/>
  <c r="AD98" i="12"/>
  <c r="AE98" i="12"/>
  <c r="AF98" i="12"/>
  <c r="AD99" i="12"/>
  <c r="AE99" i="12"/>
  <c r="AF99" i="12"/>
  <c r="AD100" i="12"/>
  <c r="AE100" i="12"/>
  <c r="AF100" i="12"/>
  <c r="AD101" i="12"/>
  <c r="AE101" i="12"/>
  <c r="AF101" i="12"/>
  <c r="AD102" i="12"/>
  <c r="AE102" i="12"/>
  <c r="AF102" i="12"/>
  <c r="AD103" i="12"/>
  <c r="AE103" i="12"/>
  <c r="AF103" i="12"/>
  <c r="AD104" i="12"/>
  <c r="AE104" i="12"/>
  <c r="AF104" i="12"/>
  <c r="AD105" i="12"/>
  <c r="AE105" i="12"/>
  <c r="AF105" i="12"/>
  <c r="AD106" i="12"/>
  <c r="AE106" i="12"/>
  <c r="AF106" i="12"/>
  <c r="AD107" i="12"/>
  <c r="AE107" i="12"/>
  <c r="AF107" i="12"/>
  <c r="AD108" i="12"/>
  <c r="AE108" i="12"/>
  <c r="AF108" i="12"/>
  <c r="AD109" i="12"/>
  <c r="AE109" i="12"/>
  <c r="AF109" i="12"/>
  <c r="AD110" i="12"/>
  <c r="AE110" i="12"/>
  <c r="AF110" i="12"/>
  <c r="AD111" i="12"/>
  <c r="AE111" i="12"/>
  <c r="AF111" i="12"/>
  <c r="AD112" i="12"/>
  <c r="AE112" i="12"/>
  <c r="AF112" i="12"/>
  <c r="AD113" i="12"/>
  <c r="AE113" i="12"/>
  <c r="AF113" i="12"/>
  <c r="AD114" i="12"/>
  <c r="AE114" i="12"/>
  <c r="AF114" i="12"/>
  <c r="AD115" i="12"/>
  <c r="AE115" i="12"/>
  <c r="AF115" i="12"/>
  <c r="AD116" i="12"/>
  <c r="AE116" i="12"/>
  <c r="AF116" i="12"/>
  <c r="AD117" i="12"/>
  <c r="AE117" i="12"/>
  <c r="AF117" i="12"/>
  <c r="AD118" i="12"/>
  <c r="AE118" i="12"/>
  <c r="AF118" i="12"/>
  <c r="AD119" i="12"/>
  <c r="AE119" i="12"/>
  <c r="AF119" i="12"/>
  <c r="AD120" i="12"/>
  <c r="AE120" i="12"/>
  <c r="AF120" i="12"/>
  <c r="AD121" i="12"/>
  <c r="AE121" i="12"/>
  <c r="AF121" i="12"/>
  <c r="AD122" i="12"/>
  <c r="AE122" i="12"/>
  <c r="AF122" i="12"/>
  <c r="AD123" i="12"/>
  <c r="AE123" i="12"/>
  <c r="AF123" i="12"/>
  <c r="AD124" i="12"/>
  <c r="AE124" i="12"/>
  <c r="AF124" i="12"/>
  <c r="AD87" i="12"/>
  <c r="AE87" i="12" s="1"/>
  <c r="AF87" i="12" s="1"/>
  <c r="W88" i="12"/>
  <c r="X88" i="12"/>
  <c r="Y88" i="12"/>
  <c r="W89" i="12"/>
  <c r="X89" i="12"/>
  <c r="Y89" i="12"/>
  <c r="W90" i="12"/>
  <c r="X90" i="12"/>
  <c r="Y90" i="12"/>
  <c r="W91" i="12"/>
  <c r="X91" i="12"/>
  <c r="Y91" i="12"/>
  <c r="W92" i="12"/>
  <c r="X92" i="12"/>
  <c r="Y92" i="12"/>
  <c r="W93" i="12"/>
  <c r="X93" i="12"/>
  <c r="Y93" i="12"/>
  <c r="W94" i="12"/>
  <c r="X94" i="12"/>
  <c r="Y94" i="12"/>
  <c r="W95" i="12"/>
  <c r="X95" i="12"/>
  <c r="Y95" i="12"/>
  <c r="W96" i="12"/>
  <c r="X96" i="12"/>
  <c r="Y96" i="12"/>
  <c r="W97" i="12"/>
  <c r="X97" i="12"/>
  <c r="Y97" i="12"/>
  <c r="W98" i="12"/>
  <c r="X98" i="12"/>
  <c r="Y98" i="12"/>
  <c r="W99" i="12"/>
  <c r="X99" i="12"/>
  <c r="Y99" i="12"/>
  <c r="W100" i="12"/>
  <c r="X100" i="12"/>
  <c r="Y100" i="12"/>
  <c r="W101" i="12"/>
  <c r="X101" i="12"/>
  <c r="Y101" i="12"/>
  <c r="W102" i="12"/>
  <c r="X102" i="12"/>
  <c r="Y102" i="12"/>
  <c r="W103" i="12"/>
  <c r="X103" i="12"/>
  <c r="Y103" i="12"/>
  <c r="W104" i="12"/>
  <c r="X104" i="12"/>
  <c r="Y104" i="12"/>
  <c r="W105" i="12"/>
  <c r="X105" i="12"/>
  <c r="Y105" i="12"/>
  <c r="W106" i="12"/>
  <c r="X106" i="12"/>
  <c r="Y106" i="12"/>
  <c r="W107" i="12"/>
  <c r="X107" i="12"/>
  <c r="Y107" i="12"/>
  <c r="W108" i="12"/>
  <c r="X108" i="12"/>
  <c r="Y108" i="12"/>
  <c r="W109" i="12"/>
  <c r="X109" i="12"/>
  <c r="Y109" i="12"/>
  <c r="W110" i="12"/>
  <c r="X110" i="12"/>
  <c r="Y110" i="12"/>
  <c r="W111" i="12"/>
  <c r="X111" i="12"/>
  <c r="Y111" i="12"/>
  <c r="W112" i="12"/>
  <c r="X112" i="12"/>
  <c r="Y112" i="12"/>
  <c r="W113" i="12"/>
  <c r="X113" i="12"/>
  <c r="Y113" i="12"/>
  <c r="W114" i="12"/>
  <c r="X114" i="12"/>
  <c r="Y114" i="12"/>
  <c r="W115" i="12"/>
  <c r="X115" i="12"/>
  <c r="Y115" i="12"/>
  <c r="W116" i="12"/>
  <c r="X116" i="12"/>
  <c r="Y116" i="12"/>
  <c r="W117" i="12"/>
  <c r="X117" i="12"/>
  <c r="Y117" i="12"/>
  <c r="W118" i="12"/>
  <c r="X118" i="12"/>
  <c r="Y118" i="12"/>
  <c r="W119" i="12"/>
  <c r="X119" i="12"/>
  <c r="Y119" i="12"/>
  <c r="W120" i="12"/>
  <c r="X120" i="12"/>
  <c r="Y120" i="12"/>
  <c r="W121" i="12"/>
  <c r="X121" i="12"/>
  <c r="Y121" i="12"/>
  <c r="W122" i="12"/>
  <c r="X122" i="12"/>
  <c r="Y122" i="12"/>
  <c r="W123" i="12"/>
  <c r="X123" i="12"/>
  <c r="Y123" i="12"/>
  <c r="W124" i="12"/>
  <c r="X124" i="12"/>
  <c r="Y124" i="12"/>
  <c r="W87" i="12"/>
  <c r="X87" i="12" s="1"/>
  <c r="Y87" i="12" s="1"/>
  <c r="P88" i="12"/>
  <c r="Q88" i="12"/>
  <c r="R88" i="12"/>
  <c r="P89" i="12"/>
  <c r="Q89" i="12"/>
  <c r="R89" i="12"/>
  <c r="P90" i="12"/>
  <c r="Q90" i="12"/>
  <c r="R90" i="12"/>
  <c r="P91" i="12"/>
  <c r="Q91" i="12"/>
  <c r="R91" i="12"/>
  <c r="P92" i="12"/>
  <c r="Q92" i="12"/>
  <c r="R92" i="12"/>
  <c r="P93" i="12"/>
  <c r="Q93" i="12"/>
  <c r="R93" i="12"/>
  <c r="P94" i="12"/>
  <c r="Q94" i="12"/>
  <c r="R94" i="12"/>
  <c r="P95" i="12"/>
  <c r="Q95" i="12"/>
  <c r="R95" i="12"/>
  <c r="P96" i="12"/>
  <c r="Q96" i="12"/>
  <c r="R96" i="12"/>
  <c r="P97" i="12"/>
  <c r="Q97" i="12"/>
  <c r="R97" i="12"/>
  <c r="P98" i="12"/>
  <c r="Q98" i="12"/>
  <c r="R98" i="12"/>
  <c r="P99" i="12"/>
  <c r="Q99" i="12"/>
  <c r="R99" i="12"/>
  <c r="P100" i="12"/>
  <c r="Q100" i="12"/>
  <c r="R100" i="12"/>
  <c r="P101" i="12"/>
  <c r="Q101" i="12"/>
  <c r="R101" i="12"/>
  <c r="P102" i="12"/>
  <c r="Q102" i="12"/>
  <c r="R102" i="12"/>
  <c r="P103" i="12"/>
  <c r="Q103" i="12"/>
  <c r="R103" i="12"/>
  <c r="P104" i="12"/>
  <c r="Q104" i="12"/>
  <c r="R104" i="12"/>
  <c r="P105" i="12"/>
  <c r="Q105" i="12"/>
  <c r="R105" i="12"/>
  <c r="P106" i="12"/>
  <c r="Q106" i="12"/>
  <c r="R106" i="12"/>
  <c r="P107" i="12"/>
  <c r="Q107" i="12"/>
  <c r="R107" i="12"/>
  <c r="P108" i="12"/>
  <c r="Q108" i="12"/>
  <c r="R108" i="12"/>
  <c r="P109" i="12"/>
  <c r="Q109" i="12"/>
  <c r="R109" i="12"/>
  <c r="P110" i="12"/>
  <c r="Q110" i="12"/>
  <c r="R110" i="12"/>
  <c r="P111" i="12"/>
  <c r="Q111" i="12"/>
  <c r="R111" i="12"/>
  <c r="P112" i="12"/>
  <c r="Q112" i="12"/>
  <c r="R112" i="12"/>
  <c r="P113" i="12"/>
  <c r="Q113" i="12"/>
  <c r="R113" i="12"/>
  <c r="P114" i="12"/>
  <c r="Q114" i="12"/>
  <c r="R114" i="12"/>
  <c r="P115" i="12"/>
  <c r="Q115" i="12"/>
  <c r="R115" i="12"/>
  <c r="P116" i="12"/>
  <c r="Q116" i="12"/>
  <c r="R116" i="12"/>
  <c r="P117" i="12"/>
  <c r="Q117" i="12"/>
  <c r="R117" i="12"/>
  <c r="P118" i="12"/>
  <c r="Q118" i="12"/>
  <c r="R118" i="12"/>
  <c r="P119" i="12"/>
  <c r="Q119" i="12"/>
  <c r="R119" i="12"/>
  <c r="P120" i="12"/>
  <c r="Q120" i="12"/>
  <c r="R120" i="12"/>
  <c r="P121" i="12"/>
  <c r="Q121" i="12"/>
  <c r="R121" i="12"/>
  <c r="P122" i="12"/>
  <c r="Q122" i="12"/>
  <c r="R122" i="12"/>
  <c r="P123" i="12"/>
  <c r="Q123" i="12"/>
  <c r="R123" i="12"/>
  <c r="P124" i="12"/>
  <c r="Q124" i="12"/>
  <c r="R124" i="12"/>
  <c r="P87" i="12"/>
  <c r="Q87" i="12" s="1"/>
  <c r="R87" i="12" s="1"/>
  <c r="I88" i="12"/>
  <c r="J88" i="12"/>
  <c r="K88" i="12"/>
  <c r="I89" i="12"/>
  <c r="J89" i="12"/>
  <c r="K89" i="12"/>
  <c r="I90" i="12"/>
  <c r="J90" i="12"/>
  <c r="K90" i="12"/>
  <c r="I91" i="12"/>
  <c r="J91" i="12"/>
  <c r="K91" i="12"/>
  <c r="I92" i="12"/>
  <c r="J92" i="12"/>
  <c r="K92" i="12"/>
  <c r="I93" i="12"/>
  <c r="J93" i="12"/>
  <c r="K93" i="12"/>
  <c r="I94" i="12"/>
  <c r="J94" i="12"/>
  <c r="K94" i="12"/>
  <c r="I95" i="12"/>
  <c r="J95" i="12"/>
  <c r="K95" i="12"/>
  <c r="I96" i="12"/>
  <c r="J96" i="12"/>
  <c r="K96" i="12"/>
  <c r="I97" i="12"/>
  <c r="J97" i="12"/>
  <c r="K97" i="12"/>
  <c r="I98" i="12"/>
  <c r="J98" i="12"/>
  <c r="K98" i="12"/>
  <c r="I99" i="12"/>
  <c r="J99" i="12"/>
  <c r="K99" i="12"/>
  <c r="I100" i="12"/>
  <c r="J100" i="12"/>
  <c r="K100" i="12"/>
  <c r="I101" i="12"/>
  <c r="J101" i="12"/>
  <c r="K101" i="12"/>
  <c r="I102" i="12"/>
  <c r="J102" i="12"/>
  <c r="K102" i="12"/>
  <c r="I103" i="12"/>
  <c r="J103" i="12"/>
  <c r="K103" i="12"/>
  <c r="I104" i="12"/>
  <c r="J104" i="12"/>
  <c r="K104" i="12"/>
  <c r="I105" i="12"/>
  <c r="J105" i="12"/>
  <c r="K105" i="12"/>
  <c r="I106" i="12"/>
  <c r="J106" i="12"/>
  <c r="K106" i="12"/>
  <c r="I107" i="12"/>
  <c r="J107" i="12"/>
  <c r="K107" i="12"/>
  <c r="I108" i="12"/>
  <c r="J108" i="12"/>
  <c r="K108" i="12"/>
  <c r="I109" i="12"/>
  <c r="J109" i="12"/>
  <c r="K109" i="12"/>
  <c r="I110" i="12"/>
  <c r="J110" i="12"/>
  <c r="K110" i="12"/>
  <c r="I111" i="12"/>
  <c r="J111" i="12"/>
  <c r="K111" i="12"/>
  <c r="I112" i="12"/>
  <c r="J112" i="12"/>
  <c r="K112" i="12"/>
  <c r="I113" i="12"/>
  <c r="J113" i="12"/>
  <c r="K113" i="12"/>
  <c r="I114" i="12"/>
  <c r="J114" i="12"/>
  <c r="K114" i="12"/>
  <c r="I115" i="12"/>
  <c r="J115" i="12"/>
  <c r="K115" i="12"/>
  <c r="I116" i="12"/>
  <c r="J116" i="12"/>
  <c r="K116" i="12"/>
  <c r="I117" i="12"/>
  <c r="J117" i="12"/>
  <c r="K117" i="12"/>
  <c r="I118" i="12"/>
  <c r="J118" i="12"/>
  <c r="K118" i="12"/>
  <c r="I119" i="12"/>
  <c r="J119" i="12"/>
  <c r="K119" i="12"/>
  <c r="I120" i="12"/>
  <c r="J120" i="12"/>
  <c r="K120" i="12"/>
  <c r="I121" i="12"/>
  <c r="J121" i="12"/>
  <c r="K121" i="12"/>
  <c r="I122" i="12"/>
  <c r="J122" i="12"/>
  <c r="K122" i="12"/>
  <c r="I123" i="12"/>
  <c r="J123" i="12"/>
  <c r="K123" i="12"/>
  <c r="I124" i="12"/>
  <c r="J124" i="12"/>
  <c r="K124" i="12"/>
  <c r="I87" i="12"/>
  <c r="J87" i="12" s="1"/>
  <c r="K87" i="12" s="1"/>
  <c r="AU88" i="12"/>
  <c r="AV88" i="12"/>
  <c r="AW88" i="12"/>
  <c r="BD88" i="12" s="1"/>
  <c r="AU89" i="12"/>
  <c r="AV89" i="12"/>
  <c r="AW89" i="12"/>
  <c r="BD89" i="12" s="1"/>
  <c r="AU90" i="12"/>
  <c r="AV90" i="12"/>
  <c r="AW90" i="12"/>
  <c r="BD90" i="12" s="1"/>
  <c r="AU91" i="12"/>
  <c r="AV91" i="12"/>
  <c r="AW91" i="12"/>
  <c r="BD91" i="12" s="1"/>
  <c r="AU92" i="12"/>
  <c r="AV92" i="12"/>
  <c r="AW92" i="12"/>
  <c r="BD92" i="12" s="1"/>
  <c r="AU93" i="12"/>
  <c r="AV93" i="12"/>
  <c r="AW93" i="12"/>
  <c r="BD93" i="12" s="1"/>
  <c r="AU94" i="12"/>
  <c r="AV94" i="12"/>
  <c r="AW94" i="12"/>
  <c r="BD94" i="12" s="1"/>
  <c r="AU95" i="12"/>
  <c r="AV95" i="12"/>
  <c r="AW95" i="12"/>
  <c r="BD95" i="12" s="1"/>
  <c r="AU96" i="12"/>
  <c r="AV96" i="12"/>
  <c r="AW96" i="12"/>
  <c r="BD96" i="12" s="1"/>
  <c r="AU97" i="12"/>
  <c r="AV97" i="12"/>
  <c r="AW97" i="12"/>
  <c r="BD97" i="12" s="1"/>
  <c r="AU98" i="12"/>
  <c r="AV98" i="12"/>
  <c r="AW98" i="12"/>
  <c r="BD98" i="12" s="1"/>
  <c r="AU99" i="12"/>
  <c r="AV99" i="12"/>
  <c r="AW99" i="12"/>
  <c r="BD99" i="12" s="1"/>
  <c r="AU100" i="12"/>
  <c r="AV100" i="12"/>
  <c r="AW100" i="12"/>
  <c r="BD100" i="12" s="1"/>
  <c r="AU101" i="12"/>
  <c r="AV101" i="12"/>
  <c r="AW101" i="12"/>
  <c r="BD101" i="12" s="1"/>
  <c r="AU102" i="12"/>
  <c r="AV102" i="12"/>
  <c r="AW102" i="12"/>
  <c r="BD102" i="12" s="1"/>
  <c r="AU103" i="12"/>
  <c r="AV103" i="12"/>
  <c r="AW103" i="12"/>
  <c r="BD103" i="12" s="1"/>
  <c r="AU104" i="12"/>
  <c r="AV104" i="12"/>
  <c r="AW104" i="12"/>
  <c r="BD104" i="12" s="1"/>
  <c r="AU105" i="12"/>
  <c r="AV105" i="12"/>
  <c r="AW105" i="12"/>
  <c r="BD105" i="12" s="1"/>
  <c r="AU106" i="12"/>
  <c r="AV106" i="12"/>
  <c r="AW106" i="12"/>
  <c r="BD106" i="12" s="1"/>
  <c r="AU107" i="12"/>
  <c r="AV107" i="12"/>
  <c r="AW107" i="12"/>
  <c r="BD107" i="12" s="1"/>
  <c r="AU108" i="12"/>
  <c r="AV108" i="12"/>
  <c r="AW108" i="12"/>
  <c r="BD108" i="12" s="1"/>
  <c r="AU109" i="12"/>
  <c r="AV109" i="12"/>
  <c r="AW109" i="12"/>
  <c r="BD109" i="12" s="1"/>
  <c r="AU110" i="12"/>
  <c r="AV110" i="12"/>
  <c r="AW110" i="12"/>
  <c r="BD110" i="12" s="1"/>
  <c r="AU111" i="12"/>
  <c r="AV111" i="12"/>
  <c r="AW111" i="12"/>
  <c r="BD111" i="12" s="1"/>
  <c r="AU112" i="12"/>
  <c r="AV112" i="12"/>
  <c r="AW112" i="12"/>
  <c r="BD112" i="12" s="1"/>
  <c r="AU113" i="12"/>
  <c r="AV113" i="12"/>
  <c r="AW113" i="12"/>
  <c r="BD113" i="12" s="1"/>
  <c r="AU114" i="12"/>
  <c r="AV114" i="12"/>
  <c r="AW114" i="12"/>
  <c r="BD114" i="12" s="1"/>
  <c r="AU115" i="12"/>
  <c r="AV115" i="12"/>
  <c r="AW115" i="12"/>
  <c r="BD115" i="12" s="1"/>
  <c r="AU116" i="12"/>
  <c r="AV116" i="12"/>
  <c r="AW116" i="12"/>
  <c r="BD116" i="12" s="1"/>
  <c r="AU117" i="12"/>
  <c r="AV117" i="12"/>
  <c r="AW117" i="12"/>
  <c r="BD117" i="12" s="1"/>
  <c r="AU118" i="12"/>
  <c r="AV118" i="12"/>
  <c r="AW118" i="12"/>
  <c r="BD118" i="12" s="1"/>
  <c r="AU119" i="12"/>
  <c r="AV119" i="12"/>
  <c r="AW119" i="12"/>
  <c r="BD119" i="12" s="1"/>
  <c r="AU120" i="12"/>
  <c r="AV120" i="12"/>
  <c r="AW120" i="12"/>
  <c r="BD120" i="12" s="1"/>
  <c r="AU121" i="12"/>
  <c r="AV121" i="12"/>
  <c r="AW121" i="12"/>
  <c r="BD121" i="12" s="1"/>
  <c r="AU122" i="12"/>
  <c r="AV122" i="12"/>
  <c r="AW122" i="12"/>
  <c r="BD122" i="12" s="1"/>
  <c r="AU123" i="12"/>
  <c r="AV123" i="12"/>
  <c r="AW123" i="12"/>
  <c r="BD123" i="12" s="1"/>
  <c r="AU124" i="12"/>
  <c r="AV124" i="12"/>
  <c r="AW124" i="12"/>
  <c r="BD124" i="12" s="1"/>
  <c r="AW87" i="12"/>
  <c r="BD87" i="12" s="1"/>
  <c r="AV87" i="12"/>
  <c r="AU87" i="12"/>
  <c r="AY87" i="12" s="1"/>
  <c r="AZ87" i="12" s="1"/>
  <c r="AU38" i="12"/>
  <c r="AV38" i="12"/>
  <c r="AW38" i="12"/>
  <c r="BD38" i="12" s="1"/>
  <c r="AU39" i="12"/>
  <c r="AV39" i="12"/>
  <c r="AW39" i="12"/>
  <c r="BD39" i="12" s="1"/>
  <c r="AU40" i="12"/>
  <c r="AV40" i="12"/>
  <c r="AW40" i="12"/>
  <c r="BD40" i="12" s="1"/>
  <c r="AU41" i="12"/>
  <c r="AV41" i="12"/>
  <c r="AW41" i="12"/>
  <c r="BD41" i="12" s="1"/>
  <c r="AU42" i="12"/>
  <c r="AV42" i="12"/>
  <c r="AW42" i="12"/>
  <c r="BD42" i="12" s="1"/>
  <c r="AU43" i="12"/>
  <c r="AV43" i="12"/>
  <c r="AW43" i="12"/>
  <c r="BD43" i="12" s="1"/>
  <c r="AU44" i="12"/>
  <c r="AV44" i="12"/>
  <c r="AW44" i="12"/>
  <c r="BD44" i="12" s="1"/>
  <c r="AU45" i="12"/>
  <c r="AV45" i="12"/>
  <c r="AW45" i="12"/>
  <c r="BD45" i="12" s="1"/>
  <c r="AU46" i="12"/>
  <c r="AV46" i="12"/>
  <c r="AW46" i="12"/>
  <c r="BD46" i="12" s="1"/>
  <c r="AU47" i="12"/>
  <c r="AV47" i="12"/>
  <c r="AW47" i="12"/>
  <c r="BD47" i="12" s="1"/>
  <c r="AU48" i="12"/>
  <c r="AV48" i="12"/>
  <c r="AW48" i="12"/>
  <c r="BD48" i="12" s="1"/>
  <c r="AU49" i="12"/>
  <c r="AV49" i="12"/>
  <c r="AW49" i="12"/>
  <c r="BD49" i="12" s="1"/>
  <c r="AU50" i="12"/>
  <c r="AV50" i="12"/>
  <c r="AW50" i="12"/>
  <c r="BD50" i="12" s="1"/>
  <c r="AU51" i="12"/>
  <c r="AV51" i="12"/>
  <c r="AW51" i="12"/>
  <c r="BD51" i="12" s="1"/>
  <c r="AU52" i="12"/>
  <c r="AV52" i="12"/>
  <c r="AW52" i="12"/>
  <c r="BD52" i="12" s="1"/>
  <c r="AU53" i="12"/>
  <c r="AV53" i="12"/>
  <c r="AW53" i="12"/>
  <c r="BD53" i="12" s="1"/>
  <c r="AU54" i="12"/>
  <c r="AV54" i="12"/>
  <c r="AW54" i="12"/>
  <c r="BD54" i="12" s="1"/>
  <c r="AU55" i="12"/>
  <c r="AV55" i="12"/>
  <c r="AW55" i="12"/>
  <c r="BD55" i="12" s="1"/>
  <c r="AU56" i="12"/>
  <c r="AV56" i="12"/>
  <c r="AW56" i="12"/>
  <c r="BD56" i="12" s="1"/>
  <c r="AU57" i="12"/>
  <c r="AV57" i="12"/>
  <c r="AW57" i="12"/>
  <c r="BD57" i="12" s="1"/>
  <c r="AU58" i="12"/>
  <c r="AV58" i="12"/>
  <c r="AW58" i="12"/>
  <c r="BD58" i="12" s="1"/>
  <c r="AU59" i="12"/>
  <c r="AV59" i="12"/>
  <c r="AW59" i="12"/>
  <c r="BD59" i="12" s="1"/>
  <c r="AU60" i="12"/>
  <c r="AV60" i="12"/>
  <c r="AW60" i="12"/>
  <c r="BD60" i="12" s="1"/>
  <c r="AU61" i="12"/>
  <c r="AV61" i="12"/>
  <c r="AW61" i="12"/>
  <c r="BD61" i="12" s="1"/>
  <c r="AU62" i="12"/>
  <c r="AV62" i="12"/>
  <c r="AW62" i="12"/>
  <c r="BD62" i="12" s="1"/>
  <c r="AU63" i="12"/>
  <c r="AV63" i="12"/>
  <c r="AW63" i="12"/>
  <c r="BD63" i="12" s="1"/>
  <c r="AU64" i="12"/>
  <c r="AV64" i="12"/>
  <c r="AW64" i="12"/>
  <c r="BD64" i="12" s="1"/>
  <c r="AU65" i="12"/>
  <c r="AV65" i="12"/>
  <c r="AW65" i="12"/>
  <c r="BD65" i="12" s="1"/>
  <c r="AU66" i="12"/>
  <c r="AV66" i="12"/>
  <c r="AW66" i="12"/>
  <c r="BD66" i="12" s="1"/>
  <c r="AU67" i="12"/>
  <c r="AV67" i="12"/>
  <c r="AW67" i="12"/>
  <c r="BD67" i="12" s="1"/>
  <c r="AU68" i="12"/>
  <c r="AV68" i="12"/>
  <c r="AW68" i="12"/>
  <c r="BD68" i="12" s="1"/>
  <c r="AU69" i="12"/>
  <c r="AV69" i="12"/>
  <c r="AW69" i="12"/>
  <c r="BD69" i="12" s="1"/>
  <c r="AU70" i="12"/>
  <c r="AV70" i="12"/>
  <c r="AW70" i="12"/>
  <c r="BD70" i="12" s="1"/>
  <c r="AU71" i="12"/>
  <c r="AV71" i="12"/>
  <c r="AW71" i="12"/>
  <c r="BD71" i="12" s="1"/>
  <c r="AU72" i="12"/>
  <c r="AV72" i="12"/>
  <c r="AW72" i="12"/>
  <c r="BD72" i="12" s="1"/>
  <c r="AU73" i="12"/>
  <c r="AV73" i="12"/>
  <c r="AW73" i="12"/>
  <c r="BD73" i="12" s="1"/>
  <c r="AU74" i="12"/>
  <c r="AV74" i="12"/>
  <c r="AW74" i="12"/>
  <c r="BD74" i="12" s="1"/>
  <c r="AU75" i="12"/>
  <c r="AV75" i="12"/>
  <c r="AW75" i="12"/>
  <c r="BD75" i="12" s="1"/>
  <c r="AU76" i="12"/>
  <c r="AV76" i="12"/>
  <c r="AW76" i="12"/>
  <c r="BD76" i="12" s="1"/>
  <c r="AW37" i="12"/>
  <c r="BD37" i="12" s="1"/>
  <c r="AV37" i="12"/>
  <c r="AU37" i="12"/>
  <c r="AY37" i="12" s="1"/>
  <c r="AZ37" i="12" s="1"/>
  <c r="AR38" i="12"/>
  <c r="AS38" i="12"/>
  <c r="AT38" i="12"/>
  <c r="AR39" i="12"/>
  <c r="AS39" i="12"/>
  <c r="AT39" i="12"/>
  <c r="AR40" i="12"/>
  <c r="AS40" i="12"/>
  <c r="AT40" i="12"/>
  <c r="AR41" i="12"/>
  <c r="AS41" i="12"/>
  <c r="AT41" i="12"/>
  <c r="AR42" i="12"/>
  <c r="AS42" i="12"/>
  <c r="AT42" i="12"/>
  <c r="AR43" i="12"/>
  <c r="AS43" i="12"/>
  <c r="AT43" i="12"/>
  <c r="AR44" i="12"/>
  <c r="AS44" i="12"/>
  <c r="AT44" i="12"/>
  <c r="AR45" i="12"/>
  <c r="AS45" i="12"/>
  <c r="AT45" i="12"/>
  <c r="AR46" i="12"/>
  <c r="AS46" i="12"/>
  <c r="AT46" i="12"/>
  <c r="AR47" i="12"/>
  <c r="AS47" i="12"/>
  <c r="AT47" i="12"/>
  <c r="AR48" i="12"/>
  <c r="AS48" i="12"/>
  <c r="AT48" i="12"/>
  <c r="AR49" i="12"/>
  <c r="AS49" i="12"/>
  <c r="AT49" i="12"/>
  <c r="AR50" i="12"/>
  <c r="AS50" i="12"/>
  <c r="AT50" i="12"/>
  <c r="AR51" i="12"/>
  <c r="AS51" i="12"/>
  <c r="AT51" i="12"/>
  <c r="AR52" i="12"/>
  <c r="AS52" i="12"/>
  <c r="AT52" i="12"/>
  <c r="AR53" i="12"/>
  <c r="AS53" i="12"/>
  <c r="AT53" i="12"/>
  <c r="AR54" i="12"/>
  <c r="AS54" i="12"/>
  <c r="AT54" i="12"/>
  <c r="AR55" i="12"/>
  <c r="AS55" i="12"/>
  <c r="AT55" i="12"/>
  <c r="AR56" i="12"/>
  <c r="AS56" i="12"/>
  <c r="AT56" i="12"/>
  <c r="AR57" i="12"/>
  <c r="AS57" i="12"/>
  <c r="AT57" i="12"/>
  <c r="AR58" i="12"/>
  <c r="AS58" i="12"/>
  <c r="AT58" i="12"/>
  <c r="AR59" i="12"/>
  <c r="AS59" i="12"/>
  <c r="AT59" i="12"/>
  <c r="AR60" i="12"/>
  <c r="AS60" i="12"/>
  <c r="AT60" i="12"/>
  <c r="AR61" i="12"/>
  <c r="AS61" i="12"/>
  <c r="AT61" i="12"/>
  <c r="AR62" i="12"/>
  <c r="AS62" i="12"/>
  <c r="AT62" i="12"/>
  <c r="AR63" i="12"/>
  <c r="AS63" i="12"/>
  <c r="AT63" i="12"/>
  <c r="AR64" i="12"/>
  <c r="AS64" i="12"/>
  <c r="AT64" i="12"/>
  <c r="AR65" i="12"/>
  <c r="AS65" i="12"/>
  <c r="AT65" i="12"/>
  <c r="AR66" i="12"/>
  <c r="AS66" i="12"/>
  <c r="AT66" i="12"/>
  <c r="AR67" i="12"/>
  <c r="AS67" i="12"/>
  <c r="AT67" i="12"/>
  <c r="AR68" i="12"/>
  <c r="AS68" i="12"/>
  <c r="AT68" i="12"/>
  <c r="AR69" i="12"/>
  <c r="AS69" i="12"/>
  <c r="AT69" i="12"/>
  <c r="AR70" i="12"/>
  <c r="AS70" i="12"/>
  <c r="AT70" i="12"/>
  <c r="AR71" i="12"/>
  <c r="AS71" i="12"/>
  <c r="AT71" i="12"/>
  <c r="AR72" i="12"/>
  <c r="AS72" i="12"/>
  <c r="AT72" i="12"/>
  <c r="AR73" i="12"/>
  <c r="AS73" i="12"/>
  <c r="AT73" i="12"/>
  <c r="AR74" i="12"/>
  <c r="AS74" i="12"/>
  <c r="AT74" i="12"/>
  <c r="AR75" i="12"/>
  <c r="AS75" i="12"/>
  <c r="AT75" i="12"/>
  <c r="AR76" i="12"/>
  <c r="AS76" i="12"/>
  <c r="AT76" i="12"/>
  <c r="AR37" i="12"/>
  <c r="AS37" i="12" s="1"/>
  <c r="AT37" i="12" s="1"/>
  <c r="AK38" i="12"/>
  <c r="AL38" i="12"/>
  <c r="AM38" i="12"/>
  <c r="AK39" i="12"/>
  <c r="AL39" i="12"/>
  <c r="AM39" i="12"/>
  <c r="AK40" i="12"/>
  <c r="AL40" i="12"/>
  <c r="AM40" i="12"/>
  <c r="AK41" i="12"/>
  <c r="AL41" i="12"/>
  <c r="AM41" i="12"/>
  <c r="AK42" i="12"/>
  <c r="AL42" i="12"/>
  <c r="AM42" i="12"/>
  <c r="AK43" i="12"/>
  <c r="AL43" i="12"/>
  <c r="AM43" i="12"/>
  <c r="AK44" i="12"/>
  <c r="AL44" i="12"/>
  <c r="AM44" i="12"/>
  <c r="AK45" i="12"/>
  <c r="AL45" i="12"/>
  <c r="AM45" i="12"/>
  <c r="AK46" i="12"/>
  <c r="AL46" i="12"/>
  <c r="AM46" i="12"/>
  <c r="AK47" i="12"/>
  <c r="AL47" i="12"/>
  <c r="AM47" i="12"/>
  <c r="AK48" i="12"/>
  <c r="AL48" i="12"/>
  <c r="AM48" i="12"/>
  <c r="AK49" i="12"/>
  <c r="AL49" i="12"/>
  <c r="AM49" i="12"/>
  <c r="AK50" i="12"/>
  <c r="AL50" i="12"/>
  <c r="AM50" i="12"/>
  <c r="AK51" i="12"/>
  <c r="AL51" i="12"/>
  <c r="AM51" i="12"/>
  <c r="AK52" i="12"/>
  <c r="AL52" i="12"/>
  <c r="AM52" i="12"/>
  <c r="AK53" i="12"/>
  <c r="AL53" i="12"/>
  <c r="AM53" i="12"/>
  <c r="AK54" i="12"/>
  <c r="AL54" i="12"/>
  <c r="AM54" i="12"/>
  <c r="AK55" i="12"/>
  <c r="AL55" i="12"/>
  <c r="AM55" i="12"/>
  <c r="AK56" i="12"/>
  <c r="AL56" i="12"/>
  <c r="AM56" i="12"/>
  <c r="AK57" i="12"/>
  <c r="AL57" i="12"/>
  <c r="AM57" i="12"/>
  <c r="AK58" i="12"/>
  <c r="AL58" i="12"/>
  <c r="AM58" i="12"/>
  <c r="AK59" i="12"/>
  <c r="AL59" i="12"/>
  <c r="AM59" i="12"/>
  <c r="AK60" i="12"/>
  <c r="AL60" i="12"/>
  <c r="AM60" i="12"/>
  <c r="AK61" i="12"/>
  <c r="AL61" i="12"/>
  <c r="AM61" i="12"/>
  <c r="AK62" i="12"/>
  <c r="AL62" i="12"/>
  <c r="AM62" i="12"/>
  <c r="AK63" i="12"/>
  <c r="AL63" i="12"/>
  <c r="AM63" i="12"/>
  <c r="AK64" i="12"/>
  <c r="AL64" i="12"/>
  <c r="AM64" i="12"/>
  <c r="AK65" i="12"/>
  <c r="AL65" i="12"/>
  <c r="AM65" i="12"/>
  <c r="AK66" i="12"/>
  <c r="AL66" i="12"/>
  <c r="AM66" i="12"/>
  <c r="AK67" i="12"/>
  <c r="AL67" i="12"/>
  <c r="AM67" i="12"/>
  <c r="AK68" i="12"/>
  <c r="AL68" i="12"/>
  <c r="AM68" i="12"/>
  <c r="AK69" i="12"/>
  <c r="AL69" i="12"/>
  <c r="AM69" i="12"/>
  <c r="AK70" i="12"/>
  <c r="AL70" i="12"/>
  <c r="AM70" i="12"/>
  <c r="AK71" i="12"/>
  <c r="AL71" i="12"/>
  <c r="AM71" i="12"/>
  <c r="AK72" i="12"/>
  <c r="AL72" i="12"/>
  <c r="AM72" i="12"/>
  <c r="AK73" i="12"/>
  <c r="AL73" i="12"/>
  <c r="AM73" i="12"/>
  <c r="AK74" i="12"/>
  <c r="AL74" i="12"/>
  <c r="AM74" i="12"/>
  <c r="AK75" i="12"/>
  <c r="AL75" i="12"/>
  <c r="AM75" i="12"/>
  <c r="AK76" i="12"/>
  <c r="AL76" i="12"/>
  <c r="AM76" i="12"/>
  <c r="AK37" i="12"/>
  <c r="AL37" i="12" s="1"/>
  <c r="AM37" i="12" s="1"/>
  <c r="AD38" i="12"/>
  <c r="AE38" i="12"/>
  <c r="AF38" i="12"/>
  <c r="AD39" i="12"/>
  <c r="AE39" i="12"/>
  <c r="AF39" i="12"/>
  <c r="AD40" i="12"/>
  <c r="AE40" i="12"/>
  <c r="AF40" i="12"/>
  <c r="AD41" i="12"/>
  <c r="AE41" i="12"/>
  <c r="AF41" i="12"/>
  <c r="AD42" i="12"/>
  <c r="AE42" i="12"/>
  <c r="AF42" i="12"/>
  <c r="AD43" i="12"/>
  <c r="AE43" i="12"/>
  <c r="AF43" i="12"/>
  <c r="AD44" i="12"/>
  <c r="AE44" i="12"/>
  <c r="AF44" i="12"/>
  <c r="AD45" i="12"/>
  <c r="AE45" i="12"/>
  <c r="AF45" i="12"/>
  <c r="AD46" i="12"/>
  <c r="AE46" i="12"/>
  <c r="AF46" i="12"/>
  <c r="AD47" i="12"/>
  <c r="AE47" i="12"/>
  <c r="AF47" i="12"/>
  <c r="AD48" i="12"/>
  <c r="AE48" i="12"/>
  <c r="AF48" i="12"/>
  <c r="AD49" i="12"/>
  <c r="AE49" i="12"/>
  <c r="AF49" i="12"/>
  <c r="AD50" i="12"/>
  <c r="AE50" i="12"/>
  <c r="AF50" i="12"/>
  <c r="AD51" i="12"/>
  <c r="AE51" i="12"/>
  <c r="AF51" i="12"/>
  <c r="AD52" i="12"/>
  <c r="AE52" i="12"/>
  <c r="AF52" i="12"/>
  <c r="AD53" i="12"/>
  <c r="AE53" i="12"/>
  <c r="AF53" i="12"/>
  <c r="AD54" i="12"/>
  <c r="AE54" i="12"/>
  <c r="AF54" i="12"/>
  <c r="AD55" i="12"/>
  <c r="AE55" i="12"/>
  <c r="AF55" i="12"/>
  <c r="AD56" i="12"/>
  <c r="AE56" i="12"/>
  <c r="AF56" i="12"/>
  <c r="AD57" i="12"/>
  <c r="AE57" i="12"/>
  <c r="AF57" i="12"/>
  <c r="AD58" i="12"/>
  <c r="AE58" i="12"/>
  <c r="AF58" i="12"/>
  <c r="AD59" i="12"/>
  <c r="AE59" i="12"/>
  <c r="AF59" i="12"/>
  <c r="AD60" i="12"/>
  <c r="AE60" i="12"/>
  <c r="AF60" i="12"/>
  <c r="AD61" i="12"/>
  <c r="AE61" i="12"/>
  <c r="AF61" i="12"/>
  <c r="AD62" i="12"/>
  <c r="AE62" i="12"/>
  <c r="AF62" i="12"/>
  <c r="AD63" i="12"/>
  <c r="AE63" i="12"/>
  <c r="AF63" i="12"/>
  <c r="AD64" i="12"/>
  <c r="AE64" i="12"/>
  <c r="AF64" i="12"/>
  <c r="AD65" i="12"/>
  <c r="AE65" i="12"/>
  <c r="AF65" i="12"/>
  <c r="AD66" i="12"/>
  <c r="AE66" i="12"/>
  <c r="AF66" i="12"/>
  <c r="AD67" i="12"/>
  <c r="AE67" i="12"/>
  <c r="AF67" i="12"/>
  <c r="AD68" i="12"/>
  <c r="AE68" i="12"/>
  <c r="AF68" i="12"/>
  <c r="AD69" i="12"/>
  <c r="AE69" i="12"/>
  <c r="AF69" i="12"/>
  <c r="AD70" i="12"/>
  <c r="AE70" i="12"/>
  <c r="AF70" i="12"/>
  <c r="AD71" i="12"/>
  <c r="AE71" i="12"/>
  <c r="AF71" i="12"/>
  <c r="AD72" i="12"/>
  <c r="AE72" i="12"/>
  <c r="AF72" i="12"/>
  <c r="AD73" i="12"/>
  <c r="AE73" i="12"/>
  <c r="AF73" i="12"/>
  <c r="AD74" i="12"/>
  <c r="AE74" i="12"/>
  <c r="AF74" i="12"/>
  <c r="AD75" i="12"/>
  <c r="AE75" i="12"/>
  <c r="AF75" i="12"/>
  <c r="AD76" i="12"/>
  <c r="AE76" i="12"/>
  <c r="AF76" i="12"/>
  <c r="AD37" i="12"/>
  <c r="AE37" i="12" s="1"/>
  <c r="AF37" i="12" s="1"/>
  <c r="W38" i="12"/>
  <c r="X38" i="12"/>
  <c r="Y38" i="12"/>
  <c r="W39" i="12"/>
  <c r="X39" i="12"/>
  <c r="Y39" i="12"/>
  <c r="W40" i="12"/>
  <c r="X40" i="12"/>
  <c r="Y40" i="12"/>
  <c r="W41" i="12"/>
  <c r="X41" i="12"/>
  <c r="Y41" i="12"/>
  <c r="W42" i="12"/>
  <c r="X42" i="12"/>
  <c r="Y42" i="12"/>
  <c r="W43" i="12"/>
  <c r="X43" i="12"/>
  <c r="Y43" i="12"/>
  <c r="W44" i="12"/>
  <c r="X44" i="12"/>
  <c r="Y44" i="12"/>
  <c r="W45" i="12"/>
  <c r="X45" i="12"/>
  <c r="Y45" i="12"/>
  <c r="W46" i="12"/>
  <c r="X46" i="12"/>
  <c r="Y46" i="12"/>
  <c r="W47" i="12"/>
  <c r="X47" i="12"/>
  <c r="Y47" i="12"/>
  <c r="W48" i="12"/>
  <c r="X48" i="12"/>
  <c r="Y48" i="12"/>
  <c r="W49" i="12"/>
  <c r="X49" i="12"/>
  <c r="Y49" i="12"/>
  <c r="W50" i="12"/>
  <c r="X50" i="12"/>
  <c r="Y50" i="12"/>
  <c r="W51" i="12"/>
  <c r="X51" i="12"/>
  <c r="Y51" i="12"/>
  <c r="W52" i="12"/>
  <c r="X52" i="12"/>
  <c r="Y52" i="12"/>
  <c r="W53" i="12"/>
  <c r="X53" i="12"/>
  <c r="Y53" i="12"/>
  <c r="W54" i="12"/>
  <c r="X54" i="12"/>
  <c r="Y54" i="12"/>
  <c r="W55" i="12"/>
  <c r="X55" i="12"/>
  <c r="Y55" i="12"/>
  <c r="W56" i="12"/>
  <c r="X56" i="12"/>
  <c r="Y56" i="12"/>
  <c r="W57" i="12"/>
  <c r="X57" i="12"/>
  <c r="Y57" i="12"/>
  <c r="W58" i="12"/>
  <c r="X58" i="12"/>
  <c r="Y58" i="12"/>
  <c r="W59" i="12"/>
  <c r="X59" i="12"/>
  <c r="Y59" i="12"/>
  <c r="W60" i="12"/>
  <c r="X60" i="12"/>
  <c r="Y60" i="12"/>
  <c r="W61" i="12"/>
  <c r="X61" i="12"/>
  <c r="Y61" i="12"/>
  <c r="W62" i="12"/>
  <c r="X62" i="12"/>
  <c r="Y62" i="12"/>
  <c r="W63" i="12"/>
  <c r="X63" i="12"/>
  <c r="Y63" i="12"/>
  <c r="W64" i="12"/>
  <c r="X64" i="12"/>
  <c r="Y64" i="12"/>
  <c r="W65" i="12"/>
  <c r="X65" i="12"/>
  <c r="Y65" i="12"/>
  <c r="W66" i="12"/>
  <c r="X66" i="12"/>
  <c r="Y66" i="12"/>
  <c r="W67" i="12"/>
  <c r="X67" i="12"/>
  <c r="Y67" i="12"/>
  <c r="W68" i="12"/>
  <c r="X68" i="12"/>
  <c r="Y68" i="12"/>
  <c r="W69" i="12"/>
  <c r="X69" i="12"/>
  <c r="Y69" i="12"/>
  <c r="W70" i="12"/>
  <c r="X70" i="12"/>
  <c r="Y70" i="12"/>
  <c r="W71" i="12"/>
  <c r="X71" i="12"/>
  <c r="Y71" i="12"/>
  <c r="W72" i="12"/>
  <c r="X72" i="12"/>
  <c r="Y72" i="12"/>
  <c r="W73" i="12"/>
  <c r="X73" i="12"/>
  <c r="Y73" i="12"/>
  <c r="W74" i="12"/>
  <c r="X74" i="12"/>
  <c r="Y74" i="12"/>
  <c r="W75" i="12"/>
  <c r="X75" i="12"/>
  <c r="Y75" i="12"/>
  <c r="W76" i="12"/>
  <c r="X76" i="12"/>
  <c r="Y76" i="12"/>
  <c r="W37" i="12"/>
  <c r="X37" i="12" s="1"/>
  <c r="Y37" i="12" s="1"/>
  <c r="P38" i="12"/>
  <c r="Q38" i="12"/>
  <c r="R38" i="12"/>
  <c r="P39" i="12"/>
  <c r="Q39" i="12"/>
  <c r="R39" i="12"/>
  <c r="P40" i="12"/>
  <c r="Q40" i="12"/>
  <c r="R40" i="12"/>
  <c r="P41" i="12"/>
  <c r="Q41" i="12"/>
  <c r="R41" i="12"/>
  <c r="P42" i="12"/>
  <c r="Q42" i="12"/>
  <c r="R42" i="12"/>
  <c r="P43" i="12"/>
  <c r="Q43" i="12"/>
  <c r="R43" i="12"/>
  <c r="P44" i="12"/>
  <c r="Q44" i="12"/>
  <c r="R44" i="12"/>
  <c r="P45" i="12"/>
  <c r="Q45" i="12"/>
  <c r="R45" i="12"/>
  <c r="P46" i="12"/>
  <c r="Q46" i="12"/>
  <c r="R46" i="12"/>
  <c r="P47" i="12"/>
  <c r="Q47" i="12"/>
  <c r="R47" i="12"/>
  <c r="P48" i="12"/>
  <c r="Q48" i="12"/>
  <c r="R48" i="12"/>
  <c r="P49" i="12"/>
  <c r="Q49" i="12"/>
  <c r="R49" i="12"/>
  <c r="P50" i="12"/>
  <c r="Q50" i="12"/>
  <c r="R50" i="12"/>
  <c r="P51" i="12"/>
  <c r="Q51" i="12"/>
  <c r="R51" i="12"/>
  <c r="P52" i="12"/>
  <c r="Q52" i="12"/>
  <c r="R52" i="12"/>
  <c r="P53" i="12"/>
  <c r="Q53" i="12"/>
  <c r="R53" i="12"/>
  <c r="P54" i="12"/>
  <c r="Q54" i="12"/>
  <c r="R54" i="12"/>
  <c r="P55" i="12"/>
  <c r="Q55" i="12"/>
  <c r="R55" i="12"/>
  <c r="P56" i="12"/>
  <c r="Q56" i="12"/>
  <c r="R56" i="12"/>
  <c r="P57" i="12"/>
  <c r="Q57" i="12"/>
  <c r="R57" i="12"/>
  <c r="P58" i="12"/>
  <c r="Q58" i="12"/>
  <c r="R58" i="12"/>
  <c r="P59" i="12"/>
  <c r="Q59" i="12"/>
  <c r="R59" i="12"/>
  <c r="P60" i="12"/>
  <c r="Q60" i="12"/>
  <c r="R60" i="12"/>
  <c r="P61" i="12"/>
  <c r="Q61" i="12"/>
  <c r="R61" i="12"/>
  <c r="P62" i="12"/>
  <c r="Q62" i="12"/>
  <c r="R62" i="12"/>
  <c r="P63" i="12"/>
  <c r="Q63" i="12"/>
  <c r="R63" i="12"/>
  <c r="P64" i="12"/>
  <c r="Q64" i="12"/>
  <c r="R64" i="12"/>
  <c r="P65" i="12"/>
  <c r="Q65" i="12"/>
  <c r="R65" i="12"/>
  <c r="P66" i="12"/>
  <c r="Q66" i="12"/>
  <c r="R66" i="12"/>
  <c r="P67" i="12"/>
  <c r="Q67" i="12"/>
  <c r="R67" i="12"/>
  <c r="P68" i="12"/>
  <c r="Q68" i="12"/>
  <c r="R68" i="12"/>
  <c r="P69" i="12"/>
  <c r="Q69" i="12"/>
  <c r="R69" i="12"/>
  <c r="P70" i="12"/>
  <c r="Q70" i="12"/>
  <c r="R70" i="12"/>
  <c r="P71" i="12"/>
  <c r="Q71" i="12"/>
  <c r="R71" i="12"/>
  <c r="P72" i="12"/>
  <c r="Q72" i="12"/>
  <c r="R72" i="12"/>
  <c r="P73" i="12"/>
  <c r="Q73" i="12"/>
  <c r="R73" i="12"/>
  <c r="P74" i="12"/>
  <c r="Q74" i="12"/>
  <c r="R74" i="12"/>
  <c r="P75" i="12"/>
  <c r="Q75" i="12"/>
  <c r="R75" i="12"/>
  <c r="P76" i="12"/>
  <c r="Q76" i="12"/>
  <c r="R76" i="12"/>
  <c r="P37" i="12"/>
  <c r="Q37" i="12" s="1"/>
  <c r="R37" i="12" s="1"/>
  <c r="I38" i="12"/>
  <c r="J38" i="12"/>
  <c r="K38" i="12"/>
  <c r="I39" i="12"/>
  <c r="J39" i="12"/>
  <c r="K39" i="12"/>
  <c r="I40" i="12"/>
  <c r="J40" i="12"/>
  <c r="K40" i="12"/>
  <c r="I41" i="12"/>
  <c r="J41" i="12"/>
  <c r="K41" i="12"/>
  <c r="I42" i="12"/>
  <c r="J42" i="12"/>
  <c r="K42" i="12"/>
  <c r="I43" i="12"/>
  <c r="J43" i="12"/>
  <c r="K43" i="12"/>
  <c r="I44" i="12"/>
  <c r="J44" i="12"/>
  <c r="K44" i="12"/>
  <c r="I45" i="12"/>
  <c r="J45" i="12"/>
  <c r="K45" i="12"/>
  <c r="I46" i="12"/>
  <c r="J46" i="12"/>
  <c r="K46" i="12"/>
  <c r="I47" i="12"/>
  <c r="J47" i="12"/>
  <c r="K47" i="12"/>
  <c r="I48" i="12"/>
  <c r="J48" i="12"/>
  <c r="K48" i="12"/>
  <c r="I49" i="12"/>
  <c r="J49" i="12"/>
  <c r="K49" i="12"/>
  <c r="I50" i="12"/>
  <c r="J50" i="12"/>
  <c r="K50" i="12"/>
  <c r="I51" i="12"/>
  <c r="J51" i="12"/>
  <c r="K51" i="12"/>
  <c r="I52" i="12"/>
  <c r="J52" i="12"/>
  <c r="K52" i="12"/>
  <c r="I53" i="12"/>
  <c r="J53" i="12"/>
  <c r="K53" i="12"/>
  <c r="I54" i="12"/>
  <c r="J54" i="12"/>
  <c r="K54" i="12"/>
  <c r="I55" i="12"/>
  <c r="J55" i="12"/>
  <c r="K55" i="12"/>
  <c r="I56" i="12"/>
  <c r="J56" i="12"/>
  <c r="K56" i="12"/>
  <c r="I57" i="12"/>
  <c r="J57" i="12"/>
  <c r="K57" i="12"/>
  <c r="I58" i="12"/>
  <c r="J58" i="12"/>
  <c r="K58" i="12"/>
  <c r="I59" i="12"/>
  <c r="J59" i="12"/>
  <c r="K59" i="12"/>
  <c r="I60" i="12"/>
  <c r="J60" i="12"/>
  <c r="K60" i="12"/>
  <c r="I61" i="12"/>
  <c r="J61" i="12"/>
  <c r="K61" i="12"/>
  <c r="I62" i="12"/>
  <c r="J62" i="12"/>
  <c r="K62" i="12"/>
  <c r="I63" i="12"/>
  <c r="J63" i="12"/>
  <c r="K63" i="12"/>
  <c r="I64" i="12"/>
  <c r="J64" i="12"/>
  <c r="K64" i="12"/>
  <c r="I65" i="12"/>
  <c r="J65" i="12"/>
  <c r="K65" i="12"/>
  <c r="I66" i="12"/>
  <c r="J66" i="12"/>
  <c r="K66" i="12"/>
  <c r="I67" i="12"/>
  <c r="J67" i="12"/>
  <c r="K67" i="12"/>
  <c r="I68" i="12"/>
  <c r="J68" i="12"/>
  <c r="K68" i="12"/>
  <c r="I69" i="12"/>
  <c r="J69" i="12"/>
  <c r="K69" i="12"/>
  <c r="I70" i="12"/>
  <c r="J70" i="12"/>
  <c r="K70" i="12"/>
  <c r="I71" i="12"/>
  <c r="J71" i="12"/>
  <c r="K71" i="12"/>
  <c r="I72" i="12"/>
  <c r="J72" i="12"/>
  <c r="K72" i="12"/>
  <c r="I73" i="12"/>
  <c r="J73" i="12"/>
  <c r="K73" i="12"/>
  <c r="I74" i="12"/>
  <c r="J74" i="12"/>
  <c r="K74" i="12"/>
  <c r="I75" i="12"/>
  <c r="J75" i="12"/>
  <c r="K75" i="12"/>
  <c r="I76" i="12"/>
  <c r="J76" i="12"/>
  <c r="K76" i="12"/>
  <c r="I37" i="12"/>
  <c r="J37" i="12" s="1"/>
  <c r="K37" i="12" s="1"/>
  <c r="AU10" i="12"/>
  <c r="AV10" i="12"/>
  <c r="AW10" i="12"/>
  <c r="BD10" i="12" s="1"/>
  <c r="AU11" i="12"/>
  <c r="AV11" i="12"/>
  <c r="AW11" i="12"/>
  <c r="BD11" i="12" s="1"/>
  <c r="AU12" i="12"/>
  <c r="AV12" i="12"/>
  <c r="AW12" i="12"/>
  <c r="BD12" i="12" s="1"/>
  <c r="AU13" i="12"/>
  <c r="AV13" i="12"/>
  <c r="AW13" i="12"/>
  <c r="BD13" i="12" s="1"/>
  <c r="AU14" i="12"/>
  <c r="AV14" i="12"/>
  <c r="AW14" i="12"/>
  <c r="BD14" i="12" s="1"/>
  <c r="AU15" i="12"/>
  <c r="AV15" i="12"/>
  <c r="AW15" i="12"/>
  <c r="BD15" i="12" s="1"/>
  <c r="AU16" i="12"/>
  <c r="AV16" i="12"/>
  <c r="AW16" i="12"/>
  <c r="BD16" i="12" s="1"/>
  <c r="AU17" i="12"/>
  <c r="AV17" i="12"/>
  <c r="AW17" i="12"/>
  <c r="BD17" i="12" s="1"/>
  <c r="AU18" i="12"/>
  <c r="AV18" i="12"/>
  <c r="AW18" i="12"/>
  <c r="BD18" i="12" s="1"/>
  <c r="AU19" i="12"/>
  <c r="AV19" i="12"/>
  <c r="AW19" i="12"/>
  <c r="BD19" i="12" s="1"/>
  <c r="AU20" i="12"/>
  <c r="AV20" i="12"/>
  <c r="AW20" i="12"/>
  <c r="BD20" i="12" s="1"/>
  <c r="AU21" i="12"/>
  <c r="AV21" i="12"/>
  <c r="AW21" i="12"/>
  <c r="BD21" i="12" s="1"/>
  <c r="AU22" i="12"/>
  <c r="AV22" i="12"/>
  <c r="AW22" i="12"/>
  <c r="BD22" i="12" s="1"/>
  <c r="AU23" i="12"/>
  <c r="AV23" i="12"/>
  <c r="AW23" i="12"/>
  <c r="BD23" i="12" s="1"/>
  <c r="AU24" i="12"/>
  <c r="AV24" i="12"/>
  <c r="AW24" i="12"/>
  <c r="BD24" i="12" s="1"/>
  <c r="AU25" i="12"/>
  <c r="AV25" i="12"/>
  <c r="AW25" i="12"/>
  <c r="BD25" i="12" s="1"/>
  <c r="AU26" i="12"/>
  <c r="AV26" i="12"/>
  <c r="AW26" i="12"/>
  <c r="BD26" i="12" s="1"/>
  <c r="AU27" i="12"/>
  <c r="AV27" i="12"/>
  <c r="AW27" i="12"/>
  <c r="BD27" i="12" s="1"/>
  <c r="AU28" i="12"/>
  <c r="AV28" i="12"/>
  <c r="AW28" i="12"/>
  <c r="BD28" i="12" s="1"/>
  <c r="AU29" i="12"/>
  <c r="AV29" i="12"/>
  <c r="AW29" i="12"/>
  <c r="BD29" i="12" s="1"/>
  <c r="AW9" i="12"/>
  <c r="BD9" i="12" s="1"/>
  <c r="AV9" i="12"/>
  <c r="AY9" i="12" s="1"/>
  <c r="BF119" i="15" l="1"/>
  <c r="BF50" i="15"/>
  <c r="BF239" i="15"/>
  <c r="BF231" i="15"/>
  <c r="BF223" i="15"/>
  <c r="BF215" i="15"/>
  <c r="BF237" i="15"/>
  <c r="BF229" i="15"/>
  <c r="BF221" i="15"/>
  <c r="BF227" i="15"/>
  <c r="BF226" i="15"/>
  <c r="BF201" i="15"/>
  <c r="BF193" i="15"/>
  <c r="BF185" i="15"/>
  <c r="BF188" i="15"/>
  <c r="BF203" i="15"/>
  <c r="BF177" i="15"/>
  <c r="BF207" i="15"/>
  <c r="AT143" i="15"/>
  <c r="AT142" i="15"/>
  <c r="AT159" i="15"/>
  <c r="AT158" i="15"/>
  <c r="AT150" i="15"/>
  <c r="AT153" i="15"/>
  <c r="AT151" i="15"/>
  <c r="AT145" i="15"/>
  <c r="AT161" i="15"/>
  <c r="BF163" i="15"/>
  <c r="BF141" i="15"/>
  <c r="BF139" i="15"/>
  <c r="BF147" i="15"/>
  <c r="BF157" i="15"/>
  <c r="BF156" i="15"/>
  <c r="BF155" i="15"/>
  <c r="BF162" i="15"/>
  <c r="BF151" i="15"/>
  <c r="BF129" i="15"/>
  <c r="BF121" i="15"/>
  <c r="BF110" i="15"/>
  <c r="BF130" i="15"/>
  <c r="BF126" i="15"/>
  <c r="BF111" i="15"/>
  <c r="BF103" i="15"/>
  <c r="BF105" i="15"/>
  <c r="BF113" i="15"/>
  <c r="BF92" i="15"/>
  <c r="BF76" i="15"/>
  <c r="BF89" i="15"/>
  <c r="BF81" i="15"/>
  <c r="BF65" i="15"/>
  <c r="BF83" i="15"/>
  <c r="BF74" i="15"/>
  <c r="BF66" i="15"/>
  <c r="BF73" i="15"/>
  <c r="BF95" i="15"/>
  <c r="BF71" i="15"/>
  <c r="BF70" i="15"/>
  <c r="BF88" i="15"/>
  <c r="BF93" i="15"/>
  <c r="BF33" i="15"/>
  <c r="BF38" i="15"/>
  <c r="BF32" i="15"/>
  <c r="BF36" i="15"/>
  <c r="BF49" i="15"/>
  <c r="BF41" i="15"/>
  <c r="BF31" i="15"/>
  <c r="BF30" i="15"/>
  <c r="BF57" i="15"/>
  <c r="BF48" i="15"/>
  <c r="BF40" i="15"/>
  <c r="BF56" i="15"/>
  <c r="BF47" i="15"/>
  <c r="BF39" i="15"/>
  <c r="BF55" i="15"/>
  <c r="BF203" i="14"/>
  <c r="BF195" i="14"/>
  <c r="BF187" i="14"/>
  <c r="AY181" i="14"/>
  <c r="AZ181" i="14" s="1"/>
  <c r="BF169" i="14"/>
  <c r="BF161" i="14"/>
  <c r="BF153" i="14"/>
  <c r="BF145" i="14"/>
  <c r="AY139" i="14"/>
  <c r="AZ139" i="14" s="1"/>
  <c r="AM133" i="14"/>
  <c r="AM109" i="14"/>
  <c r="AM125" i="14"/>
  <c r="AM101" i="14"/>
  <c r="AF69" i="14"/>
  <c r="AF85" i="14"/>
  <c r="AM85" i="14"/>
  <c r="AM69" i="14"/>
  <c r="AM61" i="14"/>
  <c r="BF48" i="14"/>
  <c r="BF85" i="14"/>
  <c r="BF77" i="14"/>
  <c r="BF69" i="14"/>
  <c r="BF61" i="14"/>
  <c r="BF83" i="14"/>
  <c r="BF75" i="14"/>
  <c r="BF67" i="14"/>
  <c r="AY59" i="14"/>
  <c r="AZ59" i="14" s="1"/>
  <c r="AY93" i="14"/>
  <c r="AZ93" i="14" s="1"/>
  <c r="BF19" i="14"/>
  <c r="BF11" i="14"/>
  <c r="BF20" i="14"/>
  <c r="AY26" i="14"/>
  <c r="AZ26" i="14" s="1"/>
  <c r="AY212" i="12"/>
  <c r="AZ212" i="12" s="1"/>
  <c r="AY183" i="12"/>
  <c r="BD9" i="15"/>
  <c r="BF9" i="15" s="1"/>
  <c r="BD36" i="14"/>
  <c r="BF36" i="14" s="1"/>
  <c r="AY133" i="14"/>
  <c r="AZ133" i="14" s="1"/>
  <c r="BD133" i="14"/>
  <c r="BF133" i="14" s="1"/>
  <c r="AY132" i="14"/>
  <c r="AZ132" i="14" s="1"/>
  <c r="BD132" i="14"/>
  <c r="AY131" i="14"/>
  <c r="AZ131" i="14" s="1"/>
  <c r="BD131" i="14"/>
  <c r="AY129" i="14"/>
  <c r="AZ129" i="14" s="1"/>
  <c r="BD129" i="14"/>
  <c r="AY128" i="14"/>
  <c r="AZ128" i="14" s="1"/>
  <c r="BD128" i="14"/>
  <c r="BF128" i="14" s="1"/>
  <c r="AY127" i="14"/>
  <c r="AZ127" i="14" s="1"/>
  <c r="BD127" i="14"/>
  <c r="AY125" i="14"/>
  <c r="AZ125" i="14" s="1"/>
  <c r="BD125" i="14"/>
  <c r="BF125" i="14" s="1"/>
  <c r="AY124" i="14"/>
  <c r="AZ124" i="14" s="1"/>
  <c r="BD124" i="14"/>
  <c r="AY123" i="14"/>
  <c r="AZ123" i="14" s="1"/>
  <c r="BD123" i="14"/>
  <c r="AY122" i="14"/>
  <c r="AZ122" i="14" s="1"/>
  <c r="BD122" i="14"/>
  <c r="AY118" i="14"/>
  <c r="AZ118" i="14" s="1"/>
  <c r="BD118" i="14"/>
  <c r="AY117" i="14"/>
  <c r="AZ117" i="14" s="1"/>
  <c r="BD117" i="14"/>
  <c r="AY116" i="14"/>
  <c r="AZ116" i="14" s="1"/>
  <c r="BD116" i="14"/>
  <c r="BF116" i="14" s="1"/>
  <c r="AY115" i="14"/>
  <c r="AZ115" i="14" s="1"/>
  <c r="BD115" i="14"/>
  <c r="AY113" i="14"/>
  <c r="AZ113" i="14" s="1"/>
  <c r="BD113" i="14"/>
  <c r="AY112" i="14"/>
  <c r="AZ112" i="14" s="1"/>
  <c r="BD112" i="14"/>
  <c r="BF112" i="14" s="1"/>
  <c r="AY111" i="14"/>
  <c r="AZ111" i="14" s="1"/>
  <c r="BD111" i="14"/>
  <c r="BF111" i="14" s="1"/>
  <c r="AY110" i="14"/>
  <c r="AZ110" i="14" s="1"/>
  <c r="BD110" i="14"/>
  <c r="AY108" i="14"/>
  <c r="AZ108" i="14" s="1"/>
  <c r="BD108" i="14"/>
  <c r="AY107" i="14"/>
  <c r="AZ107" i="14" s="1"/>
  <c r="BD107" i="14"/>
  <c r="AY106" i="14"/>
  <c r="AZ106" i="14" s="1"/>
  <c r="BD106" i="14"/>
  <c r="BF106" i="14" s="1"/>
  <c r="AY102" i="14"/>
  <c r="AZ102" i="14" s="1"/>
  <c r="BD102" i="14"/>
  <c r="AY101" i="14"/>
  <c r="AZ101" i="14" s="1"/>
  <c r="BD101" i="14"/>
  <c r="BD188" i="14"/>
  <c r="BF188" i="14" s="1"/>
  <c r="BF10" i="14"/>
  <c r="BF17" i="14"/>
  <c r="BF15" i="14"/>
  <c r="BF14" i="14"/>
  <c r="BF13" i="14"/>
  <c r="BF12" i="14"/>
  <c r="BF26" i="14"/>
  <c r="BF53" i="14"/>
  <c r="BF52" i="14"/>
  <c r="BF51" i="14"/>
  <c r="BF50" i="14"/>
  <c r="BF49" i="14"/>
  <c r="BF47" i="14"/>
  <c r="BF45" i="14"/>
  <c r="BF44" i="14"/>
  <c r="BF42" i="14"/>
  <c r="BF40" i="14"/>
  <c r="BF39" i="14"/>
  <c r="BF37" i="14"/>
  <c r="BF35" i="14"/>
  <c r="BF33" i="14"/>
  <c r="BF29" i="14"/>
  <c r="BF27" i="14"/>
  <c r="BF132" i="14"/>
  <c r="BF131" i="14"/>
  <c r="BF130" i="14"/>
  <c r="BF129" i="14"/>
  <c r="BF127" i="14"/>
  <c r="BF126" i="14"/>
  <c r="BF124" i="14"/>
  <c r="BF123" i="14"/>
  <c r="BF122" i="14"/>
  <c r="BF121" i="14"/>
  <c r="BF120" i="14"/>
  <c r="BF119" i="14"/>
  <c r="BF118" i="14"/>
  <c r="BF117" i="14"/>
  <c r="BF115" i="14"/>
  <c r="BF114" i="14"/>
  <c r="BF113" i="14"/>
  <c r="BF110" i="14"/>
  <c r="BF108" i="14"/>
  <c r="BF107" i="14"/>
  <c r="BF105" i="14"/>
  <c r="BF104" i="14"/>
  <c r="BF103" i="14"/>
  <c r="BF102" i="14"/>
  <c r="BF101" i="14"/>
  <c r="BF100" i="14"/>
  <c r="BF99" i="14"/>
  <c r="BF98" i="14"/>
  <c r="BF96" i="14"/>
  <c r="BF95" i="14"/>
  <c r="BF94" i="14"/>
  <c r="AY162" i="12"/>
  <c r="AZ162" i="12" s="1"/>
  <c r="AY161" i="12"/>
  <c r="AZ161" i="12" s="1"/>
  <c r="AY160" i="12"/>
  <c r="AZ160" i="12" s="1"/>
  <c r="AY159" i="12"/>
  <c r="AZ159" i="12" s="1"/>
  <c r="AY158" i="12"/>
  <c r="AZ158" i="12" s="1"/>
  <c r="AY157" i="12"/>
  <c r="AZ157" i="12" s="1"/>
  <c r="AY155" i="12"/>
  <c r="AZ155" i="12" s="1"/>
  <c r="AY153" i="12"/>
  <c r="AZ153" i="12" s="1"/>
  <c r="AY152" i="12"/>
  <c r="AZ152" i="12" s="1"/>
  <c r="AY151" i="12"/>
  <c r="AZ151" i="12" s="1"/>
  <c r="AY150" i="12"/>
  <c r="AZ150" i="12" s="1"/>
  <c r="AY147" i="12"/>
  <c r="AZ147" i="12" s="1"/>
  <c r="AY145" i="12"/>
  <c r="AZ145" i="12" s="1"/>
  <c r="AY144" i="12"/>
  <c r="AZ144" i="12" s="1"/>
  <c r="AY139" i="12"/>
  <c r="AZ139" i="12" s="1"/>
  <c r="AY214" i="12"/>
  <c r="AZ214" i="12" s="1"/>
  <c r="AY211" i="12"/>
  <c r="AZ211" i="12" s="1"/>
  <c r="AY208" i="12"/>
  <c r="AZ208" i="12" s="1"/>
  <c r="AY207" i="12"/>
  <c r="AZ207" i="12" s="1"/>
  <c r="AY206" i="12"/>
  <c r="AZ206" i="12" s="1"/>
  <c r="AY200" i="12"/>
  <c r="AZ200" i="12" s="1"/>
  <c r="AY198" i="12"/>
  <c r="AZ198" i="12" s="1"/>
  <c r="AY196" i="12"/>
  <c r="AZ196" i="12" s="1"/>
  <c r="AY193" i="12"/>
  <c r="AZ193" i="12" s="1"/>
  <c r="AY192" i="12"/>
  <c r="AZ192" i="12" s="1"/>
  <c r="AY190" i="12"/>
  <c r="AZ190" i="12" s="1"/>
  <c r="BD190" i="12"/>
  <c r="AY189" i="12"/>
  <c r="AZ189" i="12" s="1"/>
  <c r="AY188" i="12"/>
  <c r="AZ188" i="12" s="1"/>
  <c r="AY187" i="12"/>
  <c r="AZ187" i="12" s="1"/>
  <c r="AY257" i="12"/>
  <c r="AZ257" i="12" s="1"/>
  <c r="AY256" i="12"/>
  <c r="AZ256" i="12" s="1"/>
  <c r="AY254" i="12"/>
  <c r="AZ254" i="12" s="1"/>
  <c r="AY253" i="12"/>
  <c r="AZ253" i="12" s="1"/>
  <c r="AY252" i="12"/>
  <c r="AZ252" i="12" s="1"/>
  <c r="AY251" i="12"/>
  <c r="AZ251" i="12" s="1"/>
  <c r="AY247" i="12"/>
  <c r="AZ247" i="12" s="1"/>
  <c r="AY246" i="12"/>
  <c r="AZ246" i="12" s="1"/>
  <c r="AY245" i="12"/>
  <c r="AZ245" i="12" s="1"/>
  <c r="BD245" i="12"/>
  <c r="AY244" i="12"/>
  <c r="AZ244" i="12" s="1"/>
  <c r="AY243" i="12"/>
  <c r="AZ243" i="12" s="1"/>
  <c r="AY242" i="12"/>
  <c r="AZ242" i="12" s="1"/>
  <c r="AY241" i="12"/>
  <c r="AZ241" i="12" s="1"/>
  <c r="AY239" i="12"/>
  <c r="AZ239" i="12" s="1"/>
  <c r="AY238" i="12"/>
  <c r="AZ238" i="12" s="1"/>
  <c r="AY237" i="12"/>
  <c r="AZ237" i="12" s="1"/>
  <c r="AY236" i="12"/>
  <c r="AZ236" i="12" s="1"/>
  <c r="AY234" i="12"/>
  <c r="AZ234" i="12" s="1"/>
  <c r="AY233" i="12"/>
  <c r="AZ233" i="12" s="1"/>
  <c r="AY232" i="12"/>
  <c r="AZ232" i="12" s="1"/>
  <c r="AY231" i="12"/>
  <c r="AZ231" i="12" s="1"/>
  <c r="AY230" i="12"/>
  <c r="AZ230" i="12" s="1"/>
  <c r="AY229" i="12"/>
  <c r="AZ229" i="12" s="1"/>
  <c r="AY228" i="12"/>
  <c r="AZ228" i="12" s="1"/>
  <c r="AY308" i="12"/>
  <c r="AZ308" i="12" s="1"/>
  <c r="AY307" i="12"/>
  <c r="AZ307" i="12" s="1"/>
  <c r="AY306" i="12"/>
  <c r="AZ306" i="12" s="1"/>
  <c r="AY305" i="12"/>
  <c r="AZ305" i="12" s="1"/>
  <c r="AY304" i="12"/>
  <c r="AZ304" i="12" s="1"/>
  <c r="AY303" i="12"/>
  <c r="AZ303" i="12" s="1"/>
  <c r="AY302" i="12"/>
  <c r="AZ302" i="12" s="1"/>
  <c r="AY301" i="12"/>
  <c r="AZ301" i="12" s="1"/>
  <c r="AY300" i="12"/>
  <c r="AZ300" i="12" s="1"/>
  <c r="AY299" i="12"/>
  <c r="AZ299" i="12" s="1"/>
  <c r="AY298" i="12"/>
  <c r="AZ298" i="12" s="1"/>
  <c r="AY297" i="12"/>
  <c r="AZ297" i="12" s="1"/>
  <c r="AY296" i="12"/>
  <c r="AZ296" i="12" s="1"/>
  <c r="AY295" i="12"/>
  <c r="AZ295" i="12" s="1"/>
  <c r="AY294" i="12"/>
  <c r="AZ294" i="12" s="1"/>
  <c r="AY293" i="12"/>
  <c r="AZ293" i="12" s="1"/>
  <c r="AY290" i="12"/>
  <c r="AZ290" i="12" s="1"/>
  <c r="AY288" i="12"/>
  <c r="AZ288" i="12" s="1"/>
  <c r="AY287" i="12"/>
  <c r="AZ287" i="12" s="1"/>
  <c r="AY286" i="12"/>
  <c r="AZ286" i="12" s="1"/>
  <c r="AY285" i="12"/>
  <c r="AZ285" i="12" s="1"/>
  <c r="AY284" i="12"/>
  <c r="AZ284" i="12" s="1"/>
  <c r="AY283" i="12"/>
  <c r="AZ283" i="12" s="1"/>
  <c r="AY282" i="12"/>
  <c r="AZ282" i="12" s="1"/>
  <c r="AY281" i="12"/>
  <c r="AZ281" i="12" s="1"/>
  <c r="AY280" i="12"/>
  <c r="AZ280" i="12" s="1"/>
  <c r="AY279" i="12"/>
  <c r="AZ279" i="12" s="1"/>
  <c r="AY278" i="12"/>
  <c r="AZ278" i="12" s="1"/>
  <c r="AY277" i="12"/>
  <c r="AZ277" i="12" s="1"/>
  <c r="AY276" i="12"/>
  <c r="AZ276" i="12" s="1"/>
  <c r="AY275" i="12"/>
  <c r="AZ275" i="12" s="1"/>
  <c r="AY274" i="12"/>
  <c r="AZ274" i="12" s="1"/>
  <c r="AY273" i="12"/>
  <c r="AZ273" i="12" s="1"/>
  <c r="AY272" i="12"/>
  <c r="AZ272" i="12" s="1"/>
  <c r="BF29" i="12"/>
  <c r="BF28" i="12"/>
  <c r="BF27" i="12"/>
  <c r="BF26" i="12"/>
  <c r="BF25" i="12"/>
  <c r="BF24" i="12"/>
  <c r="BF23" i="12"/>
  <c r="BF22" i="12"/>
  <c r="BF21" i="12"/>
  <c r="BF20" i="12"/>
  <c r="BF19" i="12"/>
  <c r="BF18" i="12"/>
  <c r="BF17" i="12"/>
  <c r="BF16" i="12"/>
  <c r="BF15" i="12"/>
  <c r="BF14" i="12"/>
  <c r="BF13" i="12"/>
  <c r="BF12" i="12"/>
  <c r="BF11" i="12"/>
  <c r="BF10" i="12"/>
  <c r="BF37" i="12"/>
  <c r="BF76" i="12"/>
  <c r="BF75" i="12"/>
  <c r="BF74" i="12"/>
  <c r="BF73" i="12"/>
  <c r="BF72" i="12"/>
  <c r="BF71" i="12"/>
  <c r="BF70" i="12"/>
  <c r="BF69" i="12"/>
  <c r="BF68" i="12"/>
  <c r="BF67" i="12"/>
  <c r="BF66" i="12"/>
  <c r="BF65" i="12"/>
  <c r="BF64" i="12"/>
  <c r="BF63" i="12"/>
  <c r="BF62" i="12"/>
  <c r="BF61" i="12"/>
  <c r="BF60" i="12"/>
  <c r="BF59" i="12"/>
  <c r="BF58" i="12"/>
  <c r="BF57" i="12"/>
  <c r="BF56" i="12"/>
  <c r="BF55" i="12"/>
  <c r="BF54" i="12"/>
  <c r="BF53" i="12"/>
  <c r="BF52" i="12"/>
  <c r="BF51" i="12"/>
  <c r="BF50" i="12"/>
  <c r="BF49" i="12"/>
  <c r="BF48" i="12"/>
  <c r="BF47" i="12"/>
  <c r="BF46" i="12"/>
  <c r="BF45" i="12"/>
  <c r="BF44" i="12"/>
  <c r="BF43" i="12"/>
  <c r="BF42" i="12"/>
  <c r="BF41" i="12"/>
  <c r="BF40" i="12"/>
  <c r="BF39" i="12"/>
  <c r="BF38" i="12"/>
  <c r="BF87" i="12"/>
  <c r="BF124" i="12"/>
  <c r="BF123" i="12"/>
  <c r="BF122" i="12"/>
  <c r="BF121" i="12"/>
  <c r="BF120" i="12"/>
  <c r="BF119" i="12"/>
  <c r="BF118" i="12"/>
  <c r="BF117" i="12"/>
  <c r="BF116" i="12"/>
  <c r="BF115" i="12"/>
  <c r="BF114" i="12"/>
  <c r="BF113" i="12"/>
  <c r="BF112" i="12"/>
  <c r="BF111" i="12"/>
  <c r="BF110" i="12"/>
  <c r="BF109" i="12"/>
  <c r="BF108" i="12"/>
  <c r="BF107" i="12"/>
  <c r="BF106" i="12"/>
  <c r="BF105" i="12"/>
  <c r="BF104" i="12"/>
  <c r="BF103" i="12"/>
  <c r="BF102" i="12"/>
  <c r="BF101" i="12"/>
  <c r="BF100" i="12"/>
  <c r="BF99" i="12"/>
  <c r="BF98" i="12"/>
  <c r="BF97" i="12"/>
  <c r="BF96" i="12"/>
  <c r="BF95" i="12"/>
  <c r="BF94" i="12"/>
  <c r="BF93" i="12"/>
  <c r="BF92" i="12"/>
  <c r="BF91" i="12"/>
  <c r="BF90" i="12"/>
  <c r="BF89" i="12"/>
  <c r="BF88" i="12"/>
  <c r="BF162" i="12"/>
  <c r="BF161" i="12"/>
  <c r="BF160" i="12"/>
  <c r="BF159" i="12"/>
  <c r="BF158" i="12"/>
  <c r="BF157" i="12"/>
  <c r="BF155" i="12"/>
  <c r="BF153" i="12"/>
  <c r="BF152" i="12"/>
  <c r="BF151" i="12"/>
  <c r="BF150" i="12"/>
  <c r="BF147" i="12"/>
  <c r="BF145" i="12"/>
  <c r="BF144" i="12"/>
  <c r="BF139" i="12"/>
  <c r="BF182" i="12"/>
  <c r="BF216" i="12"/>
  <c r="BF215" i="12"/>
  <c r="BF214" i="12"/>
  <c r="BF213" i="12"/>
  <c r="BF211" i="12"/>
  <c r="BF210" i="12"/>
  <c r="BF209" i="12"/>
  <c r="BF208" i="12"/>
  <c r="BF207" i="12"/>
  <c r="BF206" i="12"/>
  <c r="BF205" i="12"/>
  <c r="BF204" i="12"/>
  <c r="BF203" i="12"/>
  <c r="BF202" i="12"/>
  <c r="BF201" i="12"/>
  <c r="BF200" i="12"/>
  <c r="BF199" i="12"/>
  <c r="BF198" i="12"/>
  <c r="BF197" i="12"/>
  <c r="BF196" i="12"/>
  <c r="BF195" i="12"/>
  <c r="BF194" i="12"/>
  <c r="BF193" i="12"/>
  <c r="BF192" i="12"/>
  <c r="BF191" i="12"/>
  <c r="BF190" i="12"/>
  <c r="BF189" i="12"/>
  <c r="BF188" i="12"/>
  <c r="BF187" i="12"/>
  <c r="BF186" i="12"/>
  <c r="BF185" i="12"/>
  <c r="BF184" i="12"/>
  <c r="BF183" i="12"/>
  <c r="BF227" i="12"/>
  <c r="BF257" i="12"/>
  <c r="BF256" i="12"/>
  <c r="BF255" i="12"/>
  <c r="BF254" i="12"/>
  <c r="BF253" i="12"/>
  <c r="BF252" i="12"/>
  <c r="BF251" i="12"/>
  <c r="BF250" i="12"/>
  <c r="BF248" i="12"/>
  <c r="BF247" i="12"/>
  <c r="BF246" i="12"/>
  <c r="BF245" i="12"/>
  <c r="BF244" i="12"/>
  <c r="BF243" i="12"/>
  <c r="BF242" i="12"/>
  <c r="BF241" i="12"/>
  <c r="BF240" i="12"/>
  <c r="BF239" i="12"/>
  <c r="BF238" i="12"/>
  <c r="BF237" i="12"/>
  <c r="BF236" i="12"/>
  <c r="BF235" i="12"/>
  <c r="BF234" i="12"/>
  <c r="BF233" i="12"/>
  <c r="BF232" i="12"/>
  <c r="BF231" i="12"/>
  <c r="BF230" i="12"/>
  <c r="BF229" i="12"/>
  <c r="BF228" i="12"/>
  <c r="BF271" i="12"/>
  <c r="BF308" i="12"/>
  <c r="BF307" i="12"/>
  <c r="BF306" i="12"/>
  <c r="BF305" i="12"/>
  <c r="BF304" i="12"/>
  <c r="BF303" i="12"/>
  <c r="BF302" i="12"/>
  <c r="BF301" i="12"/>
  <c r="BF300" i="12"/>
  <c r="BF299" i="12"/>
  <c r="BF298" i="12"/>
  <c r="BF297" i="12"/>
  <c r="BF296" i="12"/>
  <c r="BF295" i="12"/>
  <c r="BF294" i="12"/>
  <c r="BF293" i="12"/>
  <c r="BF292" i="12"/>
  <c r="BF291" i="12"/>
  <c r="BF290" i="12"/>
  <c r="BF289" i="12"/>
  <c r="BF288" i="12"/>
  <c r="BF287" i="12"/>
  <c r="BF286" i="12"/>
  <c r="BF285" i="12"/>
  <c r="BF284" i="12"/>
  <c r="BF283" i="12"/>
  <c r="BF282" i="12"/>
  <c r="BF281" i="12"/>
  <c r="BF280" i="12"/>
  <c r="BF279" i="12"/>
  <c r="BF278" i="12"/>
  <c r="BF277" i="12"/>
  <c r="BF276" i="12"/>
  <c r="BF275" i="12"/>
  <c r="BF274" i="12"/>
  <c r="BF273" i="12"/>
  <c r="BF272" i="12"/>
  <c r="BF9" i="12"/>
  <c r="AY193" i="14"/>
  <c r="AZ193" i="14" s="1"/>
  <c r="BD193" i="14"/>
  <c r="BF193" i="14" s="1"/>
  <c r="BD141" i="12"/>
  <c r="BF141" i="12" s="1"/>
  <c r="AY141" i="12"/>
  <c r="AZ141" i="12" s="1"/>
  <c r="AY156" i="12"/>
  <c r="AZ156" i="12" s="1"/>
  <c r="AY149" i="12"/>
  <c r="AZ149" i="12" s="1"/>
  <c r="AY146" i="12"/>
  <c r="AZ146" i="12" s="1"/>
  <c r="AY154" i="12"/>
  <c r="AZ154" i="12" s="1"/>
  <c r="AY148" i="12"/>
  <c r="AZ148" i="12" s="1"/>
  <c r="AY143" i="12"/>
  <c r="AZ143" i="12" s="1"/>
  <c r="AY142" i="12"/>
  <c r="AZ142" i="12" s="1"/>
  <c r="AY140" i="12"/>
  <c r="AZ140" i="12" s="1"/>
  <c r="BD138" i="12"/>
  <c r="BF138" i="12" s="1"/>
  <c r="AY138" i="12"/>
  <c r="AZ138" i="12" s="1"/>
  <c r="AY250" i="12"/>
  <c r="AZ250" i="12" s="1"/>
  <c r="AY248" i="12"/>
  <c r="AZ248" i="12" s="1"/>
  <c r="AY194" i="12"/>
  <c r="AZ194" i="12" s="1"/>
  <c r="AY22" i="15"/>
  <c r="AZ22" i="15" s="1"/>
  <c r="AY21" i="15"/>
  <c r="AZ21" i="15" s="1"/>
  <c r="AY20" i="15"/>
  <c r="AZ20" i="15" s="1"/>
  <c r="AY19" i="15"/>
  <c r="AZ19" i="15" s="1"/>
  <c r="AY18" i="15"/>
  <c r="AZ18" i="15" s="1"/>
  <c r="AY17" i="15"/>
  <c r="AZ17" i="15" s="1"/>
  <c r="AY16" i="15"/>
  <c r="AZ16" i="15" s="1"/>
  <c r="AY15" i="15"/>
  <c r="AZ15" i="15" s="1"/>
  <c r="AY14" i="15"/>
  <c r="AZ14" i="15" s="1"/>
  <c r="AY13" i="15"/>
  <c r="AZ13" i="15" s="1"/>
  <c r="AY12" i="15"/>
  <c r="AZ12" i="15" s="1"/>
  <c r="AY11" i="15"/>
  <c r="AZ11" i="15" s="1"/>
  <c r="AY10" i="15"/>
  <c r="AZ10" i="15" s="1"/>
  <c r="AY59" i="15"/>
  <c r="AZ59" i="15" s="1"/>
  <c r="AY58" i="15"/>
  <c r="AZ58" i="15" s="1"/>
  <c r="AY57" i="15"/>
  <c r="AZ57" i="15" s="1"/>
  <c r="AY56" i="15"/>
  <c r="AZ56" i="15" s="1"/>
  <c r="AY55" i="15"/>
  <c r="AZ55" i="15" s="1"/>
  <c r="AY54" i="15"/>
  <c r="AZ54" i="15" s="1"/>
  <c r="AY53" i="15"/>
  <c r="AZ53" i="15" s="1"/>
  <c r="AY52" i="15"/>
  <c r="AZ52" i="15" s="1"/>
  <c r="AY51" i="15"/>
  <c r="AZ51" i="15" s="1"/>
  <c r="AY50" i="15"/>
  <c r="AZ50" i="15" s="1"/>
  <c r="AY49" i="15"/>
  <c r="AZ49" i="15" s="1"/>
  <c r="AY48" i="15"/>
  <c r="AZ48" i="15" s="1"/>
  <c r="AY47" i="15"/>
  <c r="AZ47" i="15" s="1"/>
  <c r="AY46" i="15"/>
  <c r="AZ46" i="15" s="1"/>
  <c r="AY45" i="15"/>
  <c r="AZ45" i="15" s="1"/>
  <c r="AY44" i="15"/>
  <c r="AZ44" i="15" s="1"/>
  <c r="AY43" i="15"/>
  <c r="AZ43" i="15" s="1"/>
  <c r="AY42" i="15"/>
  <c r="AZ42" i="15" s="1"/>
  <c r="AY41" i="15"/>
  <c r="AZ41" i="15" s="1"/>
  <c r="AY40" i="15"/>
  <c r="AZ40" i="15" s="1"/>
  <c r="AY39" i="15"/>
  <c r="AZ39" i="15" s="1"/>
  <c r="AY38" i="15"/>
  <c r="AZ38" i="15" s="1"/>
  <c r="AY37" i="15"/>
  <c r="AZ37" i="15" s="1"/>
  <c r="AY36" i="15"/>
  <c r="AZ36" i="15" s="1"/>
  <c r="AY35" i="15"/>
  <c r="AZ35" i="15" s="1"/>
  <c r="AY34" i="15"/>
  <c r="AZ34" i="15" s="1"/>
  <c r="AY33" i="15"/>
  <c r="AZ33" i="15" s="1"/>
  <c r="AY32" i="15"/>
  <c r="AZ32" i="15" s="1"/>
  <c r="AY31" i="15"/>
  <c r="AZ31" i="15" s="1"/>
  <c r="AY30" i="15"/>
  <c r="AZ30" i="15" s="1"/>
  <c r="AY29" i="15"/>
  <c r="AZ29" i="15" s="1"/>
  <c r="AY96" i="15"/>
  <c r="AZ96" i="15" s="1"/>
  <c r="AY95" i="15"/>
  <c r="AZ95" i="15" s="1"/>
  <c r="AY94" i="15"/>
  <c r="AZ94" i="15" s="1"/>
  <c r="AY93" i="15"/>
  <c r="AZ93" i="15" s="1"/>
  <c r="AY92" i="15"/>
  <c r="AZ92" i="15" s="1"/>
  <c r="AY91" i="15"/>
  <c r="AZ91" i="15" s="1"/>
  <c r="AY90" i="15"/>
  <c r="AZ90" i="15" s="1"/>
  <c r="AY89" i="15"/>
  <c r="AY88" i="15"/>
  <c r="AZ88" i="15" s="1"/>
  <c r="AY87" i="15"/>
  <c r="AZ87" i="15" s="1"/>
  <c r="AY86" i="15"/>
  <c r="AZ86" i="15" s="1"/>
  <c r="AY85" i="15"/>
  <c r="AZ85" i="15" s="1"/>
  <c r="AY84" i="15"/>
  <c r="AZ84" i="15" s="1"/>
  <c r="AY83" i="15"/>
  <c r="AZ83" i="15" s="1"/>
  <c r="AY82" i="15"/>
  <c r="AZ82" i="15" s="1"/>
  <c r="AY81" i="15"/>
  <c r="AZ81" i="15" s="1"/>
  <c r="AY80" i="15"/>
  <c r="AZ80" i="15" s="1"/>
  <c r="AY79" i="15"/>
  <c r="AZ79" i="15" s="1"/>
  <c r="AY78" i="15"/>
  <c r="AZ78" i="15" s="1"/>
  <c r="AY77" i="15"/>
  <c r="AZ77" i="15" s="1"/>
  <c r="AY76" i="15"/>
  <c r="AZ76" i="15" s="1"/>
  <c r="AY75" i="15"/>
  <c r="AZ75" i="15" s="1"/>
  <c r="AY74" i="15"/>
  <c r="AZ74" i="15" s="1"/>
  <c r="AY73" i="15"/>
  <c r="AZ73" i="15" s="1"/>
  <c r="AY72" i="15"/>
  <c r="AZ72" i="15" s="1"/>
  <c r="AY71" i="15"/>
  <c r="AZ71" i="15" s="1"/>
  <c r="AY70" i="15"/>
  <c r="AZ70" i="15" s="1"/>
  <c r="AY69" i="15"/>
  <c r="AZ69" i="15" s="1"/>
  <c r="AY68" i="15"/>
  <c r="AZ68" i="15" s="1"/>
  <c r="AY67" i="15"/>
  <c r="AZ67" i="15" s="1"/>
  <c r="AY66" i="15"/>
  <c r="AZ66" i="15" s="1"/>
  <c r="AY131" i="15"/>
  <c r="AZ131" i="15" s="1"/>
  <c r="AY130" i="15"/>
  <c r="AZ130" i="15" s="1"/>
  <c r="AY129" i="15"/>
  <c r="AZ129" i="15" s="1"/>
  <c r="AY128" i="15"/>
  <c r="AZ128" i="15" s="1"/>
  <c r="AY127" i="15"/>
  <c r="AZ127" i="15" s="1"/>
  <c r="AY126" i="15"/>
  <c r="AZ126" i="15" s="1"/>
  <c r="AY125" i="15"/>
  <c r="AZ125" i="15" s="1"/>
  <c r="AY124" i="15"/>
  <c r="AZ124" i="15" s="1"/>
  <c r="AY123" i="15"/>
  <c r="AZ123" i="15" s="1"/>
  <c r="AY122" i="15"/>
  <c r="AZ122" i="15" s="1"/>
  <c r="AY121" i="15"/>
  <c r="AZ121" i="15" s="1"/>
  <c r="AY120" i="15"/>
  <c r="AZ120" i="15" s="1"/>
  <c r="AY119" i="15"/>
  <c r="AZ119" i="15" s="1"/>
  <c r="AY118" i="15"/>
  <c r="AZ118" i="15" s="1"/>
  <c r="AY117" i="15"/>
  <c r="AZ117" i="15" s="1"/>
  <c r="AY116" i="15"/>
  <c r="AZ116" i="15" s="1"/>
  <c r="AY115" i="15"/>
  <c r="AZ115" i="15" s="1"/>
  <c r="AY114" i="15"/>
  <c r="AZ114" i="15" s="1"/>
  <c r="AY113" i="15"/>
  <c r="AZ113" i="15" s="1"/>
  <c r="AY112" i="15"/>
  <c r="AZ112" i="15" s="1"/>
  <c r="AY111" i="15"/>
  <c r="AZ111" i="15" s="1"/>
  <c r="AY110" i="15"/>
  <c r="AZ110" i="15" s="1"/>
  <c r="AY109" i="15"/>
  <c r="AZ109" i="15" s="1"/>
  <c r="AY108" i="15"/>
  <c r="AZ108" i="15" s="1"/>
  <c r="AY107" i="15"/>
  <c r="AZ107" i="15" s="1"/>
  <c r="AY106" i="15"/>
  <c r="AZ106" i="15" s="1"/>
  <c r="AY105" i="15"/>
  <c r="AZ105" i="15" s="1"/>
  <c r="AY104" i="15"/>
  <c r="AZ104" i="15" s="1"/>
  <c r="AY103" i="15"/>
  <c r="AZ103" i="15" s="1"/>
  <c r="AY163" i="15"/>
  <c r="AZ163" i="15" s="1"/>
  <c r="AY161" i="15"/>
  <c r="AZ161" i="15" s="1"/>
  <c r="AY160" i="15"/>
  <c r="AZ160" i="15" s="1"/>
  <c r="AY159" i="15"/>
  <c r="AZ159" i="15" s="1"/>
  <c r="AY151" i="15"/>
  <c r="AZ151" i="15" s="1"/>
  <c r="AY147" i="15"/>
  <c r="AZ147" i="15" s="1"/>
  <c r="AY143" i="15"/>
  <c r="AZ143" i="15" s="1"/>
  <c r="AY141" i="15"/>
  <c r="AZ141" i="15" s="1"/>
  <c r="AY139" i="15"/>
  <c r="AZ139" i="15" s="1"/>
  <c r="AY207" i="15"/>
  <c r="AZ207" i="15" s="1"/>
  <c r="AY205" i="15"/>
  <c r="AZ205" i="15" s="1"/>
  <c r="AY204" i="15"/>
  <c r="AZ204" i="15" s="1"/>
  <c r="AY203" i="15"/>
  <c r="AZ203" i="15" s="1"/>
  <c r="AY202" i="15"/>
  <c r="AZ202" i="15" s="1"/>
  <c r="AY201" i="15"/>
  <c r="AZ201" i="15" s="1"/>
  <c r="AY200" i="15"/>
  <c r="AZ200" i="15" s="1"/>
  <c r="AY199" i="15"/>
  <c r="AZ199" i="15" s="1"/>
  <c r="AY198" i="15"/>
  <c r="AZ198" i="15" s="1"/>
  <c r="AY197" i="15"/>
  <c r="AZ197" i="15" s="1"/>
  <c r="AY196" i="15"/>
  <c r="AZ196" i="15" s="1"/>
  <c r="AY195" i="15"/>
  <c r="AZ195" i="15" s="1"/>
  <c r="AY194" i="15"/>
  <c r="AZ194" i="15" s="1"/>
  <c r="AY193" i="15"/>
  <c r="AZ193" i="15" s="1"/>
  <c r="AY192" i="15"/>
  <c r="AZ192" i="15" s="1"/>
  <c r="AY191" i="15"/>
  <c r="AZ191" i="15" s="1"/>
  <c r="AY190" i="15"/>
  <c r="AZ190" i="15" s="1"/>
  <c r="AY189" i="15"/>
  <c r="AZ189" i="15" s="1"/>
  <c r="AY188" i="15"/>
  <c r="AZ188" i="15" s="1"/>
  <c r="AY187" i="15"/>
  <c r="AZ187" i="15" s="1"/>
  <c r="AY186" i="15"/>
  <c r="AZ186" i="15" s="1"/>
  <c r="AY185" i="15"/>
  <c r="AZ185" i="15" s="1"/>
  <c r="AY184" i="15"/>
  <c r="AZ184" i="15" s="1"/>
  <c r="AY183" i="15"/>
  <c r="AZ183" i="15" s="1"/>
  <c r="AY181" i="15"/>
  <c r="AZ181" i="15" s="1"/>
  <c r="AY180" i="15"/>
  <c r="AZ180" i="15" s="1"/>
  <c r="AY179" i="15"/>
  <c r="AZ179" i="15" s="1"/>
  <c r="AY178" i="15"/>
  <c r="AZ178" i="15" s="1"/>
  <c r="AY177" i="15"/>
  <c r="AZ177" i="15" s="1"/>
  <c r="AY176" i="15"/>
  <c r="AZ176" i="15" s="1"/>
  <c r="AY175" i="15"/>
  <c r="AZ175" i="15" s="1"/>
  <c r="AY241" i="15"/>
  <c r="AZ241" i="15" s="1"/>
  <c r="AY240" i="15"/>
  <c r="AZ240" i="15" s="1"/>
  <c r="AY239" i="15"/>
  <c r="AZ239" i="15" s="1"/>
  <c r="AY238" i="15"/>
  <c r="AZ238" i="15" s="1"/>
  <c r="AY237" i="15"/>
  <c r="AZ237" i="15" s="1"/>
  <c r="AY236" i="15"/>
  <c r="AZ236" i="15" s="1"/>
  <c r="AY235" i="15"/>
  <c r="AZ235" i="15" s="1"/>
  <c r="AY234" i="15"/>
  <c r="AZ234" i="15" s="1"/>
  <c r="AY233" i="15"/>
  <c r="AZ233" i="15" s="1"/>
  <c r="AY232" i="15"/>
  <c r="AZ232" i="15" s="1"/>
  <c r="AY231" i="15"/>
  <c r="AZ231" i="15" s="1"/>
  <c r="AY230" i="15"/>
  <c r="AZ230" i="15" s="1"/>
  <c r="AY229" i="15"/>
  <c r="AZ229" i="15" s="1"/>
  <c r="AY228" i="15"/>
  <c r="AZ228" i="15" s="1"/>
  <c r="AY227" i="15"/>
  <c r="AZ227" i="15" s="1"/>
  <c r="AY226" i="15"/>
  <c r="AZ226" i="15" s="1"/>
  <c r="AY225" i="15"/>
  <c r="AZ225" i="15" s="1"/>
  <c r="AY224" i="15"/>
  <c r="AZ224" i="15" s="1"/>
  <c r="AY223" i="15"/>
  <c r="AZ223" i="15" s="1"/>
  <c r="AY222" i="15"/>
  <c r="AZ222" i="15" s="1"/>
  <c r="AY221" i="15"/>
  <c r="AZ221" i="15" s="1"/>
  <c r="AY220" i="15"/>
  <c r="AZ220" i="15" s="1"/>
  <c r="AY219" i="15"/>
  <c r="AZ219" i="15" s="1"/>
  <c r="AY218" i="15"/>
  <c r="AZ218" i="15" s="1"/>
  <c r="AY217" i="15"/>
  <c r="AZ217" i="15" s="1"/>
  <c r="AY216" i="15"/>
  <c r="AZ216" i="15" s="1"/>
  <c r="AY215" i="15"/>
  <c r="AZ215" i="15" s="1"/>
  <c r="AY214" i="15"/>
  <c r="AZ214" i="15" s="1"/>
  <c r="AY206" i="15"/>
  <c r="AZ206" i="15" s="1"/>
  <c r="AY182" i="15"/>
  <c r="AZ182" i="15" s="1"/>
  <c r="AY168" i="15"/>
  <c r="AZ168" i="15" s="1"/>
  <c r="BD167" i="15"/>
  <c r="BF167" i="15" s="1"/>
  <c r="AY167" i="15"/>
  <c r="AZ167" i="15" s="1"/>
  <c r="BD166" i="15"/>
  <c r="BF166" i="15" s="1"/>
  <c r="AY166" i="15"/>
  <c r="AZ166" i="15" s="1"/>
  <c r="BD165" i="15"/>
  <c r="BF165" i="15" s="1"/>
  <c r="AY165" i="15"/>
  <c r="AZ165" i="15" s="1"/>
  <c r="AY164" i="15"/>
  <c r="AZ164" i="15" s="1"/>
  <c r="AY162" i="15"/>
  <c r="AZ162" i="15" s="1"/>
  <c r="BD158" i="15"/>
  <c r="BF158" i="15" s="1"/>
  <c r="AY158" i="15"/>
  <c r="AZ158" i="15" s="1"/>
  <c r="AY157" i="15"/>
  <c r="AZ157" i="15" s="1"/>
  <c r="AY156" i="15"/>
  <c r="AZ156" i="15" s="1"/>
  <c r="AY155" i="15"/>
  <c r="AZ155" i="15" s="1"/>
  <c r="AY154" i="15"/>
  <c r="AZ154" i="15" s="1"/>
  <c r="BD153" i="15"/>
  <c r="BF153" i="15" s="1"/>
  <c r="AY153" i="15"/>
  <c r="AZ153" i="15" s="1"/>
  <c r="AY152" i="15"/>
  <c r="AZ152" i="15" s="1"/>
  <c r="AY150" i="15"/>
  <c r="AZ150" i="15" s="1"/>
  <c r="BD149" i="15"/>
  <c r="BF149" i="15" s="1"/>
  <c r="AY149" i="15"/>
  <c r="AZ149" i="15" s="1"/>
  <c r="BD148" i="15"/>
  <c r="BF148" i="15" s="1"/>
  <c r="AY148" i="15"/>
  <c r="AZ148" i="15" s="1"/>
  <c r="BD146" i="15"/>
  <c r="BF146" i="15" s="1"/>
  <c r="AY146" i="15"/>
  <c r="AZ146" i="15" s="1"/>
  <c r="BD145" i="15"/>
  <c r="BF145" i="15" s="1"/>
  <c r="AY145" i="15"/>
  <c r="AZ145" i="15" s="1"/>
  <c r="AY144" i="15"/>
  <c r="AZ144" i="15" s="1"/>
  <c r="AY142" i="15"/>
  <c r="AZ142" i="15" s="1"/>
  <c r="AY140" i="15"/>
  <c r="AZ140" i="15" s="1"/>
  <c r="AY138" i="15"/>
  <c r="AZ138" i="15" s="1"/>
  <c r="AY19" i="14"/>
  <c r="AZ19" i="14" s="1"/>
  <c r="AY17" i="14"/>
  <c r="AZ17" i="14" s="1"/>
  <c r="AY15" i="14"/>
  <c r="AZ15" i="14" s="1"/>
  <c r="AY14" i="14"/>
  <c r="AZ14" i="14" s="1"/>
  <c r="AY13" i="14"/>
  <c r="AZ13" i="14" s="1"/>
  <c r="AY53" i="14"/>
  <c r="AZ53" i="14" s="1"/>
  <c r="AY52" i="14"/>
  <c r="AZ52" i="14" s="1"/>
  <c r="AY51" i="14"/>
  <c r="AZ51" i="14" s="1"/>
  <c r="AY50" i="14"/>
  <c r="AZ50" i="14" s="1"/>
  <c r="AY49" i="14"/>
  <c r="AZ49" i="14" s="1"/>
  <c r="AY48" i="14"/>
  <c r="AZ48" i="14" s="1"/>
  <c r="AY47" i="14"/>
  <c r="AZ47" i="14" s="1"/>
  <c r="AY46" i="14"/>
  <c r="AZ46" i="14" s="1"/>
  <c r="AY45" i="14"/>
  <c r="AZ45" i="14" s="1"/>
  <c r="AY44" i="14"/>
  <c r="AZ44" i="14" s="1"/>
  <c r="AY43" i="14"/>
  <c r="AZ43" i="14" s="1"/>
  <c r="AY42" i="14"/>
  <c r="AZ42" i="14" s="1"/>
  <c r="AY41" i="14"/>
  <c r="AZ41" i="14" s="1"/>
  <c r="AY40" i="14"/>
  <c r="AZ40" i="14" s="1"/>
  <c r="AY39" i="14"/>
  <c r="AZ39" i="14" s="1"/>
  <c r="AY38" i="14"/>
  <c r="AZ38" i="14" s="1"/>
  <c r="AY37" i="14"/>
  <c r="AZ37" i="14" s="1"/>
  <c r="AY36" i="14"/>
  <c r="AZ36" i="14" s="1"/>
  <c r="AY35" i="14"/>
  <c r="AZ35" i="14" s="1"/>
  <c r="AY34" i="14"/>
  <c r="AZ34" i="14" s="1"/>
  <c r="AY33" i="14"/>
  <c r="AZ33" i="14" s="1"/>
  <c r="AY32" i="14"/>
  <c r="AZ32" i="14" s="1"/>
  <c r="AY31" i="14"/>
  <c r="AZ31" i="14" s="1"/>
  <c r="AY30" i="14"/>
  <c r="AZ30" i="14" s="1"/>
  <c r="AY29" i="14"/>
  <c r="AZ29" i="14" s="1"/>
  <c r="AY28" i="14"/>
  <c r="AZ28" i="14" s="1"/>
  <c r="AY27" i="14"/>
  <c r="AZ27" i="14" s="1"/>
  <c r="AY87" i="14"/>
  <c r="AZ87" i="14" s="1"/>
  <c r="AY86" i="14"/>
  <c r="AZ86" i="14" s="1"/>
  <c r="AY85" i="14"/>
  <c r="AZ85" i="14" s="1"/>
  <c r="AY84" i="14"/>
  <c r="AZ84" i="14" s="1"/>
  <c r="AY83" i="14"/>
  <c r="AZ83" i="14" s="1"/>
  <c r="AY82" i="14"/>
  <c r="AZ82" i="14" s="1"/>
  <c r="AY81" i="14"/>
  <c r="AZ81" i="14" s="1"/>
  <c r="AY80" i="14"/>
  <c r="AZ80" i="14" s="1"/>
  <c r="AY79" i="14"/>
  <c r="AZ79" i="14" s="1"/>
  <c r="AY78" i="14"/>
  <c r="AZ78" i="14" s="1"/>
  <c r="AY77" i="14"/>
  <c r="AZ77" i="14" s="1"/>
  <c r="AY76" i="14"/>
  <c r="AZ76" i="14" s="1"/>
  <c r="AY75" i="14"/>
  <c r="AZ75" i="14" s="1"/>
  <c r="AY74" i="14"/>
  <c r="AZ74" i="14" s="1"/>
  <c r="AY73" i="14"/>
  <c r="AZ73" i="14" s="1"/>
  <c r="AY72" i="14"/>
  <c r="AZ72" i="14" s="1"/>
  <c r="AY71" i="14"/>
  <c r="AZ71" i="14" s="1"/>
  <c r="AY70" i="14"/>
  <c r="AZ70" i="14" s="1"/>
  <c r="AY69" i="14"/>
  <c r="AZ69" i="14" s="1"/>
  <c r="AY68" i="14"/>
  <c r="AZ68" i="14" s="1"/>
  <c r="AY67" i="14"/>
  <c r="AZ67" i="14" s="1"/>
  <c r="AY66" i="14"/>
  <c r="AZ66" i="14" s="1"/>
  <c r="AY65" i="14"/>
  <c r="AZ65" i="14" s="1"/>
  <c r="AY64" i="14"/>
  <c r="AZ64" i="14" s="1"/>
  <c r="AY63" i="14"/>
  <c r="AZ63" i="14" s="1"/>
  <c r="AY62" i="14"/>
  <c r="AZ62" i="14" s="1"/>
  <c r="AY61" i="14"/>
  <c r="AZ61" i="14" s="1"/>
  <c r="AY60" i="14"/>
  <c r="AZ60" i="14" s="1"/>
  <c r="AY175" i="14"/>
  <c r="AZ175" i="14" s="1"/>
  <c r="AY174" i="14"/>
  <c r="AZ174" i="14" s="1"/>
  <c r="AY173" i="14"/>
  <c r="AZ173" i="14" s="1"/>
  <c r="AY172" i="14"/>
  <c r="AZ172" i="14" s="1"/>
  <c r="AY171" i="14"/>
  <c r="AZ171" i="14" s="1"/>
  <c r="AY170" i="14"/>
  <c r="AZ170" i="14" s="1"/>
  <c r="AY169" i="14"/>
  <c r="AZ169" i="14" s="1"/>
  <c r="AY168" i="14"/>
  <c r="AZ168" i="14" s="1"/>
  <c r="AY167" i="14"/>
  <c r="AZ167" i="14" s="1"/>
  <c r="AY166" i="14"/>
  <c r="AZ166" i="14" s="1"/>
  <c r="AY165" i="14"/>
  <c r="AZ165" i="14" s="1"/>
  <c r="AY164" i="14"/>
  <c r="AZ164" i="14" s="1"/>
  <c r="AY163" i="14"/>
  <c r="AZ163" i="14" s="1"/>
  <c r="AY162" i="14"/>
  <c r="AZ162" i="14" s="1"/>
  <c r="AY161" i="14"/>
  <c r="AZ161" i="14" s="1"/>
  <c r="AY160" i="14"/>
  <c r="AZ160" i="14" s="1"/>
  <c r="AY159" i="14"/>
  <c r="AZ159" i="14" s="1"/>
  <c r="AY158" i="14"/>
  <c r="AZ158" i="14" s="1"/>
  <c r="AY157" i="14"/>
  <c r="AZ157" i="14" s="1"/>
  <c r="AY156" i="14"/>
  <c r="AZ156" i="14" s="1"/>
  <c r="AY155" i="14"/>
  <c r="AZ155" i="14" s="1"/>
  <c r="AY154" i="14"/>
  <c r="AZ154" i="14" s="1"/>
  <c r="AY153" i="14"/>
  <c r="AZ153" i="14" s="1"/>
  <c r="AY152" i="14"/>
  <c r="AZ152" i="14" s="1"/>
  <c r="AY151" i="14"/>
  <c r="AZ151" i="14" s="1"/>
  <c r="AY150" i="14"/>
  <c r="AZ150" i="14" s="1"/>
  <c r="AY149" i="14"/>
  <c r="AZ149" i="14" s="1"/>
  <c r="AY148" i="14"/>
  <c r="AZ148" i="14" s="1"/>
  <c r="AY147" i="14"/>
  <c r="AZ147" i="14" s="1"/>
  <c r="AY146" i="14"/>
  <c r="AZ146" i="14" s="1"/>
  <c r="AY145" i="14"/>
  <c r="AZ145" i="14" s="1"/>
  <c r="AY144" i="14"/>
  <c r="AZ144" i="14" s="1"/>
  <c r="AY143" i="14"/>
  <c r="AZ143" i="14" s="1"/>
  <c r="AY142" i="14"/>
  <c r="AZ142" i="14" s="1"/>
  <c r="AY141" i="14"/>
  <c r="AZ141" i="14" s="1"/>
  <c r="AY140" i="14"/>
  <c r="AZ140" i="14" s="1"/>
  <c r="AY209" i="14"/>
  <c r="AZ209" i="14" s="1"/>
  <c r="AY205" i="14"/>
  <c r="AZ205" i="14" s="1"/>
  <c r="AY204" i="14"/>
  <c r="AZ204" i="14" s="1"/>
  <c r="AY200" i="14"/>
  <c r="AZ200" i="14" s="1"/>
  <c r="AY198" i="14"/>
  <c r="AZ198" i="14" s="1"/>
  <c r="AY197" i="14"/>
  <c r="AZ197" i="14" s="1"/>
  <c r="AY195" i="14"/>
  <c r="AZ195" i="14" s="1"/>
  <c r="AY194" i="14"/>
  <c r="AZ194" i="14" s="1"/>
  <c r="AY190" i="14"/>
  <c r="AZ190" i="14" s="1"/>
  <c r="AY186" i="14"/>
  <c r="AZ186" i="14" s="1"/>
  <c r="AY185" i="14"/>
  <c r="AZ185" i="14" s="1"/>
  <c r="AY184" i="14"/>
  <c r="AZ184" i="14" s="1"/>
  <c r="AY130" i="14"/>
  <c r="AZ130" i="14" s="1"/>
  <c r="AY126" i="14"/>
  <c r="AZ126" i="14" s="1"/>
  <c r="AY121" i="14"/>
  <c r="AZ121" i="14" s="1"/>
  <c r="AY120" i="14"/>
  <c r="AZ120" i="14" s="1"/>
  <c r="AY119" i="14"/>
  <c r="AZ119" i="14" s="1"/>
  <c r="AY114" i="14"/>
  <c r="AZ114" i="14" s="1"/>
  <c r="AY109" i="14"/>
  <c r="AZ109" i="14" s="1"/>
  <c r="AY105" i="14"/>
  <c r="AZ105" i="14" s="1"/>
  <c r="AY104" i="14"/>
  <c r="AZ104" i="14" s="1"/>
  <c r="AY103" i="14"/>
  <c r="AZ103" i="14" s="1"/>
  <c r="AY100" i="14"/>
  <c r="AZ100" i="14" s="1"/>
  <c r="AY99" i="14"/>
  <c r="AZ99" i="14" s="1"/>
  <c r="AY98" i="14"/>
  <c r="AZ98" i="14" s="1"/>
  <c r="AY97" i="14"/>
  <c r="AZ97" i="14" s="1"/>
  <c r="AY96" i="14"/>
  <c r="AZ96" i="14" s="1"/>
  <c r="AY95" i="14"/>
  <c r="AZ95" i="14" s="1"/>
  <c r="AY94" i="14"/>
  <c r="AZ94" i="14" s="1"/>
  <c r="AY208" i="14"/>
  <c r="AZ208" i="14" s="1"/>
  <c r="AY207" i="14"/>
  <c r="AZ207" i="14" s="1"/>
  <c r="AY206" i="14"/>
  <c r="AZ206" i="14" s="1"/>
  <c r="AY203" i="14"/>
  <c r="AZ203" i="14" s="1"/>
  <c r="AY202" i="14"/>
  <c r="AZ202" i="14" s="1"/>
  <c r="AY201" i="14"/>
  <c r="AZ201" i="14" s="1"/>
  <c r="AY199" i="14"/>
  <c r="AZ199" i="14" s="1"/>
  <c r="AY196" i="14"/>
  <c r="AZ196" i="14" s="1"/>
  <c r="AY192" i="14"/>
  <c r="AZ192" i="14" s="1"/>
  <c r="AY191" i="14"/>
  <c r="AZ191" i="14" s="1"/>
  <c r="AY189" i="14"/>
  <c r="AZ189" i="14" s="1"/>
  <c r="AY188" i="14"/>
  <c r="AZ188" i="14" s="1"/>
  <c r="AY187" i="14"/>
  <c r="AZ187" i="14" s="1"/>
  <c r="AY183" i="14"/>
  <c r="AZ183" i="14" s="1"/>
  <c r="AY182" i="14"/>
  <c r="AZ182" i="14" s="1"/>
  <c r="AY20" i="14"/>
  <c r="AZ20" i="14" s="1"/>
  <c r="AY18" i="14"/>
  <c r="AZ18" i="14" s="1"/>
  <c r="AY16" i="14"/>
  <c r="AZ16" i="14" s="1"/>
  <c r="AY12" i="14"/>
  <c r="AZ12" i="14" s="1"/>
  <c r="AY11" i="14"/>
  <c r="AZ11" i="14" s="1"/>
  <c r="AY255" i="12"/>
  <c r="AZ255" i="12" s="1"/>
  <c r="AY249" i="12"/>
  <c r="AZ249" i="12" s="1"/>
  <c r="AY240" i="12"/>
  <c r="AZ240" i="12" s="1"/>
  <c r="AY235" i="12"/>
  <c r="AZ235" i="12" s="1"/>
  <c r="AY291" i="12"/>
  <c r="AZ291" i="12" s="1"/>
  <c r="AY292" i="12"/>
  <c r="AZ292" i="12" s="1"/>
  <c r="AY289" i="12"/>
  <c r="AZ289" i="12" s="1"/>
  <c r="AY210" i="12"/>
  <c r="AZ210" i="12" s="1"/>
  <c r="AY216" i="12"/>
  <c r="AZ216" i="12" s="1"/>
  <c r="AY215" i="12"/>
  <c r="AZ215" i="12" s="1"/>
  <c r="AY213" i="12"/>
  <c r="AZ213" i="12" s="1"/>
  <c r="AY209" i="12"/>
  <c r="AZ209" i="12" s="1"/>
  <c r="AY205" i="12"/>
  <c r="AZ205" i="12" s="1"/>
  <c r="AY204" i="12"/>
  <c r="AZ204" i="12" s="1"/>
  <c r="AY203" i="12"/>
  <c r="AZ203" i="12" s="1"/>
  <c r="AY202" i="12"/>
  <c r="AZ202" i="12" s="1"/>
  <c r="AY201" i="12"/>
  <c r="AZ201" i="12" s="1"/>
  <c r="AY199" i="12"/>
  <c r="AZ199" i="12" s="1"/>
  <c r="AY197" i="12"/>
  <c r="AZ197" i="12" s="1"/>
  <c r="AY195" i="12"/>
  <c r="AZ195" i="12" s="1"/>
  <c r="AY191" i="12"/>
  <c r="AZ191" i="12" s="1"/>
  <c r="AY186" i="12"/>
  <c r="AZ186" i="12" s="1"/>
  <c r="AY185" i="12"/>
  <c r="AZ185" i="12" s="1"/>
  <c r="AY184" i="12"/>
  <c r="AZ184" i="12" s="1"/>
  <c r="AZ183" i="12"/>
  <c r="AY76" i="12"/>
  <c r="AZ76" i="12" s="1"/>
  <c r="AY75" i="12"/>
  <c r="AZ75" i="12" s="1"/>
  <c r="AY74" i="12"/>
  <c r="AZ74" i="12" s="1"/>
  <c r="AY73" i="12"/>
  <c r="AZ73" i="12" s="1"/>
  <c r="AY72" i="12"/>
  <c r="AZ72" i="12" s="1"/>
  <c r="AY71" i="12"/>
  <c r="AZ71" i="12" s="1"/>
  <c r="AY70" i="12"/>
  <c r="AZ70" i="12" s="1"/>
  <c r="AY69" i="12"/>
  <c r="AZ69" i="12" s="1"/>
  <c r="AY68" i="12"/>
  <c r="AZ68" i="12" s="1"/>
  <c r="AY67" i="12"/>
  <c r="AZ67" i="12" s="1"/>
  <c r="AY66" i="12"/>
  <c r="AZ66" i="12" s="1"/>
  <c r="AY65" i="12"/>
  <c r="AZ65" i="12" s="1"/>
  <c r="AY64" i="12"/>
  <c r="AZ64" i="12" s="1"/>
  <c r="AY63" i="12"/>
  <c r="AZ63" i="12" s="1"/>
  <c r="AY62" i="12"/>
  <c r="AZ62" i="12" s="1"/>
  <c r="AY61" i="12"/>
  <c r="AZ61" i="12" s="1"/>
  <c r="AY60" i="12"/>
  <c r="AZ60" i="12" s="1"/>
  <c r="AY59" i="12"/>
  <c r="AZ59" i="12" s="1"/>
  <c r="AY58" i="12"/>
  <c r="AZ58" i="12" s="1"/>
  <c r="AY57" i="12"/>
  <c r="AZ57" i="12" s="1"/>
  <c r="AY56" i="12"/>
  <c r="AZ56" i="12" s="1"/>
  <c r="AY55" i="12"/>
  <c r="AZ55" i="12" s="1"/>
  <c r="AY54" i="12"/>
  <c r="AZ54" i="12" s="1"/>
  <c r="AY53" i="12"/>
  <c r="AZ53" i="12" s="1"/>
  <c r="AY52" i="12"/>
  <c r="AZ52" i="12" s="1"/>
  <c r="AY51" i="12"/>
  <c r="AZ51" i="12" s="1"/>
  <c r="AY50" i="12"/>
  <c r="AZ50" i="12" s="1"/>
  <c r="AY49" i="12"/>
  <c r="AZ49" i="12" s="1"/>
  <c r="AY48" i="12"/>
  <c r="AZ48" i="12" s="1"/>
  <c r="AY47" i="12"/>
  <c r="AZ47" i="12" s="1"/>
  <c r="AY46" i="12"/>
  <c r="AZ46" i="12" s="1"/>
  <c r="AY45" i="12"/>
  <c r="AZ45" i="12" s="1"/>
  <c r="AY44" i="12"/>
  <c r="AZ44" i="12" s="1"/>
  <c r="AY43" i="12"/>
  <c r="AZ43" i="12" s="1"/>
  <c r="AY42" i="12"/>
  <c r="AZ42" i="12" s="1"/>
  <c r="AY41" i="12"/>
  <c r="AZ41" i="12" s="1"/>
  <c r="AY40" i="12"/>
  <c r="AZ40" i="12" s="1"/>
  <c r="AY39" i="12"/>
  <c r="AZ39" i="12" s="1"/>
  <c r="AY38" i="12"/>
  <c r="AZ38" i="12" s="1"/>
  <c r="AY124" i="12"/>
  <c r="AZ124" i="12" s="1"/>
  <c r="AY123" i="12"/>
  <c r="AZ123" i="12" s="1"/>
  <c r="AY122" i="12"/>
  <c r="AZ122" i="12" s="1"/>
  <c r="AY121" i="12"/>
  <c r="AZ121" i="12" s="1"/>
  <c r="AY120" i="12"/>
  <c r="AZ120" i="12" s="1"/>
  <c r="AY119" i="12"/>
  <c r="AZ119" i="12" s="1"/>
  <c r="AY118" i="12"/>
  <c r="AZ118" i="12" s="1"/>
  <c r="AY117" i="12"/>
  <c r="AZ117" i="12" s="1"/>
  <c r="AY116" i="12"/>
  <c r="AZ116" i="12" s="1"/>
  <c r="AY115" i="12"/>
  <c r="AZ115" i="12" s="1"/>
  <c r="AY114" i="12"/>
  <c r="AZ114" i="12" s="1"/>
  <c r="AY113" i="12"/>
  <c r="AZ113" i="12" s="1"/>
  <c r="AY112" i="12"/>
  <c r="AZ112" i="12" s="1"/>
  <c r="AY111" i="12"/>
  <c r="AZ111" i="12" s="1"/>
  <c r="AY110" i="12"/>
  <c r="AZ110" i="12" s="1"/>
  <c r="AY109" i="12"/>
  <c r="AZ109" i="12" s="1"/>
  <c r="AY108" i="12"/>
  <c r="AZ108" i="12" s="1"/>
  <c r="AY107" i="12"/>
  <c r="AZ107" i="12" s="1"/>
  <c r="AY106" i="12"/>
  <c r="AZ106" i="12" s="1"/>
  <c r="AY105" i="12"/>
  <c r="AZ105" i="12" s="1"/>
  <c r="AY104" i="12"/>
  <c r="AZ104" i="12" s="1"/>
  <c r="AY103" i="12"/>
  <c r="AZ103" i="12" s="1"/>
  <c r="AY102" i="12"/>
  <c r="AZ102" i="12" s="1"/>
  <c r="AY101" i="12"/>
  <c r="AZ101" i="12" s="1"/>
  <c r="AY100" i="12"/>
  <c r="AZ100" i="12" s="1"/>
  <c r="AY99" i="12"/>
  <c r="AZ99" i="12" s="1"/>
  <c r="AY98" i="12"/>
  <c r="AZ98" i="12" s="1"/>
  <c r="AY97" i="12"/>
  <c r="AZ97" i="12" s="1"/>
  <c r="AY96" i="12"/>
  <c r="AZ96" i="12" s="1"/>
  <c r="AY95" i="12"/>
  <c r="AZ95" i="12" s="1"/>
  <c r="AY94" i="12"/>
  <c r="AZ94" i="12" s="1"/>
  <c r="AY93" i="12"/>
  <c r="AZ93" i="12" s="1"/>
  <c r="AY92" i="12"/>
  <c r="AZ92" i="12" s="1"/>
  <c r="AY91" i="12"/>
  <c r="AZ91" i="12" s="1"/>
  <c r="AY90" i="12"/>
  <c r="AZ90" i="12" s="1"/>
  <c r="AY89" i="12"/>
  <c r="AZ89" i="12" s="1"/>
  <c r="AY88" i="12"/>
  <c r="AZ88" i="12" s="1"/>
  <c r="AR10" i="12"/>
  <c r="AS10" i="12"/>
  <c r="AT10" i="12"/>
  <c r="AR11" i="12"/>
  <c r="AS11" i="12"/>
  <c r="AT11" i="12"/>
  <c r="AR12" i="12"/>
  <c r="AS12" i="12"/>
  <c r="AT12" i="12"/>
  <c r="AR13" i="12"/>
  <c r="AS13" i="12"/>
  <c r="AT13" i="12"/>
  <c r="AR14" i="12"/>
  <c r="AS14" i="12"/>
  <c r="AT14" i="12"/>
  <c r="AR15" i="12"/>
  <c r="AS15" i="12"/>
  <c r="AT15" i="12"/>
  <c r="AR16" i="12"/>
  <c r="AS16" i="12"/>
  <c r="AT16" i="12"/>
  <c r="AR17" i="12"/>
  <c r="AS17" i="12"/>
  <c r="AT17" i="12"/>
  <c r="AR18" i="12"/>
  <c r="AS18" i="12"/>
  <c r="AT18" i="12"/>
  <c r="AR19" i="12"/>
  <c r="AS19" i="12"/>
  <c r="AT19" i="12"/>
  <c r="AR20" i="12"/>
  <c r="AS20" i="12"/>
  <c r="AT20" i="12"/>
  <c r="AR21" i="12"/>
  <c r="AS21" i="12"/>
  <c r="AT21" i="12"/>
  <c r="AR22" i="12"/>
  <c r="AS22" i="12"/>
  <c r="AT22" i="12"/>
  <c r="AR23" i="12"/>
  <c r="AS23" i="12"/>
  <c r="AT23" i="12"/>
  <c r="AR24" i="12"/>
  <c r="AS24" i="12"/>
  <c r="AT24" i="12"/>
  <c r="AR25" i="12"/>
  <c r="AS25" i="12"/>
  <c r="AT25" i="12"/>
  <c r="AR26" i="12"/>
  <c r="AS26" i="12"/>
  <c r="AT26" i="12"/>
  <c r="AR27" i="12"/>
  <c r="AS27" i="12"/>
  <c r="AT27" i="12"/>
  <c r="AR28" i="12"/>
  <c r="AS28" i="12"/>
  <c r="AT28" i="12"/>
  <c r="AR29" i="12"/>
  <c r="AS29" i="12"/>
  <c r="AT29" i="12"/>
  <c r="AK10" i="12"/>
  <c r="AL10" i="12"/>
  <c r="AM10" i="12"/>
  <c r="AK11" i="12"/>
  <c r="AL11" i="12"/>
  <c r="AM11" i="12"/>
  <c r="AK12" i="12"/>
  <c r="AL12" i="12"/>
  <c r="AM12" i="12"/>
  <c r="AK13" i="12"/>
  <c r="AL13" i="12"/>
  <c r="AM13" i="12"/>
  <c r="AK14" i="12"/>
  <c r="AL14" i="12"/>
  <c r="AM14" i="12"/>
  <c r="AK15" i="12"/>
  <c r="AL15" i="12"/>
  <c r="AM15" i="12"/>
  <c r="AK16" i="12"/>
  <c r="AL16" i="12"/>
  <c r="AM16" i="12"/>
  <c r="AK17" i="12"/>
  <c r="AL17" i="12"/>
  <c r="AM17" i="12"/>
  <c r="AK18" i="12"/>
  <c r="AL18" i="12"/>
  <c r="AM18" i="12"/>
  <c r="AK19" i="12"/>
  <c r="AL19" i="12"/>
  <c r="AM19" i="12"/>
  <c r="AK20" i="12"/>
  <c r="AL20" i="12"/>
  <c r="AM20" i="12"/>
  <c r="AK21" i="12"/>
  <c r="AL21" i="12"/>
  <c r="AM21" i="12"/>
  <c r="AK22" i="12"/>
  <c r="AL22" i="12"/>
  <c r="AM22" i="12"/>
  <c r="AK23" i="12"/>
  <c r="AL23" i="12"/>
  <c r="AM23" i="12"/>
  <c r="AK24" i="12"/>
  <c r="AL24" i="12"/>
  <c r="AM24" i="12"/>
  <c r="AK25" i="12"/>
  <c r="AL25" i="12"/>
  <c r="AM25" i="12"/>
  <c r="AK26" i="12"/>
  <c r="AL26" i="12"/>
  <c r="AM26" i="12"/>
  <c r="AK27" i="12"/>
  <c r="AL27" i="12"/>
  <c r="AM27" i="12"/>
  <c r="AK28" i="12"/>
  <c r="AL28" i="12"/>
  <c r="AM28" i="12"/>
  <c r="AK29" i="12"/>
  <c r="AL29" i="12"/>
  <c r="AM29" i="12"/>
  <c r="AD10" i="12"/>
  <c r="AE10" i="12"/>
  <c r="AF10" i="12"/>
  <c r="AD11" i="12"/>
  <c r="AE11" i="12"/>
  <c r="AF11" i="12"/>
  <c r="AD12" i="12"/>
  <c r="AE12" i="12"/>
  <c r="AF12" i="12"/>
  <c r="AD13" i="12"/>
  <c r="AE13" i="12"/>
  <c r="AF13" i="12"/>
  <c r="AD14" i="12"/>
  <c r="AE14" i="12"/>
  <c r="AF14" i="12"/>
  <c r="AD15" i="12"/>
  <c r="AE15" i="12"/>
  <c r="AF15" i="12"/>
  <c r="AD16" i="12"/>
  <c r="AE16" i="12"/>
  <c r="AF16" i="12"/>
  <c r="AD17" i="12"/>
  <c r="AE17" i="12"/>
  <c r="AF17" i="12"/>
  <c r="AD18" i="12"/>
  <c r="AE18" i="12"/>
  <c r="AF18" i="12"/>
  <c r="AD19" i="12"/>
  <c r="AE19" i="12"/>
  <c r="AF19" i="12"/>
  <c r="AD20" i="12"/>
  <c r="AE20" i="12"/>
  <c r="AF20" i="12"/>
  <c r="AD21" i="12"/>
  <c r="AE21" i="12"/>
  <c r="AF21" i="12"/>
  <c r="AD22" i="12"/>
  <c r="AE22" i="12"/>
  <c r="AF22" i="12"/>
  <c r="AD23" i="12"/>
  <c r="AE23" i="12"/>
  <c r="AF23" i="12"/>
  <c r="AD24" i="12"/>
  <c r="AE24" i="12"/>
  <c r="AF24" i="12"/>
  <c r="AD25" i="12"/>
  <c r="AE25" i="12"/>
  <c r="AF25" i="12"/>
  <c r="AD26" i="12"/>
  <c r="AE26" i="12"/>
  <c r="AF26" i="12"/>
  <c r="AD27" i="12"/>
  <c r="AE27" i="12"/>
  <c r="AF27" i="12"/>
  <c r="AD28" i="12"/>
  <c r="AE28" i="12"/>
  <c r="AF28" i="12"/>
  <c r="AD29" i="12"/>
  <c r="AE29" i="12"/>
  <c r="AF29" i="12"/>
  <c r="W10" i="12"/>
  <c r="X10" i="12"/>
  <c r="Y10" i="12"/>
  <c r="W11" i="12"/>
  <c r="X11" i="12"/>
  <c r="Y11" i="12"/>
  <c r="W12" i="12"/>
  <c r="X12" i="12"/>
  <c r="Y12" i="12"/>
  <c r="W13" i="12"/>
  <c r="X13" i="12"/>
  <c r="Y13" i="12"/>
  <c r="W14" i="12"/>
  <c r="X14" i="12"/>
  <c r="Y14" i="12"/>
  <c r="W15" i="12"/>
  <c r="X15" i="12"/>
  <c r="Y15" i="12"/>
  <c r="W16" i="12"/>
  <c r="X16" i="12"/>
  <c r="Y16" i="12"/>
  <c r="W17" i="12"/>
  <c r="X17" i="12"/>
  <c r="Y17" i="12"/>
  <c r="W18" i="12"/>
  <c r="X18" i="12"/>
  <c r="Y18" i="12"/>
  <c r="W19" i="12"/>
  <c r="X19" i="12"/>
  <c r="Y19" i="12"/>
  <c r="W20" i="12"/>
  <c r="X20" i="12"/>
  <c r="Y20" i="12"/>
  <c r="W21" i="12"/>
  <c r="X21" i="12"/>
  <c r="Y21" i="12"/>
  <c r="W22" i="12"/>
  <c r="X22" i="12"/>
  <c r="Y22" i="12"/>
  <c r="W23" i="12"/>
  <c r="X23" i="12"/>
  <c r="Y23" i="12"/>
  <c r="W24" i="12"/>
  <c r="X24" i="12"/>
  <c r="Y24" i="12"/>
  <c r="W25" i="12"/>
  <c r="X25" i="12"/>
  <c r="Y25" i="12"/>
  <c r="W26" i="12"/>
  <c r="X26" i="12"/>
  <c r="Y26" i="12"/>
  <c r="W27" i="12"/>
  <c r="X27" i="12"/>
  <c r="Y27" i="12"/>
  <c r="W28" i="12"/>
  <c r="X28" i="12"/>
  <c r="Y28" i="12"/>
  <c r="W29" i="12"/>
  <c r="X29" i="12"/>
  <c r="Y29" i="12"/>
  <c r="P10" i="12"/>
  <c r="Q10" i="12"/>
  <c r="R10" i="12"/>
  <c r="P11" i="12"/>
  <c r="Q11" i="12"/>
  <c r="R11" i="12"/>
  <c r="P12" i="12"/>
  <c r="Q12" i="12"/>
  <c r="R12" i="12"/>
  <c r="P13" i="12"/>
  <c r="Q13" i="12"/>
  <c r="R13" i="12"/>
  <c r="P14" i="12"/>
  <c r="Q14" i="12"/>
  <c r="R14" i="12"/>
  <c r="P15" i="12"/>
  <c r="Q15" i="12"/>
  <c r="R15" i="12"/>
  <c r="P16" i="12"/>
  <c r="Q16" i="12"/>
  <c r="R16" i="12"/>
  <c r="P17" i="12"/>
  <c r="Q17" i="12"/>
  <c r="R17" i="12"/>
  <c r="P18" i="12"/>
  <c r="Q18" i="12"/>
  <c r="R18" i="12"/>
  <c r="P19" i="12"/>
  <c r="Q19" i="12"/>
  <c r="R19" i="12"/>
  <c r="P20" i="12"/>
  <c r="Q20" i="12"/>
  <c r="R20" i="12"/>
  <c r="P21" i="12"/>
  <c r="Q21" i="12"/>
  <c r="R21" i="12"/>
  <c r="P22" i="12"/>
  <c r="Q22" i="12"/>
  <c r="R22" i="12"/>
  <c r="P23" i="12"/>
  <c r="Q23" i="12"/>
  <c r="R23" i="12"/>
  <c r="P24" i="12"/>
  <c r="Q24" i="12"/>
  <c r="R24" i="12"/>
  <c r="P25" i="12"/>
  <c r="Q25" i="12"/>
  <c r="R25" i="12"/>
  <c r="P26" i="12"/>
  <c r="Q26" i="12"/>
  <c r="R26" i="12"/>
  <c r="P27" i="12"/>
  <c r="Q27" i="12"/>
  <c r="R27" i="12"/>
  <c r="P28" i="12"/>
  <c r="Q28" i="12"/>
  <c r="R28" i="12"/>
  <c r="P29" i="12"/>
  <c r="Q29" i="12"/>
  <c r="R29" i="12"/>
  <c r="I10" i="12"/>
  <c r="J10" i="12"/>
  <c r="K10" i="12"/>
  <c r="I11" i="12"/>
  <c r="J11" i="12"/>
  <c r="K11" i="12"/>
  <c r="I12" i="12"/>
  <c r="J12" i="12"/>
  <c r="K12" i="12"/>
  <c r="I13" i="12"/>
  <c r="J13" i="12"/>
  <c r="K13" i="12"/>
  <c r="I14" i="12"/>
  <c r="J14" i="12"/>
  <c r="K14" i="12"/>
  <c r="I15" i="12"/>
  <c r="J15" i="12"/>
  <c r="K15" i="12"/>
  <c r="I16" i="12"/>
  <c r="J16" i="12"/>
  <c r="K16" i="12"/>
  <c r="I17" i="12"/>
  <c r="J17" i="12"/>
  <c r="K17" i="12"/>
  <c r="I18" i="12"/>
  <c r="J18" i="12"/>
  <c r="K18" i="12"/>
  <c r="I19" i="12"/>
  <c r="J19" i="12"/>
  <c r="K19" i="12"/>
  <c r="I20" i="12"/>
  <c r="J20" i="12"/>
  <c r="K20" i="12"/>
  <c r="I21" i="12"/>
  <c r="J21" i="12"/>
  <c r="K21" i="12"/>
  <c r="I22" i="12"/>
  <c r="J22" i="12"/>
  <c r="K22" i="12"/>
  <c r="I23" i="12"/>
  <c r="J23" i="12"/>
  <c r="K23" i="12"/>
  <c r="I24" i="12"/>
  <c r="J24" i="12"/>
  <c r="K24" i="12"/>
  <c r="I25" i="12"/>
  <c r="J25" i="12"/>
  <c r="K25" i="12"/>
  <c r="I26" i="12"/>
  <c r="J26" i="12"/>
  <c r="K26" i="12"/>
  <c r="I27" i="12"/>
  <c r="J27" i="12"/>
  <c r="K27" i="12"/>
  <c r="I28" i="12"/>
  <c r="J28" i="12"/>
  <c r="K28" i="12"/>
  <c r="I29" i="12"/>
  <c r="J29" i="12"/>
  <c r="K29" i="12"/>
  <c r="AK9" i="12"/>
  <c r="AL9" i="12" s="1"/>
  <c r="AM9" i="12" s="1"/>
  <c r="AR9" i="12"/>
  <c r="AS9" i="12" s="1"/>
  <c r="AT9" i="12" s="1"/>
  <c r="AD9" i="12"/>
  <c r="AE9" i="12" s="1"/>
  <c r="AF9" i="12" s="1"/>
  <c r="W9" i="12"/>
  <c r="X9" i="12" s="1"/>
  <c r="Y9" i="12" s="1"/>
  <c r="P9" i="12"/>
  <c r="Q9" i="12" s="1"/>
  <c r="R9" i="12" s="1"/>
  <c r="AY10" i="12"/>
  <c r="AZ10" i="12"/>
  <c r="AY11" i="12"/>
  <c r="AZ11" i="12"/>
  <c r="AY12" i="12"/>
  <c r="AZ12" i="12"/>
  <c r="AY13" i="12"/>
  <c r="AZ13" i="12"/>
  <c r="AY14" i="12"/>
  <c r="AZ14" i="12"/>
  <c r="AY15" i="12"/>
  <c r="AZ15" i="12"/>
  <c r="AY16" i="12"/>
  <c r="AZ16" i="12"/>
  <c r="AY17" i="12"/>
  <c r="AZ17" i="12"/>
  <c r="AY18" i="12"/>
  <c r="AZ18" i="12"/>
  <c r="AY19" i="12"/>
  <c r="AZ19" i="12"/>
  <c r="AY20" i="12"/>
  <c r="AZ20" i="12"/>
  <c r="AY21" i="12"/>
  <c r="AZ21" i="12"/>
  <c r="AY22" i="12"/>
  <c r="AZ22" i="12"/>
  <c r="AY23" i="12"/>
  <c r="AZ23" i="12"/>
  <c r="AY24" i="12"/>
  <c r="AZ24" i="12"/>
  <c r="AY25" i="12"/>
  <c r="AZ25" i="12"/>
  <c r="AY26" i="12"/>
  <c r="AZ26" i="12"/>
  <c r="AY27" i="12"/>
  <c r="AZ27" i="12"/>
  <c r="AY28" i="12"/>
  <c r="AZ28" i="12"/>
  <c r="AY29" i="12"/>
  <c r="AZ29" i="12"/>
  <c r="AZ9" i="12"/>
  <c r="I9" i="12"/>
  <c r="J9" i="12" s="1"/>
  <c r="K9" i="12" s="1"/>
  <c r="BY176" i="18" l="1"/>
  <c r="BX176" i="18"/>
  <c r="BW176" i="18"/>
  <c r="BY137" i="18"/>
  <c r="BX137" i="18"/>
  <c r="BW137" i="18"/>
  <c r="BY183" i="18"/>
  <c r="BX183" i="18"/>
  <c r="BW183" i="18"/>
  <c r="BY136" i="18"/>
  <c r="BX136" i="18"/>
  <c r="BW136" i="18"/>
  <c r="BY175" i="18"/>
  <c r="BX175" i="18"/>
  <c r="BW175" i="18"/>
  <c r="BY135" i="18"/>
  <c r="BX135" i="18"/>
  <c r="BW135" i="18"/>
  <c r="BY182" i="18"/>
  <c r="BX182" i="18"/>
  <c r="BW182" i="18"/>
  <c r="BY161" i="18"/>
  <c r="BX161" i="18"/>
  <c r="BW161" i="18"/>
  <c r="BY134" i="18"/>
  <c r="BX134" i="18"/>
  <c r="BW134" i="18"/>
  <c r="BY133" i="18"/>
  <c r="BX133" i="18"/>
  <c r="BW133" i="18"/>
  <c r="BY132" i="18"/>
  <c r="BX132" i="18"/>
  <c r="BW132" i="18"/>
  <c r="BY131" i="18"/>
  <c r="BX131" i="18"/>
  <c r="BW131" i="18"/>
  <c r="BY130" i="18"/>
  <c r="BX130" i="18"/>
  <c r="BW130" i="18"/>
  <c r="BY129" i="18"/>
  <c r="BX129" i="18"/>
  <c r="BW129" i="18"/>
  <c r="BY128" i="18"/>
  <c r="BX128" i="18"/>
  <c r="BW128" i="18"/>
  <c r="BY127" i="18"/>
  <c r="BX127" i="18"/>
  <c r="BW127" i="18"/>
  <c r="BY126" i="18"/>
  <c r="BX126" i="18"/>
  <c r="BW126" i="18"/>
  <c r="BY125" i="18"/>
  <c r="BX125" i="18"/>
  <c r="BW125" i="18"/>
  <c r="BY124" i="18"/>
  <c r="BX124" i="18"/>
  <c r="BW124" i="18"/>
  <c r="BY123" i="18"/>
  <c r="BX123" i="18"/>
  <c r="BW123" i="18"/>
  <c r="BY174" i="18"/>
  <c r="BX174" i="18"/>
  <c r="BW174" i="18"/>
  <c r="BY122" i="18"/>
  <c r="BX122" i="18"/>
  <c r="BW122" i="18"/>
  <c r="BY121" i="18"/>
  <c r="BX121" i="18"/>
  <c r="BW121" i="18"/>
  <c r="BY120" i="18"/>
  <c r="BX120" i="18"/>
  <c r="BW120" i="18"/>
  <c r="BY173" i="18"/>
  <c r="BX173" i="18"/>
  <c r="BW173" i="18"/>
  <c r="BY119" i="18"/>
  <c r="BX119" i="18"/>
  <c r="BW119" i="18"/>
  <c r="BY118" i="18"/>
  <c r="BX118" i="18"/>
  <c r="BW118" i="18"/>
  <c r="BY117" i="18"/>
  <c r="BX117" i="18"/>
  <c r="BW117" i="18"/>
  <c r="BY116" i="18"/>
  <c r="BX116" i="18"/>
  <c r="BW116" i="18"/>
  <c r="BY115" i="18"/>
  <c r="BX115" i="18"/>
  <c r="BW115" i="18"/>
  <c r="BY114" i="18"/>
  <c r="BX114" i="18"/>
  <c r="BW114" i="18"/>
  <c r="BY113" i="18"/>
  <c r="BX113" i="18"/>
  <c r="BW113" i="18"/>
  <c r="BY112" i="18"/>
  <c r="BX112" i="18"/>
  <c r="BW112" i="18"/>
  <c r="BY111" i="18"/>
  <c r="BX111" i="18"/>
  <c r="BW111" i="18"/>
  <c r="BY160" i="18"/>
  <c r="BX160" i="18"/>
  <c r="BW160" i="18"/>
  <c r="BY159" i="18"/>
  <c r="BX159" i="18"/>
  <c r="BW159" i="18"/>
  <c r="BY110" i="18"/>
  <c r="BX110" i="18"/>
  <c r="BW110" i="18"/>
  <c r="BY109" i="18"/>
  <c r="BX109" i="18"/>
  <c r="BW109" i="18"/>
  <c r="BY108" i="18"/>
  <c r="BX108" i="18"/>
  <c r="BW108" i="18"/>
  <c r="BY107" i="18"/>
  <c r="BX107" i="18"/>
  <c r="BW107" i="18"/>
  <c r="BY106" i="18"/>
  <c r="BX106" i="18"/>
  <c r="BW106" i="18"/>
  <c r="BY105" i="18"/>
  <c r="BX105" i="18"/>
  <c r="BW105" i="18"/>
  <c r="BY104" i="18"/>
  <c r="BX104" i="18"/>
  <c r="BW104" i="18"/>
  <c r="BY194" i="18"/>
  <c r="BX194" i="18"/>
  <c r="BW194" i="18"/>
  <c r="BY103" i="18"/>
  <c r="BX103" i="18"/>
  <c r="BW103" i="18"/>
  <c r="BY181" i="18"/>
  <c r="BX181" i="18"/>
  <c r="BW181" i="18"/>
  <c r="BY102" i="18"/>
  <c r="BX102" i="18"/>
  <c r="BW102" i="18"/>
  <c r="BY158" i="18"/>
  <c r="BX158" i="18"/>
  <c r="BW158" i="18"/>
  <c r="BY157" i="18"/>
  <c r="BX157" i="18"/>
  <c r="BW157" i="18"/>
  <c r="BY101" i="18"/>
  <c r="BX101" i="18"/>
  <c r="BW101" i="18"/>
  <c r="BY193" i="18"/>
  <c r="BX193" i="18"/>
  <c r="BW193" i="18"/>
  <c r="BY100" i="18"/>
  <c r="BX100" i="18"/>
  <c r="BW100" i="18"/>
  <c r="BY99" i="18"/>
  <c r="BX99" i="18"/>
  <c r="BW99" i="18"/>
  <c r="BY98" i="18"/>
  <c r="BX98" i="18"/>
  <c r="BW98" i="18"/>
  <c r="BY97" i="18"/>
  <c r="BX97" i="18"/>
  <c r="BW97" i="18"/>
  <c r="BY189" i="18"/>
  <c r="BX189" i="18"/>
  <c r="BW189" i="18"/>
  <c r="BY96" i="18"/>
  <c r="BX96" i="18"/>
  <c r="BW96" i="18"/>
  <c r="BY95" i="18"/>
  <c r="BX95" i="18"/>
  <c r="BW95" i="18"/>
  <c r="BY201" i="18"/>
  <c r="BX201" i="18"/>
  <c r="BW201" i="18"/>
  <c r="BY94" i="18"/>
  <c r="BX94" i="18"/>
  <c r="BW94" i="18"/>
  <c r="BY93" i="18"/>
  <c r="BX93" i="18"/>
  <c r="BW93" i="18"/>
  <c r="BY92" i="18"/>
  <c r="BX92" i="18"/>
  <c r="BW92" i="18"/>
  <c r="BY91" i="18"/>
  <c r="BX91" i="18"/>
  <c r="BW91" i="18"/>
  <c r="BY90" i="18"/>
  <c r="BX90" i="18"/>
  <c r="BW90" i="18"/>
  <c r="BY156" i="18"/>
  <c r="BX156" i="18"/>
  <c r="BW156" i="18"/>
  <c r="BY89" i="18"/>
  <c r="BX89" i="18"/>
  <c r="BW89" i="18"/>
  <c r="BY88" i="18"/>
  <c r="BX88" i="18"/>
  <c r="BW88" i="18"/>
  <c r="BY155" i="18"/>
  <c r="BX155" i="18"/>
  <c r="BW155" i="18"/>
  <c r="BY154" i="18"/>
  <c r="BX154" i="18"/>
  <c r="BW154" i="18"/>
  <c r="BY87" i="18"/>
  <c r="BX87" i="18"/>
  <c r="BW87" i="18"/>
  <c r="BY86" i="18"/>
  <c r="BX86" i="18"/>
  <c r="BW86" i="18"/>
  <c r="BY85" i="18"/>
  <c r="BX85" i="18"/>
  <c r="BW85" i="18"/>
  <c r="BY84" i="18"/>
  <c r="BX84" i="18"/>
  <c r="BW84" i="18"/>
  <c r="BY83" i="18"/>
  <c r="BX83" i="18"/>
  <c r="BW83" i="18"/>
  <c r="BY82" i="18"/>
  <c r="BX82" i="18"/>
  <c r="BW82" i="18"/>
  <c r="BY81" i="18"/>
  <c r="BX81" i="18"/>
  <c r="BW81" i="18"/>
  <c r="BY80" i="18"/>
  <c r="BX80" i="18"/>
  <c r="BW80" i="18"/>
  <c r="BY79" i="18"/>
  <c r="BX79" i="18"/>
  <c r="BW79" i="18"/>
  <c r="BY78" i="18"/>
  <c r="BX78" i="18"/>
  <c r="BW78" i="18"/>
  <c r="BY77" i="18"/>
  <c r="BX77" i="18"/>
  <c r="BW77" i="18"/>
  <c r="BY76" i="18"/>
  <c r="BX76" i="18"/>
  <c r="BW76" i="18"/>
  <c r="BY75" i="18"/>
  <c r="BX75" i="18"/>
  <c r="BW75" i="18"/>
  <c r="BY74" i="18"/>
  <c r="BX74" i="18"/>
  <c r="BW74" i="18"/>
  <c r="BY73" i="18"/>
  <c r="BX73" i="18"/>
  <c r="BW73" i="18"/>
  <c r="BY153" i="18"/>
  <c r="BX153" i="18"/>
  <c r="BW153" i="18"/>
  <c r="BY72" i="18"/>
  <c r="BX72" i="18"/>
  <c r="BW72" i="18"/>
  <c r="BY71" i="18"/>
  <c r="BX71" i="18"/>
  <c r="BW71" i="18"/>
  <c r="BY70" i="18"/>
  <c r="BX70" i="18"/>
  <c r="BW70" i="18"/>
  <c r="BY69" i="18"/>
  <c r="BX69" i="18"/>
  <c r="BW69" i="18"/>
  <c r="BY68" i="18"/>
  <c r="BX68" i="18"/>
  <c r="BW68" i="18"/>
  <c r="BY192" i="18"/>
  <c r="BX192" i="18"/>
  <c r="BW192" i="18"/>
  <c r="BY67" i="18"/>
  <c r="BX67" i="18"/>
  <c r="BW67" i="18"/>
  <c r="BY66" i="18"/>
  <c r="BX66" i="18"/>
  <c r="BW66" i="18"/>
  <c r="BY65" i="18"/>
  <c r="BX65" i="18"/>
  <c r="BW65" i="18"/>
  <c r="BY152" i="18"/>
  <c r="BX152" i="18"/>
  <c r="BW152" i="18"/>
  <c r="BY64" i="18"/>
  <c r="BX64" i="18"/>
  <c r="BW64" i="18"/>
  <c r="BY63" i="18"/>
  <c r="BX63" i="18"/>
  <c r="BW63" i="18"/>
  <c r="BY62" i="18"/>
  <c r="BX62" i="18"/>
  <c r="BW62" i="18"/>
  <c r="BY61" i="18"/>
  <c r="BX61" i="18"/>
  <c r="BW61" i="18"/>
  <c r="BY60" i="18"/>
  <c r="BX60" i="18"/>
  <c r="BW60" i="18"/>
  <c r="BY151" i="18"/>
  <c r="BX151" i="18"/>
  <c r="BW151" i="18"/>
  <c r="BY59" i="18"/>
  <c r="BX59" i="18"/>
  <c r="BW59" i="18"/>
  <c r="BY150" i="18"/>
  <c r="BX150" i="18"/>
  <c r="BW150" i="18"/>
  <c r="BY58" i="18"/>
  <c r="BX58" i="18"/>
  <c r="BW58" i="18"/>
  <c r="BY149" i="18"/>
  <c r="BX149" i="18"/>
  <c r="BW149" i="18"/>
  <c r="BY57" i="18"/>
  <c r="BX57" i="18"/>
  <c r="BW57" i="18"/>
  <c r="BY56" i="18"/>
  <c r="BX56" i="18"/>
  <c r="BW56" i="18"/>
  <c r="BY55" i="18"/>
  <c r="BX55" i="18"/>
  <c r="BW55" i="18"/>
  <c r="BY54" i="18"/>
  <c r="BX54" i="18"/>
  <c r="BW54" i="18"/>
  <c r="BY148" i="18"/>
  <c r="BX148" i="18"/>
  <c r="BW148" i="18"/>
  <c r="BY53" i="18"/>
  <c r="BX53" i="18"/>
  <c r="BW53" i="18"/>
  <c r="BY52" i="18"/>
  <c r="BX52" i="18"/>
  <c r="BW52" i="18"/>
  <c r="BY147" i="18"/>
  <c r="BX147" i="18"/>
  <c r="BW147" i="18"/>
  <c r="BY51" i="18"/>
  <c r="BX51" i="18"/>
  <c r="BW51" i="18"/>
  <c r="BY50" i="18"/>
  <c r="BX50" i="18"/>
  <c r="BW50" i="18"/>
  <c r="BY49" i="18"/>
  <c r="BX49" i="18"/>
  <c r="BW49" i="18"/>
  <c r="BY146" i="18"/>
  <c r="BX146" i="18"/>
  <c r="BW146" i="18"/>
  <c r="BY198" i="18"/>
  <c r="BX198" i="18"/>
  <c r="BW198" i="18"/>
  <c r="BY48" i="18"/>
  <c r="BX48" i="18"/>
  <c r="BW48" i="18"/>
  <c r="BY47" i="18"/>
  <c r="BX47" i="18"/>
  <c r="BW47" i="18"/>
  <c r="BY172" i="18"/>
  <c r="BX172" i="18"/>
  <c r="BW172" i="18"/>
  <c r="BY171" i="18"/>
  <c r="BX171" i="18"/>
  <c r="BW171" i="18"/>
  <c r="BY145" i="18"/>
  <c r="BX145" i="18"/>
  <c r="BW145" i="18"/>
  <c r="BY46" i="18"/>
  <c r="BX46" i="18"/>
  <c r="BW46" i="18"/>
  <c r="BY45" i="18"/>
  <c r="BX45" i="18"/>
  <c r="BW45" i="18"/>
  <c r="BY44" i="18"/>
  <c r="BX44" i="18"/>
  <c r="BW44" i="18"/>
  <c r="BY43" i="18"/>
  <c r="BX43" i="18"/>
  <c r="BW43" i="18"/>
  <c r="BY144" i="18"/>
  <c r="BX144" i="18"/>
  <c r="BW144" i="18"/>
  <c r="BY42" i="18"/>
  <c r="BX42" i="18"/>
  <c r="BW42" i="18"/>
  <c r="BY41" i="18"/>
  <c r="BX41" i="18"/>
  <c r="BW41" i="18"/>
  <c r="BY40" i="18"/>
  <c r="BX40" i="18"/>
  <c r="BW40" i="18"/>
  <c r="BY188" i="18"/>
  <c r="BX188" i="18"/>
  <c r="BW188" i="18"/>
  <c r="BY143" i="18"/>
  <c r="BX143" i="18"/>
  <c r="BW143" i="18"/>
  <c r="BY39" i="18"/>
  <c r="BX39" i="18"/>
  <c r="BW39" i="18"/>
  <c r="BY197" i="18"/>
  <c r="BX197" i="18"/>
  <c r="BW197" i="18"/>
  <c r="BY38" i="18"/>
  <c r="BX38" i="18"/>
  <c r="BW38" i="18"/>
  <c r="BY37" i="18"/>
  <c r="BX37" i="18"/>
  <c r="BW37" i="18"/>
  <c r="BY180" i="18"/>
  <c r="BX180" i="18"/>
  <c r="BW180" i="18"/>
  <c r="BY36" i="18"/>
  <c r="BX36" i="18"/>
  <c r="BW36" i="18"/>
  <c r="BY35" i="18"/>
  <c r="BX35" i="18"/>
  <c r="BW35" i="18"/>
  <c r="BY34" i="18"/>
  <c r="BX34" i="18"/>
  <c r="BW34" i="18"/>
  <c r="BY33" i="18"/>
  <c r="BX33" i="18"/>
  <c r="BW33" i="18"/>
  <c r="BY170" i="18"/>
  <c r="BX170" i="18"/>
  <c r="BW170" i="18"/>
  <c r="BY32" i="18"/>
  <c r="BX32" i="18"/>
  <c r="BW32" i="18"/>
  <c r="BY169" i="18"/>
  <c r="BX169" i="18"/>
  <c r="BW169" i="18"/>
  <c r="BY31" i="18"/>
  <c r="BX31" i="18"/>
  <c r="BW31" i="18"/>
  <c r="BY142" i="18"/>
  <c r="BX142" i="18"/>
  <c r="BW142" i="18"/>
  <c r="BY141" i="18"/>
  <c r="BX141" i="18"/>
  <c r="BW141" i="18"/>
  <c r="BY30" i="18"/>
  <c r="BX30" i="18"/>
  <c r="BW30" i="18"/>
  <c r="BY29" i="18"/>
  <c r="BX29" i="18"/>
  <c r="BW29" i="18"/>
  <c r="BY28" i="18"/>
  <c r="BX28" i="18"/>
  <c r="BW28" i="18"/>
  <c r="BY27" i="18"/>
  <c r="BX27" i="18"/>
  <c r="BW27" i="18"/>
  <c r="BY26" i="18"/>
  <c r="BX26" i="18"/>
  <c r="BW26" i="18"/>
  <c r="BY168" i="18"/>
  <c r="BX168" i="18"/>
  <c r="BW168" i="18"/>
  <c r="BY25" i="18"/>
  <c r="BX25" i="18"/>
  <c r="BW25" i="18"/>
  <c r="BY140" i="18"/>
  <c r="BX140" i="18"/>
  <c r="BW140" i="18"/>
  <c r="BY24" i="18"/>
  <c r="BX24" i="18"/>
  <c r="BW24" i="18"/>
  <c r="BY167" i="18"/>
  <c r="BX167" i="18"/>
  <c r="BW167" i="18"/>
  <c r="BY187" i="18"/>
  <c r="BX187" i="18"/>
  <c r="BW187" i="18"/>
  <c r="BY179" i="18"/>
  <c r="BX179" i="18"/>
  <c r="BW179" i="18"/>
  <c r="BY166" i="18"/>
  <c r="BX166" i="18"/>
  <c r="BW166" i="18"/>
  <c r="BY23" i="18"/>
  <c r="BX23" i="18"/>
  <c r="BW23" i="18"/>
  <c r="BY22" i="18"/>
  <c r="BX22" i="18"/>
  <c r="BW22" i="18"/>
  <c r="BY21" i="18"/>
  <c r="BX21" i="18"/>
  <c r="BW21" i="18"/>
  <c r="BY186" i="18"/>
  <c r="BX186" i="18"/>
  <c r="BW186" i="18"/>
  <c r="BY165" i="18"/>
  <c r="BX165" i="18"/>
  <c r="BW165" i="18"/>
  <c r="BY178" i="18"/>
  <c r="BX178" i="18"/>
  <c r="BW178" i="18"/>
  <c r="BY20" i="18"/>
  <c r="BX20" i="18"/>
  <c r="BW20" i="18"/>
  <c r="BY196" i="18"/>
  <c r="BX196" i="18"/>
  <c r="BW196" i="18"/>
  <c r="BY19" i="18"/>
  <c r="BX19" i="18"/>
  <c r="BW19" i="18"/>
  <c r="BY18" i="18"/>
  <c r="BX18" i="18"/>
  <c r="BW18" i="18"/>
  <c r="BY164" i="18"/>
  <c r="BX164" i="18"/>
  <c r="BW164" i="18"/>
  <c r="BY17" i="18"/>
  <c r="BX17" i="18"/>
  <c r="BW17" i="18"/>
  <c r="BY191" i="18"/>
  <c r="BX191" i="18"/>
  <c r="BW191" i="18"/>
  <c r="BY163" i="18"/>
  <c r="BX163" i="18"/>
  <c r="BW163" i="18"/>
  <c r="BY16" i="18"/>
  <c r="BX16" i="18"/>
  <c r="BW16" i="18"/>
  <c r="BY190" i="18"/>
  <c r="BX190" i="18"/>
  <c r="BW190" i="18"/>
  <c r="BY15" i="18"/>
  <c r="BX15" i="18"/>
  <c r="BW15" i="18"/>
  <c r="BY200" i="18"/>
  <c r="BX200" i="18"/>
  <c r="BW200" i="18"/>
  <c r="BY139" i="18"/>
  <c r="BX139" i="18"/>
  <c r="BW139" i="18"/>
  <c r="BY14" i="18"/>
  <c r="BX14" i="18"/>
  <c r="BW14" i="18"/>
  <c r="BY138" i="18"/>
  <c r="BX138" i="18"/>
  <c r="BW138" i="18"/>
  <c r="BY177" i="18"/>
  <c r="BX177" i="18"/>
  <c r="BW177" i="18"/>
  <c r="BY162" i="18"/>
  <c r="BX162" i="18"/>
  <c r="BW162" i="18"/>
  <c r="BY185" i="18"/>
  <c r="BX185" i="18"/>
  <c r="BW185" i="18"/>
  <c r="BY13" i="18"/>
  <c r="BX13" i="18"/>
  <c r="BW13" i="18"/>
  <c r="BY12" i="18"/>
  <c r="BX12" i="18"/>
  <c r="BW12" i="18"/>
  <c r="BY11" i="18"/>
  <c r="BX11" i="18"/>
  <c r="BW11" i="18"/>
  <c r="BY10" i="18"/>
  <c r="BX10" i="18"/>
  <c r="BW10" i="18"/>
  <c r="BY9" i="18"/>
  <c r="BX9" i="18"/>
  <c r="BW9" i="18"/>
  <c r="BY199" i="18"/>
  <c r="BX199" i="18"/>
  <c r="BW199" i="18"/>
  <c r="BY202" i="18"/>
  <c r="BX202" i="18"/>
  <c r="BW202" i="18"/>
  <c r="BY8" i="18"/>
  <c r="BX8" i="18"/>
  <c r="BW8" i="18"/>
  <c r="BY203" i="18"/>
  <c r="BX203" i="18"/>
  <c r="BW203" i="18"/>
  <c r="BY7" i="18"/>
  <c r="BX7" i="18"/>
  <c r="BW7" i="18"/>
  <c r="BY195" i="18"/>
  <c r="BX195" i="18"/>
  <c r="BW195" i="18"/>
  <c r="BY6" i="18"/>
  <c r="BX6" i="18"/>
  <c r="BW6" i="18"/>
  <c r="BY5" i="18"/>
  <c r="BX5" i="18"/>
  <c r="BW5" i="18"/>
  <c r="BY4" i="18"/>
  <c r="BX4" i="18"/>
  <c r="BW4" i="18"/>
  <c r="BY184" i="18"/>
  <c r="BX184" i="18"/>
  <c r="BW184" i="18"/>
  <c r="AY111" i="18"/>
  <c r="AX111" i="18"/>
  <c r="AW111" i="18"/>
  <c r="AY70" i="18"/>
  <c r="AX70" i="18"/>
  <c r="AW70" i="18"/>
  <c r="AY69" i="18"/>
  <c r="AX69" i="18"/>
  <c r="AW69" i="18"/>
  <c r="AY142" i="18"/>
  <c r="AX142" i="18"/>
  <c r="AW142" i="18"/>
  <c r="AY110" i="18"/>
  <c r="AX110" i="18"/>
  <c r="AW110" i="18"/>
  <c r="AY141" i="18"/>
  <c r="AX141" i="18"/>
  <c r="AW141" i="18"/>
  <c r="AY109" i="18"/>
  <c r="AX109" i="18"/>
  <c r="AW109" i="18"/>
  <c r="AY163" i="18"/>
  <c r="AX163" i="18"/>
  <c r="AW163" i="18"/>
  <c r="AY162" i="18"/>
  <c r="AX162" i="18"/>
  <c r="AW162" i="18"/>
  <c r="AY140" i="18"/>
  <c r="AX140" i="18"/>
  <c r="AW140" i="18"/>
  <c r="AY175" i="18"/>
  <c r="AX175" i="18"/>
  <c r="AW175" i="18"/>
  <c r="AY174" i="18"/>
  <c r="AX174" i="18"/>
  <c r="AW174" i="18"/>
  <c r="AY197" i="18"/>
  <c r="AX197" i="18"/>
  <c r="AW197" i="18"/>
  <c r="AY161" i="18"/>
  <c r="AX161" i="18"/>
  <c r="AW161" i="18"/>
  <c r="AY139" i="18"/>
  <c r="AX139" i="18"/>
  <c r="AW139" i="18"/>
  <c r="AY160" i="18"/>
  <c r="AX160" i="18"/>
  <c r="AW160" i="18"/>
  <c r="AY159" i="18"/>
  <c r="AX159" i="18"/>
  <c r="AW159" i="18"/>
  <c r="AY158" i="18"/>
  <c r="AX158" i="18"/>
  <c r="AW158" i="18"/>
  <c r="AY68" i="18"/>
  <c r="AX68" i="18"/>
  <c r="AW68" i="18"/>
  <c r="AY138" i="18"/>
  <c r="AX138" i="18"/>
  <c r="AW138" i="18"/>
  <c r="AY67" i="18"/>
  <c r="AX67" i="18"/>
  <c r="AW67" i="18"/>
  <c r="AY196" i="18"/>
  <c r="AX196" i="18"/>
  <c r="AW196" i="18"/>
  <c r="AY66" i="18"/>
  <c r="AX66" i="18"/>
  <c r="AW66" i="18"/>
  <c r="AY65" i="18"/>
  <c r="AX65" i="18"/>
  <c r="AW65" i="18"/>
  <c r="AY173" i="18"/>
  <c r="AX173" i="18"/>
  <c r="AW173" i="18"/>
  <c r="AY108" i="18"/>
  <c r="AX108" i="18"/>
  <c r="AW108" i="18"/>
  <c r="AY64" i="18"/>
  <c r="AX64" i="18"/>
  <c r="AW64" i="18"/>
  <c r="AY107" i="18"/>
  <c r="AX107" i="18"/>
  <c r="AW107" i="18"/>
  <c r="AY172" i="18"/>
  <c r="AX172" i="18"/>
  <c r="AW172" i="18"/>
  <c r="AY63" i="18"/>
  <c r="AX63" i="18"/>
  <c r="AW63" i="18"/>
  <c r="AY137" i="18"/>
  <c r="AX137" i="18"/>
  <c r="AW137" i="18"/>
  <c r="AY106" i="18"/>
  <c r="AX106" i="18"/>
  <c r="AW106" i="18"/>
  <c r="AY62" i="18"/>
  <c r="AX62" i="18"/>
  <c r="AW62" i="18"/>
  <c r="AY61" i="18"/>
  <c r="AX61" i="18"/>
  <c r="AW61" i="18"/>
  <c r="AY195" i="18"/>
  <c r="AX195" i="18"/>
  <c r="AW195" i="18"/>
  <c r="AY157" i="18"/>
  <c r="AX157" i="18"/>
  <c r="AW157" i="18"/>
  <c r="AY171" i="18"/>
  <c r="AX171" i="18"/>
  <c r="AW171" i="18"/>
  <c r="AY136" i="18"/>
  <c r="AX136" i="18"/>
  <c r="AW136" i="18"/>
  <c r="AY186" i="18"/>
  <c r="AX186" i="18"/>
  <c r="AW186" i="18"/>
  <c r="AY194" i="18"/>
  <c r="AX194" i="18"/>
  <c r="AW194" i="18"/>
  <c r="AY170" i="18"/>
  <c r="AX170" i="18"/>
  <c r="AW170" i="18"/>
  <c r="AY60" i="18"/>
  <c r="AX60" i="18"/>
  <c r="AW60" i="18"/>
  <c r="AY59" i="18"/>
  <c r="AX59" i="18"/>
  <c r="AW59" i="18"/>
  <c r="AY105" i="18"/>
  <c r="AX105" i="18"/>
  <c r="AW105" i="18"/>
  <c r="AY104" i="18"/>
  <c r="AX104" i="18"/>
  <c r="AW104" i="18"/>
  <c r="AY201" i="18"/>
  <c r="AX201" i="18"/>
  <c r="AW201" i="18"/>
  <c r="AY135" i="18"/>
  <c r="AX135" i="18"/>
  <c r="AW135" i="18"/>
  <c r="AY58" i="18"/>
  <c r="AX58" i="18"/>
  <c r="AW58" i="18"/>
  <c r="AY200" i="18"/>
  <c r="AX200" i="18"/>
  <c r="AW200" i="18"/>
  <c r="AY57" i="18"/>
  <c r="AX57" i="18"/>
  <c r="AW57" i="18"/>
  <c r="AY185" i="18"/>
  <c r="AX185" i="18"/>
  <c r="AW185" i="18"/>
  <c r="AY103" i="18"/>
  <c r="AX103" i="18"/>
  <c r="AW103" i="18"/>
  <c r="AY102" i="18"/>
  <c r="AX102" i="18"/>
  <c r="AW102" i="18"/>
  <c r="AY56" i="18"/>
  <c r="AX56" i="18"/>
  <c r="AW56" i="18"/>
  <c r="AY101" i="18"/>
  <c r="AX101" i="18"/>
  <c r="AW101" i="18"/>
  <c r="AY100" i="18"/>
  <c r="AX100" i="18"/>
  <c r="AW100" i="18"/>
  <c r="AY55" i="18"/>
  <c r="AX55" i="18"/>
  <c r="AW55" i="18"/>
  <c r="AY54" i="18"/>
  <c r="AX54" i="18"/>
  <c r="AW54" i="18"/>
  <c r="AY193" i="18"/>
  <c r="AX193" i="18"/>
  <c r="AW193" i="18"/>
  <c r="AY99" i="18"/>
  <c r="AX99" i="18"/>
  <c r="AW99" i="18"/>
  <c r="AY192" i="18"/>
  <c r="AX192" i="18"/>
  <c r="AW192" i="18"/>
  <c r="AY134" i="18"/>
  <c r="AX134" i="18"/>
  <c r="AW134" i="18"/>
  <c r="AY156" i="18"/>
  <c r="AX156" i="18"/>
  <c r="AW156" i="18"/>
  <c r="AY98" i="18"/>
  <c r="AX98" i="18"/>
  <c r="AW98" i="18"/>
  <c r="AY155" i="18"/>
  <c r="AX155" i="18"/>
  <c r="AW155" i="18"/>
  <c r="AY154" i="18"/>
  <c r="AX154" i="18"/>
  <c r="AW154" i="18"/>
  <c r="AY133" i="18"/>
  <c r="AX133" i="18"/>
  <c r="AW133" i="18"/>
  <c r="AY97" i="18"/>
  <c r="AX97" i="18"/>
  <c r="AW97" i="18"/>
  <c r="AY53" i="18"/>
  <c r="AX53" i="18"/>
  <c r="AW53" i="18"/>
  <c r="AY52" i="18"/>
  <c r="AX52" i="18"/>
  <c r="AW52" i="18"/>
  <c r="AY51" i="18"/>
  <c r="AX51" i="18"/>
  <c r="AW51" i="18"/>
  <c r="AY191" i="18"/>
  <c r="AX191" i="18"/>
  <c r="AW191" i="18"/>
  <c r="AY184" i="18"/>
  <c r="AX184" i="18"/>
  <c r="AW184" i="18"/>
  <c r="AY50" i="18"/>
  <c r="AX50" i="18"/>
  <c r="AW50" i="18"/>
  <c r="AY49" i="18"/>
  <c r="AX49" i="18"/>
  <c r="AW49" i="18"/>
  <c r="AY48" i="18"/>
  <c r="AX48" i="18"/>
  <c r="AW48" i="18"/>
  <c r="AY96" i="18"/>
  <c r="AX96" i="18"/>
  <c r="AW96" i="18"/>
  <c r="AY47" i="18"/>
  <c r="AX47" i="18"/>
  <c r="AW47" i="18"/>
  <c r="AY132" i="18"/>
  <c r="AX132" i="18"/>
  <c r="AW132" i="18"/>
  <c r="AY95" i="18"/>
  <c r="AX95" i="18"/>
  <c r="AW95" i="18"/>
  <c r="AY46" i="18"/>
  <c r="AX46" i="18"/>
  <c r="AW46" i="18"/>
  <c r="AY45" i="18"/>
  <c r="AX45" i="18"/>
  <c r="AW45" i="18"/>
  <c r="AY94" i="18"/>
  <c r="AX94" i="18"/>
  <c r="AW94" i="18"/>
  <c r="AY169" i="18"/>
  <c r="AX169" i="18"/>
  <c r="AW169" i="18"/>
  <c r="AY131" i="18"/>
  <c r="AX131" i="18"/>
  <c r="AW131" i="18"/>
  <c r="AY199" i="18"/>
  <c r="AX199" i="18"/>
  <c r="AW199" i="18"/>
  <c r="AY44" i="18"/>
  <c r="AX44" i="18"/>
  <c r="AW44" i="18"/>
  <c r="AY93" i="18"/>
  <c r="AX93" i="18"/>
  <c r="AW93" i="18"/>
  <c r="AY190" i="18"/>
  <c r="AX190" i="18"/>
  <c r="AW190" i="18"/>
  <c r="AY153" i="18"/>
  <c r="AX153" i="18"/>
  <c r="AW153" i="18"/>
  <c r="AY92" i="18"/>
  <c r="AX92" i="18"/>
  <c r="AW92" i="18"/>
  <c r="AY43" i="18"/>
  <c r="AX43" i="18"/>
  <c r="AW43" i="18"/>
  <c r="AY130" i="18"/>
  <c r="AX130" i="18"/>
  <c r="AW130" i="18"/>
  <c r="AY203" i="18"/>
  <c r="AX203" i="18"/>
  <c r="AW203" i="18"/>
  <c r="AY198" i="18"/>
  <c r="AX198" i="18"/>
  <c r="AW198" i="18"/>
  <c r="AY189" i="18"/>
  <c r="AX189" i="18"/>
  <c r="AW189" i="18"/>
  <c r="AY42" i="18"/>
  <c r="AX42" i="18"/>
  <c r="AW42" i="18"/>
  <c r="AY91" i="18"/>
  <c r="AX91" i="18"/>
  <c r="AW91" i="18"/>
  <c r="AY90" i="18"/>
  <c r="AX90" i="18"/>
  <c r="AW90" i="18"/>
  <c r="AY152" i="18"/>
  <c r="AX152" i="18"/>
  <c r="AW152" i="18"/>
  <c r="AY89" i="18"/>
  <c r="AX89" i="18"/>
  <c r="AW89" i="18"/>
  <c r="AY88" i="18"/>
  <c r="AX88" i="18"/>
  <c r="AW88" i="18"/>
  <c r="AY188" i="18"/>
  <c r="AX188" i="18"/>
  <c r="AW188" i="18"/>
  <c r="AY129" i="18"/>
  <c r="AX129" i="18"/>
  <c r="AW129" i="18"/>
  <c r="AY183" i="18"/>
  <c r="AX183" i="18"/>
  <c r="AW183" i="18"/>
  <c r="AY41" i="18"/>
  <c r="AX41" i="18"/>
  <c r="AW41" i="18"/>
  <c r="AY40" i="18"/>
  <c r="AX40" i="18"/>
  <c r="AW40" i="18"/>
  <c r="AY39" i="18"/>
  <c r="AX39" i="18"/>
  <c r="AW39" i="18"/>
  <c r="AY38" i="18"/>
  <c r="AX38" i="18"/>
  <c r="AW38" i="18"/>
  <c r="AY87" i="18"/>
  <c r="AX87" i="18"/>
  <c r="AW87" i="18"/>
  <c r="AY37" i="18"/>
  <c r="AX37" i="18"/>
  <c r="AW37" i="18"/>
  <c r="AY128" i="18"/>
  <c r="AX128" i="18"/>
  <c r="AW128" i="18"/>
  <c r="AY182" i="18"/>
  <c r="AX182" i="18"/>
  <c r="AW182" i="18"/>
  <c r="AY36" i="18"/>
  <c r="AX36" i="18"/>
  <c r="AW36" i="18"/>
  <c r="AY168" i="18"/>
  <c r="AX168" i="18"/>
  <c r="AW168" i="18"/>
  <c r="AY35" i="18"/>
  <c r="AX35" i="18"/>
  <c r="AW35" i="18"/>
  <c r="AY151" i="18"/>
  <c r="AX151" i="18"/>
  <c r="AW151" i="18"/>
  <c r="AY34" i="18"/>
  <c r="AX34" i="18"/>
  <c r="AW34" i="18"/>
  <c r="AY150" i="18"/>
  <c r="AX150" i="18"/>
  <c r="AW150" i="18"/>
  <c r="AY33" i="18"/>
  <c r="AX33" i="18"/>
  <c r="AW33" i="18"/>
  <c r="AY127" i="18"/>
  <c r="AX127" i="18"/>
  <c r="AW127" i="18"/>
  <c r="AY167" i="18"/>
  <c r="AX167" i="18"/>
  <c r="AW167" i="18"/>
  <c r="AY126" i="18"/>
  <c r="AX126" i="18"/>
  <c r="AW126" i="18"/>
  <c r="AY32" i="18"/>
  <c r="AX32" i="18"/>
  <c r="AW32" i="18"/>
  <c r="AY86" i="18"/>
  <c r="AX86" i="18"/>
  <c r="AW86" i="18"/>
  <c r="AY31" i="18"/>
  <c r="AX31" i="18"/>
  <c r="AW31" i="18"/>
  <c r="AY149" i="18"/>
  <c r="AX149" i="18"/>
  <c r="AW149" i="18"/>
  <c r="AY181" i="18"/>
  <c r="AX181" i="18"/>
  <c r="AW181" i="18"/>
  <c r="AY85" i="18"/>
  <c r="AX85" i="18"/>
  <c r="AW85" i="18"/>
  <c r="AY30" i="18"/>
  <c r="AX30" i="18"/>
  <c r="AW30" i="18"/>
  <c r="AY29" i="18"/>
  <c r="AX29" i="18"/>
  <c r="AW29" i="18"/>
  <c r="AY148" i="18"/>
  <c r="AX148" i="18"/>
  <c r="AW148" i="18"/>
  <c r="AY84" i="18"/>
  <c r="AX84" i="18"/>
  <c r="AW84" i="18"/>
  <c r="AY166" i="18"/>
  <c r="AX166" i="18"/>
  <c r="AW166" i="18"/>
  <c r="AY28" i="18"/>
  <c r="AX28" i="18"/>
  <c r="AW28" i="18"/>
  <c r="AY27" i="18"/>
  <c r="AX27" i="18"/>
  <c r="AW27" i="18"/>
  <c r="AY125" i="18"/>
  <c r="AX125" i="18"/>
  <c r="AW125" i="18"/>
  <c r="AY26" i="18"/>
  <c r="AX26" i="18"/>
  <c r="AW26" i="18"/>
  <c r="AY83" i="18"/>
  <c r="AX83" i="18"/>
  <c r="AW83" i="18"/>
  <c r="AY180" i="18"/>
  <c r="AX180" i="18"/>
  <c r="AW180" i="18"/>
  <c r="AY165" i="18"/>
  <c r="AX165" i="18"/>
  <c r="AW165" i="18"/>
  <c r="AY25" i="18"/>
  <c r="AX25" i="18"/>
  <c r="AW25" i="18"/>
  <c r="AY164" i="18"/>
  <c r="AX164" i="18"/>
  <c r="AW164" i="18"/>
  <c r="AY24" i="18"/>
  <c r="AX24" i="18"/>
  <c r="AW24" i="18"/>
  <c r="AY23" i="18"/>
  <c r="AX23" i="18"/>
  <c r="AW23" i="18"/>
  <c r="AY147" i="18"/>
  <c r="AX147" i="18"/>
  <c r="AW147" i="18"/>
  <c r="AY22" i="18"/>
  <c r="AX22" i="18"/>
  <c r="AW22" i="18"/>
  <c r="AY124" i="18"/>
  <c r="AX124" i="18"/>
  <c r="AW124" i="18"/>
  <c r="AY21" i="18"/>
  <c r="AX21" i="18"/>
  <c r="AW21" i="18"/>
  <c r="AY82" i="18"/>
  <c r="AX82" i="18"/>
  <c r="AW82" i="18"/>
  <c r="AY123" i="18"/>
  <c r="AX123" i="18"/>
  <c r="AW123" i="18"/>
  <c r="AY81" i="18"/>
  <c r="AX81" i="18"/>
  <c r="AW81" i="18"/>
  <c r="AY20" i="18"/>
  <c r="AX20" i="18"/>
  <c r="AW20" i="18"/>
  <c r="AY122" i="18"/>
  <c r="AX122" i="18"/>
  <c r="AW122" i="18"/>
  <c r="AY80" i="18"/>
  <c r="AX80" i="18"/>
  <c r="AW80" i="18"/>
  <c r="AY19" i="18"/>
  <c r="AX19" i="18"/>
  <c r="AW19" i="18"/>
  <c r="AY18" i="18"/>
  <c r="AX18" i="18"/>
  <c r="AW18" i="18"/>
  <c r="AY146" i="18"/>
  <c r="AX146" i="18"/>
  <c r="AW146" i="18"/>
  <c r="AY79" i="18"/>
  <c r="AX79" i="18"/>
  <c r="AW79" i="18"/>
  <c r="AY17" i="18"/>
  <c r="AX17" i="18"/>
  <c r="AW17" i="18"/>
  <c r="AY78" i="18"/>
  <c r="AX78" i="18"/>
  <c r="AW78" i="18"/>
  <c r="AY16" i="18"/>
  <c r="AX16" i="18"/>
  <c r="AW16" i="18"/>
  <c r="AY121" i="18"/>
  <c r="AX121" i="18"/>
  <c r="AW121" i="18"/>
  <c r="AY15" i="18"/>
  <c r="AX15" i="18"/>
  <c r="AW15" i="18"/>
  <c r="AY14" i="18"/>
  <c r="AX14" i="18"/>
  <c r="AW14" i="18"/>
  <c r="AY13" i="18"/>
  <c r="AX13" i="18"/>
  <c r="AW13" i="18"/>
  <c r="AY145" i="18"/>
  <c r="AX145" i="18"/>
  <c r="AW145" i="18"/>
  <c r="AY77" i="18"/>
  <c r="AX77" i="18"/>
  <c r="AW77" i="18"/>
  <c r="AY76" i="18"/>
  <c r="AX76" i="18"/>
  <c r="AW76" i="18"/>
  <c r="AY12" i="18"/>
  <c r="AX12" i="18"/>
  <c r="AW12" i="18"/>
  <c r="AY120" i="18"/>
  <c r="AX120" i="18"/>
  <c r="AW120" i="18"/>
  <c r="AY179" i="18"/>
  <c r="AX179" i="18"/>
  <c r="AW179" i="18"/>
  <c r="AY75" i="18"/>
  <c r="AX75" i="18"/>
  <c r="AW75" i="18"/>
  <c r="AY74" i="18"/>
  <c r="AX74" i="18"/>
  <c r="AW74" i="18"/>
  <c r="AY144" i="18"/>
  <c r="AX144" i="18"/>
  <c r="AW144" i="18"/>
  <c r="AY73" i="18"/>
  <c r="AX73" i="18"/>
  <c r="AW73" i="18"/>
  <c r="AY187" i="18"/>
  <c r="AX187" i="18"/>
  <c r="AW187" i="18"/>
  <c r="AY119" i="18"/>
  <c r="AX119" i="18"/>
  <c r="AW119" i="18"/>
  <c r="AY202" i="18"/>
  <c r="AX202" i="18"/>
  <c r="AW202" i="18"/>
  <c r="AY118" i="18"/>
  <c r="AX118" i="18"/>
  <c r="AW118" i="18"/>
  <c r="AY178" i="18"/>
  <c r="AX178" i="18"/>
  <c r="AW178" i="18"/>
  <c r="AY117" i="18"/>
  <c r="AX117" i="18"/>
  <c r="AW117" i="18"/>
  <c r="AY143" i="18"/>
  <c r="AX143" i="18"/>
  <c r="AW143" i="18"/>
  <c r="AY177" i="18"/>
  <c r="AX177" i="18"/>
  <c r="AW177" i="18"/>
  <c r="AY176" i="18"/>
  <c r="AX176" i="18"/>
  <c r="AW176" i="18"/>
  <c r="AY116" i="18"/>
  <c r="AX116" i="18"/>
  <c r="AW116" i="18"/>
  <c r="AY11" i="18"/>
  <c r="AX11" i="18"/>
  <c r="AW11" i="18"/>
  <c r="AY10" i="18"/>
  <c r="AX10" i="18"/>
  <c r="AW10" i="18"/>
  <c r="AY9" i="18"/>
  <c r="AX9" i="18"/>
  <c r="AW9" i="18"/>
  <c r="AY115" i="18"/>
  <c r="AX115" i="18"/>
  <c r="AW115" i="18"/>
  <c r="AY8" i="18"/>
  <c r="AX8" i="18"/>
  <c r="AW8" i="18"/>
  <c r="AY114" i="18"/>
  <c r="AX114" i="18"/>
  <c r="AW114" i="18"/>
  <c r="AY113" i="18"/>
  <c r="AX113" i="18"/>
  <c r="AW113" i="18"/>
  <c r="AY72" i="18"/>
  <c r="AX72" i="18"/>
  <c r="AW72" i="18"/>
  <c r="AY7" i="18"/>
  <c r="AX7" i="18"/>
  <c r="AW7" i="18"/>
  <c r="AY71" i="18"/>
  <c r="AX71" i="18"/>
  <c r="AW71" i="18"/>
  <c r="AY6" i="18"/>
  <c r="AX6" i="18"/>
  <c r="AW6" i="18"/>
  <c r="AY5" i="18"/>
  <c r="AX5" i="18"/>
  <c r="AW5" i="18"/>
  <c r="AY4" i="18"/>
  <c r="AX4" i="18"/>
  <c r="AW4" i="18"/>
  <c r="AY112" i="18"/>
  <c r="AX112" i="18"/>
  <c r="AW112" i="18"/>
  <c r="Y129" i="18"/>
  <c r="X129" i="18"/>
  <c r="W129" i="18"/>
  <c r="Y174" i="18"/>
  <c r="X174" i="18"/>
  <c r="W174" i="18"/>
  <c r="Y128" i="18"/>
  <c r="X128" i="18"/>
  <c r="W128" i="18"/>
  <c r="Y127" i="18"/>
  <c r="X127" i="18"/>
  <c r="W127" i="18"/>
  <c r="Y126" i="18"/>
  <c r="X126" i="18"/>
  <c r="W126" i="18"/>
  <c r="Y125" i="18"/>
  <c r="X125" i="18"/>
  <c r="W125" i="18"/>
  <c r="Y173" i="18"/>
  <c r="X173" i="18"/>
  <c r="W173" i="18"/>
  <c r="Y200" i="18"/>
  <c r="X200" i="18"/>
  <c r="W200" i="18"/>
  <c r="Y172" i="18"/>
  <c r="X172" i="18"/>
  <c r="W172" i="18"/>
  <c r="Y124" i="18"/>
  <c r="X124" i="18"/>
  <c r="W124" i="18"/>
  <c r="Y171" i="18"/>
  <c r="X171" i="18"/>
  <c r="W171" i="18"/>
  <c r="Y123" i="18"/>
  <c r="X123" i="18"/>
  <c r="W123" i="18"/>
  <c r="Y122" i="18"/>
  <c r="X122" i="18"/>
  <c r="W122" i="18"/>
  <c r="Y121" i="18"/>
  <c r="X121" i="18"/>
  <c r="W121" i="18"/>
  <c r="Y120" i="18"/>
  <c r="X120" i="18"/>
  <c r="W120" i="18"/>
  <c r="Y119" i="18"/>
  <c r="X119" i="18"/>
  <c r="W119" i="18"/>
  <c r="Y118" i="18"/>
  <c r="X118" i="18"/>
  <c r="W118" i="18"/>
  <c r="Y199" i="18"/>
  <c r="X199" i="18"/>
  <c r="W199" i="18"/>
  <c r="Y170" i="18"/>
  <c r="X170" i="18"/>
  <c r="W170" i="18"/>
  <c r="Y169" i="18"/>
  <c r="X169" i="18"/>
  <c r="W169" i="18"/>
  <c r="Y117" i="18"/>
  <c r="X117" i="18"/>
  <c r="W117" i="18"/>
  <c r="Y195" i="18"/>
  <c r="X195" i="18"/>
  <c r="W195" i="18"/>
  <c r="Y116" i="18"/>
  <c r="X116" i="18"/>
  <c r="W116" i="18"/>
  <c r="Y115" i="18"/>
  <c r="X115" i="18"/>
  <c r="W115" i="18"/>
  <c r="Y114" i="18"/>
  <c r="X114" i="18"/>
  <c r="W114" i="18"/>
  <c r="Y113" i="18"/>
  <c r="X113" i="18"/>
  <c r="W113" i="18"/>
  <c r="Y112" i="18"/>
  <c r="X112" i="18"/>
  <c r="W112" i="18"/>
  <c r="Y111" i="18"/>
  <c r="X111" i="18"/>
  <c r="W111" i="18"/>
  <c r="Y110" i="18"/>
  <c r="X110" i="18"/>
  <c r="W110" i="18"/>
  <c r="Y109" i="18"/>
  <c r="X109" i="18"/>
  <c r="W109" i="18"/>
  <c r="Y194" i="18"/>
  <c r="X194" i="18"/>
  <c r="W194" i="18"/>
  <c r="Y168" i="18"/>
  <c r="X168" i="18"/>
  <c r="W168" i="18"/>
  <c r="Y108" i="18"/>
  <c r="X108" i="18"/>
  <c r="W108" i="18"/>
  <c r="Y107" i="18"/>
  <c r="X107" i="18"/>
  <c r="W107" i="18"/>
  <c r="Y167" i="18"/>
  <c r="X167" i="18"/>
  <c r="W167" i="18"/>
  <c r="Y166" i="18"/>
  <c r="X166" i="18"/>
  <c r="W166" i="18"/>
  <c r="Y193" i="18"/>
  <c r="X193" i="18"/>
  <c r="W193" i="18"/>
  <c r="Y106" i="18"/>
  <c r="X106" i="18"/>
  <c r="W106" i="18"/>
  <c r="Y192" i="18"/>
  <c r="X192" i="18"/>
  <c r="W192" i="18"/>
  <c r="Y105" i="18"/>
  <c r="X105" i="18"/>
  <c r="W105" i="18"/>
  <c r="Y165" i="18"/>
  <c r="X165" i="18"/>
  <c r="W165" i="18"/>
  <c r="Y104" i="18"/>
  <c r="X104" i="18"/>
  <c r="W104" i="18"/>
  <c r="Y103" i="18"/>
  <c r="X103" i="18"/>
  <c r="W103" i="18"/>
  <c r="Y102" i="18"/>
  <c r="X102" i="18"/>
  <c r="W102" i="18"/>
  <c r="Y101" i="18"/>
  <c r="X101" i="18"/>
  <c r="W101" i="18"/>
  <c r="Y164" i="18"/>
  <c r="X164" i="18"/>
  <c r="W164" i="18"/>
  <c r="Y163" i="18"/>
  <c r="X163" i="18"/>
  <c r="W163" i="18"/>
  <c r="Y198" i="18"/>
  <c r="X198" i="18"/>
  <c r="W198" i="18"/>
  <c r="Y100" i="18"/>
  <c r="X100" i="18"/>
  <c r="W100" i="18"/>
  <c r="Y99" i="18"/>
  <c r="X99" i="18"/>
  <c r="W99" i="18"/>
  <c r="Y191" i="18"/>
  <c r="X191" i="18"/>
  <c r="W191" i="18"/>
  <c r="Y98" i="18"/>
  <c r="X98" i="18"/>
  <c r="W98" i="18"/>
  <c r="Y97" i="18"/>
  <c r="X97" i="18"/>
  <c r="W97" i="18"/>
  <c r="Y96" i="18"/>
  <c r="X96" i="18"/>
  <c r="W96" i="18"/>
  <c r="Y95" i="18"/>
  <c r="X95" i="18"/>
  <c r="W95" i="18"/>
  <c r="Y201" i="18"/>
  <c r="X201" i="18"/>
  <c r="W201" i="18"/>
  <c r="Y162" i="18"/>
  <c r="X162" i="18"/>
  <c r="W162" i="18"/>
  <c r="Y161" i="18"/>
  <c r="X161" i="18"/>
  <c r="W161" i="18"/>
  <c r="Y160" i="18"/>
  <c r="X160" i="18"/>
  <c r="W160" i="18"/>
  <c r="Y190" i="18"/>
  <c r="X190" i="18"/>
  <c r="W190" i="18"/>
  <c r="Y94" i="18"/>
  <c r="X94" i="18"/>
  <c r="W94" i="18"/>
  <c r="Y159" i="18"/>
  <c r="X159" i="18"/>
  <c r="W159" i="18"/>
  <c r="Y93" i="18"/>
  <c r="X93" i="18"/>
  <c r="W93" i="18"/>
  <c r="Y92" i="18"/>
  <c r="X92" i="18"/>
  <c r="W92" i="18"/>
  <c r="Y202" i="18"/>
  <c r="X202" i="18"/>
  <c r="W202" i="18"/>
  <c r="Y91" i="18"/>
  <c r="X91" i="18"/>
  <c r="W91" i="18"/>
  <c r="Y90" i="18"/>
  <c r="X90" i="18"/>
  <c r="W90" i="18"/>
  <c r="Y89" i="18"/>
  <c r="X89" i="18"/>
  <c r="W89" i="18"/>
  <c r="Y88" i="18"/>
  <c r="X88" i="18"/>
  <c r="W88" i="18"/>
  <c r="Y87" i="18"/>
  <c r="X87" i="18"/>
  <c r="W87" i="18"/>
  <c r="Y86" i="18"/>
  <c r="X86" i="18"/>
  <c r="W86" i="18"/>
  <c r="Y85" i="18"/>
  <c r="X85" i="18"/>
  <c r="W85" i="18"/>
  <c r="Y84" i="18"/>
  <c r="X84" i="18"/>
  <c r="W84" i="18"/>
  <c r="Y158" i="18"/>
  <c r="X158" i="18"/>
  <c r="W158" i="18"/>
  <c r="Y83" i="18"/>
  <c r="X83" i="18"/>
  <c r="W83" i="18"/>
  <c r="Y82" i="18"/>
  <c r="X82" i="18"/>
  <c r="W82" i="18"/>
  <c r="Y81" i="18"/>
  <c r="X81" i="18"/>
  <c r="W81" i="18"/>
  <c r="Y80" i="18"/>
  <c r="X80" i="18"/>
  <c r="W80" i="18"/>
  <c r="Y79" i="18"/>
  <c r="X79" i="18"/>
  <c r="W79" i="18"/>
  <c r="Y189" i="18"/>
  <c r="X189" i="18"/>
  <c r="W189" i="18"/>
  <c r="Y78" i="18"/>
  <c r="X78" i="18"/>
  <c r="W78" i="18"/>
  <c r="Y77" i="18"/>
  <c r="X77" i="18"/>
  <c r="W77" i="18"/>
  <c r="Y76" i="18"/>
  <c r="X76" i="18"/>
  <c r="W76" i="18"/>
  <c r="Y75" i="18"/>
  <c r="X75" i="18"/>
  <c r="W75" i="18"/>
  <c r="Y74" i="18"/>
  <c r="X74" i="18"/>
  <c r="W74" i="18"/>
  <c r="Y188" i="18"/>
  <c r="X188" i="18"/>
  <c r="W188" i="18"/>
  <c r="Y73" i="18"/>
  <c r="X73" i="18"/>
  <c r="W73" i="18"/>
  <c r="Y72" i="18"/>
  <c r="X72" i="18"/>
  <c r="W72" i="18"/>
  <c r="Y71" i="18"/>
  <c r="X71" i="18"/>
  <c r="W71" i="18"/>
  <c r="Y70" i="18"/>
  <c r="X70" i="18"/>
  <c r="W70" i="18"/>
  <c r="Y157" i="18"/>
  <c r="X157" i="18"/>
  <c r="W157" i="18"/>
  <c r="Y69" i="18"/>
  <c r="X69" i="18"/>
  <c r="W69" i="18"/>
  <c r="Y68" i="18"/>
  <c r="X68" i="18"/>
  <c r="W68" i="18"/>
  <c r="Y67" i="18"/>
  <c r="X67" i="18"/>
  <c r="W67" i="18"/>
  <c r="Y66" i="18"/>
  <c r="X66" i="18"/>
  <c r="W66" i="18"/>
  <c r="Y187" i="18"/>
  <c r="X187" i="18"/>
  <c r="W187" i="18"/>
  <c r="Y65" i="18"/>
  <c r="X65" i="18"/>
  <c r="W65" i="18"/>
  <c r="Y64" i="18"/>
  <c r="X64" i="18"/>
  <c r="W64" i="18"/>
  <c r="Y63" i="18"/>
  <c r="X63" i="18"/>
  <c r="W63" i="18"/>
  <c r="Y62" i="18"/>
  <c r="X62" i="18"/>
  <c r="W62" i="18"/>
  <c r="Y186" i="18"/>
  <c r="X186" i="18"/>
  <c r="W186" i="18"/>
  <c r="Y61" i="18"/>
  <c r="X61" i="18"/>
  <c r="W61" i="18"/>
  <c r="Y60" i="18"/>
  <c r="X60" i="18"/>
  <c r="W60" i="18"/>
  <c r="Y59" i="18"/>
  <c r="X59" i="18"/>
  <c r="W59" i="18"/>
  <c r="Y58" i="18"/>
  <c r="X58" i="18"/>
  <c r="W58" i="18"/>
  <c r="Y57" i="18"/>
  <c r="X57" i="18"/>
  <c r="W57" i="18"/>
  <c r="Y156" i="18"/>
  <c r="X156" i="18"/>
  <c r="W156" i="18"/>
  <c r="Y56" i="18"/>
  <c r="X56" i="18"/>
  <c r="W56" i="18"/>
  <c r="Y55" i="18"/>
  <c r="X55" i="18"/>
  <c r="W55" i="18"/>
  <c r="Y54" i="18"/>
  <c r="X54" i="18"/>
  <c r="W54" i="18"/>
  <c r="Y53" i="18"/>
  <c r="X53" i="18"/>
  <c r="W53" i="18"/>
  <c r="Y197" i="18"/>
  <c r="X197" i="18"/>
  <c r="W197" i="18"/>
  <c r="Y185" i="18"/>
  <c r="X185" i="18"/>
  <c r="W185" i="18"/>
  <c r="Y52" i="18"/>
  <c r="X52" i="18"/>
  <c r="W52" i="18"/>
  <c r="Y155" i="18"/>
  <c r="X155" i="18"/>
  <c r="W155" i="18"/>
  <c r="Y184" i="18"/>
  <c r="X184" i="18"/>
  <c r="W184" i="18"/>
  <c r="Y154" i="18"/>
  <c r="X154" i="18"/>
  <c r="W154" i="18"/>
  <c r="Y153" i="18"/>
  <c r="X153" i="18"/>
  <c r="W153" i="18"/>
  <c r="Y183" i="18"/>
  <c r="X183" i="18"/>
  <c r="W183" i="18"/>
  <c r="Y152" i="18"/>
  <c r="X152" i="18"/>
  <c r="W152" i="18"/>
  <c r="Y151" i="18"/>
  <c r="X151" i="18"/>
  <c r="W151" i="18"/>
  <c r="Y150" i="18"/>
  <c r="X150" i="18"/>
  <c r="W150" i="18"/>
  <c r="Y149" i="18"/>
  <c r="X149" i="18"/>
  <c r="W149" i="18"/>
  <c r="Y148" i="18"/>
  <c r="X148" i="18"/>
  <c r="W148" i="18"/>
  <c r="Y196" i="18"/>
  <c r="X196" i="18"/>
  <c r="W196" i="18"/>
  <c r="Y147" i="18"/>
  <c r="X147" i="18"/>
  <c r="W147" i="18"/>
  <c r="Y51" i="18"/>
  <c r="X51" i="18"/>
  <c r="W51" i="18"/>
  <c r="Y182" i="18"/>
  <c r="X182" i="18"/>
  <c r="W182" i="18"/>
  <c r="Y146" i="18"/>
  <c r="X146" i="18"/>
  <c r="W146" i="18"/>
  <c r="Y145" i="18"/>
  <c r="X145" i="18"/>
  <c r="W145" i="18"/>
  <c r="Y50" i="18"/>
  <c r="X50" i="18"/>
  <c r="W50" i="18"/>
  <c r="Y181" i="18"/>
  <c r="X181" i="18"/>
  <c r="W181" i="18"/>
  <c r="Y144" i="18"/>
  <c r="X144" i="18"/>
  <c r="W144" i="18"/>
  <c r="Y143" i="18"/>
  <c r="X143" i="18"/>
  <c r="W143" i="18"/>
  <c r="Y49" i="18"/>
  <c r="X49" i="18"/>
  <c r="W49" i="18"/>
  <c r="Y48" i="18"/>
  <c r="X48" i="18"/>
  <c r="W48" i="18"/>
  <c r="Y142" i="18"/>
  <c r="X142" i="18"/>
  <c r="W142" i="18"/>
  <c r="Y141" i="18"/>
  <c r="X141" i="18"/>
  <c r="W141" i="18"/>
  <c r="Y140" i="18"/>
  <c r="X140" i="18"/>
  <c r="W140" i="18"/>
  <c r="Y47" i="18"/>
  <c r="X47" i="18"/>
  <c r="W47" i="18"/>
  <c r="Y46" i="18"/>
  <c r="X46" i="18"/>
  <c r="W46" i="18"/>
  <c r="Y139" i="18"/>
  <c r="X139" i="18"/>
  <c r="W139" i="18"/>
  <c r="Y138" i="18"/>
  <c r="X138" i="18"/>
  <c r="W138" i="18"/>
  <c r="Y180" i="18"/>
  <c r="X180" i="18"/>
  <c r="W180" i="18"/>
  <c r="Y45" i="18"/>
  <c r="X45" i="18"/>
  <c r="W45" i="18"/>
  <c r="Y137" i="18"/>
  <c r="X137" i="18"/>
  <c r="W137" i="18"/>
  <c r="Y136" i="18"/>
  <c r="X136" i="18"/>
  <c r="W136" i="18"/>
  <c r="Y44" i="18"/>
  <c r="X44" i="18"/>
  <c r="W44" i="18"/>
  <c r="Y43" i="18"/>
  <c r="X43" i="18"/>
  <c r="W43" i="18"/>
  <c r="Y42" i="18"/>
  <c r="X42" i="18"/>
  <c r="W42" i="18"/>
  <c r="Y41" i="18"/>
  <c r="X41" i="18"/>
  <c r="W41" i="18"/>
  <c r="Y40" i="18"/>
  <c r="X40" i="18"/>
  <c r="W40" i="18"/>
  <c r="Y39" i="18"/>
  <c r="X39" i="18"/>
  <c r="W39" i="18"/>
  <c r="Y38" i="18"/>
  <c r="X38" i="18"/>
  <c r="W38" i="18"/>
  <c r="Y37" i="18"/>
  <c r="X37" i="18"/>
  <c r="W37" i="18"/>
  <c r="Y36" i="18"/>
  <c r="X36" i="18"/>
  <c r="W36" i="18"/>
  <c r="Y35" i="18"/>
  <c r="X35" i="18"/>
  <c r="W35" i="18"/>
  <c r="Y34" i="18"/>
  <c r="X34" i="18"/>
  <c r="W34" i="18"/>
  <c r="Y33" i="18"/>
  <c r="X33" i="18"/>
  <c r="W33" i="18"/>
  <c r="Y32" i="18"/>
  <c r="X32" i="18"/>
  <c r="W32" i="18"/>
  <c r="Y31" i="18"/>
  <c r="X31" i="18"/>
  <c r="W31" i="18"/>
  <c r="Y30" i="18"/>
  <c r="X30" i="18"/>
  <c r="W30" i="18"/>
  <c r="Y29" i="18"/>
  <c r="X29" i="18"/>
  <c r="W29" i="18"/>
  <c r="Y28" i="18"/>
  <c r="X28" i="18"/>
  <c r="W28" i="18"/>
  <c r="Y27" i="18"/>
  <c r="X27" i="18"/>
  <c r="W27" i="18"/>
  <c r="Y26" i="18"/>
  <c r="X26" i="18"/>
  <c r="W26" i="18"/>
  <c r="Y135" i="18"/>
  <c r="X135" i="18"/>
  <c r="W135" i="18"/>
  <c r="Y25" i="18"/>
  <c r="X25" i="18"/>
  <c r="W25" i="18"/>
  <c r="Y179" i="18"/>
  <c r="X179" i="18"/>
  <c r="W179" i="18"/>
  <c r="Y24" i="18"/>
  <c r="X24" i="18"/>
  <c r="W24" i="18"/>
  <c r="Y23" i="18"/>
  <c r="X23" i="18"/>
  <c r="W23" i="18"/>
  <c r="Y22" i="18"/>
  <c r="X22" i="18"/>
  <c r="W22" i="18"/>
  <c r="Y134" i="18"/>
  <c r="X134" i="18"/>
  <c r="W134" i="18"/>
  <c r="Y21" i="18"/>
  <c r="X21" i="18"/>
  <c r="W21" i="18"/>
  <c r="Y20" i="18"/>
  <c r="X20" i="18"/>
  <c r="W20" i="18"/>
  <c r="Y19" i="18"/>
  <c r="X19" i="18"/>
  <c r="W19" i="18"/>
  <c r="Y18" i="18"/>
  <c r="X18" i="18"/>
  <c r="W18" i="18"/>
  <c r="Y17" i="18"/>
  <c r="X17" i="18"/>
  <c r="W17" i="18"/>
  <c r="Y178" i="18"/>
  <c r="X178" i="18"/>
  <c r="W178" i="18"/>
  <c r="Y16" i="18"/>
  <c r="X16" i="18"/>
  <c r="W16" i="18"/>
  <c r="Y15" i="18"/>
  <c r="X15" i="18"/>
  <c r="W15" i="18"/>
  <c r="Y177" i="18"/>
  <c r="X177" i="18"/>
  <c r="W177" i="18"/>
  <c r="Y133" i="18"/>
  <c r="X133" i="18"/>
  <c r="W133" i="18"/>
  <c r="Y14" i="18"/>
  <c r="X14" i="18"/>
  <c r="W14" i="18"/>
  <c r="Y176" i="18"/>
  <c r="X176" i="18"/>
  <c r="W176" i="18"/>
  <c r="Y132" i="18"/>
  <c r="X132" i="18"/>
  <c r="W132" i="18"/>
  <c r="Y13" i="18"/>
  <c r="X13" i="18"/>
  <c r="W13" i="18"/>
  <c r="Y12" i="18"/>
  <c r="X12" i="18"/>
  <c r="W12" i="18"/>
  <c r="Y11" i="18"/>
  <c r="X11" i="18"/>
  <c r="W11" i="18"/>
  <c r="Y175" i="18"/>
  <c r="X175" i="18"/>
  <c r="W175" i="18"/>
  <c r="Y10" i="18"/>
  <c r="X10" i="18"/>
  <c r="W10" i="18"/>
  <c r="Y131" i="18"/>
  <c r="X131" i="18"/>
  <c r="W131" i="18"/>
  <c r="Y9" i="18"/>
  <c r="X9" i="18"/>
  <c r="W9" i="18"/>
  <c r="Y8" i="18"/>
  <c r="X8" i="18"/>
  <c r="W8" i="18"/>
  <c r="Y7" i="18"/>
  <c r="X7" i="18"/>
  <c r="W7" i="18"/>
  <c r="Y130" i="18"/>
  <c r="X130" i="18"/>
  <c r="W130" i="18"/>
  <c r="Y203" i="18"/>
  <c r="X203" i="18"/>
  <c r="W203" i="18"/>
  <c r="Y6" i="18"/>
  <c r="X6" i="18"/>
  <c r="W6" i="18"/>
  <c r="Y5" i="18"/>
  <c r="X5" i="18"/>
  <c r="W5" i="18"/>
  <c r="Y4" i="18"/>
  <c r="X4" i="18"/>
  <c r="W4" i="18"/>
  <c r="CB141" i="17"/>
  <c r="CA141" i="17"/>
  <c r="BZ141" i="17"/>
  <c r="CB140" i="17"/>
  <c r="CA140" i="17"/>
  <c r="BZ140" i="17"/>
  <c r="CB139" i="17"/>
  <c r="CA139" i="17"/>
  <c r="BZ139" i="17"/>
  <c r="CB138" i="17"/>
  <c r="CA138" i="17"/>
  <c r="BZ138" i="17"/>
  <c r="CB137" i="17"/>
  <c r="CA137" i="17"/>
  <c r="BZ137" i="17"/>
  <c r="CB136" i="17"/>
  <c r="CA136" i="17"/>
  <c r="BZ136" i="17"/>
  <c r="CB135" i="17"/>
  <c r="CA135" i="17"/>
  <c r="BZ135" i="17"/>
  <c r="CB134" i="17"/>
  <c r="CA134" i="17"/>
  <c r="BZ134" i="17"/>
  <c r="CB133" i="17"/>
  <c r="CA133" i="17"/>
  <c r="BZ133" i="17"/>
  <c r="CB132" i="17"/>
  <c r="CA132" i="17"/>
  <c r="BZ132" i="17"/>
  <c r="CB131" i="17"/>
  <c r="CA131" i="17"/>
  <c r="BZ131" i="17"/>
  <c r="CB130" i="17"/>
  <c r="CA130" i="17"/>
  <c r="BZ130" i="17"/>
  <c r="CB129" i="17"/>
  <c r="CA129" i="17"/>
  <c r="BZ129" i="17"/>
  <c r="CB172" i="17"/>
  <c r="CA172" i="17"/>
  <c r="BZ172" i="17"/>
  <c r="CB128" i="17"/>
  <c r="CA128" i="17"/>
  <c r="BZ128" i="17"/>
  <c r="CB159" i="17"/>
  <c r="CA159" i="17"/>
  <c r="BZ159" i="17"/>
  <c r="CB127" i="17"/>
  <c r="CA127" i="17"/>
  <c r="BZ127" i="17"/>
  <c r="CB188" i="17"/>
  <c r="CA188" i="17"/>
  <c r="BZ188" i="17"/>
  <c r="CB126" i="17"/>
  <c r="CA126" i="17"/>
  <c r="BZ126" i="17"/>
  <c r="CB125" i="17"/>
  <c r="CA125" i="17"/>
  <c r="BZ125" i="17"/>
  <c r="CB182" i="17"/>
  <c r="CA182" i="17"/>
  <c r="BZ182" i="17"/>
  <c r="CB124" i="17"/>
  <c r="CA124" i="17"/>
  <c r="BZ124" i="17"/>
  <c r="CB123" i="17"/>
  <c r="CA123" i="17"/>
  <c r="BZ123" i="17"/>
  <c r="CB122" i="17"/>
  <c r="CA122" i="17"/>
  <c r="BZ122" i="17"/>
  <c r="CB121" i="17"/>
  <c r="CA121" i="17"/>
  <c r="BZ121" i="17"/>
  <c r="CB120" i="17"/>
  <c r="CA120" i="17"/>
  <c r="BZ120" i="17"/>
  <c r="CB119" i="17"/>
  <c r="CA119" i="17"/>
  <c r="BZ119" i="17"/>
  <c r="CB118" i="17"/>
  <c r="CA118" i="17"/>
  <c r="BZ118" i="17"/>
  <c r="CB117" i="17"/>
  <c r="CA117" i="17"/>
  <c r="BZ117" i="17"/>
  <c r="CB116" i="17"/>
  <c r="CA116" i="17"/>
  <c r="BZ116" i="17"/>
  <c r="CB115" i="17"/>
  <c r="CA115" i="17"/>
  <c r="BZ115" i="17"/>
  <c r="CB114" i="17"/>
  <c r="CA114" i="17"/>
  <c r="BZ114" i="17"/>
  <c r="CB113" i="17"/>
  <c r="CA113" i="17"/>
  <c r="BZ113" i="17"/>
  <c r="CB158" i="17"/>
  <c r="CA158" i="17"/>
  <c r="BZ158" i="17"/>
  <c r="CB112" i="17"/>
  <c r="CA112" i="17"/>
  <c r="BZ112" i="17"/>
  <c r="CB111" i="17"/>
  <c r="CA111" i="17"/>
  <c r="BZ111" i="17"/>
  <c r="CB110" i="17"/>
  <c r="CA110" i="17"/>
  <c r="BZ110" i="17"/>
  <c r="CB109" i="17"/>
  <c r="CA109" i="17"/>
  <c r="BZ109" i="17"/>
  <c r="CB157" i="17"/>
  <c r="CA157" i="17"/>
  <c r="BZ157" i="17"/>
  <c r="CB156" i="17"/>
  <c r="CA156" i="17"/>
  <c r="BZ156" i="17"/>
  <c r="CB108" i="17"/>
  <c r="CA108" i="17"/>
  <c r="BZ108" i="17"/>
  <c r="CB107" i="17"/>
  <c r="CA107" i="17"/>
  <c r="BZ107" i="17"/>
  <c r="CB106" i="17"/>
  <c r="CA106" i="17"/>
  <c r="BZ106" i="17"/>
  <c r="CB105" i="17"/>
  <c r="CA105" i="17"/>
  <c r="BZ105" i="17"/>
  <c r="CB104" i="17"/>
  <c r="CA104" i="17"/>
  <c r="BZ104" i="17"/>
  <c r="CB205" i="17"/>
  <c r="CA205" i="17"/>
  <c r="BZ205" i="17"/>
  <c r="CB103" i="17"/>
  <c r="CA103" i="17"/>
  <c r="BZ103" i="17"/>
  <c r="CB102" i="17"/>
  <c r="CA102" i="17"/>
  <c r="BZ102" i="17"/>
  <c r="CB181" i="17"/>
  <c r="CA181" i="17"/>
  <c r="BZ181" i="17"/>
  <c r="CB101" i="17"/>
  <c r="CA101" i="17"/>
  <c r="BZ101" i="17"/>
  <c r="CB100" i="17"/>
  <c r="CA100" i="17"/>
  <c r="BZ100" i="17"/>
  <c r="CB171" i="17"/>
  <c r="CA171" i="17"/>
  <c r="BZ171" i="17"/>
  <c r="CB99" i="17"/>
  <c r="CA99" i="17"/>
  <c r="BZ99" i="17"/>
  <c r="CB98" i="17"/>
  <c r="CA98" i="17"/>
  <c r="BZ98" i="17"/>
  <c r="CB97" i="17"/>
  <c r="CA97" i="17"/>
  <c r="BZ97" i="17"/>
  <c r="CB96" i="17"/>
  <c r="CA96" i="17"/>
  <c r="BZ96" i="17"/>
  <c r="CB95" i="17"/>
  <c r="CA95" i="17"/>
  <c r="BZ95" i="17"/>
  <c r="CB170" i="17"/>
  <c r="CA170" i="17"/>
  <c r="BZ170" i="17"/>
  <c r="CB169" i="17"/>
  <c r="CA169" i="17"/>
  <c r="BZ169" i="17"/>
  <c r="CB94" i="17"/>
  <c r="CA94" i="17"/>
  <c r="BZ94" i="17"/>
  <c r="CB93" i="17"/>
  <c r="CA93" i="17"/>
  <c r="BZ93" i="17"/>
  <c r="CB92" i="17"/>
  <c r="CA92" i="17"/>
  <c r="BZ92" i="17"/>
  <c r="CB91" i="17"/>
  <c r="CA91" i="17"/>
  <c r="BZ91" i="17"/>
  <c r="CB90" i="17"/>
  <c r="CA90" i="17"/>
  <c r="BZ90" i="17"/>
  <c r="CB89" i="17"/>
  <c r="CA89" i="17"/>
  <c r="BZ89" i="17"/>
  <c r="CB88" i="17"/>
  <c r="CA88" i="17"/>
  <c r="BZ88" i="17"/>
  <c r="CB87" i="17"/>
  <c r="CA87" i="17"/>
  <c r="BZ87" i="17"/>
  <c r="CB155" i="17"/>
  <c r="CA155" i="17"/>
  <c r="BZ155" i="17"/>
  <c r="CB86" i="17"/>
  <c r="CA86" i="17"/>
  <c r="BZ86" i="17"/>
  <c r="CB168" i="17"/>
  <c r="CA168" i="17"/>
  <c r="BZ168" i="17"/>
  <c r="CB85" i="17"/>
  <c r="CA85" i="17"/>
  <c r="BZ85" i="17"/>
  <c r="CB84" i="17"/>
  <c r="CA84" i="17"/>
  <c r="BZ84" i="17"/>
  <c r="CB83" i="17"/>
  <c r="CA83" i="17"/>
  <c r="BZ83" i="17"/>
  <c r="CB82" i="17"/>
  <c r="CA82" i="17"/>
  <c r="BZ82" i="17"/>
  <c r="CB204" i="17"/>
  <c r="CA204" i="17"/>
  <c r="BZ204" i="17"/>
  <c r="CB81" i="17"/>
  <c r="CA81" i="17"/>
  <c r="BZ81" i="17"/>
  <c r="CB80" i="17"/>
  <c r="CA80" i="17"/>
  <c r="BZ80" i="17"/>
  <c r="CB79" i="17"/>
  <c r="CA79" i="17"/>
  <c r="BZ79" i="17"/>
  <c r="CB78" i="17"/>
  <c r="CA78" i="17"/>
  <c r="BZ78" i="17"/>
  <c r="CB77" i="17"/>
  <c r="CA77" i="17"/>
  <c r="BZ77" i="17"/>
  <c r="CB191" i="17"/>
  <c r="CA191" i="17"/>
  <c r="BZ191" i="17"/>
  <c r="CB76" i="17"/>
  <c r="CA76" i="17"/>
  <c r="BZ76" i="17"/>
  <c r="CB75" i="17"/>
  <c r="CA75" i="17"/>
  <c r="BZ75" i="17"/>
  <c r="CB74" i="17"/>
  <c r="CA74" i="17"/>
  <c r="BZ74" i="17"/>
  <c r="CB198" i="17"/>
  <c r="CA198" i="17"/>
  <c r="BZ198" i="17"/>
  <c r="CB73" i="17"/>
  <c r="CA73" i="17"/>
  <c r="BZ73" i="17"/>
  <c r="CB72" i="17"/>
  <c r="CA72" i="17"/>
  <c r="BZ72" i="17"/>
  <c r="CB167" i="17"/>
  <c r="CA167" i="17"/>
  <c r="BZ167" i="17"/>
  <c r="CB71" i="17"/>
  <c r="CA71" i="17"/>
  <c r="BZ71" i="17"/>
  <c r="CB70" i="17"/>
  <c r="CA70" i="17"/>
  <c r="BZ70" i="17"/>
  <c r="CB69" i="17"/>
  <c r="CA69" i="17"/>
  <c r="BZ69" i="17"/>
  <c r="CB154" i="17"/>
  <c r="CA154" i="17"/>
  <c r="BZ154" i="17"/>
  <c r="CB68" i="17"/>
  <c r="CA68" i="17"/>
  <c r="BZ68" i="17"/>
  <c r="CB67" i="17"/>
  <c r="CA67" i="17"/>
  <c r="BZ67" i="17"/>
  <c r="CB66" i="17"/>
  <c r="CA66" i="17"/>
  <c r="BZ66" i="17"/>
  <c r="CB65" i="17"/>
  <c r="CA65" i="17"/>
  <c r="BZ65" i="17"/>
  <c r="CB166" i="17"/>
  <c r="CA166" i="17"/>
  <c r="BZ166" i="17"/>
  <c r="CB153" i="17"/>
  <c r="CA153" i="17"/>
  <c r="BZ153" i="17"/>
  <c r="CB180" i="17"/>
  <c r="CA180" i="17"/>
  <c r="BZ180" i="17"/>
  <c r="CB64" i="17"/>
  <c r="CA64" i="17"/>
  <c r="BZ64" i="17"/>
  <c r="CB63" i="17"/>
  <c r="CA63" i="17"/>
  <c r="BZ63" i="17"/>
  <c r="CB62" i="17"/>
  <c r="CA62" i="17"/>
  <c r="BZ62" i="17"/>
  <c r="CB61" i="17"/>
  <c r="CA61" i="17"/>
  <c r="BZ61" i="17"/>
  <c r="CB60" i="17"/>
  <c r="CA60" i="17"/>
  <c r="BZ60" i="17"/>
  <c r="CB59" i="17"/>
  <c r="CA59" i="17"/>
  <c r="BZ59" i="17"/>
  <c r="CB58" i="17"/>
  <c r="CA58" i="17"/>
  <c r="BZ58" i="17"/>
  <c r="CB187" i="17"/>
  <c r="CA187" i="17"/>
  <c r="BZ187" i="17"/>
  <c r="CB57" i="17"/>
  <c r="CA57" i="17"/>
  <c r="BZ57" i="17"/>
  <c r="CB176" i="17"/>
  <c r="CA176" i="17"/>
  <c r="BZ176" i="17"/>
  <c r="CB186" i="17"/>
  <c r="CA186" i="17"/>
  <c r="BZ186" i="17"/>
  <c r="CB56" i="17"/>
  <c r="CA56" i="17"/>
  <c r="BZ56" i="17"/>
  <c r="CB55" i="17"/>
  <c r="CA55" i="17"/>
  <c r="BZ55" i="17"/>
  <c r="CB54" i="17"/>
  <c r="CA54" i="17"/>
  <c r="BZ54" i="17"/>
  <c r="CB53" i="17"/>
  <c r="CA53" i="17"/>
  <c r="BZ53" i="17"/>
  <c r="CB52" i="17"/>
  <c r="CA52" i="17"/>
  <c r="BZ52" i="17"/>
  <c r="CB165" i="17"/>
  <c r="CA165" i="17"/>
  <c r="BZ165" i="17"/>
  <c r="CB51" i="17"/>
  <c r="CA51" i="17"/>
  <c r="BZ51" i="17"/>
  <c r="CB50" i="17"/>
  <c r="CA50" i="17"/>
  <c r="BZ50" i="17"/>
  <c r="CB185" i="17"/>
  <c r="CA185" i="17"/>
  <c r="BZ185" i="17"/>
  <c r="CB184" i="17"/>
  <c r="CA184" i="17"/>
  <c r="BZ184" i="17"/>
  <c r="CB49" i="17"/>
  <c r="CA49" i="17"/>
  <c r="BZ49" i="17"/>
  <c r="CB152" i="17"/>
  <c r="CA152" i="17"/>
  <c r="BZ152" i="17"/>
  <c r="CB48" i="17"/>
  <c r="CA48" i="17"/>
  <c r="BZ48" i="17"/>
  <c r="CB151" i="17"/>
  <c r="CA151" i="17"/>
  <c r="BZ151" i="17"/>
  <c r="CB47" i="17"/>
  <c r="CA47" i="17"/>
  <c r="BZ47" i="17"/>
  <c r="CB179" i="17"/>
  <c r="CA179" i="17"/>
  <c r="BZ179" i="17"/>
  <c r="CB203" i="17"/>
  <c r="CA203" i="17"/>
  <c r="BZ203" i="17"/>
  <c r="CB178" i="17"/>
  <c r="CA178" i="17"/>
  <c r="BZ178" i="17"/>
  <c r="CB46" i="17"/>
  <c r="CA46" i="17"/>
  <c r="BZ46" i="17"/>
  <c r="CB194" i="17"/>
  <c r="CA194" i="17"/>
  <c r="BZ194" i="17"/>
  <c r="CB45" i="17"/>
  <c r="CA45" i="17"/>
  <c r="BZ45" i="17"/>
  <c r="CB150" i="17"/>
  <c r="CA150" i="17"/>
  <c r="BZ150" i="17"/>
  <c r="CB44" i="17"/>
  <c r="CA44" i="17"/>
  <c r="BZ44" i="17"/>
  <c r="CB43" i="17"/>
  <c r="CA43" i="17"/>
  <c r="BZ43" i="17"/>
  <c r="CB42" i="17"/>
  <c r="CA42" i="17"/>
  <c r="BZ42" i="17"/>
  <c r="CB164" i="17"/>
  <c r="CA164" i="17"/>
  <c r="BZ164" i="17"/>
  <c r="CB41" i="17"/>
  <c r="CA41" i="17"/>
  <c r="BZ41" i="17"/>
  <c r="CB40" i="17"/>
  <c r="CA40" i="17"/>
  <c r="BZ40" i="17"/>
  <c r="CB149" i="17"/>
  <c r="CA149" i="17"/>
  <c r="BZ149" i="17"/>
  <c r="CB177" i="17"/>
  <c r="CA177" i="17"/>
  <c r="BZ177" i="17"/>
  <c r="CB39" i="17"/>
  <c r="CA39" i="17"/>
  <c r="BZ39" i="17"/>
  <c r="CB38" i="17"/>
  <c r="CA38" i="17"/>
  <c r="BZ38" i="17"/>
  <c r="CB199" i="17"/>
  <c r="CA199" i="17"/>
  <c r="BZ199" i="17"/>
  <c r="CB183" i="17"/>
  <c r="CA183" i="17"/>
  <c r="BZ183" i="17"/>
  <c r="CB37" i="17"/>
  <c r="CA37" i="17"/>
  <c r="BZ37" i="17"/>
  <c r="CB197" i="17"/>
  <c r="CA197" i="17"/>
  <c r="BZ197" i="17"/>
  <c r="CB36" i="17"/>
  <c r="CA36" i="17"/>
  <c r="BZ36" i="17"/>
  <c r="CB35" i="17"/>
  <c r="CA35" i="17"/>
  <c r="BZ35" i="17"/>
  <c r="CB34" i="17"/>
  <c r="CA34" i="17"/>
  <c r="BZ34" i="17"/>
  <c r="CB33" i="17"/>
  <c r="CA33" i="17"/>
  <c r="BZ33" i="17"/>
  <c r="CB32" i="17"/>
  <c r="CA32" i="17"/>
  <c r="BZ32" i="17"/>
  <c r="CB31" i="17"/>
  <c r="CA31" i="17"/>
  <c r="BZ31" i="17"/>
  <c r="CB148" i="17"/>
  <c r="CA148" i="17"/>
  <c r="BZ148" i="17"/>
  <c r="CB30" i="17"/>
  <c r="CA30" i="17"/>
  <c r="BZ30" i="17"/>
  <c r="CB29" i="17"/>
  <c r="CA29" i="17"/>
  <c r="BZ29" i="17"/>
  <c r="CB28" i="17"/>
  <c r="CA28" i="17"/>
  <c r="BZ28" i="17"/>
  <c r="CB27" i="17"/>
  <c r="CA27" i="17"/>
  <c r="BZ27" i="17"/>
  <c r="CB200" i="17"/>
  <c r="CA200" i="17"/>
  <c r="BZ200" i="17"/>
  <c r="CB206" i="17"/>
  <c r="CA206" i="17"/>
  <c r="BZ206" i="17"/>
  <c r="CB26" i="17"/>
  <c r="CA26" i="17"/>
  <c r="BZ26" i="17"/>
  <c r="CB25" i="17"/>
  <c r="CA25" i="17"/>
  <c r="BZ25" i="17"/>
  <c r="CB24" i="17"/>
  <c r="CA24" i="17"/>
  <c r="BZ24" i="17"/>
  <c r="CB23" i="17"/>
  <c r="CA23" i="17"/>
  <c r="BZ23" i="17"/>
  <c r="CB22" i="17"/>
  <c r="CA22" i="17"/>
  <c r="BZ22" i="17"/>
  <c r="CB202" i="17"/>
  <c r="CA202" i="17"/>
  <c r="BZ202" i="17"/>
  <c r="CB21" i="17"/>
  <c r="CA21" i="17"/>
  <c r="BZ21" i="17"/>
  <c r="CB147" i="17"/>
  <c r="CA147" i="17"/>
  <c r="BZ147" i="17"/>
  <c r="CB163" i="17"/>
  <c r="CA163" i="17"/>
  <c r="BZ163" i="17"/>
  <c r="CB146" i="17"/>
  <c r="CA146" i="17"/>
  <c r="BZ146" i="17"/>
  <c r="CB162" i="17"/>
  <c r="CA162" i="17"/>
  <c r="BZ162" i="17"/>
  <c r="CB20" i="17"/>
  <c r="CA20" i="17"/>
  <c r="BZ20" i="17"/>
  <c r="CB19" i="17"/>
  <c r="CA19" i="17"/>
  <c r="BZ19" i="17"/>
  <c r="CB18" i="17"/>
  <c r="CA18" i="17"/>
  <c r="BZ18" i="17"/>
  <c r="CB17" i="17"/>
  <c r="CA17" i="17"/>
  <c r="BZ17" i="17"/>
  <c r="CB16" i="17"/>
  <c r="CA16" i="17"/>
  <c r="BZ16" i="17"/>
  <c r="CB15" i="17"/>
  <c r="CA15" i="17"/>
  <c r="BZ15" i="17"/>
  <c r="CB14" i="17"/>
  <c r="CA14" i="17"/>
  <c r="BZ14" i="17"/>
  <c r="CB13" i="17"/>
  <c r="CA13" i="17"/>
  <c r="BZ13" i="17"/>
  <c r="CB145" i="17"/>
  <c r="CA145" i="17"/>
  <c r="BZ145" i="17"/>
  <c r="CB144" i="17"/>
  <c r="CA144" i="17"/>
  <c r="BZ144" i="17"/>
  <c r="CB161" i="17"/>
  <c r="CA161" i="17"/>
  <c r="BZ161" i="17"/>
  <c r="CB12" i="17"/>
  <c r="CA12" i="17"/>
  <c r="BZ12" i="17"/>
  <c r="CB160" i="17"/>
  <c r="CA160" i="17"/>
  <c r="BZ160" i="17"/>
  <c r="CB11" i="17"/>
  <c r="CA11" i="17"/>
  <c r="BZ11" i="17"/>
  <c r="CB143" i="17"/>
  <c r="CA143" i="17"/>
  <c r="BZ143" i="17"/>
  <c r="CB10" i="17"/>
  <c r="CA10" i="17"/>
  <c r="BZ10" i="17"/>
  <c r="CB9" i="17"/>
  <c r="CA9" i="17"/>
  <c r="BZ9" i="17"/>
  <c r="CB8" i="17"/>
  <c r="CA8" i="17"/>
  <c r="BZ8" i="17"/>
  <c r="CB7" i="17"/>
  <c r="CA7" i="17"/>
  <c r="BZ7" i="17"/>
  <c r="CB196" i="17"/>
  <c r="CA196" i="17"/>
  <c r="BZ196" i="17"/>
  <c r="CB175" i="17"/>
  <c r="CA175" i="17"/>
  <c r="BZ175" i="17"/>
  <c r="CB193" i="17"/>
  <c r="CA193" i="17"/>
  <c r="BZ193" i="17"/>
  <c r="CB192" i="17"/>
  <c r="CA192" i="17"/>
  <c r="BZ192" i="17"/>
  <c r="CB174" i="17"/>
  <c r="CA174" i="17"/>
  <c r="BZ174" i="17"/>
  <c r="CB6" i="17"/>
  <c r="CA6" i="17"/>
  <c r="BZ6" i="17"/>
  <c r="CB173" i="17"/>
  <c r="CA173" i="17"/>
  <c r="BZ173" i="17"/>
  <c r="CB190" i="17"/>
  <c r="CA190" i="17"/>
  <c r="BZ190" i="17"/>
  <c r="CB142" i="17"/>
  <c r="CA142" i="17"/>
  <c r="BZ142" i="17"/>
  <c r="CB5" i="17"/>
  <c r="CA5" i="17"/>
  <c r="BZ5" i="17"/>
  <c r="CB201" i="17"/>
  <c r="CA201" i="17"/>
  <c r="BZ201" i="17"/>
  <c r="CB189" i="17"/>
  <c r="CA189" i="17"/>
  <c r="BZ189" i="17"/>
  <c r="CB4" i="17"/>
  <c r="CA4" i="17"/>
  <c r="BZ4" i="17"/>
  <c r="CB195" i="17"/>
  <c r="CA195" i="17"/>
  <c r="BZ195" i="17"/>
  <c r="BA162" i="17"/>
  <c r="AZ162" i="17"/>
  <c r="AY162" i="17"/>
  <c r="BA82" i="17"/>
  <c r="AZ82" i="17"/>
  <c r="AY82" i="17"/>
  <c r="BA153" i="17"/>
  <c r="AZ153" i="17"/>
  <c r="AY153" i="17"/>
  <c r="BA38" i="17"/>
  <c r="AZ38" i="17"/>
  <c r="AY38" i="17"/>
  <c r="BA141" i="17"/>
  <c r="AZ141" i="17"/>
  <c r="AY141" i="17"/>
  <c r="BA37" i="17"/>
  <c r="AZ37" i="17"/>
  <c r="AY37" i="17"/>
  <c r="BA127" i="17"/>
  <c r="AZ127" i="17"/>
  <c r="AY127" i="17"/>
  <c r="BA140" i="17"/>
  <c r="AZ140" i="17"/>
  <c r="AY140" i="17"/>
  <c r="BA126" i="17"/>
  <c r="AZ126" i="17"/>
  <c r="AY126" i="17"/>
  <c r="BA61" i="17"/>
  <c r="AZ61" i="17"/>
  <c r="AY61" i="17"/>
  <c r="BA36" i="17"/>
  <c r="AZ36" i="17"/>
  <c r="AY36" i="17"/>
  <c r="BA60" i="17"/>
  <c r="AZ60" i="17"/>
  <c r="AY60" i="17"/>
  <c r="BA139" i="17"/>
  <c r="AZ139" i="17"/>
  <c r="AY139" i="17"/>
  <c r="BA185" i="17"/>
  <c r="AZ185" i="17"/>
  <c r="AY185" i="17"/>
  <c r="BA125" i="17"/>
  <c r="AZ125" i="17"/>
  <c r="AY125" i="17"/>
  <c r="BA124" i="17"/>
  <c r="AZ124" i="17"/>
  <c r="AY124" i="17"/>
  <c r="BA35" i="17"/>
  <c r="AZ35" i="17"/>
  <c r="AY35" i="17"/>
  <c r="BA204" i="17"/>
  <c r="AZ204" i="17"/>
  <c r="AY204" i="17"/>
  <c r="BA34" i="17"/>
  <c r="AZ34" i="17"/>
  <c r="AY34" i="17"/>
  <c r="BA123" i="17"/>
  <c r="AZ123" i="17"/>
  <c r="AY123" i="17"/>
  <c r="BA179" i="17"/>
  <c r="AZ179" i="17"/>
  <c r="AY179" i="17"/>
  <c r="BA33" i="17"/>
  <c r="AZ33" i="17"/>
  <c r="AY33" i="17"/>
  <c r="BA107" i="17"/>
  <c r="AZ107" i="17"/>
  <c r="AY107" i="17"/>
  <c r="BA178" i="17"/>
  <c r="AZ178" i="17"/>
  <c r="AY178" i="17"/>
  <c r="BA138" i="17"/>
  <c r="AZ138" i="17"/>
  <c r="AY138" i="17"/>
  <c r="BA152" i="17"/>
  <c r="AZ152" i="17"/>
  <c r="AY152" i="17"/>
  <c r="BA32" i="17"/>
  <c r="AZ32" i="17"/>
  <c r="AY32" i="17"/>
  <c r="BA137" i="17"/>
  <c r="AZ137" i="17"/>
  <c r="AY137" i="17"/>
  <c r="BA122" i="17"/>
  <c r="AZ122" i="17"/>
  <c r="AY122" i="17"/>
  <c r="BA161" i="17"/>
  <c r="AZ161" i="17"/>
  <c r="AY161" i="17"/>
  <c r="BA190" i="17"/>
  <c r="AZ190" i="17"/>
  <c r="AY190" i="17"/>
  <c r="BA81" i="17"/>
  <c r="AZ81" i="17"/>
  <c r="AY81" i="17"/>
  <c r="BA80" i="17"/>
  <c r="AZ80" i="17"/>
  <c r="AY80" i="17"/>
  <c r="BA79" i="17"/>
  <c r="AZ79" i="17"/>
  <c r="AY79" i="17"/>
  <c r="BA121" i="17"/>
  <c r="AZ121" i="17"/>
  <c r="AY121" i="17"/>
  <c r="BA184" i="17"/>
  <c r="AZ184" i="17"/>
  <c r="AY184" i="17"/>
  <c r="BA106" i="17"/>
  <c r="AZ106" i="17"/>
  <c r="AY106" i="17"/>
  <c r="BA78" i="17"/>
  <c r="AZ78" i="17"/>
  <c r="AY78" i="17"/>
  <c r="BA59" i="17"/>
  <c r="AZ59" i="17"/>
  <c r="AY59" i="17"/>
  <c r="BA77" i="17"/>
  <c r="AZ77" i="17"/>
  <c r="AY77" i="17"/>
  <c r="BA105" i="17"/>
  <c r="AZ105" i="17"/>
  <c r="AY105" i="17"/>
  <c r="BA174" i="17"/>
  <c r="AZ174" i="17"/>
  <c r="AY174" i="17"/>
  <c r="BA58" i="17"/>
  <c r="AZ58" i="17"/>
  <c r="AY58" i="17"/>
  <c r="BA31" i="17"/>
  <c r="AZ31" i="17"/>
  <c r="AY31" i="17"/>
  <c r="BA120" i="17"/>
  <c r="AZ120" i="17"/>
  <c r="AY120" i="17"/>
  <c r="BA136" i="17"/>
  <c r="AZ136" i="17"/>
  <c r="AY136" i="17"/>
  <c r="BA30" i="17"/>
  <c r="AZ30" i="17"/>
  <c r="AY30" i="17"/>
  <c r="BA196" i="17"/>
  <c r="AZ196" i="17"/>
  <c r="AY196" i="17"/>
  <c r="BA151" i="17"/>
  <c r="AZ151" i="17"/>
  <c r="AY151" i="17"/>
  <c r="BA104" i="17"/>
  <c r="AZ104" i="17"/>
  <c r="AY104" i="17"/>
  <c r="BA76" i="17"/>
  <c r="AZ76" i="17"/>
  <c r="AY76" i="17"/>
  <c r="BA200" i="17"/>
  <c r="AZ200" i="17"/>
  <c r="AY200" i="17"/>
  <c r="BA29" i="17"/>
  <c r="AZ29" i="17"/>
  <c r="AY29" i="17"/>
  <c r="BA150" i="17"/>
  <c r="AZ150" i="17"/>
  <c r="AY150" i="17"/>
  <c r="BA119" i="17"/>
  <c r="AZ119" i="17"/>
  <c r="AY119" i="17"/>
  <c r="BA57" i="17"/>
  <c r="AZ57" i="17"/>
  <c r="AY57" i="17"/>
  <c r="BA118" i="17"/>
  <c r="AZ118" i="17"/>
  <c r="AY118" i="17"/>
  <c r="BA183" i="17"/>
  <c r="AZ183" i="17"/>
  <c r="AY183" i="17"/>
  <c r="BA103" i="17"/>
  <c r="AZ103" i="17"/>
  <c r="AY103" i="17"/>
  <c r="BA135" i="17"/>
  <c r="AZ135" i="17"/>
  <c r="AY135" i="17"/>
  <c r="BA102" i="17"/>
  <c r="AZ102" i="17"/>
  <c r="AY102" i="17"/>
  <c r="BA75" i="17"/>
  <c r="AZ75" i="17"/>
  <c r="AY75" i="17"/>
  <c r="BA189" i="17"/>
  <c r="AZ189" i="17"/>
  <c r="AY189" i="17"/>
  <c r="BA101" i="17"/>
  <c r="AZ101" i="17"/>
  <c r="AY101" i="17"/>
  <c r="BA195" i="17"/>
  <c r="AZ195" i="17"/>
  <c r="AY195" i="17"/>
  <c r="BA173" i="17"/>
  <c r="AZ173" i="17"/>
  <c r="AY173" i="17"/>
  <c r="BA160" i="17"/>
  <c r="AZ160" i="17"/>
  <c r="AY160" i="17"/>
  <c r="BA74" i="17"/>
  <c r="AZ74" i="17"/>
  <c r="AY74" i="17"/>
  <c r="BA56" i="17"/>
  <c r="AZ56" i="17"/>
  <c r="AY56" i="17"/>
  <c r="BA206" i="17"/>
  <c r="AZ206" i="17"/>
  <c r="AY206" i="17"/>
  <c r="BA117" i="17"/>
  <c r="AZ117" i="17"/>
  <c r="AY117" i="17"/>
  <c r="BA149" i="17"/>
  <c r="AZ149" i="17"/>
  <c r="AY149" i="17"/>
  <c r="BA148" i="17"/>
  <c r="AZ148" i="17"/>
  <c r="AY148" i="17"/>
  <c r="BA147" i="17"/>
  <c r="AZ147" i="17"/>
  <c r="AY147" i="17"/>
  <c r="BA188" i="17"/>
  <c r="AZ188" i="17"/>
  <c r="AY188" i="17"/>
  <c r="BA169" i="17"/>
  <c r="AZ169" i="17"/>
  <c r="AY169" i="17"/>
  <c r="BA100" i="17"/>
  <c r="AZ100" i="17"/>
  <c r="AY100" i="17"/>
  <c r="BA182" i="17"/>
  <c r="AZ182" i="17"/>
  <c r="AY182" i="17"/>
  <c r="BA194" i="17"/>
  <c r="AZ194" i="17"/>
  <c r="AY194" i="17"/>
  <c r="BA168" i="17"/>
  <c r="AZ168" i="17"/>
  <c r="AY168" i="17"/>
  <c r="BA193" i="17"/>
  <c r="AZ193" i="17"/>
  <c r="AY193" i="17"/>
  <c r="BA99" i="17"/>
  <c r="AZ99" i="17"/>
  <c r="AY99" i="17"/>
  <c r="BA98" i="17"/>
  <c r="AZ98" i="17"/>
  <c r="AY98" i="17"/>
  <c r="BA28" i="17"/>
  <c r="AZ28" i="17"/>
  <c r="AY28" i="17"/>
  <c r="BA205" i="17"/>
  <c r="AZ205" i="17"/>
  <c r="AY205" i="17"/>
  <c r="BA97" i="17"/>
  <c r="AZ97" i="17"/>
  <c r="AY97" i="17"/>
  <c r="BA134" i="17"/>
  <c r="AZ134" i="17"/>
  <c r="AY134" i="17"/>
  <c r="BA187" i="17"/>
  <c r="AZ187" i="17"/>
  <c r="AY187" i="17"/>
  <c r="BA181" i="17"/>
  <c r="AZ181" i="17"/>
  <c r="AY181" i="17"/>
  <c r="BA96" i="17"/>
  <c r="AZ96" i="17"/>
  <c r="AY96" i="17"/>
  <c r="BA167" i="17"/>
  <c r="AZ167" i="17"/>
  <c r="AY167" i="17"/>
  <c r="BA192" i="17"/>
  <c r="AZ192" i="17"/>
  <c r="AY192" i="17"/>
  <c r="BA198" i="17"/>
  <c r="AZ198" i="17"/>
  <c r="AY198" i="17"/>
  <c r="BA199" i="17"/>
  <c r="AZ199" i="17"/>
  <c r="AY199" i="17"/>
  <c r="BA191" i="17"/>
  <c r="AZ191" i="17"/>
  <c r="AY191" i="17"/>
  <c r="BA27" i="17"/>
  <c r="AZ27" i="17"/>
  <c r="AY27" i="17"/>
  <c r="BA95" i="17"/>
  <c r="AZ95" i="17"/>
  <c r="AY95" i="17"/>
  <c r="BA26" i="17"/>
  <c r="AZ26" i="17"/>
  <c r="AY26" i="17"/>
  <c r="BA73" i="17"/>
  <c r="AZ73" i="17"/>
  <c r="AY73" i="17"/>
  <c r="BA25" i="17"/>
  <c r="AZ25" i="17"/>
  <c r="AY25" i="17"/>
  <c r="BA72" i="17"/>
  <c r="AZ72" i="17"/>
  <c r="AY72" i="17"/>
  <c r="BA55" i="17"/>
  <c r="AZ55" i="17"/>
  <c r="AY55" i="17"/>
  <c r="BA54" i="17"/>
  <c r="AZ54" i="17"/>
  <c r="AY54" i="17"/>
  <c r="BA53" i="17"/>
  <c r="AZ53" i="17"/>
  <c r="AY53" i="17"/>
  <c r="BA52" i="17"/>
  <c r="AZ52" i="17"/>
  <c r="AY52" i="17"/>
  <c r="BA94" i="17"/>
  <c r="AZ94" i="17"/>
  <c r="AY94" i="17"/>
  <c r="BA93" i="17"/>
  <c r="AZ93" i="17"/>
  <c r="AY93" i="17"/>
  <c r="BA24" i="17"/>
  <c r="AZ24" i="17"/>
  <c r="AY24" i="17"/>
  <c r="BA92" i="17"/>
  <c r="AZ92" i="17"/>
  <c r="AY92" i="17"/>
  <c r="BA172" i="17"/>
  <c r="AZ172" i="17"/>
  <c r="AY172" i="17"/>
  <c r="BA23" i="17"/>
  <c r="AZ23" i="17"/>
  <c r="AY23" i="17"/>
  <c r="BA71" i="17"/>
  <c r="AZ71" i="17"/>
  <c r="AY71" i="17"/>
  <c r="BA22" i="17"/>
  <c r="AZ22" i="17"/>
  <c r="AY22" i="17"/>
  <c r="BA21" i="17"/>
  <c r="AZ21" i="17"/>
  <c r="AY21" i="17"/>
  <c r="BA159" i="17"/>
  <c r="AZ159" i="17"/>
  <c r="AY159" i="17"/>
  <c r="BA171" i="17"/>
  <c r="AZ171" i="17"/>
  <c r="AY171" i="17"/>
  <c r="BA70" i="17"/>
  <c r="AZ70" i="17"/>
  <c r="AY70" i="17"/>
  <c r="BA20" i="17"/>
  <c r="AZ20" i="17"/>
  <c r="AY20" i="17"/>
  <c r="BA69" i="17"/>
  <c r="AZ69" i="17"/>
  <c r="AY69" i="17"/>
  <c r="BA166" i="17"/>
  <c r="AZ166" i="17"/>
  <c r="AY166" i="17"/>
  <c r="BA91" i="17"/>
  <c r="AZ91" i="17"/>
  <c r="AY91" i="17"/>
  <c r="BA51" i="17"/>
  <c r="AZ51" i="17"/>
  <c r="AY51" i="17"/>
  <c r="BA19" i="17"/>
  <c r="AZ19" i="17"/>
  <c r="AY19" i="17"/>
  <c r="BA90" i="17"/>
  <c r="AZ90" i="17"/>
  <c r="AY90" i="17"/>
  <c r="BA116" i="17"/>
  <c r="AZ116" i="17"/>
  <c r="AY116" i="17"/>
  <c r="BA165" i="17"/>
  <c r="AZ165" i="17"/>
  <c r="AY165" i="17"/>
  <c r="BA158" i="17"/>
  <c r="AZ158" i="17"/>
  <c r="AY158" i="17"/>
  <c r="BA164" i="17"/>
  <c r="AZ164" i="17"/>
  <c r="AY164" i="17"/>
  <c r="BA115" i="17"/>
  <c r="AZ115" i="17"/>
  <c r="AY115" i="17"/>
  <c r="BA201" i="17"/>
  <c r="AZ201" i="17"/>
  <c r="AY201" i="17"/>
  <c r="BA18" i="17"/>
  <c r="AZ18" i="17"/>
  <c r="AY18" i="17"/>
  <c r="BA50" i="17"/>
  <c r="AZ50" i="17"/>
  <c r="AY50" i="17"/>
  <c r="BA68" i="17"/>
  <c r="AZ68" i="17"/>
  <c r="AY68" i="17"/>
  <c r="BA89" i="17"/>
  <c r="AZ89" i="17"/>
  <c r="AY89" i="17"/>
  <c r="BA88" i="17"/>
  <c r="AZ88" i="17"/>
  <c r="AY88" i="17"/>
  <c r="BA114" i="17"/>
  <c r="AZ114" i="17"/>
  <c r="AY114" i="17"/>
  <c r="BA157" i="17"/>
  <c r="AZ157" i="17"/>
  <c r="AY157" i="17"/>
  <c r="BA17" i="17"/>
  <c r="AZ17" i="17"/>
  <c r="AY17" i="17"/>
  <c r="BA156" i="17"/>
  <c r="AZ156" i="17"/>
  <c r="AY156" i="17"/>
  <c r="BA177" i="17"/>
  <c r="AZ177" i="17"/>
  <c r="AY177" i="17"/>
  <c r="BA133" i="17"/>
  <c r="AZ133" i="17"/>
  <c r="AY133" i="17"/>
  <c r="BA67" i="17"/>
  <c r="AZ67" i="17"/>
  <c r="AY67" i="17"/>
  <c r="BA197" i="17"/>
  <c r="AZ197" i="17"/>
  <c r="AY197" i="17"/>
  <c r="BA203" i="17"/>
  <c r="AZ203" i="17"/>
  <c r="AY203" i="17"/>
  <c r="BA132" i="17"/>
  <c r="AZ132" i="17"/>
  <c r="AY132" i="17"/>
  <c r="BA66" i="17"/>
  <c r="AZ66" i="17"/>
  <c r="AY66" i="17"/>
  <c r="BA113" i="17"/>
  <c r="AZ113" i="17"/>
  <c r="AY113" i="17"/>
  <c r="BA131" i="17"/>
  <c r="AZ131" i="17"/>
  <c r="AY131" i="17"/>
  <c r="BA49" i="17"/>
  <c r="AZ49" i="17"/>
  <c r="AY49" i="17"/>
  <c r="BA176" i="17"/>
  <c r="AZ176" i="17"/>
  <c r="AY176" i="17"/>
  <c r="BA112" i="17"/>
  <c r="AZ112" i="17"/>
  <c r="AY112" i="17"/>
  <c r="BA170" i="17"/>
  <c r="AZ170" i="17"/>
  <c r="AY170" i="17"/>
  <c r="BA202" i="17"/>
  <c r="AZ202" i="17"/>
  <c r="AY202" i="17"/>
  <c r="BA111" i="17"/>
  <c r="AZ111" i="17"/>
  <c r="AY111" i="17"/>
  <c r="BA155" i="17"/>
  <c r="AZ155" i="17"/>
  <c r="AY155" i="17"/>
  <c r="BA186" i="17"/>
  <c r="AZ186" i="17"/>
  <c r="AY186" i="17"/>
  <c r="BA16" i="17"/>
  <c r="AZ16" i="17"/>
  <c r="AY16" i="17"/>
  <c r="BA130" i="17"/>
  <c r="AZ130" i="17"/>
  <c r="AY130" i="17"/>
  <c r="BA48" i="17"/>
  <c r="AZ48" i="17"/>
  <c r="AY48" i="17"/>
  <c r="BA110" i="17"/>
  <c r="AZ110" i="17"/>
  <c r="AY110" i="17"/>
  <c r="BA146" i="17"/>
  <c r="AZ146" i="17"/>
  <c r="AY146" i="17"/>
  <c r="BA145" i="17"/>
  <c r="AZ145" i="17"/>
  <c r="AY145" i="17"/>
  <c r="BA109" i="17"/>
  <c r="AZ109" i="17"/>
  <c r="AY109" i="17"/>
  <c r="BA15" i="17"/>
  <c r="AZ15" i="17"/>
  <c r="AY15" i="17"/>
  <c r="BA175" i="17"/>
  <c r="AZ175" i="17"/>
  <c r="AY175" i="17"/>
  <c r="BA47" i="17"/>
  <c r="AZ47" i="17"/>
  <c r="AY47" i="17"/>
  <c r="BA108" i="17"/>
  <c r="AZ108" i="17"/>
  <c r="AY108" i="17"/>
  <c r="BA87" i="17"/>
  <c r="AZ87" i="17"/>
  <c r="AY87" i="17"/>
  <c r="BA14" i="17"/>
  <c r="AZ14" i="17"/>
  <c r="AY14" i="17"/>
  <c r="BA163" i="17"/>
  <c r="AZ163" i="17"/>
  <c r="AY163" i="17"/>
  <c r="BA46" i="17"/>
  <c r="AZ46" i="17"/>
  <c r="AY46" i="17"/>
  <c r="BA45" i="17"/>
  <c r="AZ45" i="17"/>
  <c r="AY45" i="17"/>
  <c r="BA13" i="17"/>
  <c r="AZ13" i="17"/>
  <c r="AY13" i="17"/>
  <c r="BA44" i="17"/>
  <c r="AZ44" i="17"/>
  <c r="AY44" i="17"/>
  <c r="BA129" i="17"/>
  <c r="AZ129" i="17"/>
  <c r="AY129" i="17"/>
  <c r="BA65" i="17"/>
  <c r="AZ65" i="17"/>
  <c r="AY65" i="17"/>
  <c r="BA12" i="17"/>
  <c r="AZ12" i="17"/>
  <c r="AY12" i="17"/>
  <c r="BA11" i="17"/>
  <c r="AZ11" i="17"/>
  <c r="AY11" i="17"/>
  <c r="BA43" i="17"/>
  <c r="AZ43" i="17"/>
  <c r="AY43" i="17"/>
  <c r="BA42" i="17"/>
  <c r="AZ42" i="17"/>
  <c r="AY42" i="17"/>
  <c r="BA64" i="17"/>
  <c r="AZ64" i="17"/>
  <c r="AY64" i="17"/>
  <c r="BA10" i="17"/>
  <c r="AZ10" i="17"/>
  <c r="AY10" i="17"/>
  <c r="BA41" i="17"/>
  <c r="AZ41" i="17"/>
  <c r="AY41" i="17"/>
  <c r="BA86" i="17"/>
  <c r="AZ86" i="17"/>
  <c r="AY86" i="17"/>
  <c r="BA144" i="17"/>
  <c r="AZ144" i="17"/>
  <c r="AY144" i="17"/>
  <c r="BA63" i="17"/>
  <c r="AZ63" i="17"/>
  <c r="AY63" i="17"/>
  <c r="BA154" i="17"/>
  <c r="AZ154" i="17"/>
  <c r="AY154" i="17"/>
  <c r="BA85" i="17"/>
  <c r="AZ85" i="17"/>
  <c r="AY85" i="17"/>
  <c r="BA128" i="17"/>
  <c r="AZ128" i="17"/>
  <c r="AY128" i="17"/>
  <c r="BA143" i="17"/>
  <c r="AZ143" i="17"/>
  <c r="AY143" i="17"/>
  <c r="BA9" i="17"/>
  <c r="AZ9" i="17"/>
  <c r="AY9" i="17"/>
  <c r="BA180" i="17"/>
  <c r="AZ180" i="17"/>
  <c r="AY180" i="17"/>
  <c r="BA8" i="17"/>
  <c r="AZ8" i="17"/>
  <c r="AY8" i="17"/>
  <c r="BA62" i="17"/>
  <c r="AZ62" i="17"/>
  <c r="AY62" i="17"/>
  <c r="BA7" i="17"/>
  <c r="AZ7" i="17"/>
  <c r="AY7" i="17"/>
  <c r="BA6" i="17"/>
  <c r="AZ6" i="17"/>
  <c r="AY6" i="17"/>
  <c r="BA5" i="17"/>
  <c r="AZ5" i="17"/>
  <c r="AY5" i="17"/>
  <c r="BA40" i="17"/>
  <c r="AZ40" i="17"/>
  <c r="AY40" i="17"/>
  <c r="BA4" i="17"/>
  <c r="AZ4" i="17"/>
  <c r="AY4" i="17"/>
  <c r="BA84" i="17"/>
  <c r="AZ84" i="17"/>
  <c r="AY84" i="17"/>
  <c r="BA83" i="17"/>
  <c r="AZ83" i="17"/>
  <c r="AY83" i="17"/>
  <c r="BA142" i="17"/>
  <c r="AZ142" i="17"/>
  <c r="AY142" i="17"/>
  <c r="BA39" i="17"/>
  <c r="AZ39" i="17"/>
  <c r="AY39" i="17"/>
  <c r="Z166" i="17"/>
  <c r="Y166" i="17"/>
  <c r="X166" i="17"/>
  <c r="Z90" i="17"/>
  <c r="Y90" i="17"/>
  <c r="X90" i="17"/>
  <c r="Z165" i="17"/>
  <c r="Y165" i="17"/>
  <c r="X165" i="17"/>
  <c r="Z139" i="17"/>
  <c r="Y139" i="17"/>
  <c r="X139" i="17"/>
  <c r="Z164" i="17"/>
  <c r="Y164" i="17"/>
  <c r="X164" i="17"/>
  <c r="Z89" i="17"/>
  <c r="Y89" i="17"/>
  <c r="X89" i="17"/>
  <c r="Z88" i="17"/>
  <c r="Y88" i="17"/>
  <c r="X88" i="17"/>
  <c r="Z189" i="17"/>
  <c r="Y189" i="17"/>
  <c r="X189" i="17"/>
  <c r="Z87" i="17"/>
  <c r="Y87" i="17"/>
  <c r="X87" i="17"/>
  <c r="Z163" i="17"/>
  <c r="Y163" i="17"/>
  <c r="X163" i="17"/>
  <c r="Z86" i="17"/>
  <c r="Y86" i="17"/>
  <c r="X86" i="17"/>
  <c r="Z162" i="17"/>
  <c r="Y162" i="17"/>
  <c r="X162" i="17"/>
  <c r="Z138" i="17"/>
  <c r="Y138" i="17"/>
  <c r="X138" i="17"/>
  <c r="Z199" i="17"/>
  <c r="Y199" i="17"/>
  <c r="X199" i="17"/>
  <c r="Z137" i="17"/>
  <c r="Y137" i="17"/>
  <c r="X137" i="17"/>
  <c r="Z161" i="17"/>
  <c r="Y161" i="17"/>
  <c r="X161" i="17"/>
  <c r="Z136" i="17"/>
  <c r="Y136" i="17"/>
  <c r="X136" i="17"/>
  <c r="Z160" i="17"/>
  <c r="Y160" i="17"/>
  <c r="X160" i="17"/>
  <c r="Z85" i="17"/>
  <c r="Y85" i="17"/>
  <c r="X85" i="17"/>
  <c r="Z159" i="17"/>
  <c r="Y159" i="17"/>
  <c r="X159" i="17"/>
  <c r="Z180" i="17"/>
  <c r="Y180" i="17"/>
  <c r="X180" i="17"/>
  <c r="Z84" i="17"/>
  <c r="Y84" i="17"/>
  <c r="X84" i="17"/>
  <c r="Z83" i="17"/>
  <c r="Y83" i="17"/>
  <c r="X83" i="17"/>
  <c r="Z179" i="17"/>
  <c r="Y179" i="17"/>
  <c r="X179" i="17"/>
  <c r="Z135" i="17"/>
  <c r="Y135" i="17"/>
  <c r="X135" i="17"/>
  <c r="Z82" i="17"/>
  <c r="Y82" i="17"/>
  <c r="X82" i="17"/>
  <c r="Z81" i="17"/>
  <c r="Y81" i="17"/>
  <c r="X81" i="17"/>
  <c r="Z134" i="17"/>
  <c r="Y134" i="17"/>
  <c r="X134" i="17"/>
  <c r="Z158" i="17"/>
  <c r="Y158" i="17"/>
  <c r="X158" i="17"/>
  <c r="Z133" i="17"/>
  <c r="Y133" i="17"/>
  <c r="X133" i="17"/>
  <c r="Z188" i="17"/>
  <c r="Y188" i="17"/>
  <c r="X188" i="17"/>
  <c r="Z178" i="17"/>
  <c r="Y178" i="17"/>
  <c r="X178" i="17"/>
  <c r="Z177" i="17"/>
  <c r="Y177" i="17"/>
  <c r="X177" i="17"/>
  <c r="Z80" i="17"/>
  <c r="Y80" i="17"/>
  <c r="X80" i="17"/>
  <c r="Z198" i="17"/>
  <c r="Y198" i="17"/>
  <c r="X198" i="17"/>
  <c r="Z79" i="17"/>
  <c r="Y79" i="17"/>
  <c r="X79" i="17"/>
  <c r="Z78" i="17"/>
  <c r="Y78" i="17"/>
  <c r="X78" i="17"/>
  <c r="Z77" i="17"/>
  <c r="Y77" i="17"/>
  <c r="X77" i="17"/>
  <c r="Z76" i="17"/>
  <c r="Y76" i="17"/>
  <c r="X76" i="17"/>
  <c r="Z75" i="17"/>
  <c r="Y75" i="17"/>
  <c r="X75" i="17"/>
  <c r="Z74" i="17"/>
  <c r="Y74" i="17"/>
  <c r="X74" i="17"/>
  <c r="Z206" i="17"/>
  <c r="Y206" i="17"/>
  <c r="X206" i="17"/>
  <c r="Z73" i="17"/>
  <c r="Y73" i="17"/>
  <c r="X73" i="17"/>
  <c r="Z72" i="17"/>
  <c r="Y72" i="17"/>
  <c r="X72" i="17"/>
  <c r="Z71" i="17"/>
  <c r="Y71" i="17"/>
  <c r="X71" i="17"/>
  <c r="Z132" i="17"/>
  <c r="Y132" i="17"/>
  <c r="X132" i="17"/>
  <c r="Z131" i="17"/>
  <c r="Y131" i="17"/>
  <c r="X131" i="17"/>
  <c r="Z130" i="17"/>
  <c r="Y130" i="17"/>
  <c r="X130" i="17"/>
  <c r="Z70" i="17"/>
  <c r="Y70" i="17"/>
  <c r="X70" i="17"/>
  <c r="Z157" i="17"/>
  <c r="Y157" i="17"/>
  <c r="X157" i="17"/>
  <c r="Z69" i="17"/>
  <c r="Y69" i="17"/>
  <c r="X69" i="17"/>
  <c r="Z156" i="17"/>
  <c r="Y156" i="17"/>
  <c r="X156" i="17"/>
  <c r="Z68" i="17"/>
  <c r="Y68" i="17"/>
  <c r="X68" i="17"/>
  <c r="Z155" i="17"/>
  <c r="Y155" i="17"/>
  <c r="X155" i="17"/>
  <c r="Z67" i="17"/>
  <c r="Y67" i="17"/>
  <c r="X67" i="17"/>
  <c r="Z66" i="17"/>
  <c r="Y66" i="17"/>
  <c r="X66" i="17"/>
  <c r="Z65" i="17"/>
  <c r="Y65" i="17"/>
  <c r="X65" i="17"/>
  <c r="Z187" i="17"/>
  <c r="Y187" i="17"/>
  <c r="X187" i="17"/>
  <c r="Z64" i="17"/>
  <c r="Y64" i="17"/>
  <c r="X64" i="17"/>
  <c r="Z129" i="17"/>
  <c r="Y129" i="17"/>
  <c r="X129" i="17"/>
  <c r="Z128" i="17"/>
  <c r="Y128" i="17"/>
  <c r="X128" i="17"/>
  <c r="Z63" i="17"/>
  <c r="Y63" i="17"/>
  <c r="X63" i="17"/>
  <c r="Z62" i="17"/>
  <c r="Y62" i="17"/>
  <c r="X62" i="17"/>
  <c r="Z127" i="17"/>
  <c r="Y127" i="17"/>
  <c r="X127" i="17"/>
  <c r="Z186" i="17"/>
  <c r="Y186" i="17"/>
  <c r="X186" i="17"/>
  <c r="Z154" i="17"/>
  <c r="Y154" i="17"/>
  <c r="X154" i="17"/>
  <c r="Z126" i="17"/>
  <c r="Y126" i="17"/>
  <c r="X126" i="17"/>
  <c r="Z176" i="17"/>
  <c r="Y176" i="17"/>
  <c r="X176" i="17"/>
  <c r="Z61" i="17"/>
  <c r="Y61" i="17"/>
  <c r="X61" i="17"/>
  <c r="Z197" i="17"/>
  <c r="Y197" i="17"/>
  <c r="X197" i="17"/>
  <c r="Z125" i="17"/>
  <c r="Y125" i="17"/>
  <c r="X125" i="17"/>
  <c r="Z201" i="17"/>
  <c r="Y201" i="17"/>
  <c r="X201" i="17"/>
  <c r="Z153" i="17"/>
  <c r="Y153" i="17"/>
  <c r="X153" i="17"/>
  <c r="Z60" i="17"/>
  <c r="Y60" i="17"/>
  <c r="X60" i="17"/>
  <c r="Z59" i="17"/>
  <c r="Y59" i="17"/>
  <c r="X59" i="17"/>
  <c r="Z204" i="17"/>
  <c r="Y204" i="17"/>
  <c r="X204" i="17"/>
  <c r="Z58" i="17"/>
  <c r="Y58" i="17"/>
  <c r="X58" i="17"/>
  <c r="Z196" i="17"/>
  <c r="Y196" i="17"/>
  <c r="X196" i="17"/>
  <c r="Z57" i="17"/>
  <c r="Y57" i="17"/>
  <c r="X57" i="17"/>
  <c r="Z195" i="17"/>
  <c r="Y195" i="17"/>
  <c r="X195" i="17"/>
  <c r="Z200" i="17"/>
  <c r="Y200" i="17"/>
  <c r="X200" i="17"/>
  <c r="Z56" i="17"/>
  <c r="Y56" i="17"/>
  <c r="X56" i="17"/>
  <c r="Z152" i="17"/>
  <c r="Y152" i="17"/>
  <c r="X152" i="17"/>
  <c r="Z55" i="17"/>
  <c r="Y55" i="17"/>
  <c r="X55" i="17"/>
  <c r="Z175" i="17"/>
  <c r="Y175" i="17"/>
  <c r="X175" i="17"/>
  <c r="Z185" i="17"/>
  <c r="Y185" i="17"/>
  <c r="X185" i="17"/>
  <c r="Z54" i="17"/>
  <c r="Y54" i="17"/>
  <c r="X54" i="17"/>
  <c r="Z124" i="17"/>
  <c r="Y124" i="17"/>
  <c r="X124" i="17"/>
  <c r="Z123" i="17"/>
  <c r="Y123" i="17"/>
  <c r="X123" i="17"/>
  <c r="Z151" i="17"/>
  <c r="Y151" i="17"/>
  <c r="X151" i="17"/>
  <c r="Z150" i="17"/>
  <c r="Y150" i="17"/>
  <c r="X150" i="17"/>
  <c r="Z194" i="17"/>
  <c r="Y194" i="17"/>
  <c r="X194" i="17"/>
  <c r="Z122" i="17"/>
  <c r="Y122" i="17"/>
  <c r="X122" i="17"/>
  <c r="Z121" i="17"/>
  <c r="Y121" i="17"/>
  <c r="X121" i="17"/>
  <c r="Z184" i="17"/>
  <c r="Y184" i="17"/>
  <c r="X184" i="17"/>
  <c r="Z120" i="17"/>
  <c r="Y120" i="17"/>
  <c r="X120" i="17"/>
  <c r="Z119" i="17"/>
  <c r="Y119" i="17"/>
  <c r="X119" i="17"/>
  <c r="Z53" i="17"/>
  <c r="Y53" i="17"/>
  <c r="X53" i="17"/>
  <c r="Z52" i="17"/>
  <c r="Y52" i="17"/>
  <c r="X52" i="17"/>
  <c r="Z174" i="17"/>
  <c r="Y174" i="17"/>
  <c r="X174" i="17"/>
  <c r="Z51" i="17"/>
  <c r="Y51" i="17"/>
  <c r="X51" i="17"/>
  <c r="Z118" i="17"/>
  <c r="Y118" i="17"/>
  <c r="X118" i="17"/>
  <c r="Z117" i="17"/>
  <c r="Y117" i="17"/>
  <c r="X117" i="17"/>
  <c r="Z50" i="17"/>
  <c r="Y50" i="17"/>
  <c r="X50" i="17"/>
  <c r="Z116" i="17"/>
  <c r="Y116" i="17"/>
  <c r="X116" i="17"/>
  <c r="Z115" i="17"/>
  <c r="Y115" i="17"/>
  <c r="X115" i="17"/>
  <c r="Z114" i="17"/>
  <c r="Y114" i="17"/>
  <c r="X114" i="17"/>
  <c r="Z113" i="17"/>
  <c r="Y113" i="17"/>
  <c r="X113" i="17"/>
  <c r="Z149" i="17"/>
  <c r="Y149" i="17"/>
  <c r="X149" i="17"/>
  <c r="Z203" i="17"/>
  <c r="Y203" i="17"/>
  <c r="X203" i="17"/>
  <c r="Z112" i="17"/>
  <c r="Y112" i="17"/>
  <c r="X112" i="17"/>
  <c r="Z193" i="17"/>
  <c r="Y193" i="17"/>
  <c r="X193" i="17"/>
  <c r="Z49" i="17"/>
  <c r="Y49" i="17"/>
  <c r="X49" i="17"/>
  <c r="Z111" i="17"/>
  <c r="Y111" i="17"/>
  <c r="X111" i="17"/>
  <c r="Z173" i="17"/>
  <c r="Y173" i="17"/>
  <c r="X173" i="17"/>
  <c r="Z172" i="17"/>
  <c r="Y172" i="17"/>
  <c r="X172" i="17"/>
  <c r="Z48" i="17"/>
  <c r="Y48" i="17"/>
  <c r="X48" i="17"/>
  <c r="Z47" i="17"/>
  <c r="Y47" i="17"/>
  <c r="X47" i="17"/>
  <c r="Z148" i="17"/>
  <c r="Y148" i="17"/>
  <c r="X148" i="17"/>
  <c r="Z202" i="17"/>
  <c r="Y202" i="17"/>
  <c r="X202" i="17"/>
  <c r="Z46" i="17"/>
  <c r="Y46" i="17"/>
  <c r="X46" i="17"/>
  <c r="Z45" i="17"/>
  <c r="Y45" i="17"/>
  <c r="X45" i="17"/>
  <c r="Z44" i="17"/>
  <c r="Y44" i="17"/>
  <c r="X44" i="17"/>
  <c r="Z171" i="17"/>
  <c r="Y171" i="17"/>
  <c r="X171" i="17"/>
  <c r="Z110" i="17"/>
  <c r="Y110" i="17"/>
  <c r="X110" i="17"/>
  <c r="Z192" i="17"/>
  <c r="Y192" i="17"/>
  <c r="X192" i="17"/>
  <c r="Z147" i="17"/>
  <c r="Y147" i="17"/>
  <c r="X147" i="17"/>
  <c r="Z170" i="17"/>
  <c r="Y170" i="17"/>
  <c r="X170" i="17"/>
  <c r="Z109" i="17"/>
  <c r="Y109" i="17"/>
  <c r="X109" i="17"/>
  <c r="Z146" i="17"/>
  <c r="Y146" i="17"/>
  <c r="X146" i="17"/>
  <c r="Z43" i="17"/>
  <c r="Y43" i="17"/>
  <c r="X43" i="17"/>
  <c r="Z169" i="17"/>
  <c r="Y169" i="17"/>
  <c r="X169" i="17"/>
  <c r="Z168" i="17"/>
  <c r="Y168" i="17"/>
  <c r="X168" i="17"/>
  <c r="Z42" i="17"/>
  <c r="Y42" i="17"/>
  <c r="X42" i="17"/>
  <c r="Z41" i="17"/>
  <c r="Y41" i="17"/>
  <c r="X41" i="17"/>
  <c r="Z40" i="17"/>
  <c r="Y40" i="17"/>
  <c r="X40" i="17"/>
  <c r="Z39" i="17"/>
  <c r="Y39" i="17"/>
  <c r="X39" i="17"/>
  <c r="Z38" i="17"/>
  <c r="Y38" i="17"/>
  <c r="X38" i="17"/>
  <c r="Z108" i="17"/>
  <c r="Y108" i="17"/>
  <c r="X108" i="17"/>
  <c r="Z107" i="17"/>
  <c r="Y107" i="17"/>
  <c r="X107" i="17"/>
  <c r="Z37" i="17"/>
  <c r="Y37" i="17"/>
  <c r="X37" i="17"/>
  <c r="Z106" i="17"/>
  <c r="Y106" i="17"/>
  <c r="X106" i="17"/>
  <c r="Z205" i="17"/>
  <c r="Y205" i="17"/>
  <c r="X205" i="17"/>
  <c r="Z145" i="17"/>
  <c r="Y145" i="17"/>
  <c r="X145" i="17"/>
  <c r="Z36" i="17"/>
  <c r="Y36" i="17"/>
  <c r="X36" i="17"/>
  <c r="Z183" i="17"/>
  <c r="Y183" i="17"/>
  <c r="X183" i="17"/>
  <c r="Z35" i="17"/>
  <c r="Y35" i="17"/>
  <c r="X35" i="17"/>
  <c r="Z34" i="17"/>
  <c r="Y34" i="17"/>
  <c r="X34" i="17"/>
  <c r="Z105" i="17"/>
  <c r="Y105" i="17"/>
  <c r="X105" i="17"/>
  <c r="Z104" i="17"/>
  <c r="Y104" i="17"/>
  <c r="X104" i="17"/>
  <c r="Z33" i="17"/>
  <c r="Y33" i="17"/>
  <c r="X33" i="17"/>
  <c r="Z32" i="17"/>
  <c r="Y32" i="17"/>
  <c r="X32" i="17"/>
  <c r="Z191" i="17"/>
  <c r="Y191" i="17"/>
  <c r="X191" i="17"/>
  <c r="Z103" i="17"/>
  <c r="Y103" i="17"/>
  <c r="X103" i="17"/>
  <c r="Z31" i="17"/>
  <c r="Y31" i="17"/>
  <c r="X31" i="17"/>
  <c r="Z30" i="17"/>
  <c r="Y30" i="17"/>
  <c r="X30" i="17"/>
  <c r="Z29" i="17"/>
  <c r="Y29" i="17"/>
  <c r="X29" i="17"/>
  <c r="Z182" i="17"/>
  <c r="Y182" i="17"/>
  <c r="X182" i="17"/>
  <c r="Z28" i="17"/>
  <c r="Y28" i="17"/>
  <c r="X28" i="17"/>
  <c r="Z144" i="17"/>
  <c r="Y144" i="17"/>
  <c r="X144" i="17"/>
  <c r="Z102" i="17"/>
  <c r="Y102" i="17"/>
  <c r="X102" i="17"/>
  <c r="Z27" i="17"/>
  <c r="Y27" i="17"/>
  <c r="X27" i="17"/>
  <c r="Z26" i="17"/>
  <c r="Y26" i="17"/>
  <c r="X26" i="17"/>
  <c r="Z25" i="17"/>
  <c r="Y25" i="17"/>
  <c r="X25" i="17"/>
  <c r="Z101" i="17"/>
  <c r="Y101" i="17"/>
  <c r="X101" i="17"/>
  <c r="Z100" i="17"/>
  <c r="Y100" i="17"/>
  <c r="X100" i="17"/>
  <c r="Z24" i="17"/>
  <c r="Y24" i="17"/>
  <c r="X24" i="17"/>
  <c r="Z99" i="17"/>
  <c r="Y99" i="17"/>
  <c r="X99" i="17"/>
  <c r="Z23" i="17"/>
  <c r="Y23" i="17"/>
  <c r="X23" i="17"/>
  <c r="Z98" i="17"/>
  <c r="Y98" i="17"/>
  <c r="X98" i="17"/>
  <c r="Z22" i="17"/>
  <c r="Y22" i="17"/>
  <c r="X22" i="17"/>
  <c r="Z21" i="17"/>
  <c r="Y21" i="17"/>
  <c r="X21" i="17"/>
  <c r="Z20" i="17"/>
  <c r="Y20" i="17"/>
  <c r="X20" i="17"/>
  <c r="Z19" i="17"/>
  <c r="Y19" i="17"/>
  <c r="X19" i="17"/>
  <c r="Z18" i="17"/>
  <c r="Y18" i="17"/>
  <c r="X18" i="17"/>
  <c r="Z17" i="17"/>
  <c r="Y17" i="17"/>
  <c r="X17" i="17"/>
  <c r="Z16" i="17"/>
  <c r="Y16" i="17"/>
  <c r="X16" i="17"/>
  <c r="Z15" i="17"/>
  <c r="Y15" i="17"/>
  <c r="X15" i="17"/>
  <c r="Z14" i="17"/>
  <c r="Y14" i="17"/>
  <c r="X14" i="17"/>
  <c r="Z13" i="17"/>
  <c r="Y13" i="17"/>
  <c r="X13" i="17"/>
  <c r="Z12" i="17"/>
  <c r="Y12" i="17"/>
  <c r="X12" i="17"/>
  <c r="Z11" i="17"/>
  <c r="Y11" i="17"/>
  <c r="X11" i="17"/>
  <c r="Z10" i="17"/>
  <c r="Y10" i="17"/>
  <c r="X10" i="17"/>
  <c r="Z143" i="17"/>
  <c r="Y143" i="17"/>
  <c r="X143" i="17"/>
  <c r="Z142" i="17"/>
  <c r="Y142" i="17"/>
  <c r="X142" i="17"/>
  <c r="Z9" i="17"/>
  <c r="Y9" i="17"/>
  <c r="X9" i="17"/>
  <c r="Z8" i="17"/>
  <c r="Y8" i="17"/>
  <c r="X8" i="17"/>
  <c r="Z7" i="17"/>
  <c r="Y7" i="17"/>
  <c r="X7" i="17"/>
  <c r="Z6" i="17"/>
  <c r="Y6" i="17"/>
  <c r="X6" i="17"/>
  <c r="Z97" i="17"/>
  <c r="Y97" i="17"/>
  <c r="X97" i="17"/>
  <c r="Z141" i="17"/>
  <c r="Y141" i="17"/>
  <c r="X141" i="17"/>
  <c r="Z96" i="17"/>
  <c r="Y96" i="17"/>
  <c r="X96" i="17"/>
  <c r="Z95" i="17"/>
  <c r="Y95" i="17"/>
  <c r="X95" i="17"/>
  <c r="Z94" i="17"/>
  <c r="Y94" i="17"/>
  <c r="X94" i="17"/>
  <c r="Z93" i="17"/>
  <c r="Y93" i="17"/>
  <c r="X93" i="17"/>
  <c r="Z5" i="17"/>
  <c r="Y5" i="17"/>
  <c r="X5" i="17"/>
  <c r="Z140" i="17"/>
  <c r="Y140" i="17"/>
  <c r="X140" i="17"/>
  <c r="Z92" i="17"/>
  <c r="Y92" i="17"/>
  <c r="X92" i="17"/>
  <c r="Z4" i="17"/>
  <c r="Y4" i="17"/>
  <c r="X4" i="17"/>
  <c r="Z167" i="17"/>
  <c r="Y167" i="17"/>
  <c r="X167" i="17"/>
  <c r="Z190" i="17"/>
  <c r="Y190" i="17"/>
  <c r="X190" i="17"/>
  <c r="Z91" i="17"/>
  <c r="Y91" i="17"/>
  <c r="X91" i="17"/>
  <c r="Z181" i="17"/>
  <c r="Y181" i="17"/>
  <c r="X181" i="17"/>
  <c r="BZ96" i="16"/>
  <c r="BY96" i="16"/>
  <c r="BX96" i="16"/>
  <c r="BZ170" i="16"/>
  <c r="BY170" i="16"/>
  <c r="BX170" i="16"/>
  <c r="BZ173" i="16"/>
  <c r="BY173" i="16"/>
  <c r="BX173" i="16"/>
  <c r="BZ128" i="16"/>
  <c r="BY128" i="16"/>
  <c r="BX128" i="16"/>
  <c r="BZ163" i="16"/>
  <c r="BY163" i="16"/>
  <c r="BX163" i="16"/>
  <c r="BZ171" i="16"/>
  <c r="BY171" i="16"/>
  <c r="BX171" i="16"/>
  <c r="BZ150" i="16"/>
  <c r="BY150" i="16"/>
  <c r="BX150" i="16"/>
  <c r="BZ127" i="16"/>
  <c r="BY127" i="16"/>
  <c r="BX127" i="16"/>
  <c r="BZ95" i="16"/>
  <c r="BY95" i="16"/>
  <c r="BX95" i="16"/>
  <c r="BZ169" i="16"/>
  <c r="BY169" i="16"/>
  <c r="BX169" i="16"/>
  <c r="BZ149" i="16"/>
  <c r="BY149" i="16"/>
  <c r="BX149" i="16"/>
  <c r="BZ126" i="16"/>
  <c r="BY126" i="16"/>
  <c r="BX126" i="16"/>
  <c r="BZ148" i="16"/>
  <c r="BY148" i="16"/>
  <c r="BX148" i="16"/>
  <c r="BZ125" i="16"/>
  <c r="BY125" i="16"/>
  <c r="BX125" i="16"/>
  <c r="BZ160" i="16"/>
  <c r="BY160" i="16"/>
  <c r="BX160" i="16"/>
  <c r="BZ159" i="16"/>
  <c r="BY159" i="16"/>
  <c r="BX159" i="16"/>
  <c r="BZ147" i="16"/>
  <c r="BY147" i="16"/>
  <c r="BX147" i="16"/>
  <c r="BZ146" i="16"/>
  <c r="BY146" i="16"/>
  <c r="BX146" i="16"/>
  <c r="BZ94" i="16"/>
  <c r="BY94" i="16"/>
  <c r="BX94" i="16"/>
  <c r="BZ145" i="16"/>
  <c r="BY145" i="16"/>
  <c r="BX145" i="16"/>
  <c r="BZ168" i="16"/>
  <c r="BY168" i="16"/>
  <c r="BX168" i="16"/>
  <c r="BZ167" i="16"/>
  <c r="BY167" i="16"/>
  <c r="BX167" i="16"/>
  <c r="BZ93" i="16"/>
  <c r="BY93" i="16"/>
  <c r="BX93" i="16"/>
  <c r="BZ144" i="16"/>
  <c r="BY144" i="16"/>
  <c r="BX144" i="16"/>
  <c r="BZ124" i="16"/>
  <c r="BY124" i="16"/>
  <c r="BX124" i="16"/>
  <c r="BZ123" i="16"/>
  <c r="BY123" i="16"/>
  <c r="BX123" i="16"/>
  <c r="BZ158" i="16"/>
  <c r="BY158" i="16"/>
  <c r="BX158" i="16"/>
  <c r="BZ162" i="16"/>
  <c r="BY162" i="16"/>
  <c r="BX162" i="16"/>
  <c r="BZ92" i="16"/>
  <c r="BY92" i="16"/>
  <c r="BX92" i="16"/>
  <c r="BZ122" i="16"/>
  <c r="BY122" i="16"/>
  <c r="BX122" i="16"/>
  <c r="BZ91" i="16"/>
  <c r="BY91" i="16"/>
  <c r="BX91" i="16"/>
  <c r="BZ90" i="16"/>
  <c r="BY90" i="16"/>
  <c r="BX90" i="16"/>
  <c r="BZ89" i="16"/>
  <c r="BY89" i="16"/>
  <c r="BX89" i="16"/>
  <c r="BZ88" i="16"/>
  <c r="BY88" i="16"/>
  <c r="BX88" i="16"/>
  <c r="BZ87" i="16"/>
  <c r="BY87" i="16"/>
  <c r="BX87" i="16"/>
  <c r="BZ86" i="16"/>
  <c r="BY86" i="16"/>
  <c r="BX86" i="16"/>
  <c r="BZ85" i="16"/>
  <c r="BY85" i="16"/>
  <c r="BX85" i="16"/>
  <c r="BZ143" i="16"/>
  <c r="BY143" i="16"/>
  <c r="BX143" i="16"/>
  <c r="BZ157" i="16"/>
  <c r="BY157" i="16"/>
  <c r="BX157" i="16"/>
  <c r="BZ84" i="16"/>
  <c r="BY84" i="16"/>
  <c r="BX84" i="16"/>
  <c r="BZ142" i="16"/>
  <c r="BY142" i="16"/>
  <c r="BX142" i="16"/>
  <c r="BZ83" i="16"/>
  <c r="BY83" i="16"/>
  <c r="BX83" i="16"/>
  <c r="BZ121" i="16"/>
  <c r="BY121" i="16"/>
  <c r="BX121" i="16"/>
  <c r="BZ82" i="16"/>
  <c r="BY82" i="16"/>
  <c r="BX82" i="16"/>
  <c r="BZ156" i="16"/>
  <c r="BY156" i="16"/>
  <c r="BX156" i="16"/>
  <c r="BZ120" i="16"/>
  <c r="BY120" i="16"/>
  <c r="BX120" i="16"/>
  <c r="BZ119" i="16"/>
  <c r="BY119" i="16"/>
  <c r="BX119" i="16"/>
  <c r="BZ118" i="16"/>
  <c r="BY118" i="16"/>
  <c r="BX118" i="16"/>
  <c r="BZ81" i="16"/>
  <c r="BY81" i="16"/>
  <c r="BX81" i="16"/>
  <c r="BZ117" i="16"/>
  <c r="BY117" i="16"/>
  <c r="BX117" i="16"/>
  <c r="BZ141" i="16"/>
  <c r="BY141" i="16"/>
  <c r="BX141" i="16"/>
  <c r="BZ166" i="16"/>
  <c r="BY166" i="16"/>
  <c r="BX166" i="16"/>
  <c r="BZ116" i="16"/>
  <c r="BY116" i="16"/>
  <c r="BX116" i="16"/>
  <c r="BZ115" i="16"/>
  <c r="BY115" i="16"/>
  <c r="BX115" i="16"/>
  <c r="BZ140" i="16"/>
  <c r="BY140" i="16"/>
  <c r="BX140" i="16"/>
  <c r="BZ80" i="16"/>
  <c r="BY80" i="16"/>
  <c r="BX80" i="16"/>
  <c r="BZ114" i="16"/>
  <c r="BY114" i="16"/>
  <c r="BX114" i="16"/>
  <c r="BZ113" i="16"/>
  <c r="BY113" i="16"/>
  <c r="BX113" i="16"/>
  <c r="BZ112" i="16"/>
  <c r="BY112" i="16"/>
  <c r="BX112" i="16"/>
  <c r="BZ79" i="16"/>
  <c r="BY79" i="16"/>
  <c r="BX79" i="16"/>
  <c r="BZ111" i="16"/>
  <c r="BY111" i="16"/>
  <c r="BX111" i="16"/>
  <c r="BZ110" i="16"/>
  <c r="BY110" i="16"/>
  <c r="BX110" i="16"/>
  <c r="BZ174" i="16"/>
  <c r="BY174" i="16"/>
  <c r="BX174" i="16"/>
  <c r="BZ109" i="16"/>
  <c r="BY109" i="16"/>
  <c r="BX109" i="16"/>
  <c r="BZ78" i="16"/>
  <c r="BY78" i="16"/>
  <c r="BX78" i="16"/>
  <c r="BZ77" i="16"/>
  <c r="BY77" i="16"/>
  <c r="BX77" i="16"/>
  <c r="BZ76" i="16"/>
  <c r="BY76" i="16"/>
  <c r="BX76" i="16"/>
  <c r="BZ75" i="16"/>
  <c r="BY75" i="16"/>
  <c r="BX75" i="16"/>
  <c r="BZ74" i="16"/>
  <c r="BY74" i="16"/>
  <c r="BX74" i="16"/>
  <c r="BZ73" i="16"/>
  <c r="BY73" i="16"/>
  <c r="BX73" i="16"/>
  <c r="BZ72" i="16"/>
  <c r="BY72" i="16"/>
  <c r="BX72" i="16"/>
  <c r="BZ155" i="16"/>
  <c r="BY155" i="16"/>
  <c r="BX155" i="16"/>
  <c r="BZ71" i="16"/>
  <c r="BY71" i="16"/>
  <c r="BX71" i="16"/>
  <c r="BZ70" i="16"/>
  <c r="BY70" i="16"/>
  <c r="BX70" i="16"/>
  <c r="BZ139" i="16"/>
  <c r="BY139" i="16"/>
  <c r="BX139" i="16"/>
  <c r="BZ69" i="16"/>
  <c r="BY69" i="16"/>
  <c r="BX69" i="16"/>
  <c r="BZ68" i="16"/>
  <c r="BY68" i="16"/>
  <c r="BX68" i="16"/>
  <c r="BZ108" i="16"/>
  <c r="BY108" i="16"/>
  <c r="BX108" i="16"/>
  <c r="BZ67" i="16"/>
  <c r="BY67" i="16"/>
  <c r="BX67" i="16"/>
  <c r="BZ66" i="16"/>
  <c r="BY66" i="16"/>
  <c r="BX66" i="16"/>
  <c r="BZ65" i="16"/>
  <c r="BY65" i="16"/>
  <c r="BX65" i="16"/>
  <c r="BZ64" i="16"/>
  <c r="BY64" i="16"/>
  <c r="BX64" i="16"/>
  <c r="BZ63" i="16"/>
  <c r="BY63" i="16"/>
  <c r="BX63" i="16"/>
  <c r="BZ138" i="16"/>
  <c r="BY138" i="16"/>
  <c r="BX138" i="16"/>
  <c r="BZ62" i="16"/>
  <c r="BY62" i="16"/>
  <c r="BX62" i="16"/>
  <c r="BZ61" i="16"/>
  <c r="BY61" i="16"/>
  <c r="BX61" i="16"/>
  <c r="BZ60" i="16"/>
  <c r="BY60" i="16"/>
  <c r="BX60" i="16"/>
  <c r="BZ59" i="16"/>
  <c r="BY59" i="16"/>
  <c r="BX59" i="16"/>
  <c r="BZ58" i="16"/>
  <c r="BY58" i="16"/>
  <c r="BX58" i="16"/>
  <c r="BZ57" i="16"/>
  <c r="BY57" i="16"/>
  <c r="BX57" i="16"/>
  <c r="BZ56" i="16"/>
  <c r="BY56" i="16"/>
  <c r="BX56" i="16"/>
  <c r="BZ55" i="16"/>
  <c r="BY55" i="16"/>
  <c r="BX55" i="16"/>
  <c r="BZ54" i="16"/>
  <c r="BY54" i="16"/>
  <c r="BX54" i="16"/>
  <c r="BZ53" i="16"/>
  <c r="BY53" i="16"/>
  <c r="BX53" i="16"/>
  <c r="BZ154" i="16"/>
  <c r="BY154" i="16"/>
  <c r="BX154" i="16"/>
  <c r="BZ52" i="16"/>
  <c r="BY52" i="16"/>
  <c r="BX52" i="16"/>
  <c r="BZ51" i="16"/>
  <c r="BY51" i="16"/>
  <c r="BX51" i="16"/>
  <c r="BZ50" i="16"/>
  <c r="BY50" i="16"/>
  <c r="BX50" i="16"/>
  <c r="BZ49" i="16"/>
  <c r="BY49" i="16"/>
  <c r="BX49" i="16"/>
  <c r="BZ48" i="16"/>
  <c r="BY48" i="16"/>
  <c r="BX48" i="16"/>
  <c r="BZ47" i="16"/>
  <c r="BY47" i="16"/>
  <c r="BX47" i="16"/>
  <c r="BZ46" i="16"/>
  <c r="BY46" i="16"/>
  <c r="BX46" i="16"/>
  <c r="BZ45" i="16"/>
  <c r="BY45" i="16"/>
  <c r="BX45" i="16"/>
  <c r="BZ44" i="16"/>
  <c r="BY44" i="16"/>
  <c r="BX44" i="16"/>
  <c r="BZ43" i="16"/>
  <c r="BY43" i="16"/>
  <c r="BX43" i="16"/>
  <c r="BZ42" i="16"/>
  <c r="BY42" i="16"/>
  <c r="BX42" i="16"/>
  <c r="BZ41" i="16"/>
  <c r="BY41" i="16"/>
  <c r="BX41" i="16"/>
  <c r="BZ40" i="16"/>
  <c r="BY40" i="16"/>
  <c r="BX40" i="16"/>
  <c r="BZ39" i="16"/>
  <c r="BY39" i="16"/>
  <c r="BX39" i="16"/>
  <c r="BZ38" i="16"/>
  <c r="BY38" i="16"/>
  <c r="BX38" i="16"/>
  <c r="BZ37" i="16"/>
  <c r="BY37" i="16"/>
  <c r="BX37" i="16"/>
  <c r="BZ36" i="16"/>
  <c r="BY36" i="16"/>
  <c r="BX36" i="16"/>
  <c r="BZ107" i="16"/>
  <c r="BY107" i="16"/>
  <c r="BX107" i="16"/>
  <c r="BZ35" i="16"/>
  <c r="BY35" i="16"/>
  <c r="BX35" i="16"/>
  <c r="BZ34" i="16"/>
  <c r="BY34" i="16"/>
  <c r="BX34" i="16"/>
  <c r="BZ33" i="16"/>
  <c r="BY33" i="16"/>
  <c r="BX33" i="16"/>
  <c r="BZ32" i="16"/>
  <c r="BY32" i="16"/>
  <c r="BX32" i="16"/>
  <c r="BZ31" i="16"/>
  <c r="BY31" i="16"/>
  <c r="BX31" i="16"/>
  <c r="BZ30" i="16"/>
  <c r="BY30" i="16"/>
  <c r="BX30" i="16"/>
  <c r="BZ172" i="16"/>
  <c r="BY172" i="16"/>
  <c r="BX172" i="16"/>
  <c r="BZ29" i="16"/>
  <c r="BY29" i="16"/>
  <c r="BX29" i="16"/>
  <c r="BZ28" i="16"/>
  <c r="BY28" i="16"/>
  <c r="BX28" i="16"/>
  <c r="BZ153" i="16"/>
  <c r="BY153" i="16"/>
  <c r="BX153" i="16"/>
  <c r="BZ27" i="16"/>
  <c r="BY27" i="16"/>
  <c r="BX27" i="16"/>
  <c r="BZ137" i="16"/>
  <c r="BY137" i="16"/>
  <c r="BX137" i="16"/>
  <c r="BZ136" i="16"/>
  <c r="BY136" i="16"/>
  <c r="BX136" i="16"/>
  <c r="BZ106" i="16"/>
  <c r="BY106" i="16"/>
  <c r="BX106" i="16"/>
  <c r="BZ135" i="16"/>
  <c r="BY135" i="16"/>
  <c r="BX135" i="16"/>
  <c r="BZ26" i="16"/>
  <c r="BY26" i="16"/>
  <c r="BX26" i="16"/>
  <c r="BZ105" i="16"/>
  <c r="BY105" i="16"/>
  <c r="BX105" i="16"/>
  <c r="BZ25" i="16"/>
  <c r="BY25" i="16"/>
  <c r="BX25" i="16"/>
  <c r="BZ24" i="16"/>
  <c r="BY24" i="16"/>
  <c r="BX24" i="16"/>
  <c r="BZ104" i="16"/>
  <c r="BY104" i="16"/>
  <c r="BX104" i="16"/>
  <c r="BZ23" i="16"/>
  <c r="BY23" i="16"/>
  <c r="BX23" i="16"/>
  <c r="BZ22" i="16"/>
  <c r="BY22" i="16"/>
  <c r="BX22" i="16"/>
  <c r="BZ21" i="16"/>
  <c r="BY21" i="16"/>
  <c r="BX21" i="16"/>
  <c r="BZ20" i="16"/>
  <c r="BY20" i="16"/>
  <c r="BX20" i="16"/>
  <c r="BZ19" i="16"/>
  <c r="BY19" i="16"/>
  <c r="BX19" i="16"/>
  <c r="BZ134" i="16"/>
  <c r="BY134" i="16"/>
  <c r="BX134" i="16"/>
  <c r="BZ133" i="16"/>
  <c r="BY133" i="16"/>
  <c r="BX133" i="16"/>
  <c r="BZ18" i="16"/>
  <c r="BY18" i="16"/>
  <c r="BX18" i="16"/>
  <c r="BZ17" i="16"/>
  <c r="BY17" i="16"/>
  <c r="BX17" i="16"/>
  <c r="BZ16" i="16"/>
  <c r="BY16" i="16"/>
  <c r="BX16" i="16"/>
  <c r="BZ132" i="16"/>
  <c r="BY132" i="16"/>
  <c r="BX132" i="16"/>
  <c r="BZ15" i="16"/>
  <c r="BY15" i="16"/>
  <c r="BX15" i="16"/>
  <c r="BZ14" i="16"/>
  <c r="BY14" i="16"/>
  <c r="BX14" i="16"/>
  <c r="BZ165" i="16"/>
  <c r="BY165" i="16"/>
  <c r="BX165" i="16"/>
  <c r="BZ13" i="16"/>
  <c r="BY13" i="16"/>
  <c r="BX13" i="16"/>
  <c r="BZ131" i="16"/>
  <c r="BY131" i="16"/>
  <c r="BX131" i="16"/>
  <c r="BZ12" i="16"/>
  <c r="BY12" i="16"/>
  <c r="BX12" i="16"/>
  <c r="BZ11" i="16"/>
  <c r="BY11" i="16"/>
  <c r="BX11" i="16"/>
  <c r="BZ130" i="16"/>
  <c r="BY130" i="16"/>
  <c r="BX130" i="16"/>
  <c r="BZ152" i="16"/>
  <c r="BY152" i="16"/>
  <c r="BX152" i="16"/>
  <c r="BZ10" i="16"/>
  <c r="BY10" i="16"/>
  <c r="BX10" i="16"/>
  <c r="BZ103" i="16"/>
  <c r="BY103" i="16"/>
  <c r="BX103" i="16"/>
  <c r="BZ9" i="16"/>
  <c r="BY9" i="16"/>
  <c r="BX9" i="16"/>
  <c r="BZ151" i="16"/>
  <c r="BY151" i="16"/>
  <c r="BX151" i="16"/>
  <c r="BZ8" i="16"/>
  <c r="BY8" i="16"/>
  <c r="BX8" i="16"/>
  <c r="BZ7" i="16"/>
  <c r="BY7" i="16"/>
  <c r="BX7" i="16"/>
  <c r="BZ161" i="16"/>
  <c r="BY161" i="16"/>
  <c r="BX161" i="16"/>
  <c r="BZ102" i="16"/>
  <c r="BY102" i="16"/>
  <c r="BX102" i="16"/>
  <c r="BZ101" i="16"/>
  <c r="BY101" i="16"/>
  <c r="BX101" i="16"/>
  <c r="BZ100" i="16"/>
  <c r="BY100" i="16"/>
  <c r="BX100" i="16"/>
  <c r="BZ6" i="16"/>
  <c r="BY6" i="16"/>
  <c r="BX6" i="16"/>
  <c r="BZ5" i="16"/>
  <c r="BY5" i="16"/>
  <c r="BX5" i="16"/>
  <c r="BZ99" i="16"/>
  <c r="BY99" i="16"/>
  <c r="BX99" i="16"/>
  <c r="BZ164" i="16"/>
  <c r="BY164" i="16"/>
  <c r="BX164" i="16"/>
  <c r="BZ98" i="16"/>
  <c r="BY98" i="16"/>
  <c r="BX98" i="16"/>
  <c r="BZ4" i="16"/>
  <c r="BY4" i="16"/>
  <c r="BX4" i="16"/>
  <c r="BZ129" i="16"/>
  <c r="BY129" i="16"/>
  <c r="BX129" i="16"/>
  <c r="BZ97" i="16"/>
  <c r="BY97" i="16"/>
  <c r="BX97" i="16"/>
  <c r="AZ32" i="16"/>
  <c r="AY32" i="16"/>
  <c r="AX32" i="16"/>
  <c r="AZ62" i="16"/>
  <c r="AY62" i="16"/>
  <c r="AX62" i="16"/>
  <c r="AZ61" i="16"/>
  <c r="AY61" i="16"/>
  <c r="AX61" i="16"/>
  <c r="AZ31" i="16"/>
  <c r="AY31" i="16"/>
  <c r="AX31" i="16"/>
  <c r="AZ60" i="16"/>
  <c r="AY60" i="16"/>
  <c r="AX60" i="16"/>
  <c r="AZ163" i="16"/>
  <c r="AY163" i="16"/>
  <c r="AX163" i="16"/>
  <c r="AZ116" i="16"/>
  <c r="AY116" i="16"/>
  <c r="AX116" i="16"/>
  <c r="AZ59" i="16"/>
  <c r="AY59" i="16"/>
  <c r="AX59" i="16"/>
  <c r="AZ153" i="16"/>
  <c r="AY153" i="16"/>
  <c r="AX153" i="16"/>
  <c r="AZ115" i="16"/>
  <c r="AY115" i="16"/>
  <c r="AX115" i="16"/>
  <c r="AZ132" i="16"/>
  <c r="AY132" i="16"/>
  <c r="AX132" i="16"/>
  <c r="AZ162" i="16"/>
  <c r="AY162" i="16"/>
  <c r="AX162" i="16"/>
  <c r="AZ91" i="16"/>
  <c r="AY91" i="16"/>
  <c r="AX91" i="16"/>
  <c r="AZ90" i="16"/>
  <c r="AY90" i="16"/>
  <c r="AX90" i="16"/>
  <c r="AZ58" i="16"/>
  <c r="AY58" i="16"/>
  <c r="AX58" i="16"/>
  <c r="AZ131" i="16"/>
  <c r="AY131" i="16"/>
  <c r="AX131" i="16"/>
  <c r="AZ89" i="16"/>
  <c r="AY89" i="16"/>
  <c r="AX89" i="16"/>
  <c r="AZ169" i="16"/>
  <c r="AY169" i="16"/>
  <c r="AX169" i="16"/>
  <c r="AZ130" i="16"/>
  <c r="AY130" i="16"/>
  <c r="AX130" i="16"/>
  <c r="AZ88" i="16"/>
  <c r="AY88" i="16"/>
  <c r="AX88" i="16"/>
  <c r="AZ142" i="16"/>
  <c r="AY142" i="16"/>
  <c r="AX142" i="16"/>
  <c r="AZ141" i="16"/>
  <c r="AY141" i="16"/>
  <c r="AX141" i="16"/>
  <c r="AZ152" i="16"/>
  <c r="AY152" i="16"/>
  <c r="AX152" i="16"/>
  <c r="AZ140" i="16"/>
  <c r="AY140" i="16"/>
  <c r="AX140" i="16"/>
  <c r="AZ57" i="16"/>
  <c r="AY57" i="16"/>
  <c r="AX57" i="16"/>
  <c r="AZ56" i="16"/>
  <c r="AY56" i="16"/>
  <c r="AX56" i="16"/>
  <c r="AZ129" i="16"/>
  <c r="AY129" i="16"/>
  <c r="AX129" i="16"/>
  <c r="AZ139" i="16"/>
  <c r="AY139" i="16"/>
  <c r="AX139" i="16"/>
  <c r="AZ30" i="16"/>
  <c r="AY30" i="16"/>
  <c r="AX30" i="16"/>
  <c r="AZ114" i="16"/>
  <c r="AY114" i="16"/>
  <c r="AX114" i="16"/>
  <c r="AZ128" i="16"/>
  <c r="AY128" i="16"/>
  <c r="AX128" i="16"/>
  <c r="AZ55" i="16"/>
  <c r="AY55" i="16"/>
  <c r="AX55" i="16"/>
  <c r="AZ29" i="16"/>
  <c r="AY29" i="16"/>
  <c r="AX29" i="16"/>
  <c r="AZ54" i="16"/>
  <c r="AY54" i="16"/>
  <c r="AX54" i="16"/>
  <c r="AZ161" i="16"/>
  <c r="AY161" i="16"/>
  <c r="AX161" i="16"/>
  <c r="AZ87" i="16"/>
  <c r="AY87" i="16"/>
  <c r="AX87" i="16"/>
  <c r="AZ28" i="16"/>
  <c r="AY28" i="16"/>
  <c r="AX28" i="16"/>
  <c r="AZ53" i="16"/>
  <c r="AY53" i="16"/>
  <c r="AX53" i="16"/>
  <c r="AZ113" i="16"/>
  <c r="AY113" i="16"/>
  <c r="AX113" i="16"/>
  <c r="AZ52" i="16"/>
  <c r="AY52" i="16"/>
  <c r="AX52" i="16"/>
  <c r="AZ127" i="16"/>
  <c r="AY127" i="16"/>
  <c r="AX127" i="16"/>
  <c r="AZ160" i="16"/>
  <c r="AY160" i="16"/>
  <c r="AX160" i="16"/>
  <c r="AZ151" i="16"/>
  <c r="AY151" i="16"/>
  <c r="AX151" i="16"/>
  <c r="AZ86" i="16"/>
  <c r="AY86" i="16"/>
  <c r="AX86" i="16"/>
  <c r="AZ126" i="16"/>
  <c r="AY126" i="16"/>
  <c r="AX126" i="16"/>
  <c r="AZ125" i="16"/>
  <c r="AY125" i="16"/>
  <c r="AX125" i="16"/>
  <c r="AZ112" i="16"/>
  <c r="AY112" i="16"/>
  <c r="AX112" i="16"/>
  <c r="AZ51" i="16"/>
  <c r="AY51" i="16"/>
  <c r="AX51" i="16"/>
  <c r="AZ150" i="16"/>
  <c r="AY150" i="16"/>
  <c r="AX150" i="16"/>
  <c r="AZ111" i="16"/>
  <c r="AY111" i="16"/>
  <c r="AX111" i="16"/>
  <c r="AZ138" i="16"/>
  <c r="AY138" i="16"/>
  <c r="AX138" i="16"/>
  <c r="AZ137" i="16"/>
  <c r="AY137" i="16"/>
  <c r="AX137" i="16"/>
  <c r="AZ27" i="16"/>
  <c r="AY27" i="16"/>
  <c r="AX27" i="16"/>
  <c r="AZ85" i="16"/>
  <c r="AY85" i="16"/>
  <c r="AX85" i="16"/>
  <c r="AZ171" i="16"/>
  <c r="AY171" i="16"/>
  <c r="AX171" i="16"/>
  <c r="AZ26" i="16"/>
  <c r="AY26" i="16"/>
  <c r="AX26" i="16"/>
  <c r="AZ149" i="16"/>
  <c r="AY149" i="16"/>
  <c r="AX149" i="16"/>
  <c r="AZ25" i="16"/>
  <c r="AY25" i="16"/>
  <c r="AX25" i="16"/>
  <c r="AZ124" i="16"/>
  <c r="AY124" i="16"/>
  <c r="AX124" i="16"/>
  <c r="AZ110" i="16"/>
  <c r="AY110" i="16"/>
  <c r="AX110" i="16"/>
  <c r="AZ50" i="16"/>
  <c r="AY50" i="16"/>
  <c r="AX50" i="16"/>
  <c r="AZ109" i="16"/>
  <c r="AY109" i="16"/>
  <c r="AX109" i="16"/>
  <c r="AZ159" i="16"/>
  <c r="AY159" i="16"/>
  <c r="AX159" i="16"/>
  <c r="AZ49" i="16"/>
  <c r="AY49" i="16"/>
  <c r="AX49" i="16"/>
  <c r="AZ84" i="16"/>
  <c r="AY84" i="16"/>
  <c r="AX84" i="16"/>
  <c r="AZ158" i="16"/>
  <c r="AY158" i="16"/>
  <c r="AX158" i="16"/>
  <c r="AZ83" i="16"/>
  <c r="AY83" i="16"/>
  <c r="AX83" i="16"/>
  <c r="AZ48" i="16"/>
  <c r="AY48" i="16"/>
  <c r="AX48" i="16"/>
  <c r="AZ24" i="16"/>
  <c r="AY24" i="16"/>
  <c r="AX24" i="16"/>
  <c r="AZ82" i="16"/>
  <c r="AY82" i="16"/>
  <c r="AX82" i="16"/>
  <c r="AZ108" i="16"/>
  <c r="AY108" i="16"/>
  <c r="AX108" i="16"/>
  <c r="AZ136" i="16"/>
  <c r="AY136" i="16"/>
  <c r="AX136" i="16"/>
  <c r="AZ23" i="16"/>
  <c r="AY23" i="16"/>
  <c r="AX23" i="16"/>
  <c r="AZ22" i="16"/>
  <c r="AY22" i="16"/>
  <c r="AX22" i="16"/>
  <c r="AZ123" i="16"/>
  <c r="AY123" i="16"/>
  <c r="AX123" i="16"/>
  <c r="AZ81" i="16"/>
  <c r="AY81" i="16"/>
  <c r="AX81" i="16"/>
  <c r="AZ47" i="16"/>
  <c r="AY47" i="16"/>
  <c r="AX47" i="16"/>
  <c r="AZ21" i="16"/>
  <c r="AY21" i="16"/>
  <c r="AX21" i="16"/>
  <c r="AZ122" i="16"/>
  <c r="AY122" i="16"/>
  <c r="AX122" i="16"/>
  <c r="AZ80" i="16"/>
  <c r="AY80" i="16"/>
  <c r="AX80" i="16"/>
  <c r="AZ79" i="16"/>
  <c r="AY79" i="16"/>
  <c r="AX79" i="16"/>
  <c r="AZ78" i="16"/>
  <c r="AY78" i="16"/>
  <c r="AX78" i="16"/>
  <c r="AZ170" i="16"/>
  <c r="AY170" i="16"/>
  <c r="AX170" i="16"/>
  <c r="AZ168" i="16"/>
  <c r="AY168" i="16"/>
  <c r="AX168" i="16"/>
  <c r="AZ77" i="16"/>
  <c r="AY77" i="16"/>
  <c r="AX77" i="16"/>
  <c r="AZ20" i="16"/>
  <c r="AY20" i="16"/>
  <c r="AX20" i="16"/>
  <c r="AZ19" i="16"/>
  <c r="AY19" i="16"/>
  <c r="AX19" i="16"/>
  <c r="AZ76" i="16"/>
  <c r="AY76" i="16"/>
  <c r="AX76" i="16"/>
  <c r="AZ46" i="16"/>
  <c r="AY46" i="16"/>
  <c r="AX46" i="16"/>
  <c r="AZ107" i="16"/>
  <c r="AY107" i="16"/>
  <c r="AX107" i="16"/>
  <c r="AZ121" i="16"/>
  <c r="AY121" i="16"/>
  <c r="AX121" i="16"/>
  <c r="AZ75" i="16"/>
  <c r="AY75" i="16"/>
  <c r="AX75" i="16"/>
  <c r="AZ18" i="16"/>
  <c r="AY18" i="16"/>
  <c r="AX18" i="16"/>
  <c r="AZ74" i="16"/>
  <c r="AY74" i="16"/>
  <c r="AX74" i="16"/>
  <c r="AZ172" i="16"/>
  <c r="AY172" i="16"/>
  <c r="AX172" i="16"/>
  <c r="AZ167" i="16"/>
  <c r="AY167" i="16"/>
  <c r="AX167" i="16"/>
  <c r="AZ120" i="16"/>
  <c r="AY120" i="16"/>
  <c r="AX120" i="16"/>
  <c r="AZ17" i="16"/>
  <c r="AY17" i="16"/>
  <c r="AX17" i="16"/>
  <c r="AZ73" i="16"/>
  <c r="AY73" i="16"/>
  <c r="AX73" i="16"/>
  <c r="AZ106" i="16"/>
  <c r="AY106" i="16"/>
  <c r="AX106" i="16"/>
  <c r="AZ16" i="16"/>
  <c r="AY16" i="16"/>
  <c r="AX16" i="16"/>
  <c r="AZ45" i="16"/>
  <c r="AY45" i="16"/>
  <c r="AX45" i="16"/>
  <c r="AZ148" i="16"/>
  <c r="AY148" i="16"/>
  <c r="AX148" i="16"/>
  <c r="AZ105" i="16"/>
  <c r="AY105" i="16"/>
  <c r="AX105" i="16"/>
  <c r="AZ15" i="16"/>
  <c r="AY15" i="16"/>
  <c r="AX15" i="16"/>
  <c r="AZ72" i="16"/>
  <c r="AY72" i="16"/>
  <c r="AX72" i="16"/>
  <c r="AZ44" i="16"/>
  <c r="AY44" i="16"/>
  <c r="AX44" i="16"/>
  <c r="AZ43" i="16"/>
  <c r="AY43" i="16"/>
  <c r="AX43" i="16"/>
  <c r="AZ42" i="16"/>
  <c r="AY42" i="16"/>
  <c r="AX42" i="16"/>
  <c r="AZ41" i="16"/>
  <c r="AY41" i="16"/>
  <c r="AX41" i="16"/>
  <c r="AZ71" i="16"/>
  <c r="AY71" i="16"/>
  <c r="AX71" i="16"/>
  <c r="AZ135" i="16"/>
  <c r="AY135" i="16"/>
  <c r="AX135" i="16"/>
  <c r="AZ147" i="16"/>
  <c r="AY147" i="16"/>
  <c r="AX147" i="16"/>
  <c r="AZ14" i="16"/>
  <c r="AY14" i="16"/>
  <c r="AX14" i="16"/>
  <c r="AZ40" i="16"/>
  <c r="AY40" i="16"/>
  <c r="AX40" i="16"/>
  <c r="AZ104" i="16"/>
  <c r="AY104" i="16"/>
  <c r="AX104" i="16"/>
  <c r="AZ103" i="16"/>
  <c r="AY103" i="16"/>
  <c r="AX103" i="16"/>
  <c r="AZ39" i="16"/>
  <c r="AY39" i="16"/>
  <c r="AX39" i="16"/>
  <c r="AZ38" i="16"/>
  <c r="AY38" i="16"/>
  <c r="AX38" i="16"/>
  <c r="AZ166" i="16"/>
  <c r="AY166" i="16"/>
  <c r="AX166" i="16"/>
  <c r="AZ102" i="16"/>
  <c r="AY102" i="16"/>
  <c r="AX102" i="16"/>
  <c r="AZ101" i="16"/>
  <c r="AY101" i="16"/>
  <c r="AX101" i="16"/>
  <c r="AZ157" i="16"/>
  <c r="AY157" i="16"/>
  <c r="AX157" i="16"/>
  <c r="AZ37" i="16"/>
  <c r="AY37" i="16"/>
  <c r="AX37" i="16"/>
  <c r="AZ146" i="16"/>
  <c r="AY146" i="16"/>
  <c r="AX146" i="16"/>
  <c r="AZ36" i="16"/>
  <c r="AY36" i="16"/>
  <c r="AX36" i="16"/>
  <c r="AZ13" i="16"/>
  <c r="AY13" i="16"/>
  <c r="AX13" i="16"/>
  <c r="AZ100" i="16"/>
  <c r="AY100" i="16"/>
  <c r="AX100" i="16"/>
  <c r="AZ145" i="16"/>
  <c r="AY145" i="16"/>
  <c r="AX145" i="16"/>
  <c r="AZ99" i="16"/>
  <c r="AY99" i="16"/>
  <c r="AX99" i="16"/>
  <c r="AZ12" i="16"/>
  <c r="AY12" i="16"/>
  <c r="AX12" i="16"/>
  <c r="AZ11" i="16"/>
  <c r="AY11" i="16"/>
  <c r="AX11" i="16"/>
  <c r="AZ174" i="16"/>
  <c r="AY174" i="16"/>
  <c r="AX174" i="16"/>
  <c r="AZ35" i="16"/>
  <c r="AY35" i="16"/>
  <c r="AX35" i="16"/>
  <c r="AZ10" i="16"/>
  <c r="AY10" i="16"/>
  <c r="AX10" i="16"/>
  <c r="AZ9" i="16"/>
  <c r="AY9" i="16"/>
  <c r="AX9" i="16"/>
  <c r="AZ70" i="16"/>
  <c r="AY70" i="16"/>
  <c r="AX70" i="16"/>
  <c r="AZ8" i="16"/>
  <c r="AY8" i="16"/>
  <c r="AX8" i="16"/>
  <c r="AZ98" i="16"/>
  <c r="AY98" i="16"/>
  <c r="AX98" i="16"/>
  <c r="AZ97" i="16"/>
  <c r="AY97" i="16"/>
  <c r="AX97" i="16"/>
  <c r="AZ96" i="16"/>
  <c r="AY96" i="16"/>
  <c r="AX96" i="16"/>
  <c r="AZ69" i="16"/>
  <c r="AY69" i="16"/>
  <c r="AX69" i="16"/>
  <c r="AZ173" i="16"/>
  <c r="AY173" i="16"/>
  <c r="AX173" i="16"/>
  <c r="AZ34" i="16"/>
  <c r="AY34" i="16"/>
  <c r="AX34" i="16"/>
  <c r="AZ7" i="16"/>
  <c r="AY7" i="16"/>
  <c r="AX7" i="16"/>
  <c r="AZ6" i="16"/>
  <c r="AY6" i="16"/>
  <c r="AX6" i="16"/>
  <c r="AZ119" i="16"/>
  <c r="AY119" i="16"/>
  <c r="AX119" i="16"/>
  <c r="AZ118" i="16"/>
  <c r="AY118" i="16"/>
  <c r="AX118" i="16"/>
  <c r="AZ156" i="16"/>
  <c r="AY156" i="16"/>
  <c r="AX156" i="16"/>
  <c r="AZ68" i="16"/>
  <c r="AY68" i="16"/>
  <c r="AX68" i="16"/>
  <c r="AZ5" i="16"/>
  <c r="AY5" i="16"/>
  <c r="AX5" i="16"/>
  <c r="AZ67" i="16"/>
  <c r="AY67" i="16"/>
  <c r="AX67" i="16"/>
  <c r="AZ117" i="16"/>
  <c r="AY117" i="16"/>
  <c r="AX117" i="16"/>
  <c r="AZ95" i="16"/>
  <c r="AY95" i="16"/>
  <c r="AX95" i="16"/>
  <c r="AZ94" i="16"/>
  <c r="AY94" i="16"/>
  <c r="AX94" i="16"/>
  <c r="AZ66" i="16"/>
  <c r="AY66" i="16"/>
  <c r="AX66" i="16"/>
  <c r="AZ93" i="16"/>
  <c r="AY93" i="16"/>
  <c r="AX93" i="16"/>
  <c r="AZ4" i="16"/>
  <c r="AY4" i="16"/>
  <c r="AX4" i="16"/>
  <c r="AZ65" i="16"/>
  <c r="AY65" i="16"/>
  <c r="AX65" i="16"/>
  <c r="AZ165" i="16"/>
  <c r="AY165" i="16"/>
  <c r="AX165" i="16"/>
  <c r="AZ164" i="16"/>
  <c r="AY164" i="16"/>
  <c r="AX164" i="16"/>
  <c r="AZ92" i="16"/>
  <c r="AY92" i="16"/>
  <c r="AX92" i="16"/>
  <c r="AZ134" i="16"/>
  <c r="AY134" i="16"/>
  <c r="AX134" i="16"/>
  <c r="AZ33" i="16"/>
  <c r="AY33" i="16"/>
  <c r="AX33" i="16"/>
  <c r="AZ64" i="16"/>
  <c r="AY64" i="16"/>
  <c r="AX64" i="16"/>
  <c r="AZ144" i="16"/>
  <c r="AY144" i="16"/>
  <c r="AX144" i="16"/>
  <c r="AZ143" i="16"/>
  <c r="AY143" i="16"/>
  <c r="AX143" i="16"/>
  <c r="AZ155" i="16"/>
  <c r="AY155" i="16"/>
  <c r="AX155" i="16"/>
  <c r="AZ154" i="16"/>
  <c r="AY154" i="16"/>
  <c r="AX154" i="16"/>
  <c r="AZ133" i="16"/>
  <c r="AY133" i="16"/>
  <c r="AX133" i="16"/>
  <c r="AZ63" i="16"/>
  <c r="AY63" i="16"/>
  <c r="AX63" i="16"/>
  <c r="X106" i="16"/>
  <c r="Y106" i="16"/>
  <c r="Z106" i="16"/>
  <c r="Z120" i="16"/>
  <c r="Y120" i="16"/>
  <c r="X120" i="16"/>
  <c r="Z119" i="16"/>
  <c r="Y119" i="16"/>
  <c r="X119" i="16"/>
  <c r="Z118" i="16"/>
  <c r="Y118" i="16"/>
  <c r="X118" i="16"/>
  <c r="Z117" i="16"/>
  <c r="Y117" i="16"/>
  <c r="X117" i="16"/>
  <c r="Z152" i="16"/>
  <c r="Y152" i="16"/>
  <c r="X152" i="16"/>
  <c r="Z151" i="16"/>
  <c r="Y151" i="16"/>
  <c r="X151" i="16"/>
  <c r="Z171" i="16"/>
  <c r="Y171" i="16"/>
  <c r="X171" i="16"/>
  <c r="Z116" i="16"/>
  <c r="Y116" i="16"/>
  <c r="X116" i="16"/>
  <c r="Z170" i="16"/>
  <c r="Y170" i="16"/>
  <c r="X170" i="16"/>
  <c r="Z168" i="16"/>
  <c r="Y168" i="16"/>
  <c r="X168" i="16"/>
  <c r="Z165" i="16"/>
  <c r="Y165" i="16"/>
  <c r="X165" i="16"/>
  <c r="Z115" i="16"/>
  <c r="Y115" i="16"/>
  <c r="X115" i="16"/>
  <c r="Z114" i="16"/>
  <c r="Y114" i="16"/>
  <c r="X114" i="16"/>
  <c r="Z169" i="16"/>
  <c r="Y169" i="16"/>
  <c r="X169" i="16"/>
  <c r="Z150" i="16"/>
  <c r="Y150" i="16"/>
  <c r="X150" i="16"/>
  <c r="Z174" i="16"/>
  <c r="Y174" i="16"/>
  <c r="X174" i="16"/>
  <c r="Z164" i="16"/>
  <c r="Y164" i="16"/>
  <c r="X164" i="16"/>
  <c r="Z113" i="16"/>
  <c r="Y113" i="16"/>
  <c r="X113" i="16"/>
  <c r="Z112" i="16"/>
  <c r="Y112" i="16"/>
  <c r="X112" i="16"/>
  <c r="Z111" i="16"/>
  <c r="Y111" i="16"/>
  <c r="X111" i="16"/>
  <c r="Z110" i="16"/>
  <c r="Y110" i="16"/>
  <c r="X110" i="16"/>
  <c r="Z163" i="16"/>
  <c r="Y163" i="16"/>
  <c r="X163" i="16"/>
  <c r="Z109" i="16"/>
  <c r="Y109" i="16"/>
  <c r="X109" i="16"/>
  <c r="Z108" i="16"/>
  <c r="Y108" i="16"/>
  <c r="X108" i="16"/>
  <c r="Z162" i="16"/>
  <c r="Y162" i="16"/>
  <c r="X162" i="16"/>
  <c r="Z107" i="16"/>
  <c r="Y107" i="16"/>
  <c r="X107" i="16"/>
  <c r="Z161" i="16"/>
  <c r="Y161" i="16"/>
  <c r="X161" i="16"/>
  <c r="Z160" i="16"/>
  <c r="Y160" i="16"/>
  <c r="X160" i="16"/>
  <c r="Z105" i="16"/>
  <c r="Y105" i="16"/>
  <c r="X105" i="16"/>
  <c r="Z104" i="16"/>
  <c r="Y104" i="16"/>
  <c r="X104" i="16"/>
  <c r="Z103" i="16"/>
  <c r="Y103" i="16"/>
  <c r="X103" i="16"/>
  <c r="Z102" i="16"/>
  <c r="Y102" i="16"/>
  <c r="X102" i="16"/>
  <c r="Z101" i="16"/>
  <c r="Y101" i="16"/>
  <c r="X101" i="16"/>
  <c r="Z100" i="16"/>
  <c r="Y100" i="16"/>
  <c r="X100" i="16"/>
  <c r="Z149" i="16"/>
  <c r="Y149" i="16"/>
  <c r="X149" i="16"/>
  <c r="Z99" i="16"/>
  <c r="Y99" i="16"/>
  <c r="X99" i="16"/>
  <c r="Z98" i="16"/>
  <c r="Y98" i="16"/>
  <c r="X98" i="16"/>
  <c r="Z97" i="16"/>
  <c r="Y97" i="16"/>
  <c r="X97" i="16"/>
  <c r="Z96" i="16"/>
  <c r="Y96" i="16"/>
  <c r="X96" i="16"/>
  <c r="Z159" i="16"/>
  <c r="Y159" i="16"/>
  <c r="X159" i="16"/>
  <c r="Z148" i="16"/>
  <c r="Y148" i="16"/>
  <c r="X148" i="16"/>
  <c r="Z147" i="16"/>
  <c r="Y147" i="16"/>
  <c r="X147" i="16"/>
  <c r="Z95" i="16"/>
  <c r="Y95" i="16"/>
  <c r="X95" i="16"/>
  <c r="Z158" i="16"/>
  <c r="Y158" i="16"/>
  <c r="X158" i="16"/>
  <c r="Z146" i="16"/>
  <c r="Y146" i="16"/>
  <c r="X146" i="16"/>
  <c r="Z145" i="16"/>
  <c r="Y145" i="16"/>
  <c r="X145" i="16"/>
  <c r="Z94" i="16"/>
  <c r="Y94" i="16"/>
  <c r="X94" i="16"/>
  <c r="Z144" i="16"/>
  <c r="Y144" i="16"/>
  <c r="X144" i="16"/>
  <c r="Z143" i="16"/>
  <c r="Y143" i="16"/>
  <c r="X143" i="16"/>
  <c r="Z93" i="16"/>
  <c r="Y93" i="16"/>
  <c r="X93" i="16"/>
  <c r="Z92" i="16"/>
  <c r="Y92" i="16"/>
  <c r="X92" i="16"/>
  <c r="Z142" i="16"/>
  <c r="Y142" i="16"/>
  <c r="X142" i="16"/>
  <c r="Z141" i="16"/>
  <c r="Y141" i="16"/>
  <c r="X141" i="16"/>
  <c r="Z157" i="16"/>
  <c r="Y157" i="16"/>
  <c r="X157" i="16"/>
  <c r="Z91" i="16"/>
  <c r="Y91" i="16"/>
  <c r="X91" i="16"/>
  <c r="Z140" i="16"/>
  <c r="Y140" i="16"/>
  <c r="X140" i="16"/>
  <c r="Z90" i="16"/>
  <c r="Y90" i="16"/>
  <c r="X90" i="16"/>
  <c r="Z89" i="16"/>
  <c r="Y89" i="16"/>
  <c r="X89" i="16"/>
  <c r="Z88" i="16"/>
  <c r="Y88" i="16"/>
  <c r="X88" i="16"/>
  <c r="Z156" i="16"/>
  <c r="Y156" i="16"/>
  <c r="X156" i="16"/>
  <c r="Z87" i="16"/>
  <c r="Y87" i="16"/>
  <c r="X87" i="16"/>
  <c r="Z139" i="16"/>
  <c r="Y139" i="16"/>
  <c r="X139" i="16"/>
  <c r="Z86" i="16"/>
  <c r="Y86" i="16"/>
  <c r="X86" i="16"/>
  <c r="Z85" i="16"/>
  <c r="Y85" i="16"/>
  <c r="X85" i="16"/>
  <c r="Z138" i="16"/>
  <c r="Y138" i="16"/>
  <c r="X138" i="16"/>
  <c r="Z84" i="16"/>
  <c r="Y84" i="16"/>
  <c r="X84" i="16"/>
  <c r="Z83" i="16"/>
  <c r="Y83" i="16"/>
  <c r="X83" i="16"/>
  <c r="Z82" i="16"/>
  <c r="Y82" i="16"/>
  <c r="X82" i="16"/>
  <c r="Z173" i="16"/>
  <c r="Y173" i="16"/>
  <c r="X173" i="16"/>
  <c r="Z81" i="16"/>
  <c r="Y81" i="16"/>
  <c r="X81" i="16"/>
  <c r="Z80" i="16"/>
  <c r="Y80" i="16"/>
  <c r="X80" i="16"/>
  <c r="Z79" i="16"/>
  <c r="Y79" i="16"/>
  <c r="X79" i="16"/>
  <c r="Z78" i="16"/>
  <c r="Y78" i="16"/>
  <c r="X78" i="16"/>
  <c r="Z77" i="16"/>
  <c r="Y77" i="16"/>
  <c r="X77" i="16"/>
  <c r="Z76" i="16"/>
  <c r="Y76" i="16"/>
  <c r="X76" i="16"/>
  <c r="Z75" i="16"/>
  <c r="Y75" i="16"/>
  <c r="X75" i="16"/>
  <c r="Z74" i="16"/>
  <c r="Y74" i="16"/>
  <c r="X74" i="16"/>
  <c r="Z73" i="16"/>
  <c r="Y73" i="16"/>
  <c r="X73" i="16"/>
  <c r="Z137" i="16"/>
  <c r="Y137" i="16"/>
  <c r="X137" i="16"/>
  <c r="Z72" i="16"/>
  <c r="Y72" i="16"/>
  <c r="X72" i="16"/>
  <c r="Z71" i="16"/>
  <c r="Y71" i="16"/>
  <c r="X71" i="16"/>
  <c r="Z70" i="16"/>
  <c r="Y70" i="16"/>
  <c r="X70" i="16"/>
  <c r="Z69" i="16"/>
  <c r="Y69" i="16"/>
  <c r="X69" i="16"/>
  <c r="Z68" i="16"/>
  <c r="Y68" i="16"/>
  <c r="X68" i="16"/>
  <c r="Z67" i="16"/>
  <c r="Y67" i="16"/>
  <c r="X67" i="16"/>
  <c r="Z66" i="16"/>
  <c r="Y66" i="16"/>
  <c r="X66" i="16"/>
  <c r="Z65" i="16"/>
  <c r="Y65" i="16"/>
  <c r="X65" i="16"/>
  <c r="Z64" i="16"/>
  <c r="Y64" i="16"/>
  <c r="X64" i="16"/>
  <c r="Z63" i="16"/>
  <c r="Y63" i="16"/>
  <c r="X63" i="16"/>
  <c r="Z136" i="16"/>
  <c r="Y136" i="16"/>
  <c r="X136" i="16"/>
  <c r="Z62" i="16"/>
  <c r="Y62" i="16"/>
  <c r="X62" i="16"/>
  <c r="Z61" i="16"/>
  <c r="Y61" i="16"/>
  <c r="X61" i="16"/>
  <c r="Z60" i="16"/>
  <c r="Y60" i="16"/>
  <c r="X60" i="16"/>
  <c r="Z155" i="16"/>
  <c r="Y155" i="16"/>
  <c r="X155" i="16"/>
  <c r="Z59" i="16"/>
  <c r="Y59" i="16"/>
  <c r="X59" i="16"/>
  <c r="Z58" i="16"/>
  <c r="Y58" i="16"/>
  <c r="X58" i="16"/>
  <c r="Z57" i="16"/>
  <c r="Y57" i="16"/>
  <c r="X57" i="16"/>
  <c r="Z56" i="16"/>
  <c r="Y56" i="16"/>
  <c r="X56" i="16"/>
  <c r="Z55" i="16"/>
  <c r="Y55" i="16"/>
  <c r="X55" i="16"/>
  <c r="Z54" i="16"/>
  <c r="Y54" i="16"/>
  <c r="X54" i="16"/>
  <c r="Z53" i="16"/>
  <c r="Y53" i="16"/>
  <c r="X53" i="16"/>
  <c r="Z52" i="16"/>
  <c r="Y52" i="16"/>
  <c r="X52" i="16"/>
  <c r="Z51" i="16"/>
  <c r="Y51" i="16"/>
  <c r="X51" i="16"/>
  <c r="Z50" i="16"/>
  <c r="Y50" i="16"/>
  <c r="X50" i="16"/>
  <c r="Z49" i="16"/>
  <c r="Y49" i="16"/>
  <c r="X49" i="16"/>
  <c r="Z48" i="16"/>
  <c r="Y48" i="16"/>
  <c r="X48" i="16"/>
  <c r="Z47" i="16"/>
  <c r="Y47" i="16"/>
  <c r="X47" i="16"/>
  <c r="Z135" i="16"/>
  <c r="Y135" i="16"/>
  <c r="X135" i="16"/>
  <c r="Z46" i="16"/>
  <c r="Y46" i="16"/>
  <c r="X46" i="16"/>
  <c r="Z45" i="16"/>
  <c r="Y45" i="16"/>
  <c r="X45" i="16"/>
  <c r="Z134" i="16"/>
  <c r="Y134" i="16"/>
  <c r="X134" i="16"/>
  <c r="Z154" i="16"/>
  <c r="Y154" i="16"/>
  <c r="X154" i="16"/>
  <c r="Z44" i="16"/>
  <c r="Y44" i="16"/>
  <c r="X44" i="16"/>
  <c r="Z43" i="16"/>
  <c r="Y43" i="16"/>
  <c r="X43" i="16"/>
  <c r="Z133" i="16"/>
  <c r="Y133" i="16"/>
  <c r="X133" i="16"/>
  <c r="Z42" i="16"/>
  <c r="Y42" i="16"/>
  <c r="X42" i="16"/>
  <c r="Z41" i="16"/>
  <c r="Y41" i="16"/>
  <c r="X41" i="16"/>
  <c r="Z40" i="16"/>
  <c r="Y40" i="16"/>
  <c r="X40" i="16"/>
  <c r="Z172" i="16"/>
  <c r="Y172" i="16"/>
  <c r="X172" i="16"/>
  <c r="Z132" i="16"/>
  <c r="Y132" i="16"/>
  <c r="X132" i="16"/>
  <c r="Z39" i="16"/>
  <c r="Y39" i="16"/>
  <c r="X39" i="16"/>
  <c r="Z38" i="16"/>
  <c r="Y38" i="16"/>
  <c r="X38" i="16"/>
  <c r="Z37" i="16"/>
  <c r="Y37" i="16"/>
  <c r="X37" i="16"/>
  <c r="Z131" i="16"/>
  <c r="Y131" i="16"/>
  <c r="X131" i="16"/>
  <c r="Z36" i="16"/>
  <c r="Y36" i="16"/>
  <c r="X36" i="16"/>
  <c r="Z35" i="16"/>
  <c r="Y35" i="16"/>
  <c r="X35" i="16"/>
  <c r="Z34" i="16"/>
  <c r="Y34" i="16"/>
  <c r="X34" i="16"/>
  <c r="Z130" i="16"/>
  <c r="Y130" i="16"/>
  <c r="X130" i="16"/>
  <c r="Z129" i="16"/>
  <c r="Y129" i="16"/>
  <c r="X129" i="16"/>
  <c r="Z33" i="16"/>
  <c r="Y33" i="16"/>
  <c r="X33" i="16"/>
  <c r="Z32" i="16"/>
  <c r="Y32" i="16"/>
  <c r="X32" i="16"/>
  <c r="Z31" i="16"/>
  <c r="Y31" i="16"/>
  <c r="X31" i="16"/>
  <c r="Z30" i="16"/>
  <c r="Y30" i="16"/>
  <c r="X30" i="16"/>
  <c r="Z29" i="16"/>
  <c r="Y29" i="16"/>
  <c r="X29" i="16"/>
  <c r="Z28" i="16"/>
  <c r="Y28" i="16"/>
  <c r="X28" i="16"/>
  <c r="Z27" i="16"/>
  <c r="Y27" i="16"/>
  <c r="X27" i="16"/>
  <c r="Z26" i="16"/>
  <c r="Y26" i="16"/>
  <c r="X26" i="16"/>
  <c r="Z128" i="16"/>
  <c r="Y128" i="16"/>
  <c r="X128" i="16"/>
  <c r="Z25" i="16"/>
  <c r="Y25" i="16"/>
  <c r="X25" i="16"/>
  <c r="Z24" i="16"/>
  <c r="Y24" i="16"/>
  <c r="X24" i="16"/>
  <c r="Z23" i="16"/>
  <c r="Y23" i="16"/>
  <c r="X23" i="16"/>
  <c r="Z22" i="16"/>
  <c r="Y22" i="16"/>
  <c r="X22" i="16"/>
  <c r="Z21" i="16"/>
  <c r="Y21" i="16"/>
  <c r="X21" i="16"/>
  <c r="Z20" i="16"/>
  <c r="Y20" i="16"/>
  <c r="X20" i="16"/>
  <c r="Z19" i="16"/>
  <c r="Y19" i="16"/>
  <c r="X19" i="16"/>
  <c r="Z127" i="16"/>
  <c r="Y127" i="16"/>
  <c r="X127" i="16"/>
  <c r="Z18" i="16"/>
  <c r="Y18" i="16"/>
  <c r="X18" i="16"/>
  <c r="Z126" i="16"/>
  <c r="Y126" i="16"/>
  <c r="X126" i="16"/>
  <c r="Z17" i="16"/>
  <c r="Y17" i="16"/>
  <c r="X17" i="16"/>
  <c r="Z16" i="16"/>
  <c r="Y16" i="16"/>
  <c r="X16" i="16"/>
  <c r="Z15" i="16"/>
  <c r="Y15" i="16"/>
  <c r="X15" i="16"/>
  <c r="Z125" i="16"/>
  <c r="Y125" i="16"/>
  <c r="X125" i="16"/>
  <c r="Z14" i="16"/>
  <c r="Y14" i="16"/>
  <c r="X14" i="16"/>
  <c r="Z124" i="16"/>
  <c r="Y124" i="16"/>
  <c r="X124" i="16"/>
  <c r="Z13" i="16"/>
  <c r="Y13" i="16"/>
  <c r="X13" i="16"/>
  <c r="Z123" i="16"/>
  <c r="Y123" i="16"/>
  <c r="X123" i="16"/>
  <c r="Z12" i="16"/>
  <c r="Y12" i="16"/>
  <c r="X12" i="16"/>
  <c r="Z11" i="16"/>
  <c r="Y11" i="16"/>
  <c r="X11" i="16"/>
  <c r="Z167" i="16"/>
  <c r="Y167" i="16"/>
  <c r="X167" i="16"/>
  <c r="Z122" i="16"/>
  <c r="Y122" i="16"/>
  <c r="X122" i="16"/>
  <c r="Z10" i="16"/>
  <c r="Y10" i="16"/>
  <c r="X10" i="16"/>
  <c r="Z166" i="16"/>
  <c r="Y166" i="16"/>
  <c r="X166" i="16"/>
  <c r="Z9" i="16"/>
  <c r="Y9" i="16"/>
  <c r="X9" i="16"/>
  <c r="Z121" i="16"/>
  <c r="Y121" i="16"/>
  <c r="X121" i="16"/>
  <c r="Z8" i="16"/>
  <c r="Y8" i="16"/>
  <c r="X8" i="16"/>
  <c r="Z153" i="16"/>
  <c r="Y153" i="16"/>
  <c r="X153" i="16"/>
  <c r="Z7" i="16"/>
  <c r="Y7" i="16"/>
  <c r="X7" i="16"/>
  <c r="Z6" i="16"/>
  <c r="Y6" i="16"/>
  <c r="X6" i="16"/>
  <c r="Z5" i="16"/>
  <c r="Y5" i="16"/>
  <c r="X5" i="16"/>
  <c r="Z4" i="16"/>
  <c r="Y4" i="16"/>
  <c r="X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Sofnie</author>
  </authors>
  <commentList>
    <comment ref="AC10" authorId="0" shapeId="0" xr:uid="{F97C8ECC-C970-48A8-999B-91FFB8E55B18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MASUK 6 AGUS 2024</t>
        </r>
      </text>
    </comment>
    <comment ref="BC22" authorId="0" shapeId="0" xr:uid="{B08FF5CF-6997-479A-9DF8-9D55FD79FC97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MASUK 6 AGUS 2024</t>
        </r>
      </text>
    </comment>
    <comment ref="C29" authorId="0" shapeId="0" xr:uid="{7A87DE97-905D-4C48-87A8-435788DA9151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MASUK 6 AGUS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Sofnie</author>
  </authors>
  <commentList>
    <comment ref="BE141" authorId="0" shapeId="0" xr:uid="{400E997D-58E8-4F22-9B6F-8937398FE0BB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
17 JULI 2024</t>
        </r>
      </text>
    </comment>
    <comment ref="C147" authorId="0" shapeId="0" xr:uid="{2B7A5692-C66A-4B22-A560-0A5EE95F0905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15 Juli 2024</t>
        </r>
      </text>
    </comment>
    <comment ref="AD158" authorId="0" shapeId="0" xr:uid="{AB5DA731-1203-49F7-B655-4A3EDA09B744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15 Juli 2024</t>
        </r>
      </text>
    </comment>
    <comment ref="AD162" authorId="0" shapeId="0" xr:uid="{CF19FAAC-5197-4E2A-A3DF-AE931C1A9872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
17 JULI 2024</t>
        </r>
      </text>
    </comment>
    <comment ref="C166" authorId="0" shapeId="0" xr:uid="{E1526A63-1494-470C-8627-CEFE1A8936B6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
17 JULI 2024</t>
        </r>
      </text>
    </comment>
    <comment ref="BE203" authorId="0" shapeId="0" xr:uid="{B3E3E83E-ED0B-4866-8706-A281FB235374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15 Juli 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Sofnie</author>
  </authors>
  <commentList>
    <comment ref="C241" authorId="0" shapeId="0" xr:uid="{71D74C0B-5F22-45A4-835D-044FF8F4CC37}">
      <text>
        <r>
          <rPr>
            <b/>
            <sz val="9"/>
            <color indexed="81"/>
            <rFont val="Tahoma"/>
            <family val="2"/>
          </rPr>
          <t>Sofnie:</t>
        </r>
        <r>
          <rPr>
            <sz val="9"/>
            <color indexed="81"/>
            <rFont val="Tahoma"/>
            <family val="2"/>
          </rPr>
          <t xml:space="preserve">
PINDAHAN 
17 JULI 2024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<sst xmlns="http://schemas.openxmlformats.org/spreadsheetml/2006/main" count="10488" uniqueCount="1623">
  <si>
    <t>SMK TINTA EMAS INDONESIA</t>
  </si>
  <si>
    <t>No</t>
  </si>
  <si>
    <t>NIS</t>
  </si>
  <si>
    <t>Nama Siswa</t>
  </si>
  <si>
    <t>L/P</t>
  </si>
  <si>
    <t>ADRIAN FAUZAN</t>
  </si>
  <si>
    <t>L</t>
  </si>
  <si>
    <t>AHMAD ZAKI YAMAN</t>
  </si>
  <si>
    <t>P</t>
  </si>
  <si>
    <t>ANGGI ISMAYANTI</t>
  </si>
  <si>
    <t>FAHRI ISNAINI</t>
  </si>
  <si>
    <t>INDRIYANI</t>
  </si>
  <si>
    <t>JERICHO AMEZIA AWULLE</t>
  </si>
  <si>
    <t>RAFAELINO RUFFUS SERAN</t>
  </si>
  <si>
    <t xml:space="preserve">RASYA JULIAN SAPUTRA </t>
  </si>
  <si>
    <t>RAYHAN ADI SAPUTRA</t>
  </si>
  <si>
    <t>SELVIA OKTAVIANI</t>
  </si>
  <si>
    <t>TASYA AULIA AGUSTIN</t>
  </si>
  <si>
    <t>ZASKIA ZANIAR</t>
  </si>
  <si>
    <t>S</t>
  </si>
  <si>
    <t>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</si>
  <si>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</si>
  <si>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</si>
  <si>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</si>
  <si>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</si>
  <si>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</si>
  <si>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</si>
  <si>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</si>
  <si>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</si>
  <si>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</si>
  <si>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</si>
  <si>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</si>
  <si>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</si>
  <si>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</si>
  <si>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</si>
  <si>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</si>
  <si>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</si>
  <si>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</si>
  <si>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</si>
  <si>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</si>
  <si>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</si>
  <si>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</si>
  <si>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</si>
  <si>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</si>
  <si>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</si>
  <si>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</si>
  <si>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</si>
  <si>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</si>
  <si>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</si>
  <si>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</si>
  <si>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</si>
  <si>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</si>
  <si>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</si>
  <si>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ACHMAD ALDILAH</t>
  </si>
  <si>
    <t>AKHADI DIKA SATRIA AJI</t>
  </si>
  <si>
    <t>ALIYUDIN</t>
  </si>
  <si>
    <t>DANU HARIADI</t>
  </si>
  <si>
    <t>DIMAS PRASETYO</t>
  </si>
  <si>
    <t>GIVEN GERALDO KALIGIS</t>
  </si>
  <si>
    <t>HERU RAMADANA</t>
  </si>
  <si>
    <t>IHSANTOSO DWI NUGROHO</t>
  </si>
  <si>
    <t>M. FASYAH LUKMAN</t>
  </si>
  <si>
    <t xml:space="preserve">M. SANJAYA </t>
  </si>
  <si>
    <t>MUHAMAD FAIZAL</t>
  </si>
  <si>
    <t>MUHAMAD REHAN</t>
  </si>
  <si>
    <t>MUHAMMAD ADNAN</t>
  </si>
  <si>
    <t>MUHAMMAD MALIK FAJAR</t>
  </si>
  <si>
    <t>MUHAMMAD RADJA RIFQI WIRAWAN</t>
  </si>
  <si>
    <t>MUHAMMAD RIFKY ARYADI</t>
  </si>
  <si>
    <t>RASYA FIRMANSAH</t>
  </si>
  <si>
    <t>RYDO VIRGIAN</t>
  </si>
  <si>
    <t>AHMAD UBAYDILLAH</t>
  </si>
  <si>
    <t>AL GHANIYYU SYAHRUL P.</t>
  </si>
  <si>
    <t>BAGUS NUGROHO</t>
  </si>
  <si>
    <t>DENI HANGGARA</t>
  </si>
  <si>
    <t>HAYKAL AKBAR</t>
  </si>
  <si>
    <t>JULFIKAR TUARITA</t>
  </si>
  <si>
    <t>KENDRIK AL KWAJA PASA</t>
  </si>
  <si>
    <t>M. RAIHAN AL FATIH RIZQI</t>
  </si>
  <si>
    <t xml:space="preserve">MOCH FAUZAN FIRDAUS </t>
  </si>
  <si>
    <t>MUHAMAD ALFIANSAH AS</t>
  </si>
  <si>
    <t xml:space="preserve">MUHAMMAD ADLIS KAIFA </t>
  </si>
  <si>
    <t>MUHAMMAD FAREL APRIANSYAH</t>
  </si>
  <si>
    <t>MUHAMMAD MUKHSIN</t>
  </si>
  <si>
    <t>MUHAMMAD RENDY ARYANTO</t>
  </si>
  <si>
    <t>MUHAMMAD RIZKY AKBAR</t>
  </si>
  <si>
    <t>MUHAMMAD ZAKARIA</t>
  </si>
  <si>
    <t>RAYHAN IBNU KHAFI</t>
  </si>
  <si>
    <t>SAFEI MALIK</t>
  </si>
  <si>
    <t>ADINDA DWI RAHMADANI</t>
  </si>
  <si>
    <t>ADITYA MAULANA P</t>
  </si>
  <si>
    <t>AKBAR ALFRIYAWAN</t>
  </si>
  <si>
    <t>AMANDA APRILIANTI</t>
  </si>
  <si>
    <t>AULIYA AZZAHRA SALASATUN SALMA</t>
  </si>
  <si>
    <t>AY GRACE JIREHANAFI</t>
  </si>
  <si>
    <t>AYUDIAH YETTI TRIARINI</t>
  </si>
  <si>
    <t>B'RIEW ONGARTA KAYANA</t>
  </si>
  <si>
    <t>CALSABIIKHA VIDIA WIENDI</t>
  </si>
  <si>
    <t>DAFFA RIZKI AZZIKRA</t>
  </si>
  <si>
    <t>DEVI APRILLIA PUTRI</t>
  </si>
  <si>
    <t>ERVIN ALVINO</t>
  </si>
  <si>
    <t>GHIFARI RAJIB ARDHIANSYAH</t>
  </si>
  <si>
    <t>INDRAYANA PANGESTU</t>
  </si>
  <si>
    <t>JOAN ADITYA NATANAEL</t>
  </si>
  <si>
    <t>KHAIRUNNISA SAFITRI</t>
  </si>
  <si>
    <t>MARSYA HUMAIRA</t>
  </si>
  <si>
    <t>MARSYA SYAFA KHALISA</t>
  </si>
  <si>
    <t>MELANI</t>
  </si>
  <si>
    <t>MUHAMMAD LUTHFI HAKIM</t>
  </si>
  <si>
    <t xml:space="preserve">MUHAMMAD NUR FACHRIANSYAH </t>
  </si>
  <si>
    <t>MUTIA SAPITRI</t>
  </si>
  <si>
    <t xml:space="preserve">NAYLA AULIA NISSA </t>
  </si>
  <si>
    <t>NINA NUR NAZWA</t>
  </si>
  <si>
    <t>NITA AMELIA</t>
  </si>
  <si>
    <t>PRASANDYA FAHROSIN PUTRA</t>
  </si>
  <si>
    <t>PUSPA DWI CAHYANI</t>
  </si>
  <si>
    <t>RAISYA AYU AMALIA</t>
  </si>
  <si>
    <t>RHAKA APRILIANSYAH PUTRA</t>
  </si>
  <si>
    <t>RYZKYNTA MARCELLO KARO-KARO</t>
  </si>
  <si>
    <t>SATRIA HAYUDHIN ASADEL HARAHAP</t>
  </si>
  <si>
    <t>SITI DIYANTI</t>
  </si>
  <si>
    <t>ZAHRA NUR AZIZAH</t>
  </si>
  <si>
    <t>32</t>
  </si>
  <si>
    <t>33</t>
  </si>
  <si>
    <t>34</t>
  </si>
  <si>
    <t>35</t>
  </si>
  <si>
    <t>36</t>
  </si>
  <si>
    <t>37</t>
  </si>
  <si>
    <t>AFIANA DWI JUNIANTI</t>
  </si>
  <si>
    <t xml:space="preserve">AGUNG SETIA BUDI </t>
  </si>
  <si>
    <t>ANEZ ANGELINA</t>
  </si>
  <si>
    <t>BAYU PRATAMA</t>
  </si>
  <si>
    <t>CATUR AJI PAMUNGKAS</t>
  </si>
  <si>
    <t>CINTHYA AYU VINASIH PURNOMO</t>
  </si>
  <si>
    <t>DAVON DANIEL SEMBIRING</t>
  </si>
  <si>
    <t>DITA ROSALINDA</t>
  </si>
  <si>
    <t>FADHIL MUHAMMAD</t>
  </si>
  <si>
    <t>HALIM DAFA ANDIKA</t>
  </si>
  <si>
    <t>IQBAL YOGI ARMANTO</t>
  </si>
  <si>
    <t xml:space="preserve">IRMA NUR CAHYANI </t>
  </si>
  <si>
    <t>KEMALA DEWI</t>
  </si>
  <si>
    <t>M. ESQIRIZQY MISADI</t>
  </si>
  <si>
    <t>MELISSA AYU SHAFIRA</t>
  </si>
  <si>
    <t>MUHAMMAD NASHOR EL MARWAZI</t>
  </si>
  <si>
    <t>MUHAMMAD SYARIF ALTHAFAH</t>
  </si>
  <si>
    <t>NADIA PRATIWI</t>
  </si>
  <si>
    <t>PUTRI AMELIA</t>
  </si>
  <si>
    <t>QYAARA ANISSA SUPRAPTO</t>
  </si>
  <si>
    <t>REIHAN RIZKI PUTRA</t>
  </si>
  <si>
    <t>RETNO PUTRI AMELIA</t>
  </si>
  <si>
    <t>RISKI ADE PUTRA RAMADHAN</t>
  </si>
  <si>
    <t>SALMA TIANA</t>
  </si>
  <si>
    <t>SALMAN AJI NUGRAHA</t>
  </si>
  <si>
    <t>SYAFIRA RAMADANI</t>
  </si>
  <si>
    <t xml:space="preserve">ZAHRAH MAULIDAH </t>
  </si>
  <si>
    <t>AHMAD RAMDANI</t>
  </si>
  <si>
    <t>AQILAH NURIYA HIDAYAT</t>
  </si>
  <si>
    <t>BAYU SAMARA TUNGGA</t>
  </si>
  <si>
    <t>BUNGA OLIVIA FITRIYANI</t>
  </si>
  <si>
    <t>CHRESVO LEONARDO TAMBUN</t>
  </si>
  <si>
    <t xml:space="preserve">DESVINA MAHARANI </t>
  </si>
  <si>
    <t>DUWI SETIAWATI</t>
  </si>
  <si>
    <t>EGA AQILLA SAPITRA</t>
  </si>
  <si>
    <t>GALAN JUANAR ALI TEBAR</t>
  </si>
  <si>
    <t>IHSAN NUR RAHMAN</t>
  </si>
  <si>
    <t xml:space="preserve">LUVINTYA NOVINDA </t>
  </si>
  <si>
    <t>M. RAIHAN JAMIL SYA'BAN</t>
  </si>
  <si>
    <t>MAULITA APIYANTI</t>
  </si>
  <si>
    <t>MUHAMMAD ARRON SYABTRIAN</t>
  </si>
  <si>
    <t>MUHAMMAD NIZAR FAZARI</t>
  </si>
  <si>
    <t>MUHAMMAD RIFKI HIDAYAT</t>
  </si>
  <si>
    <t>NAILA NUR ASIH</t>
  </si>
  <si>
    <t>NINDYA PUTRI AMANDA</t>
  </si>
  <si>
    <t>PINGKI PIRNANDA</t>
  </si>
  <si>
    <t>PUTRI NABILA</t>
  </si>
  <si>
    <t>RAFIF NAJMI KAMAL</t>
  </si>
  <si>
    <t>RAHMAH ADAWIYYAH</t>
  </si>
  <si>
    <t>REZA ADITYA ALFIANI</t>
  </si>
  <si>
    <t>RIZKY FADILLAH</t>
  </si>
  <si>
    <t xml:space="preserve">SALWA SALSABILA </t>
  </si>
  <si>
    <t>SAMANDA</t>
  </si>
  <si>
    <t>SATRIA DEKA PUTRA</t>
  </si>
  <si>
    <t>SHOYIBATUL ASLAMIYYAH</t>
  </si>
  <si>
    <t>VIRYANDA ALVIANDHIKA</t>
  </si>
  <si>
    <t>WIDIA SARI</t>
  </si>
  <si>
    <t>ADE RINA SEPTIANI</t>
  </si>
  <si>
    <t>ADILLA OLIVIA DAMIATI</t>
  </si>
  <si>
    <t>AILA ZAHRA FARADIBA</t>
  </si>
  <si>
    <t>ALIFYA QISTHY LATIFA GUNAWAN</t>
  </si>
  <si>
    <t>AMELIA HIKMAH</t>
  </si>
  <si>
    <t>ARLIN NANDA SETIANI</t>
  </si>
  <si>
    <t>ASILA RAMADHANI</t>
  </si>
  <si>
    <t>AULIA RAHMAWATI</t>
  </si>
  <si>
    <t>AURELLIA CANDRAINI</t>
  </si>
  <si>
    <t>CANTIKA PUTRI HAPSARI</t>
  </si>
  <si>
    <t>CHELSI YAELINA YOHANES</t>
  </si>
  <si>
    <t>CINTYA FEBRIANA ALMAR'ATUL AWALIA</t>
  </si>
  <si>
    <t>DAVINA PUTRI MELINDA</t>
  </si>
  <si>
    <t>ELISYA MEIZAHRA</t>
  </si>
  <si>
    <t>FAJRIATUL FITRIA</t>
  </si>
  <si>
    <t>FANDA CHELSIE RUNTUTHOMAS</t>
  </si>
  <si>
    <t xml:space="preserve">HALUNA SHAFA RAHMADANI </t>
  </si>
  <si>
    <t>HANA SAJIDA HOIRUNISA</t>
  </si>
  <si>
    <t>KARTIKA DEWI UTARI</t>
  </si>
  <si>
    <t>MEVIA ANDARA ARIF</t>
  </si>
  <si>
    <t>NABILA KUSNADI</t>
  </si>
  <si>
    <t>NASYWA SAWALIYAH</t>
  </si>
  <si>
    <t>NAYLA PUTRI</t>
  </si>
  <si>
    <t>NISA DIARAH</t>
  </si>
  <si>
    <t>PUTRI DINAR ISWARI</t>
  </si>
  <si>
    <t>QAYLA SOFIA</t>
  </si>
  <si>
    <t>RADEN ANANDA FEBRIANTI RACHMAN</t>
  </si>
  <si>
    <t>RASYA NAFISHA AZZAHRA</t>
  </si>
  <si>
    <t>REZA APRILIA</t>
  </si>
  <si>
    <t>RISKA IMELDA</t>
  </si>
  <si>
    <t>SABRINA SAFIRA</t>
  </si>
  <si>
    <t>SABRINA SALSABILA</t>
  </si>
  <si>
    <t>SHINTA AULIA</t>
  </si>
  <si>
    <t>SYIFA AZZAHRA</t>
  </si>
  <si>
    <t>TRI RAMAH DANI</t>
  </si>
  <si>
    <t>REKAPITULASI ABSEN SISWA</t>
  </si>
  <si>
    <t>JULI</t>
  </si>
  <si>
    <t>AGUSTUS</t>
  </si>
  <si>
    <t>SEPTEMBER</t>
  </si>
  <si>
    <t>JUMLAH</t>
  </si>
  <si>
    <t>X TE</t>
  </si>
  <si>
    <t>X TO 1</t>
  </si>
  <si>
    <t>X TO 2</t>
  </si>
  <si>
    <t>X TKJ 1</t>
  </si>
  <si>
    <t>X TKJ 2</t>
  </si>
  <si>
    <t>X AKL</t>
  </si>
  <si>
    <t>XI TE</t>
  </si>
  <si>
    <t>XI AKL</t>
  </si>
  <si>
    <t>OKTOBER</t>
  </si>
  <si>
    <t>NOVEMBER</t>
  </si>
  <si>
    <t>DESEMBER</t>
  </si>
  <si>
    <t>XI TO 1</t>
  </si>
  <si>
    <t>XI TO 2</t>
  </si>
  <si>
    <t>XI TKJ 1</t>
  </si>
  <si>
    <t>XI TKJ 2</t>
  </si>
  <si>
    <t>XI TKJ 3</t>
  </si>
  <si>
    <t>XII TE</t>
  </si>
  <si>
    <t>XII AKL</t>
  </si>
  <si>
    <t>XII TKJ 1</t>
  </si>
  <si>
    <t>XII TKJ 2</t>
  </si>
  <si>
    <t>XII TKJ 3</t>
  </si>
  <si>
    <t>AKMAL SYAEFI</t>
  </si>
  <si>
    <t>ANDRI MAULANA PRAYOGO</t>
  </si>
  <si>
    <t>DESTI ANANDA</t>
  </si>
  <si>
    <t>FAUZI DANANG PRASETYA</t>
  </si>
  <si>
    <t>KHAIRY MAHFUZH PUTRA AIMAN</t>
  </si>
  <si>
    <t>LULU ILMAKNUN</t>
  </si>
  <si>
    <t>MUHAMMAD IRWANSAH</t>
  </si>
  <si>
    <t>MUHAMMAD PUTRA ARDIYANTO</t>
  </si>
  <si>
    <t>NIZSA INDRIYANTI BUDIMAN</t>
  </si>
  <si>
    <t>SABRINA RIZKY PUTRI</t>
  </si>
  <si>
    <t>SEPTIAN NUGROHO</t>
  </si>
  <si>
    <t>ZAHRA SALSABILA</t>
  </si>
  <si>
    <t>ABDULLAH DARWISY SYAKIR</t>
  </si>
  <si>
    <t>AHMAD LUTHFI DUHA</t>
  </si>
  <si>
    <t>ALBRILIAN RASYA SAPUTRA</t>
  </si>
  <si>
    <t>ARJUNA ABDI PRATAMA</t>
  </si>
  <si>
    <t>ARYA BUDI PRASETIYA</t>
  </si>
  <si>
    <t>CHANDRA WIJAYA</t>
  </si>
  <si>
    <t>DEWANDRA PUTRA P</t>
  </si>
  <si>
    <t>ERIK SETIAWAN</t>
  </si>
  <si>
    <t>FEBRYAN DWI PERMANA</t>
  </si>
  <si>
    <t>GERALD OMEGA JONATHANS</t>
  </si>
  <si>
    <t>IFANDRA ARFIANSYAH</t>
  </si>
  <si>
    <t>M. RAFFA SYAH NURDIN</t>
  </si>
  <si>
    <t>MEIDIKA ALIFI</t>
  </si>
  <si>
    <t>MELANDRI JURMANSYAH</t>
  </si>
  <si>
    <t>MUHAMAD NUR FADLY RUDIANA</t>
  </si>
  <si>
    <t xml:space="preserve">MUHAMMAD AZIIS IRAWAN </t>
  </si>
  <si>
    <t>MUHAMMAD HAIKAL ADITYA ATMAJA</t>
  </si>
  <si>
    <t>MUHAMMAD LUTHFI</t>
  </si>
  <si>
    <t>MUHAMMAD RANGGA FAUZAN</t>
  </si>
  <si>
    <t>MUHAMMAD WILDAN FADILAH</t>
  </si>
  <si>
    <t>RAFASYA DIVI SAPUTRA</t>
  </si>
  <si>
    <t>RAIHAN NABIEL AKBAR YONGKEN</t>
  </si>
  <si>
    <t>RAIS RADITIA</t>
  </si>
  <si>
    <t>REFAN NANDA TYAS DWI SAPUTRA</t>
  </si>
  <si>
    <t>RIFKI RAMADHAN</t>
  </si>
  <si>
    <t xml:space="preserve">SATRIO HISYAM AL MAHDI </t>
  </si>
  <si>
    <t>WILI ADITIYA PUTRA P</t>
  </si>
  <si>
    <t>ADITYA NUR SAPUTRA</t>
  </si>
  <si>
    <t xml:space="preserve">ALBERT JOESTEIN UTWALY </t>
  </si>
  <si>
    <t>ALI RAHMAN</t>
  </si>
  <si>
    <t>DAFI ADITYA SANTOSO</t>
  </si>
  <si>
    <t>DUTA SYARMAN AUDACH GUNAWAN</t>
  </si>
  <si>
    <t>EXCEL ANDREA SAPUTRA</t>
  </si>
  <si>
    <t>EZHAR DARUSSALAM</t>
  </si>
  <si>
    <t>FAIZ AL FAREZI</t>
  </si>
  <si>
    <t xml:space="preserve">FAVIAN MA'RUF MAULANA </t>
  </si>
  <si>
    <t>GEMA AULIA RAMADHAN</t>
  </si>
  <si>
    <t xml:space="preserve">IKHSAN RAMADANI </t>
  </si>
  <si>
    <t>I'ZAZ ANANDA PUTRA</t>
  </si>
  <si>
    <t>M. HILMY MUFID</t>
  </si>
  <si>
    <t>M. RAKKA SATRIA</t>
  </si>
  <si>
    <t>MEIRGA ADITYA</t>
  </si>
  <si>
    <t>MOHAMAD RAMA ALVIANTO</t>
  </si>
  <si>
    <t>MUHAMMAD ADITYA</t>
  </si>
  <si>
    <t>MUHAMMAD EVAN FADILLA</t>
  </si>
  <si>
    <t>MUHAMMAD FAHRI NURIZKI</t>
  </si>
  <si>
    <t>MUHAMMAD JENAL ABIDIN</t>
  </si>
  <si>
    <t>MUHAMMAD PUTRA RAMADHAN</t>
  </si>
  <si>
    <t>MUHAMMAD RIYAN MAULANA</t>
  </si>
  <si>
    <t>R. ARIES YAHYA</t>
  </si>
  <si>
    <t>RAYFANDRA FADHILLAH PUTRA</t>
  </si>
  <si>
    <t>REZA PAHLEVY</t>
  </si>
  <si>
    <t>SAHL FADHILAH REYHAN</t>
  </si>
  <si>
    <t>SEBASTIAR</t>
  </si>
  <si>
    <t>TRI OKTAPIANSAH</t>
  </si>
  <si>
    <t>ZAIN SAMRIJAL FAUZI</t>
  </si>
  <si>
    <t xml:space="preserve">WIRA MUKTI ALFIANSYAH </t>
  </si>
  <si>
    <t>AHMAD YADI</t>
  </si>
  <si>
    <t>ANALIA SAFITRI</t>
  </si>
  <si>
    <t>ANDIKA PRANATA</t>
  </si>
  <si>
    <t>ARIGA AL KAHFI SETIAWAN</t>
  </si>
  <si>
    <t>CAESARIO PRADITA SETIADI</t>
  </si>
  <si>
    <t>DEVITA AULYANA WULANDARI</t>
  </si>
  <si>
    <t>DIANA OCTAVIRA</t>
  </si>
  <si>
    <t>FAJAR MALIK IBRAHIM</t>
  </si>
  <si>
    <t xml:space="preserve">FARHAN MAULANA </t>
  </si>
  <si>
    <t>GHEA ROBIATUL ADAWIYAH</t>
  </si>
  <si>
    <t>HANIFAH MUSLIMAH</t>
  </si>
  <si>
    <t>HANIYAH ATHIFAH</t>
  </si>
  <si>
    <t>JAYA KELANA</t>
  </si>
  <si>
    <t>LATHIFA AZURE NUR VADILA</t>
  </si>
  <si>
    <t>MEGA FUSFITA SARI</t>
  </si>
  <si>
    <t>MUHAMMAD FAHMI IDRIS</t>
  </si>
  <si>
    <t>MUHAMMAD ILHAM ARFHASYAD</t>
  </si>
  <si>
    <t>MUHAMMAD LABIB MUSYARIF</t>
  </si>
  <si>
    <t>NATALIA DEBORA NENOBAIS</t>
  </si>
  <si>
    <t>NURISMA ALIKA</t>
  </si>
  <si>
    <t>NURJANAH</t>
  </si>
  <si>
    <t>RAISYA MULIA SYAWALANI</t>
  </si>
  <si>
    <t>RENDY SOMBA</t>
  </si>
  <si>
    <t>RIFAN AKHDAN ZAIDAAN</t>
  </si>
  <si>
    <t>SINTA PUTRI GALIANTI</t>
  </si>
  <si>
    <t xml:space="preserve">THORIQ AKBAR BECKHAM </t>
  </si>
  <si>
    <t>AKMAL NURFADHIL KOSWARA</t>
  </si>
  <si>
    <t>ANDRIAN KURNIA SAPUTRA</t>
  </si>
  <si>
    <t>AZKA WILDAN AQILLA</t>
  </si>
  <si>
    <t>DAFI ADITYA PUTRA</t>
  </si>
  <si>
    <t>DEBBY RIVANI</t>
  </si>
  <si>
    <t>FACHRY RABBANI</t>
  </si>
  <si>
    <t>FAHRI PRATAMA</t>
  </si>
  <si>
    <t>FAIRUZ SETIANTO A</t>
  </si>
  <si>
    <t>FARAH FADHILAH</t>
  </si>
  <si>
    <t>FAUZAN AL RIZAL</t>
  </si>
  <si>
    <t>KARLINA AGUSTIN</t>
  </si>
  <si>
    <t>KEVIN HIZKIA WAWO</t>
  </si>
  <si>
    <t>LEONARDUS REYMOND SETIAWAN</t>
  </si>
  <si>
    <t>M REHAN</t>
  </si>
  <si>
    <t>MARIA TELEHALA</t>
  </si>
  <si>
    <t>MARWAN RADITYA IRAWAN</t>
  </si>
  <si>
    <t>MUTIARA</t>
  </si>
  <si>
    <t>NAILA AFIFA ADZRA</t>
  </si>
  <si>
    <t>NARA DIAS PRAMESWARI</t>
  </si>
  <si>
    <t xml:space="preserve">NAYLA APRILIAYANI </t>
  </si>
  <si>
    <t>NUR AFDILAH SARI</t>
  </si>
  <si>
    <t>RAFFAY UZIEL ARFANSANTOSO</t>
  </si>
  <si>
    <t>RAMADHIAN ALFAREZA R</t>
  </si>
  <si>
    <t>RIKA AZZAHRA</t>
  </si>
  <si>
    <t>SRI RAHAYU ANAH</t>
  </si>
  <si>
    <t>TALITHA NABIHA HIDAYAT</t>
  </si>
  <si>
    <t>TYARA NOVALYA</t>
  </si>
  <si>
    <t>YOLANDA</t>
  </si>
  <si>
    <t>ZAHVIRA NUR MARIZKA</t>
  </si>
  <si>
    <t>ZIHAN AZZAHRA</t>
  </si>
  <si>
    <t>ABDUL FATHI ALBANI</t>
  </si>
  <si>
    <t>ADINDA PUTRI LESTARI</t>
  </si>
  <si>
    <t>AGIL TEGAR AL GHAFFAR</t>
  </si>
  <si>
    <t>ANDINI NAFI SALASIKA</t>
  </si>
  <si>
    <t>ARYA WIJAYA</t>
  </si>
  <si>
    <t>AZZAHRA VADIA KHOIRUNISA</t>
  </si>
  <si>
    <t>BETA ZAYYANA ISMAYANTO</t>
  </si>
  <si>
    <t>BIMA SAKTI PRATAMA</t>
  </si>
  <si>
    <t>CITRA CHANDRA NINGTYAS</t>
  </si>
  <si>
    <t>DEWI ASPURI</t>
  </si>
  <si>
    <t>DIMITRIO HANANIA YOHANES</t>
  </si>
  <si>
    <t>FARAH NADILAH APRILLA</t>
  </si>
  <si>
    <t>FIKA SUCI RAHMADANI</t>
  </si>
  <si>
    <t xml:space="preserve">GITA CAHAYA PUTRI </t>
  </si>
  <si>
    <t>INDRA FATURROHMAN</t>
  </si>
  <si>
    <t>INTAN DEWI PURNAMA</t>
  </si>
  <si>
    <t>JANUS BILLAWAL ANWAR</t>
  </si>
  <si>
    <t>JEPRY ZULLKIPLI</t>
  </si>
  <si>
    <t>KEVIN AL FAYYADH KAINDRASWARA</t>
  </si>
  <si>
    <t>MARYUNITA SYA'AROFA</t>
  </si>
  <si>
    <t>MEISHA KAILA PUTRI</t>
  </si>
  <si>
    <t xml:space="preserve">MUHAMMAD KHASBI ASROR </t>
  </si>
  <si>
    <t>MUHAMMAD NURUL HUDA</t>
  </si>
  <si>
    <t>NAEDYLA DIRGAHAYU PUTRI</t>
  </si>
  <si>
    <t>NAYLA RAHMALIA</t>
  </si>
  <si>
    <t>NUR ARTIA MECCA</t>
  </si>
  <si>
    <t xml:space="preserve">PUANG MAHANI BADAWI </t>
  </si>
  <si>
    <t>REVITA ZAHRA</t>
  </si>
  <si>
    <t>RIZKY GUNAWAN</t>
  </si>
  <si>
    <t>RUSTY UMAR SAWIE</t>
  </si>
  <si>
    <t>ASTI NURAINI</t>
  </si>
  <si>
    <t>BUNGA</t>
  </si>
  <si>
    <t>CHARLA HERMELIA</t>
  </si>
  <si>
    <t>CITRA NAZWA AULIA</t>
  </si>
  <si>
    <t>DELLA KARTIKA</t>
  </si>
  <si>
    <t>DIAN SHERLI APRILIA</t>
  </si>
  <si>
    <t>DIVA DAMAYANTI</t>
  </si>
  <si>
    <t>EKA RAHMA ANJANI</t>
  </si>
  <si>
    <t>FERDINAN</t>
  </si>
  <si>
    <t>HANA SYAFA'ATUL HUSNA</t>
  </si>
  <si>
    <t>HUSNUL HOTIMAH</t>
  </si>
  <si>
    <t>ILFI SANTI YOLA</t>
  </si>
  <si>
    <t>INTAN SARAH AZZARA</t>
  </si>
  <si>
    <t>KEISHA RAMADHANI</t>
  </si>
  <si>
    <t xml:space="preserve">KHAYLILA RAHMA RIZKIA </t>
  </si>
  <si>
    <t>KHEYLA AZAHRA</t>
  </si>
  <si>
    <t>MELANY PUTRI</t>
  </si>
  <si>
    <t>MUHAMMAD FADHEL ALAWY</t>
  </si>
  <si>
    <t>PRATIWI DADANG MANIKA</t>
  </si>
  <si>
    <t>SALMA NAYLA AULIA ZAHRANI</t>
  </si>
  <si>
    <t>SYANIA MUTHIA ZAHRA</t>
  </si>
  <si>
    <t>SYARIFAH FATIMAH AZZAHRA ALKAFF</t>
  </si>
  <si>
    <t>TIARA</t>
  </si>
  <si>
    <t>TIARA WATI</t>
  </si>
  <si>
    <t>ZAKIA NURZAHRA</t>
  </si>
  <si>
    <t xml:space="preserve">ALPAHRIANSYAH </t>
  </si>
  <si>
    <t>ALYA AULIA SALSABILA</t>
  </si>
  <si>
    <t>DARELL HADRIAN</t>
  </si>
  <si>
    <t>ENJELIKA NAOMI</t>
  </si>
  <si>
    <t>HALIM HAMDAN RAFIQI</t>
  </si>
  <si>
    <t>JAVIER ABQARI ARDANTHA</t>
  </si>
  <si>
    <t xml:space="preserve">NADIA EFITA SAFITRI </t>
  </si>
  <si>
    <t>RIZKY RAMADHANI</t>
  </si>
  <si>
    <t xml:space="preserve">SALMA SANTIKA WULANDARI </t>
  </si>
  <si>
    <t xml:space="preserve">SASYA SYAFITRI </t>
  </si>
  <si>
    <t xml:space="preserve">VIANTIKA DWI JULIANTI </t>
  </si>
  <si>
    <t>YURI AURA LESTARI</t>
  </si>
  <si>
    <t>ABDI ARYO NURFADILAH</t>
  </si>
  <si>
    <t>ADITYA</t>
  </si>
  <si>
    <t xml:space="preserve">AHMAD NUR SYAFIQ </t>
  </si>
  <si>
    <t xml:space="preserve">AL FAATHIR ARRAJ </t>
  </si>
  <si>
    <t xml:space="preserve">ANANDA RAFKA VALENTINO KUSUMA </t>
  </si>
  <si>
    <t xml:space="preserve">ANGGI SAPUTRA IRAWAN </t>
  </si>
  <si>
    <t>ARDA ZEMA RAMADHAN</t>
  </si>
  <si>
    <t>ARDAN ALI</t>
  </si>
  <si>
    <t>DAFA RIZKI RIAHWAN</t>
  </si>
  <si>
    <t xml:space="preserve">DAREL MOHAMMAD RASYA </t>
  </si>
  <si>
    <t>DHAVA RIZKY KURNIAWAN</t>
  </si>
  <si>
    <t>ERLIANO DZAKWAN FADHIL FAJARI</t>
  </si>
  <si>
    <t xml:space="preserve">FARTIAN NANDA LEWOGETE </t>
  </si>
  <si>
    <t>HANIF ZULFA MAKARRIM</t>
  </si>
  <si>
    <t xml:space="preserve">IHZA RADINAL MUSLIM </t>
  </si>
  <si>
    <t>IRSYAD ZAMZAMI</t>
  </si>
  <si>
    <t>LENDRA AHMAD SETIO</t>
  </si>
  <si>
    <t xml:space="preserve">M.NUR FADLI PUTRA RIYADI </t>
  </si>
  <si>
    <t>MAULANA NUR AFIF A.W</t>
  </si>
  <si>
    <t xml:space="preserve">MUHAMMAD FACHRI ILHAM </t>
  </si>
  <si>
    <t>MUHAMMAD SYARIF HIDAYATULLOH</t>
  </si>
  <si>
    <t>NICHOLAS KEANDRA ALFARISYI</t>
  </si>
  <si>
    <t xml:space="preserve">PIKI ADITIA </t>
  </si>
  <si>
    <t>RADITYA ABDIEL SETIAWAN</t>
  </si>
  <si>
    <t>RADITYA DAMARIS</t>
  </si>
  <si>
    <t>RAFIANSYAH RIZKI FAHREZI</t>
  </si>
  <si>
    <t>RAMA RIZKY HAQ NAHAR</t>
  </si>
  <si>
    <t>RIDHO AKBAR SATRYO</t>
  </si>
  <si>
    <t xml:space="preserve">SHORAYA SETIANA NUGRAHA </t>
  </si>
  <si>
    <t>ADE RIZLI BASOROH</t>
  </si>
  <si>
    <t>AHMAD RAFI FADILAH</t>
  </si>
  <si>
    <t>ALTAF GHANIM PRASETIYO</t>
  </si>
  <si>
    <t>ANDARU RAMA BRIAN PRADANA</t>
  </si>
  <si>
    <t>AUFADIO MUSYAFA</t>
  </si>
  <si>
    <t>DHIEGO BANYU MILITO</t>
  </si>
  <si>
    <t>FAUZAN FATURROHMAN</t>
  </si>
  <si>
    <t>IBRAHIM RAFLI AD'HADI</t>
  </si>
  <si>
    <t xml:space="preserve">IRLANGGA ADITYA PRATAMA </t>
  </si>
  <si>
    <t>KEVIN RAMA ADHYAKSA</t>
  </si>
  <si>
    <t xml:space="preserve">MUHAMMAD NAUFAL </t>
  </si>
  <si>
    <t>M.RIFQI AL BAIHAQY</t>
  </si>
  <si>
    <t>MOHAMMAD IBNU HAFIDH</t>
  </si>
  <si>
    <t xml:space="preserve">MUHAMMAD DINAMIC ACERA </t>
  </si>
  <si>
    <t>MUHAMMAD GHIFARY</t>
  </si>
  <si>
    <t xml:space="preserve">NAUFAL AFKAR IDLAN </t>
  </si>
  <si>
    <t>RADEN MUHAMMAD GENTA MAULANA RACHMAN</t>
  </si>
  <si>
    <t>RAFI ABDUL KARIM</t>
  </si>
  <si>
    <t>RAFID ZUFAR AZMI</t>
  </si>
  <si>
    <t>RANDY ACHMAD JULIANTO</t>
  </si>
  <si>
    <t xml:space="preserve">RISKI </t>
  </si>
  <si>
    <t>RISKY ISMED ISKANDAR</t>
  </si>
  <si>
    <t xml:space="preserve">SELO FEBIANTO </t>
  </si>
  <si>
    <t>ZAHRUL AZMI</t>
  </si>
  <si>
    <t>242510068</t>
  </si>
  <si>
    <t xml:space="preserve">AFGA NAUFAL PRATAMA </t>
  </si>
  <si>
    <t>242510069</t>
  </si>
  <si>
    <t xml:space="preserve">AJENG ILAYKANADIRA </t>
  </si>
  <si>
    <t>242510070</t>
  </si>
  <si>
    <t>ALEA DEA MOZZA</t>
  </si>
  <si>
    <t>242510071</t>
  </si>
  <si>
    <t>ALIF FADHLURROHMAN</t>
  </si>
  <si>
    <t>242510072</t>
  </si>
  <si>
    <t xml:space="preserve">ALIFFATURRAHMAN MAKKARUMPA </t>
  </si>
  <si>
    <t>242510073</t>
  </si>
  <si>
    <t>ANISA DHIYA ULHAQ</t>
  </si>
  <si>
    <t>242510074</t>
  </si>
  <si>
    <t>ARZA FIQRI GHOZALI</t>
  </si>
  <si>
    <t>242510075</t>
  </si>
  <si>
    <t>CANTIKA SILKA MIFTAKHUL JANNAH</t>
  </si>
  <si>
    <t>242510076</t>
  </si>
  <si>
    <t>DENNIS REIVAN YOHANES</t>
  </si>
  <si>
    <t>242510077</t>
  </si>
  <si>
    <t xml:space="preserve">DINDA FAIRUZ NURI </t>
  </si>
  <si>
    <t>242510078</t>
  </si>
  <si>
    <t>EVAN FADILAH AFRIZAL</t>
  </si>
  <si>
    <t>242510079</t>
  </si>
  <si>
    <t xml:space="preserve">FAHRI AL-FARIZI </t>
  </si>
  <si>
    <t>242510080</t>
  </si>
  <si>
    <t>FAIZAH DISTINA OCTAVIANI</t>
  </si>
  <si>
    <t>242510081</t>
  </si>
  <si>
    <t>GIO PUTRA RAMADHAN</t>
  </si>
  <si>
    <t>242510082</t>
  </si>
  <si>
    <t>IBRAHIM MUBAROK</t>
  </si>
  <si>
    <t>242510083</t>
  </si>
  <si>
    <t xml:space="preserve">INEZTA SYALFALIA HUSNADIN </t>
  </si>
  <si>
    <t>242510084</t>
  </si>
  <si>
    <t>KEISYA KIRANI DEWI</t>
  </si>
  <si>
    <t>242510085</t>
  </si>
  <si>
    <t>KEIZA AYU RAMADANI</t>
  </si>
  <si>
    <t>242510086</t>
  </si>
  <si>
    <t xml:space="preserve">LADIESA SEPTIANA RAMADHANI </t>
  </si>
  <si>
    <t>242510087</t>
  </si>
  <si>
    <t>LETHISYA SHAZIA</t>
  </si>
  <si>
    <t>242510088</t>
  </si>
  <si>
    <t>MA'LA KHOIRIYAH</t>
  </si>
  <si>
    <t>242510089</t>
  </si>
  <si>
    <t>MUHAMAD ABDUL HADI</t>
  </si>
  <si>
    <t>242510090</t>
  </si>
  <si>
    <t>MUHAMMAD GILANG SETIAWAN</t>
  </si>
  <si>
    <t>242510091</t>
  </si>
  <si>
    <t xml:space="preserve">NADIRA RAMADHANI </t>
  </si>
  <si>
    <t>242510092</t>
  </si>
  <si>
    <t>NADYA SALSABILA</t>
  </si>
  <si>
    <t>242510093</t>
  </si>
  <si>
    <t>NAKIA SWEETY VADINCHA</t>
  </si>
  <si>
    <t>242510094</t>
  </si>
  <si>
    <t>NOVITA PURNAMASARI</t>
  </si>
  <si>
    <t>242510095</t>
  </si>
  <si>
    <t>RAFA RIZAL</t>
  </si>
  <si>
    <t>242510096</t>
  </si>
  <si>
    <t>RAKHA KHEIZA WINARDI</t>
  </si>
  <si>
    <t>242510097</t>
  </si>
  <si>
    <t>RIDHO AL FAYYADH PRATAMA</t>
  </si>
  <si>
    <t>242510098</t>
  </si>
  <si>
    <t>SAVA MAHESA</t>
  </si>
  <si>
    <t>242510099</t>
  </si>
  <si>
    <t>SIFA NUR AULIA</t>
  </si>
  <si>
    <t>242510100</t>
  </si>
  <si>
    <t>SYAKIRA RAMADHANI</t>
  </si>
  <si>
    <t>242510101</t>
  </si>
  <si>
    <t>VIERDY ADAMS RUSWANDY</t>
  </si>
  <si>
    <t>242510102</t>
  </si>
  <si>
    <t>YULYANAH</t>
  </si>
  <si>
    <t>242510103</t>
  </si>
  <si>
    <t>ZAHRA PUTRI RAMADHANI</t>
  </si>
  <si>
    <t>242510104</t>
  </si>
  <si>
    <t xml:space="preserve">ZIVANNA GENDHIS NAMIRA KHAZANY </t>
  </si>
  <si>
    <t xml:space="preserve">AJENG GAYATRI PADMA DEWI </t>
  </si>
  <si>
    <t>AISYAH ABDUL BASHAR</t>
  </si>
  <si>
    <t xml:space="preserve">AL - DIRA AGYA PUTRA JANUAR </t>
  </si>
  <si>
    <t>AMIRULLOH</t>
  </si>
  <si>
    <t>ARAUF RIZKI FADILA</t>
  </si>
  <si>
    <t xml:space="preserve">ASYIFA LUTHFIANI </t>
  </si>
  <si>
    <t>CAHYA DARA AULIYA NB</t>
  </si>
  <si>
    <t xml:space="preserve">DIBYA AFRIL ANDINI </t>
  </si>
  <si>
    <t>EVAN GHEYSAR SULTANI LUBIS</t>
  </si>
  <si>
    <t xml:space="preserve">FAIQ AFLAH PUTRA ISMA RITONGA </t>
  </si>
  <si>
    <t>FIRMANSYAH INDRATNO</t>
  </si>
  <si>
    <t>GUNTORO BAMBANG SANTOSO</t>
  </si>
  <si>
    <t>HARIS SAPUTRA</t>
  </si>
  <si>
    <t xml:space="preserve">ILHAM YUDI DARMAWAN </t>
  </si>
  <si>
    <t>JUAN WAHHAB PARTAMA JIPUTRA</t>
  </si>
  <si>
    <t>KAREN WULANDARI</t>
  </si>
  <si>
    <t xml:space="preserve">KENZO TANJAYA </t>
  </si>
  <si>
    <t>M.RASYA IBNU NASIR</t>
  </si>
  <si>
    <t>MARIO FATHIN RONDONUWU</t>
  </si>
  <si>
    <t>MUHAMMAD ALDI FIRMANSYAH</t>
  </si>
  <si>
    <t>MUHAMMAD FAKHRI AFFANDI</t>
  </si>
  <si>
    <t>MUHAMMAD GIBRAN BRAMANTYO</t>
  </si>
  <si>
    <t>MUHAMMAD RAMADHAN</t>
  </si>
  <si>
    <t>NADIA MHEILIA NADIFAH</t>
  </si>
  <si>
    <t>NAURA ADZKIA SHODA</t>
  </si>
  <si>
    <t>NOVAL ISAD ALIZKY</t>
  </si>
  <si>
    <t xml:space="preserve">NURAINI </t>
  </si>
  <si>
    <t>PUTRI MEI LESTARI</t>
  </si>
  <si>
    <t>PUTRI KHOLIFAH RAMDANI</t>
  </si>
  <si>
    <t xml:space="preserve">RAISYA CHAIRALINA </t>
  </si>
  <si>
    <t xml:space="preserve">RANU FAUZIANSYAH </t>
  </si>
  <si>
    <t xml:space="preserve">SILFI AMELIA </t>
  </si>
  <si>
    <t xml:space="preserve">TIARA LESTARI </t>
  </si>
  <si>
    <t xml:space="preserve">YESA LADY DREA TAMPUBOLON </t>
  </si>
  <si>
    <t>ZAHRA KARISHA NAZOYA</t>
  </si>
  <si>
    <t xml:space="preserve">ZAHRA NAHWA AL IZAH </t>
  </si>
  <si>
    <t>ZHAFRAN AXEL</t>
  </si>
  <si>
    <t>ADINDA ZHAFIRA SARAPOVA</t>
  </si>
  <si>
    <t>ALEA DAMITHA RAISSA</t>
  </si>
  <si>
    <t xml:space="preserve">ANAYA ISHMA MAYDRIYANI </t>
  </si>
  <si>
    <t>ANNIDA KHOLIANA DAULAY</t>
  </si>
  <si>
    <t>ANNISA NUR ZAHRA</t>
  </si>
  <si>
    <t>ASYIFA NUR RAHMA</t>
  </si>
  <si>
    <t xml:space="preserve">AURA AZZAHRA </t>
  </si>
  <si>
    <t>AUREL NAZWA</t>
  </si>
  <si>
    <t>AZAHRA ALFIYANI</t>
  </si>
  <si>
    <t>BELVA PUTRI OKTAVIA</t>
  </si>
  <si>
    <t>CHARISSA ALQARISNA LARASATI</t>
  </si>
  <si>
    <t>CHRISTALEA ISABELLA  QUENNLY KOYO</t>
  </si>
  <si>
    <t>FABIAN AFDAREJA</t>
  </si>
  <si>
    <t xml:space="preserve">FIKA ADE PUTRI </t>
  </si>
  <si>
    <t>KEISHA QUEEN RAMADHIAN ASSHALA</t>
  </si>
  <si>
    <t>KIRANIA APRILIA</t>
  </si>
  <si>
    <t>LAUDYA SABRINA PUTRY</t>
  </si>
  <si>
    <t>LEONY MICHELEA SIREGAR</t>
  </si>
  <si>
    <t>MUHAMMAD RASYAH RAMADHAN</t>
  </si>
  <si>
    <t>NASYA RIZKY KHOFIFAH</t>
  </si>
  <si>
    <t>NIA LUTFIANI</t>
  </si>
  <si>
    <t xml:space="preserve">NILAM CAHAYA </t>
  </si>
  <si>
    <t>OLIVIA BELTA</t>
  </si>
  <si>
    <t xml:space="preserve">OLIVIA BIANDA ZIYAN SAQIELA </t>
  </si>
  <si>
    <t>RAISHA ZULFA KIRANA</t>
  </si>
  <si>
    <t>SYARIFAH HILWA ALKAFF</t>
  </si>
  <si>
    <t>TASYA FAIRUZ KHALISAH</t>
  </si>
  <si>
    <t>YAMA ANDIRA SAPUTRI</t>
  </si>
  <si>
    <t>232410001</t>
  </si>
  <si>
    <t>232410002</t>
  </si>
  <si>
    <t>232410003</t>
  </si>
  <si>
    <t>232410004</t>
  </si>
  <si>
    <t>232410006</t>
  </si>
  <si>
    <t>232410007</t>
  </si>
  <si>
    <t>232410008</t>
  </si>
  <si>
    <t>232410009</t>
  </si>
  <si>
    <t>232410010</t>
  </si>
  <si>
    <t>232410011</t>
  </si>
  <si>
    <t>232410012</t>
  </si>
  <si>
    <t>232410013</t>
  </si>
  <si>
    <t>232410014</t>
  </si>
  <si>
    <t>232410218</t>
  </si>
  <si>
    <t>RACHMAD FERDYANSYAH</t>
  </si>
  <si>
    <t>232410015</t>
  </si>
  <si>
    <t>232410016</t>
  </si>
  <si>
    <t>232410018</t>
  </si>
  <si>
    <t>232410019</t>
  </si>
  <si>
    <t>232410020</t>
  </si>
  <si>
    <t>232410021</t>
  </si>
  <si>
    <t>232410022</t>
  </si>
  <si>
    <t>232410023</t>
  </si>
  <si>
    <t>DIMAS RAHMADI SUJATMIKO</t>
  </si>
  <si>
    <t>232410024</t>
  </si>
  <si>
    <t>232410025</t>
  </si>
  <si>
    <t>FASYAH FADILAH APRILIAN</t>
  </si>
  <si>
    <t>232410026</t>
  </si>
  <si>
    <t>232410027</t>
  </si>
  <si>
    <t>232410028</t>
  </si>
  <si>
    <t>232410029</t>
  </si>
  <si>
    <t>LEONARDO SARWO SAMBODO</t>
  </si>
  <si>
    <t>232410030</t>
  </si>
  <si>
    <t>232410031</t>
  </si>
  <si>
    <t>232410032</t>
  </si>
  <si>
    <t>232410033</t>
  </si>
  <si>
    <t>232410034</t>
  </si>
  <si>
    <t>232410036</t>
  </si>
  <si>
    <t>232410037</t>
  </si>
  <si>
    <t>232410038</t>
  </si>
  <si>
    <t>232410039</t>
  </si>
  <si>
    <t>232410040</t>
  </si>
  <si>
    <t>232410041</t>
  </si>
  <si>
    <t>232410042</t>
  </si>
  <si>
    <t>232410043</t>
  </si>
  <si>
    <t>232410044</t>
  </si>
  <si>
    <t>232410045</t>
  </si>
  <si>
    <t>232410046</t>
  </si>
  <si>
    <t>232410080</t>
  </si>
  <si>
    <t>232410219</t>
  </si>
  <si>
    <t>M.WALIYA HAFIZH</t>
  </si>
  <si>
    <t>232410047</t>
  </si>
  <si>
    <t>232410049</t>
  </si>
  <si>
    <t>232410050</t>
  </si>
  <si>
    <t>232410051</t>
  </si>
  <si>
    <t>ARVA ADLYN NAZURAH</t>
  </si>
  <si>
    <t>232410053</t>
  </si>
  <si>
    <t>232410054</t>
  </si>
  <si>
    <t>232410055</t>
  </si>
  <si>
    <t>232410056</t>
  </si>
  <si>
    <t>232410057</t>
  </si>
  <si>
    <t>232410059</t>
  </si>
  <si>
    <t>232410060</t>
  </si>
  <si>
    <t>232410061</t>
  </si>
  <si>
    <t>HASBY NURHIDAYAT</t>
  </si>
  <si>
    <t>232410062</t>
  </si>
  <si>
    <t>232410063</t>
  </si>
  <si>
    <t>232410064</t>
  </si>
  <si>
    <t>232410065</t>
  </si>
  <si>
    <t>232410066</t>
  </si>
  <si>
    <t>232410067</t>
  </si>
  <si>
    <t>232410068</t>
  </si>
  <si>
    <t>232410069</t>
  </si>
  <si>
    <t>232410070</t>
  </si>
  <si>
    <t>232410071</t>
  </si>
  <si>
    <t>232410072</t>
  </si>
  <si>
    <t>232410073</t>
  </si>
  <si>
    <t>232410075</t>
  </si>
  <si>
    <t>232410076</t>
  </si>
  <si>
    <t>232410077</t>
  </si>
  <si>
    <t>232410078</t>
  </si>
  <si>
    <t>232410079</t>
  </si>
  <si>
    <t>232410215</t>
  </si>
  <si>
    <t>ADLY RIZKY DANIEL</t>
  </si>
  <si>
    <t>M.NABIL ADIB RAMADHAN</t>
  </si>
  <si>
    <t>232410081</t>
  </si>
  <si>
    <t>232410082</t>
  </si>
  <si>
    <t>232410083</t>
  </si>
  <si>
    <t>232410084</t>
  </si>
  <si>
    <t>232410085</t>
  </si>
  <si>
    <t>232410086</t>
  </si>
  <si>
    <t>232410087</t>
  </si>
  <si>
    <t>232410089</t>
  </si>
  <si>
    <t>232410090</t>
  </si>
  <si>
    <t>232410091</t>
  </si>
  <si>
    <t>232410092</t>
  </si>
  <si>
    <t>232410093</t>
  </si>
  <si>
    <t>232410095</t>
  </si>
  <si>
    <t>232410096</t>
  </si>
  <si>
    <t>KAMILIYA NAURAH QURRATUAIN ALMAKAWI</t>
  </si>
  <si>
    <t>232410097</t>
  </si>
  <si>
    <t>232410098</t>
  </si>
  <si>
    <t>232410099</t>
  </si>
  <si>
    <t>MUHAMMAD ADITYA PRATAMA</t>
  </si>
  <si>
    <t>232410100</t>
  </si>
  <si>
    <t>232410101</t>
  </si>
  <si>
    <t>232410102</t>
  </si>
  <si>
    <t>232410103</t>
  </si>
  <si>
    <t>232410104</t>
  </si>
  <si>
    <t>232410105</t>
  </si>
  <si>
    <t>232410106</t>
  </si>
  <si>
    <t>232410107</t>
  </si>
  <si>
    <t>232410108</t>
  </si>
  <si>
    <t>232410110</t>
  </si>
  <si>
    <t>232410111</t>
  </si>
  <si>
    <t>SYALSHABILLA NAMIRA OKTAVIA ZAKHROTUS SHYNTA</t>
  </si>
  <si>
    <t>232410112</t>
  </si>
  <si>
    <t>232410113</t>
  </si>
  <si>
    <t>TIARA NUR RAHMAWATI</t>
  </si>
  <si>
    <t>232410217</t>
  </si>
  <si>
    <t>ZALFA NABILLA BILQIS</t>
  </si>
  <si>
    <t>232410115</t>
  </si>
  <si>
    <t>232410116</t>
  </si>
  <si>
    <t>232410117</t>
  </si>
  <si>
    <t>232410118</t>
  </si>
  <si>
    <t>232410119</t>
  </si>
  <si>
    <t>232410120</t>
  </si>
  <si>
    <t>232410121</t>
  </si>
  <si>
    <t>232410122</t>
  </si>
  <si>
    <t>232410123</t>
  </si>
  <si>
    <t>232410124</t>
  </si>
  <si>
    <t>232410125</t>
  </si>
  <si>
    <t>FEBRYAN PRATAMA PUTRA</t>
  </si>
  <si>
    <t>232410126</t>
  </si>
  <si>
    <t>HALFA NATASYA KHOIRUN NISA</t>
  </si>
  <si>
    <t>232410127</t>
  </si>
  <si>
    <t>232410128</t>
  </si>
  <si>
    <t>232410129</t>
  </si>
  <si>
    <t>232410130</t>
  </si>
  <si>
    <t>232410131</t>
  </si>
  <si>
    <t>232410132</t>
  </si>
  <si>
    <t>232410134</t>
  </si>
  <si>
    <t>232410135</t>
  </si>
  <si>
    <t>232410136</t>
  </si>
  <si>
    <t>232410137</t>
  </si>
  <si>
    <t>232410138</t>
  </si>
  <si>
    <t>232410139</t>
  </si>
  <si>
    <t>232410140</t>
  </si>
  <si>
    <t>232410141</t>
  </si>
  <si>
    <t>232410142</t>
  </si>
  <si>
    <t>232410143</t>
  </si>
  <si>
    <t>232410144</t>
  </si>
  <si>
    <t>232410145</t>
  </si>
  <si>
    <t>232410146</t>
  </si>
  <si>
    <t>232410147</t>
  </si>
  <si>
    <t>232410074</t>
  </si>
  <si>
    <t>232410148</t>
  </si>
  <si>
    <t>232410149</t>
  </si>
  <si>
    <t>232410150</t>
  </si>
  <si>
    <t>232410152</t>
  </si>
  <si>
    <t>232410153</t>
  </si>
  <si>
    <t>232410154</t>
  </si>
  <si>
    <t>232410155</t>
  </si>
  <si>
    <t>232410156</t>
  </si>
  <si>
    <t>232410157</t>
  </si>
  <si>
    <t>232410158</t>
  </si>
  <si>
    <t>232410159</t>
  </si>
  <si>
    <t>232410160</t>
  </si>
  <si>
    <t>232410161</t>
  </si>
  <si>
    <t>232410162</t>
  </si>
  <si>
    <t>232410163</t>
  </si>
  <si>
    <t>232410164</t>
  </si>
  <si>
    <t>232410165</t>
  </si>
  <si>
    <t>232410166</t>
  </si>
  <si>
    <t>232410167</t>
  </si>
  <si>
    <t>232410168</t>
  </si>
  <si>
    <t>LIONEL FERDINAN MESSI SINAGA</t>
  </si>
  <si>
    <t>232410169</t>
  </si>
  <si>
    <t>232410170</t>
  </si>
  <si>
    <t>232410171</t>
  </si>
  <si>
    <t>232410172</t>
  </si>
  <si>
    <t>232410173</t>
  </si>
  <si>
    <t>MUHAMMAD YODHA ARKANATHA</t>
  </si>
  <si>
    <t>232410174</t>
  </si>
  <si>
    <t>232410175</t>
  </si>
  <si>
    <t>232410176</t>
  </si>
  <si>
    <t>232410177</t>
  </si>
  <si>
    <t>232410178</t>
  </si>
  <si>
    <t>232410179</t>
  </si>
  <si>
    <t>232410180</t>
  </si>
  <si>
    <t>232410216</t>
  </si>
  <si>
    <t>NAILA FAKHRIYAH EL-HARITS</t>
  </si>
  <si>
    <t>232410182</t>
  </si>
  <si>
    <t>232410184</t>
  </si>
  <si>
    <t>232410185</t>
  </si>
  <si>
    <t>232410186</t>
  </si>
  <si>
    <t>232410187</t>
  </si>
  <si>
    <t>DEFFA AL KHALIQA AQSHA</t>
  </si>
  <si>
    <t>232410188</t>
  </si>
  <si>
    <t>232410189</t>
  </si>
  <si>
    <t>232410190</t>
  </si>
  <si>
    <t>232410191</t>
  </si>
  <si>
    <t>232410192</t>
  </si>
  <si>
    <t>232410193</t>
  </si>
  <si>
    <t>232410194</t>
  </si>
  <si>
    <t>232410195</t>
  </si>
  <si>
    <t>232410196</t>
  </si>
  <si>
    <t>232410197</t>
  </si>
  <si>
    <t>232410198</t>
  </si>
  <si>
    <t>232410199</t>
  </si>
  <si>
    <t>232410200</t>
  </si>
  <si>
    <t>232410201</t>
  </si>
  <si>
    <t>232410203</t>
  </si>
  <si>
    <t>NUCHAHAYDA KUSUMAWARDHANI AINUNJANNAH</t>
  </si>
  <si>
    <t>232410204</t>
  </si>
  <si>
    <t>232410205</t>
  </si>
  <si>
    <t>232410206</t>
  </si>
  <si>
    <t>232410207</t>
  </si>
  <si>
    <t>232410208</t>
  </si>
  <si>
    <t>232410209</t>
  </si>
  <si>
    <t>232410210</t>
  </si>
  <si>
    <t>VERAWATI PAJRIN</t>
  </si>
  <si>
    <t>232410211</t>
  </si>
  <si>
    <t>ASSYIFA ZAHRA</t>
  </si>
  <si>
    <t>AMANDA ZAHRA FEBRIYANI</t>
  </si>
  <si>
    <t>KHALIF HONES TAWADLU</t>
  </si>
  <si>
    <t>KAREEM ABDUL RAHMAN AL AYYUBI</t>
  </si>
  <si>
    <t>M. RIZKI HARDIANSYAH</t>
  </si>
  <si>
    <t>FARHAN RIZKY RAMADAN</t>
  </si>
  <si>
    <t>GRACE CALLISTA MONINGKA</t>
  </si>
  <si>
    <t>AUREL CIKA NOVIYANTI</t>
  </si>
  <si>
    <t>BILQIS NAZWA SAFIRA</t>
  </si>
  <si>
    <t>CKHALISTA ANA TASYA</t>
  </si>
  <si>
    <t>FIRJATULLAH ADIS BUDIONA</t>
  </si>
  <si>
    <t>MUHAMMAD AL GHAZALI</t>
  </si>
  <si>
    <t>NURIN ARISTI SYAFINATUN QOLBI</t>
  </si>
  <si>
    <t>PUTRA SYAMIRA ALGHANI</t>
  </si>
  <si>
    <t>RAYZHAN FEBIAN SYAM</t>
  </si>
  <si>
    <t>SYECHKA ANANDA AGUTA</t>
  </si>
  <si>
    <t>AL ZAHRA ELAN SUNANDAR</t>
  </si>
  <si>
    <t>FADILAH AZAHRA</t>
  </si>
  <si>
    <t>KHAIRAH SYAFA SUMAYYAH</t>
  </si>
  <si>
    <t>NANDA FARREL NUR WICAKSONO</t>
  </si>
  <si>
    <t>VALENTINO VAN ENST</t>
  </si>
  <si>
    <t>SITI ZASKIA PUTRI ANDINI</t>
  </si>
  <si>
    <t>ALYA CINDI ANGGRAENI</t>
  </si>
  <si>
    <t>PUAN MARITO DINDA ELSADAY LUMBANTUNGKUP</t>
  </si>
  <si>
    <t>R. CAYSHIA FEBRILYAN</t>
  </si>
  <si>
    <t>RENDA MAWAR RANI</t>
  </si>
  <si>
    <t>SASKIA ARSYINTA</t>
  </si>
  <si>
    <t xml:space="preserve">POIN </t>
  </si>
  <si>
    <t>TERLAMBAT</t>
  </si>
  <si>
    <t>KASUS</t>
  </si>
  <si>
    <t>POIN AWAL</t>
  </si>
  <si>
    <t>SISA POIN</t>
  </si>
  <si>
    <t>TIDAK HADIR 
TANPA KETERANGAN</t>
  </si>
  <si>
    <t>JUMLAH POIN</t>
  </si>
  <si>
    <t>NOTES</t>
  </si>
  <si>
    <t>JENIS POIN</t>
  </si>
  <si>
    <t>MENYESUAIKAN</t>
  </si>
  <si>
    <t>39</t>
  </si>
  <si>
    <t>AHMAD DAFFA ALWA RIZAL / AHMAD DAFA ALFAREZA</t>
  </si>
  <si>
    <t>ARJUNA RAFI ABAD</t>
  </si>
  <si>
    <t>38</t>
  </si>
  <si>
    <t>40</t>
  </si>
  <si>
    <t>NELVI ARLIA</t>
  </si>
  <si>
    <t xml:space="preserve"> </t>
  </si>
  <si>
    <t>KELAS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</si>
  <si>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</si>
  <si>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</si>
  <si>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</si>
  <si>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</si>
  <si>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</si>
  <si>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</si>
  <si>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</si>
  <si>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</si>
  <si>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</si>
  <si>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</si>
  <si>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</si>
  <si>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</si>
  <si>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</si>
  <si>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</si>
  <si>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</si>
  <si>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</si>
  <si>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</si>
  <si>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</si>
  <si>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</si>
  <si>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</si>
  <si>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</si>
  <si>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</si>
  <si>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</si>
  <si>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</si>
  <si>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</si>
  <si>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</si>
  <si>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</si>
  <si>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</si>
  <si>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</si>
  <si>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</si>
  <si>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</si>
  <si>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</si>
  <si>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</si>
  <si>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</si>
  <si>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</si>
  <si>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</si>
  <si>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</si>
  <si>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</si>
  <si>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</si>
  <si>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</si>
  <si>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</si>
  <si>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</si>
  <si>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</si>
  <si>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</si>
  <si>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</si>
  <si>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</si>
  <si>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</si>
  <si>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</si>
  <si>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</si>
  <si>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</si>
  <si>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</si>
  <si>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</si>
  <si>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</si>
  <si>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</si>
  <si>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</si>
  <si>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</si>
  <si>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</si>
  <si>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</si>
  <si>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</si>
  <si>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</si>
  <si>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</si>
  <si>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</si>
  <si>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</si>
  <si>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</si>
  <si>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</si>
  <si>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</si>
  <si>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</si>
  <si>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</si>
  <si>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</si>
  <si>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</si>
  <si>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</si>
  <si>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</si>
  <si>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</si>
  <si>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</si>
  <si>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</si>
  <si>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</si>
  <si>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</si>
  <si>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</si>
  <si>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</si>
  <si>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</si>
  <si>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</si>
  <si>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</si>
  <si>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</si>
  <si>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</si>
  <si>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</si>
  <si>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</si>
  <si>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</si>
  <si>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</si>
  <si>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</si>
  <si>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</si>
  <si>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</si>
  <si>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</si>
  <si>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</si>
  <si>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</si>
  <si>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</si>
  <si>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</si>
  <si>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</si>
  <si>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</si>
  <si>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</si>
  <si>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</si>
  <si>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</si>
  <si>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</si>
  <si>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</si>
  <si>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</si>
  <si>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</si>
  <si>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</si>
  <si>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</si>
  <si>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</si>
  <si>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</si>
  <si>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</si>
  <si>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</si>
  <si>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</si>
  <si>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</si>
  <si>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</si>
  <si>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</si>
  <si>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</si>
  <si>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</si>
  <si>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</si>
  <si>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</si>
  <si>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</si>
  <si>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</si>
  <si>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</si>
  <si>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</si>
  <si>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</si>
  <si>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</si>
  <si>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</si>
  <si>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</si>
  <si>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</si>
  <si>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</si>
  <si>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</si>
  <si>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HAYKAL</t>
  </si>
  <si>
    <t>171</t>
  </si>
  <si>
    <t>INDRA ERDIANTO NUGROHO</t>
  </si>
  <si>
    <t>IZIN</t>
  </si>
  <si>
    <t>SAKIT</t>
  </si>
  <si>
    <t>ALFA</t>
  </si>
  <si>
    <t xml:space="preserve">NO </t>
  </si>
  <si>
    <t xml:space="preserve">NAMA </t>
  </si>
  <si>
    <t xml:space="preserve">KELAS </t>
  </si>
  <si>
    <t>ABSENSI</t>
  </si>
  <si>
    <t xml:space="preserve">ABSENSI </t>
  </si>
  <si>
    <t xml:space="preserve">XI AKL 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</si>
  <si>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</si>
  <si>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</si>
  <si>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</si>
  <si>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</si>
  <si>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</si>
  <si>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</si>
  <si>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</si>
  <si>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</si>
  <si>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</si>
  <si>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</si>
  <si>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</si>
  <si>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</si>
  <si>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</si>
  <si>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</si>
  <si>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</si>
  <si>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</si>
  <si>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</si>
  <si>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</si>
  <si>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</si>
  <si>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</si>
  <si>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</si>
  <si>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</si>
  <si>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</si>
  <si>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</si>
  <si>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</si>
  <si>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</si>
  <si>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</si>
  <si>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</si>
  <si>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</si>
  <si>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</si>
  <si>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</si>
  <si>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</si>
  <si>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NO</t>
  </si>
  <si>
    <t>NAMA</t>
  </si>
  <si>
    <t>XII TO 1</t>
  </si>
  <si>
    <t>XII TO 2</t>
  </si>
  <si>
    <t>KETERLAMBATAN</t>
  </si>
  <si>
    <t>XII TJKT 1</t>
  </si>
  <si>
    <t>TAHUN PELAJARAN 2025/2026</t>
  </si>
  <si>
    <t>X TSM</t>
  </si>
  <si>
    <t>X TAB</t>
  </si>
  <si>
    <t>Abdul Apriansya Malela</t>
  </si>
  <si>
    <t>Andreas Togu Razocki Situmeang</t>
  </si>
  <si>
    <t>Azka Danish Atalah</t>
  </si>
  <si>
    <t>Eka Sarita Putri</t>
  </si>
  <si>
    <t>Fine Khalbina</t>
  </si>
  <si>
    <t>Hening Rindu Asmara Sakthi</t>
  </si>
  <si>
    <t>Ivan Lukmanulhakim</t>
  </si>
  <si>
    <t>Joan Alfi Samudra</t>
  </si>
  <si>
    <t>Muhamad Azmi Fadilah</t>
  </si>
  <si>
    <t>Muhammad Fadli Rizki Abdullah</t>
  </si>
  <si>
    <t>Muhammad Rif'An Haqi</t>
  </si>
  <si>
    <t>Nazwa Dirlus Putri</t>
  </si>
  <si>
    <t>Nur Hadi Ningrat</t>
  </si>
  <si>
    <t>Ratri Alvya</t>
  </si>
  <si>
    <t>Reyga Ade Candra</t>
  </si>
  <si>
    <t>Rizky Maulana</t>
  </si>
  <si>
    <t>Septi Vitria Ramadani</t>
  </si>
  <si>
    <t>Shania Anggita Nirmala</t>
  </si>
  <si>
    <t>Sri Rahayu</t>
  </si>
  <si>
    <t>Yusuf Tambora Akbar</t>
  </si>
  <si>
    <t>Zahra Dzahrotul Zanah</t>
  </si>
  <si>
    <t>Ach. Sarifuddin</t>
  </si>
  <si>
    <t>Ahmad Fhariz Rizki</t>
  </si>
  <si>
    <t>Akbar Sata Romadhon</t>
  </si>
  <si>
    <t>Alaika Tri Yanda Sari</t>
  </si>
  <si>
    <t>Aryo Bima Yogatama</t>
  </si>
  <si>
    <t>Badai Zacky Arrayan</t>
  </si>
  <si>
    <t>Bramantio Putra Owina</t>
  </si>
  <si>
    <t>Cristian Yosafat Tambunan</t>
  </si>
  <si>
    <t>Davino Bintang Vandrian</t>
  </si>
  <si>
    <t>Dilan Fadillah Salim</t>
  </si>
  <si>
    <t>Dion Wildan Supriatna</t>
  </si>
  <si>
    <t>Dzubyan Fa'Iq</t>
  </si>
  <si>
    <t>Egi Kusuma</t>
  </si>
  <si>
    <t>Fa'Iz Rizqullah</t>
  </si>
  <si>
    <t>Faiz Akbar Ramadhan</t>
  </si>
  <si>
    <t>Firqyzha Aryazsa</t>
  </si>
  <si>
    <t>Heru Hanapi Zakaria</t>
  </si>
  <si>
    <t>Ibrahim Satria Putra</t>
  </si>
  <si>
    <t>Jeremy Gabriel</t>
  </si>
  <si>
    <t>Muhamad Rafli Nabawi</t>
  </si>
  <si>
    <t>Muhammad Arifin Ramadhani</t>
  </si>
  <si>
    <t>Muhammad Dzawawi</t>
  </si>
  <si>
    <t>Muhammad Gibran Bramantyo</t>
  </si>
  <si>
    <t>Muhammad Naufal Hardiansyah</t>
  </si>
  <si>
    <t>Muhammad Rafi</t>
  </si>
  <si>
    <t>Muhammad Ridho</t>
  </si>
  <si>
    <t>Muhammad Zarif Rasyad</t>
  </si>
  <si>
    <t>Nashril Yahya Darussalam</t>
  </si>
  <si>
    <t>Razan Fathi Al-Haq</t>
  </si>
  <si>
    <t>Refansyah Malik</t>
  </si>
  <si>
    <t>Rendy Pratama</t>
  </si>
  <si>
    <t>Ricky Meydani Hasan</t>
  </si>
  <si>
    <t>Ridho Raher</t>
  </si>
  <si>
    <t>Rivanza Ferdianda Samsi</t>
  </si>
  <si>
    <t>Rizqi Abdillah Fajri</t>
  </si>
  <si>
    <t>Safutra Aidil Fazar</t>
  </si>
  <si>
    <t>Stanley Namora Natanael Pardede</t>
  </si>
  <si>
    <t>Waldan Dafa Safaraz</t>
  </si>
  <si>
    <t>Willian Andrinatta</t>
  </si>
  <si>
    <t>Yusuf Kurniawan</t>
  </si>
  <si>
    <t>Al - Baari Rafka Putra</t>
  </si>
  <si>
    <t>Alfardan Ribiantoni</t>
  </si>
  <si>
    <t>Alif Riyandi</t>
  </si>
  <si>
    <t>Andira Arya Utama</t>
  </si>
  <si>
    <t>Andres Dwiyan Putra</t>
  </si>
  <si>
    <t>Andres Firlana</t>
  </si>
  <si>
    <t>Aqilah Okto Widad</t>
  </si>
  <si>
    <t>Ardiansyah Maulana</t>
  </si>
  <si>
    <t>Arji Almalik</t>
  </si>
  <si>
    <t>Arkan Zaidan Zhafran</t>
  </si>
  <si>
    <t>Arrafi Dani Alves</t>
  </si>
  <si>
    <t>Brilliant Dias Vale Sukoco</t>
  </si>
  <si>
    <t>Dhu Dhe Rivano</t>
  </si>
  <si>
    <t>Fajar Dwi Priosambodo</t>
  </si>
  <si>
    <t>Fajriansyah Attin</t>
  </si>
  <si>
    <t>Farel Cahya Putra</t>
  </si>
  <si>
    <t>Farhan Putra Randyawan</t>
  </si>
  <si>
    <t>Haidar Fawwaaz Sudana</t>
  </si>
  <si>
    <t>Jouhan Harya Pranata</t>
  </si>
  <si>
    <t>Keanu Pratama Aryun</t>
  </si>
  <si>
    <t>M. Soleh Fatahilah</t>
  </si>
  <si>
    <t>Marfeliano Ferdinan</t>
  </si>
  <si>
    <t>Marvel Ady Prayoga</t>
  </si>
  <si>
    <t>Muhammad Deva Alrizki</t>
  </si>
  <si>
    <t>Muhammad Dzikri Al Fahry</t>
  </si>
  <si>
    <t>Muhammad Fajar Nugraha</t>
  </si>
  <si>
    <t>Muhammad Muchsin</t>
  </si>
  <si>
    <t>Muhammad Yusuf Aryadi</t>
  </si>
  <si>
    <t>Rafi Fadzillah Yahya</t>
  </si>
  <si>
    <t>Rifqi Priandika</t>
  </si>
  <si>
    <t>Rizki Jodi Pratama Putra</t>
  </si>
  <si>
    <t>Rofi Aditiya Wardana</t>
  </si>
  <si>
    <t>Syawal Fikri Haikal</t>
  </si>
  <si>
    <t>Yonathan Hasiholan Simanjuntak</t>
  </si>
  <si>
    <t>Yongky Putra Setiawan</t>
  </si>
  <si>
    <t>Zidan Rizqullah</t>
  </si>
  <si>
    <t>Nazhar Rizkian</t>
  </si>
  <si>
    <t>Muhammad Alvarizi</t>
  </si>
  <si>
    <t>Ali Alfarizy Lubis</t>
  </si>
  <si>
    <t>Azriel</t>
  </si>
  <si>
    <t>Fairuz Adrian Aganta</t>
  </si>
  <si>
    <t>Faisal Prasetyo</t>
  </si>
  <si>
    <t>Farid Azhar Maulana</t>
  </si>
  <si>
    <t>Farrel Azim Ikhwan Hidayat</t>
  </si>
  <si>
    <t>Gifahri Adiansyah Nugroho</t>
  </si>
  <si>
    <t>Guruh Dwi Saputra</t>
  </si>
  <si>
    <t>Haikal Aditya</t>
  </si>
  <si>
    <t>Hanzhalah Niriza Putra</t>
  </si>
  <si>
    <t>Hazel Zaidan Ahmadinejad</t>
  </si>
  <si>
    <t>Kevin Akbar Putra Kurniawan</t>
  </si>
  <si>
    <t>M. Zakky Firmansyah</t>
  </si>
  <si>
    <t>Muhamad Irpan Zipni</t>
  </si>
  <si>
    <t>Muhamad Jibriell Aditya Pratama</t>
  </si>
  <si>
    <t>Muhamad Rasya Fariz</t>
  </si>
  <si>
    <t>Muhamad Rasya Permata Jaya</t>
  </si>
  <si>
    <t>Muhammad Alif</t>
  </si>
  <si>
    <t>Muhammad Haikal</t>
  </si>
  <si>
    <t>Muhammad Kevin Sanjaya</t>
  </si>
  <si>
    <t>Muhammad Nur Alfiansyah</t>
  </si>
  <si>
    <t>Pradipa Nadhif A Bayanaka</t>
  </si>
  <si>
    <t>Raditya Al Asyhari</t>
  </si>
  <si>
    <t>Raji Riski Ramadhan</t>
  </si>
  <si>
    <t>Ridho Raditya Pratama</t>
  </si>
  <si>
    <t>Yaser Al Qahtaini Budiono</t>
  </si>
  <si>
    <t>Ade Irma Yuliyani</t>
  </si>
  <si>
    <t>Aisyah Virginia Chumairoh</t>
  </si>
  <si>
    <t>Aqila Latifa Ramadhani</t>
  </si>
  <si>
    <t>Athallah Ahmad Rafif</t>
  </si>
  <si>
    <t>Aulia Rafifah Quratuaini</t>
  </si>
  <si>
    <t>Cosa Apriliyani</t>
  </si>
  <si>
    <t>Dzaki Athir Alharis</t>
  </si>
  <si>
    <t>Fahriansyah</t>
  </si>
  <si>
    <t>Fairus Ibnu Haqiqi</t>
  </si>
  <si>
    <t>Fajar Rafif Azwar</t>
  </si>
  <si>
    <t>Giri Putra Rahmadito</t>
  </si>
  <si>
    <t>Ichsan Nurdin</t>
  </si>
  <si>
    <t>Indah Lestari</t>
  </si>
  <si>
    <t>Istianah Nur Abidah</t>
  </si>
  <si>
    <t>Khansa Yuki Fadiyah</t>
  </si>
  <si>
    <t>Kirani Alifiah Hanifah</t>
  </si>
  <si>
    <t>Luthfiana Fauziah</t>
  </si>
  <si>
    <t>Maylove Lilo Hermawan</t>
  </si>
  <si>
    <t>Muammar Khadafi</t>
  </si>
  <si>
    <t>Muhammad Yazid Aljufri</t>
  </si>
  <si>
    <t>Nabila Eka Prasetya</t>
  </si>
  <si>
    <t>Naila Sri Mulyati</t>
  </si>
  <si>
    <t>Nia Amelia Prd</t>
  </si>
  <si>
    <t>Octha Masranatu Zahra</t>
  </si>
  <si>
    <t>Ramdani Maulana Ikhsan</t>
  </si>
  <si>
    <t>Rifqi Ajmal Raihan</t>
  </si>
  <si>
    <t>Rizqi Fatthul Akram</t>
  </si>
  <si>
    <t>Saskia Wulandari</t>
  </si>
  <si>
    <t>Shifa Pramesti Mulianti</t>
  </si>
  <si>
    <t>Siti Khoirunnisa Aripin</t>
  </si>
  <si>
    <t>Syakira Miftahus Saniyah</t>
  </si>
  <si>
    <t>Wardah Qotrunnada</t>
  </si>
  <si>
    <t>Wildan Ahmad Al-Maghribi</t>
  </si>
  <si>
    <t>Yeskiel Valentius</t>
  </si>
  <si>
    <t>Zahri Riyadh Wiranata</t>
  </si>
  <si>
    <t>Agustina Maria Chelsy Rasi</t>
  </si>
  <si>
    <t>Alexander Kevin Jhulianno</t>
  </si>
  <si>
    <t>Allya Rajwa Umairah</t>
  </si>
  <si>
    <t>Althaf Billal Ridyan</t>
  </si>
  <si>
    <t>Alzenna Kusumasetya</t>
  </si>
  <si>
    <t>Azril Raditya Syaputra</t>
  </si>
  <si>
    <t>Cut Fitri Anggi</t>
  </si>
  <si>
    <t>Difa Aulia Sari</t>
  </si>
  <si>
    <t>Elfan Al Jabbar</t>
  </si>
  <si>
    <t>Hodijah</t>
  </si>
  <si>
    <t>Imam Nur Alam</t>
  </si>
  <si>
    <t>Intan Dewi Purwani</t>
  </si>
  <si>
    <t>Kanza Aulia Azahra</t>
  </si>
  <si>
    <t>Khoirunnisa Febriyani</t>
  </si>
  <si>
    <t>Lintang Syahputra Agusti</t>
  </si>
  <si>
    <t>Mikael Ardiaz Pramudya Nugroho</t>
  </si>
  <si>
    <t>Muhammad Ibnu Habar</t>
  </si>
  <si>
    <t>Nazwa Awatari Rahmadhani</t>
  </si>
  <si>
    <t>Nisrina Amalia</t>
  </si>
  <si>
    <t>Raihan Fahmi Al-Farizi</t>
  </si>
  <si>
    <t>Raissa Putri Alfaris</t>
  </si>
  <si>
    <t>Raisyah Humairrah Putri</t>
  </si>
  <si>
    <t>Reyfani Hardiansyah Pradhana</t>
  </si>
  <si>
    <t>Saskia Putri Ananda</t>
  </si>
  <si>
    <t>Sasmita Sasikirana</t>
  </si>
  <si>
    <t>Sonya Ajeng Sayfanka</t>
  </si>
  <si>
    <t>Thaufik Fadhillah</t>
  </si>
  <si>
    <t>Tsurayya Uziel Priyatno</t>
  </si>
  <si>
    <t>Wildan Indra Pratama</t>
  </si>
  <si>
    <t>Yusuf Tri Santoso</t>
  </si>
  <si>
    <t>Zalfa Putri Ashriyani</t>
  </si>
  <si>
    <t>A'Fiifah Syafaria.K</t>
  </si>
  <si>
    <t>Adinda Dwiyanti</t>
  </si>
  <si>
    <t>Adinda Ristiara Saputri</t>
  </si>
  <si>
    <t>Almira Putri Yunianto</t>
  </si>
  <si>
    <t>Amabel Yukino Wijaya Kusuma</t>
  </si>
  <si>
    <t>Aryani Karmilah</t>
  </si>
  <si>
    <t>Aurel Nur Mayanti</t>
  </si>
  <si>
    <t>Azahra Rizkia Indriana</t>
  </si>
  <si>
    <t>Azzilia Nur Sopian</t>
  </si>
  <si>
    <t>Bilqis Maharani</t>
  </si>
  <si>
    <t>Cantika Nazar Muria</t>
  </si>
  <si>
    <t>Citra Azswa Fadillah</t>
  </si>
  <si>
    <t>Devia Azra Hanifah</t>
  </si>
  <si>
    <t>Dina Livia</t>
  </si>
  <si>
    <t>Dinda Siva Febrianti</t>
  </si>
  <si>
    <t>Elis</t>
  </si>
  <si>
    <t>Fany Isahtun Zanah</t>
  </si>
  <si>
    <t>Fitri Ayu Handini</t>
  </si>
  <si>
    <t>Hamidah</t>
  </si>
  <si>
    <t>Harum Rezqi Aditya</t>
  </si>
  <si>
    <t>Indah Nur Maulida</t>
  </si>
  <si>
    <t>Jihan Kamil</t>
  </si>
  <si>
    <t>Kaysa Athiyah Ramadhan</t>
  </si>
  <si>
    <t>Keysha Aurelia Ranindrianti</t>
  </si>
  <si>
    <t>Latisha Indah Putri</t>
  </si>
  <si>
    <t>Mega Asyifa</t>
  </si>
  <si>
    <t>Meisya Auliana Chairunnisa</t>
  </si>
  <si>
    <t>Najla Nashifah</t>
  </si>
  <si>
    <t>Nensya Firstanza</t>
  </si>
  <si>
    <t>Nery Nasyithah Abdulah</t>
  </si>
  <si>
    <t>Rafael Abiyu Prasetyo</t>
  </si>
  <si>
    <t>Rahma Dwi Rosanti</t>
  </si>
  <si>
    <t>Raisya Putri</t>
  </si>
  <si>
    <t>Shafira Syasya Chandani</t>
  </si>
  <si>
    <t>Theresia Maria Caecyllia Rasi</t>
  </si>
  <si>
    <t>Velingga Ken Yuki</t>
  </si>
  <si>
    <t>Villa Nofita Sari</t>
  </si>
  <si>
    <t>Zahra Amelia Vita Ramandhani</t>
  </si>
  <si>
    <t>Abdi Aryo Nurfadilah</t>
  </si>
  <si>
    <t>Aditya</t>
  </si>
  <si>
    <t>Ahmad Nur Syafiq</t>
  </si>
  <si>
    <t>Al Faathir Arraj</t>
  </si>
  <si>
    <t>Ananda Rafka Valentino Kusuma</t>
  </si>
  <si>
    <t>Anggi Saputra Irawan</t>
  </si>
  <si>
    <t>Arda Zema Ramadhan</t>
  </si>
  <si>
    <t>Ardan Ali</t>
  </si>
  <si>
    <t>Dafa Rizki Riahwan</t>
  </si>
  <si>
    <t>Darel Mohammad Rasya</t>
  </si>
  <si>
    <t>Dhava Rizky Kurniawan</t>
  </si>
  <si>
    <t>Erliano Dzakwan Fadhil Fajari</t>
  </si>
  <si>
    <t>Fartian Nanda Lewogete</t>
  </si>
  <si>
    <t>Hanif Zulfa Makarrim</t>
  </si>
  <si>
    <t>Ihza Radinal Muslim</t>
  </si>
  <si>
    <t>Irsyad Zamzami</t>
  </si>
  <si>
    <t>Lendra Ahmad Setio</t>
  </si>
  <si>
    <t>M.Nur Fadli Putra Riyadi</t>
  </si>
  <si>
    <t>Maulana Nur Afif A.W</t>
  </si>
  <si>
    <t>Muhammad Fachri Ilham</t>
  </si>
  <si>
    <t>Muhammad Syarif Hidayatulloh</t>
  </si>
  <si>
    <t>Nicholas Keandra Alfarisyi</t>
  </si>
  <si>
    <t>Piki Aditia</t>
  </si>
  <si>
    <t>Raditya Abdiel Setiawan</t>
  </si>
  <si>
    <t>Raditya Damaris</t>
  </si>
  <si>
    <t>Rafiansyah Rizki Fahrezi</t>
  </si>
  <si>
    <t>Ridho Akbar Satryo</t>
  </si>
  <si>
    <t>Shoraya Setiana Nugraha</t>
  </si>
  <si>
    <t>Ade Rizli Basoroh</t>
  </si>
  <si>
    <t>Ahmad Daffa Alwa Rizal</t>
  </si>
  <si>
    <t>Ahmad Rafi Fadilah</t>
  </si>
  <si>
    <t>Altaf Ghanim Prasetiyo</t>
  </si>
  <si>
    <t>Andaru Rama Brian Pradana</t>
  </si>
  <si>
    <t>Aufadio Musyafa</t>
  </si>
  <si>
    <t>Dhiego Banyu Milito</t>
  </si>
  <si>
    <t>Diyas Nur Alamsyah</t>
  </si>
  <si>
    <t>Fauzan Faturrohman</t>
  </si>
  <si>
    <t>Ibrahim Rafli Ad'Hadi</t>
  </si>
  <si>
    <t>Irlangga Aditya Pratama</t>
  </si>
  <si>
    <t>Kevin Rama Adhyaksa</t>
  </si>
  <si>
    <t>M Rifqi Al-Baihaqy</t>
  </si>
  <si>
    <t>Mohammad Ibnu Hafidh</t>
  </si>
  <si>
    <t>Muhammad Dinamic Acera</t>
  </si>
  <si>
    <t>Muhammad Ghifary</t>
  </si>
  <si>
    <t>Muhammad Naufal</t>
  </si>
  <si>
    <t>Muhammad Ridwan Rifansyah</t>
  </si>
  <si>
    <t>Naufal Afkar Idlan</t>
  </si>
  <si>
    <t>Rafi Abdul Karim</t>
  </si>
  <si>
    <t>Rafid Zufar Azmi</t>
  </si>
  <si>
    <t>Rayhan Ramadhan</t>
  </si>
  <si>
    <t>Riski</t>
  </si>
  <si>
    <t>Risky Ismed Iskandar</t>
  </si>
  <si>
    <t>Selo Febianto</t>
  </si>
  <si>
    <t>Tegar Surya Firmansyah</t>
  </si>
  <si>
    <t>Zahrul Azmi</t>
  </si>
  <si>
    <t>Raden Muhammad Genta Maulana R</t>
  </si>
  <si>
    <t>Afga Naufal Pratama</t>
  </si>
  <si>
    <t>Ajeng Ilayka Nadira</t>
  </si>
  <si>
    <t>Alea Dea Mozza</t>
  </si>
  <si>
    <t>Alif Fadhlurrohman</t>
  </si>
  <si>
    <t>Aliffaturrahman Makkarumpa</t>
  </si>
  <si>
    <t>Alwi Fadhillah</t>
  </si>
  <si>
    <t>Anisa Dhiya Ulhaq</t>
  </si>
  <si>
    <t>Arza Fiqri Ghozali</t>
  </si>
  <si>
    <t>Bagas Hadi Saputra</t>
  </si>
  <si>
    <t>Cantika Silka Miftakhul Jannah</t>
  </si>
  <si>
    <t>Dennis Reivan Yohanes</t>
  </si>
  <si>
    <t>Dinda Fairuz Nuri</t>
  </si>
  <si>
    <t>Evan Fadilah Afrizal</t>
  </si>
  <si>
    <t>Fahri Al-Fahrizi</t>
  </si>
  <si>
    <t>Faizah Distina Octaviani</t>
  </si>
  <si>
    <t>Gio Putra Ramadhan</t>
  </si>
  <si>
    <t>Ibrohim Mubarok</t>
  </si>
  <si>
    <t>Indra Erdianto Nugroho</t>
  </si>
  <si>
    <t>Inezta Syalfalia Husnadin</t>
  </si>
  <si>
    <t>Keisya Kirani Dewi</t>
  </si>
  <si>
    <t>Keiza Ayu Ramadani</t>
  </si>
  <si>
    <t>Ladiesa Septiana Ramadhani</t>
  </si>
  <si>
    <t>Lethisya Shazia</t>
  </si>
  <si>
    <t>Ma'La Khoiriyah</t>
  </si>
  <si>
    <t>Marcellino Putra Pertama</t>
  </si>
  <si>
    <t>Muhamad Abdul Hadi</t>
  </si>
  <si>
    <t>Muhammad Gilang Setiawan</t>
  </si>
  <si>
    <t>Nadira Ramadhani</t>
  </si>
  <si>
    <t>Nadya Salsabila</t>
  </si>
  <si>
    <t>Nakia Sweety Vadincha</t>
  </si>
  <si>
    <t>Nelvi Arliya Firgiyanti</t>
  </si>
  <si>
    <t>Novita Purnamasari</t>
  </si>
  <si>
    <t>Rafa Rizal</t>
  </si>
  <si>
    <t>Rakha Kheiza Winardi</t>
  </si>
  <si>
    <t>Ridho Al Fayyadh Pratama</t>
  </si>
  <si>
    <t>Sifa Nur Aulia</t>
  </si>
  <si>
    <t>Syakira Ramadhani</t>
  </si>
  <si>
    <t>Vierdy Adams Ruswandy</t>
  </si>
  <si>
    <t>Yulyanah</t>
  </si>
  <si>
    <t>Zahra Putri Ramadhani</t>
  </si>
  <si>
    <t>Zivanna Gendhis Namira Khazany</t>
  </si>
  <si>
    <t>Aisyah Abdul Bashar</t>
  </si>
  <si>
    <t>Ajeng Gayatri Padma Dewi</t>
  </si>
  <si>
    <t>Al-Dira Agya Putra Januar</t>
  </si>
  <si>
    <t>Arrauf Rizki Fadila</t>
  </si>
  <si>
    <t>Asyifa Luthfiani</t>
  </si>
  <si>
    <t>Cahya Dara Auliya Nb</t>
  </si>
  <si>
    <t>Dibya Afril Andini</t>
  </si>
  <si>
    <t>Evan Gheysar Sultani Lubis</t>
  </si>
  <si>
    <t>Faiq Aflah Putra Isma Ritonga</t>
  </si>
  <si>
    <t>Firmansyah Indratno</t>
  </si>
  <si>
    <t>Guntoro Bambang Santoso</t>
  </si>
  <si>
    <t>Haris Saputra</t>
  </si>
  <si>
    <t>Haykal</t>
  </si>
  <si>
    <t>Ilham Yudi Darmawan</t>
  </si>
  <si>
    <t>Juan Wahhab Partama Jiputra</t>
  </si>
  <si>
    <t>Karen Wulandari</t>
  </si>
  <si>
    <t>Kenzo Tanjaya</t>
  </si>
  <si>
    <t>Luthfiana Ningrum</t>
  </si>
  <si>
    <t>M Rasya Ibnu Nasir</t>
  </si>
  <si>
    <t>Mario Fathin Rondonuwu</t>
  </si>
  <si>
    <t>Muhamad Aldi Firmansyah</t>
  </si>
  <si>
    <t>Muhammad Fakhri Affandi</t>
  </si>
  <si>
    <t>Muhammad Ramadhan</t>
  </si>
  <si>
    <t>Nadia Mheilia Nadifah</t>
  </si>
  <si>
    <t>Naura Adzkia Shoda</t>
  </si>
  <si>
    <t>Noval Isad Alizky</t>
  </si>
  <si>
    <t>Nuraini</t>
  </si>
  <si>
    <t>Putri Kholifah Ramdani</t>
  </si>
  <si>
    <t>Putri Mei Lestari</t>
  </si>
  <si>
    <t>Raisya Chairalina</t>
  </si>
  <si>
    <t>Ranu Fauziansyah</t>
  </si>
  <si>
    <t>Silfi Amelia</t>
  </si>
  <si>
    <t>Tiara Lestari</t>
  </si>
  <si>
    <t>Yesa Lady Drea Tampubolon</t>
  </si>
  <si>
    <t>Zahra Karisha Nazoya</t>
  </si>
  <si>
    <t>Zahra Nahwa Al Izah</t>
  </si>
  <si>
    <t>Zhafran Axel</t>
  </si>
  <si>
    <t>Adinda Zhafira Sarapova</t>
  </si>
  <si>
    <t>Alea Damitha Raissa</t>
  </si>
  <si>
    <t>Anaya Ishma Maydriyani</t>
  </si>
  <si>
    <t>Annida Kholiana D</t>
  </si>
  <si>
    <t>Annisa Nur Zahra</t>
  </si>
  <si>
    <t>Asyifa Nur Rahma</t>
  </si>
  <si>
    <t>Aura Azzahra</t>
  </si>
  <si>
    <t>Aurel Nazwa</t>
  </si>
  <si>
    <t>Azahra Alfiyani</t>
  </si>
  <si>
    <t>Belva Putri Oktavia</t>
  </si>
  <si>
    <t>Charissa Alqarisna Larasati</t>
  </si>
  <si>
    <t>Christalea Isabella  Quennly Koyo</t>
  </si>
  <si>
    <t>Fabian Afdareja</t>
  </si>
  <si>
    <t>Fika Ade Putri</t>
  </si>
  <si>
    <t>Keisha Queen Ramadhian Asshala</t>
  </si>
  <si>
    <t>Kirania Aprilia</t>
  </si>
  <si>
    <t>Laudya Sabrina Putry</t>
  </si>
  <si>
    <t>Leony Michelea Siregar</t>
  </si>
  <si>
    <t>Muhammad Rassyah Ramadhan</t>
  </si>
  <si>
    <t>Nasya Rizky Khofifah</t>
  </si>
  <si>
    <t>Nia Lutfiani</t>
  </si>
  <si>
    <t>Nilam Cahaya</t>
  </si>
  <si>
    <t>Olivia Belta</t>
  </si>
  <si>
    <t>Olivia Bianda Ziyan Saqiela</t>
  </si>
  <si>
    <t>Raisha Zulfa Kirana</t>
  </si>
  <si>
    <t>Retno Sekar Arum</t>
  </si>
  <si>
    <t>Syarifah Hilwa Alkaff</t>
  </si>
  <si>
    <t>Tasya Fairuz Khalisah</t>
  </si>
  <si>
    <t>Yama Andira Saputri</t>
  </si>
  <si>
    <t>Abdullah Darwisy Syakir</t>
  </si>
  <si>
    <t>Ahmad Luthfi Duha</t>
  </si>
  <si>
    <t>Albrilian Rasya Saputra</t>
  </si>
  <si>
    <t>Arjuna Abdi Pratama</t>
  </si>
  <si>
    <t>Arya Budi Prasetya</t>
  </si>
  <si>
    <t>Chandra Wijaya</t>
  </si>
  <si>
    <t>Dewandra Putra Pratama</t>
  </si>
  <si>
    <t>Dimas Rahmadi Sujatmiko</t>
  </si>
  <si>
    <t>Erik Setiawan</t>
  </si>
  <si>
    <t>Fasyah Fadilah Aprilian</t>
  </si>
  <si>
    <t>Febryan Dwi Permana</t>
  </si>
  <si>
    <t>Gerald Omega Jonathans</t>
  </si>
  <si>
    <t>Ifandra Arfiansyah</t>
  </si>
  <si>
    <t>Leonardo Sarwo Sambodo</t>
  </si>
  <si>
    <t>M. Raffa Syah Nurdin</t>
  </si>
  <si>
    <t>M. Waliya Hafizh</t>
  </si>
  <si>
    <t>Meidika Alifi</t>
  </si>
  <si>
    <t>Melandri Jurmansyah</t>
  </si>
  <si>
    <t>Muhamad Nur Fadly Rudiana</t>
  </si>
  <si>
    <t>Muhamad Wildan Fadilah</t>
  </si>
  <si>
    <t>Muhammad Aziis Irawan</t>
  </si>
  <si>
    <t>Muhammad Haikal Aditya Atmaja</t>
  </si>
  <si>
    <t>Muhammad Luthfi</t>
  </si>
  <si>
    <t>Muhammad Rangga Fauzan</t>
  </si>
  <si>
    <t>Rafasya Divi Saputra</t>
  </si>
  <si>
    <t>Raihan Nabiel Akbar</t>
  </si>
  <si>
    <t>Rais Raditia</t>
  </si>
  <si>
    <t>Refannanda Tyas Dwi Saputra</t>
  </si>
  <si>
    <t>Rifki Ramadhan</t>
  </si>
  <si>
    <t>Satrio Hisyam Al Mahdi</t>
  </si>
  <si>
    <t>Wili Aditiya Putra Pangestu</t>
  </si>
  <si>
    <t>Aditya Nur Saputra</t>
  </si>
  <si>
    <t>Adly Rizki Daniel</t>
  </si>
  <si>
    <t>Albert Joestein Utwaly</t>
  </si>
  <si>
    <t>Ali Rahman</t>
  </si>
  <si>
    <t>Arva Adlyn Nazurah</t>
  </si>
  <si>
    <t>Dafi Aditya Santoso</t>
  </si>
  <si>
    <t>Duta Syarman Audach Gunawan</t>
  </si>
  <si>
    <t>Excel Andrea Saputra</t>
  </si>
  <si>
    <t>Ezhar Darussalam</t>
  </si>
  <si>
    <t>Faiz Alfarezi Syahroni</t>
  </si>
  <si>
    <t>Favian Ma'Aruf Maulana</t>
  </si>
  <si>
    <t>Gema Aulia Ramadhan</t>
  </si>
  <si>
    <t>Hasby Nur Hidayat</t>
  </si>
  <si>
    <t>I'Zaz Ananda Putra</t>
  </si>
  <si>
    <t>M Rakka Satria</t>
  </si>
  <si>
    <t>Meirga Aditya</t>
  </si>
  <si>
    <t>Mohamad Rama Alvianto</t>
  </si>
  <si>
    <t>Muhamad Aditya</t>
  </si>
  <si>
    <t>Muhamad Jenal Abidin</t>
  </si>
  <si>
    <t>Muhammad Evan Fadilla</t>
  </si>
  <si>
    <t>Muhammad Fahri Nurizki</t>
  </si>
  <si>
    <t>Muhammad Hilmy Mufid</t>
  </si>
  <si>
    <t>Muhammad Nabil Adib Ramadhan</t>
  </si>
  <si>
    <t>Muhammad Putra Ramadhan</t>
  </si>
  <si>
    <t>Muhammad Rifa'I</t>
  </si>
  <si>
    <t>Muhammad Riyan Maulana</t>
  </si>
  <si>
    <t>R. Aries Yahya</t>
  </si>
  <si>
    <t>Reza Pahlevy</t>
  </si>
  <si>
    <t>Sahl Fadhilah Reyhan</t>
  </si>
  <si>
    <t>Sebastiar</t>
  </si>
  <si>
    <t>Tri Oktapiansah</t>
  </si>
  <si>
    <t>Wira Mukti Alfiansyah</t>
  </si>
  <si>
    <t>Ahmad Yadi</t>
  </si>
  <si>
    <t>Analia Safitri</t>
  </si>
  <si>
    <t>Andika Pranata</t>
  </si>
  <si>
    <t>Ariga Al Kahfi Setiawan</t>
  </si>
  <si>
    <t>Caesario Pradita Setiadi</t>
  </si>
  <si>
    <t>Devita Aulyana Wulandari</t>
  </si>
  <si>
    <t>Diana Octavira</t>
  </si>
  <si>
    <t>Fajar Malik Ibrahim</t>
  </si>
  <si>
    <t>Farhan Maulana</t>
  </si>
  <si>
    <t>Ghea Robiatul Adawiyah</t>
  </si>
  <si>
    <t>Hanifah Muslimah</t>
  </si>
  <si>
    <t>Haniyah Athifah</t>
  </si>
  <si>
    <t>Jaya Kelana</t>
  </si>
  <si>
    <t>Kamiliya Naurah Qurratuain Almakawi</t>
  </si>
  <si>
    <t>Lathifa Azure Nur Vadila</t>
  </si>
  <si>
    <t>M. Aditya Pratama</t>
  </si>
  <si>
    <t>Mega Fusfita Sari</t>
  </si>
  <si>
    <t>Muhammad Fahmi Idris</t>
  </si>
  <si>
    <t>Muhammad Ilham Arfhasyad</t>
  </si>
  <si>
    <t>Muhammad Labib Musyarif</t>
  </si>
  <si>
    <t>Natalia Deborah Nenobaik</t>
  </si>
  <si>
    <t>Nurisma Alika</t>
  </si>
  <si>
    <t>Nurjanah</t>
  </si>
  <si>
    <t>Rendy Somba</t>
  </si>
  <si>
    <t>Rifan Akhdan Zaidaan</t>
  </si>
  <si>
    <t>Sinta Putri Galianti</t>
  </si>
  <si>
    <t>Syalsyabila Namira Oktavia Zs</t>
  </si>
  <si>
    <t>Thoriq Akbar Beckham</t>
  </si>
  <si>
    <t>Tiara Nur Rahmawati</t>
  </si>
  <si>
    <t>Zalfa Nabilla Bilqis</t>
  </si>
  <si>
    <t>Akmal Nur Fadhil Koswara</t>
  </si>
  <si>
    <t>Andrian Kurnia Saputra</t>
  </si>
  <si>
    <t>Azka Wildan Aqilla</t>
  </si>
  <si>
    <t>Dafi Aditya Putra</t>
  </si>
  <si>
    <t>Debby Rivany</t>
  </si>
  <si>
    <t>Fachry Rabbani</t>
  </si>
  <si>
    <t>Fahri Pratama</t>
  </si>
  <si>
    <t>Fairuz Setianto Al Baihaqi</t>
  </si>
  <si>
    <t>Farah Fadhilah</t>
  </si>
  <si>
    <t>Fauzan Al Rizal</t>
  </si>
  <si>
    <t>Febriyan Pratama Putra</t>
  </si>
  <si>
    <t>Halfa Natasya Khoirun Nisa</t>
  </si>
  <si>
    <t>Karlina Agustin</t>
  </si>
  <si>
    <t>Kevin Hizkia Wawo</t>
  </si>
  <si>
    <t>Leonardus Reymond Setiawan</t>
  </si>
  <si>
    <t>M. Rehan</t>
  </si>
  <si>
    <t>Maria Telehala</t>
  </si>
  <si>
    <t>Marwan Raditya Irawan</t>
  </si>
  <si>
    <t>Mutiara</t>
  </si>
  <si>
    <t>Naila Afifa Adzra</t>
  </si>
  <si>
    <t>Nara Dias Prameswari</t>
  </si>
  <si>
    <t>Nur Afdilah Sari</t>
  </si>
  <si>
    <t>Raffay Uziel Arfansantoso</t>
  </si>
  <si>
    <t>Ramadhian Al Fareza Rahman</t>
  </si>
  <si>
    <t>Rayfandra Fadhillah Putra</t>
  </si>
  <si>
    <t>Rika Azzahra</t>
  </si>
  <si>
    <t>Sri Rahayu Anah</t>
  </si>
  <si>
    <t>Talitha Nabiha Hidayat</t>
  </si>
  <si>
    <t>Tyara Novalya</t>
  </si>
  <si>
    <t>Yolanda</t>
  </si>
  <si>
    <t>Zahvira Nur Marizka</t>
  </si>
  <si>
    <t>Zihan Azzahra</t>
  </si>
  <si>
    <t xml:space="preserve">HARI EFEKTIF </t>
  </si>
  <si>
    <t xml:space="preserve">JUMLAH HADIR </t>
  </si>
  <si>
    <t xml:space="preserve">HARI EFEKTIF - JUMLAH HADIR </t>
  </si>
  <si>
    <t>PRESE NTASE %</t>
  </si>
  <si>
    <t>JUMLAH HARI EFEKTIF</t>
  </si>
  <si>
    <t>HARI EFEKTIF - JUMLAH HADIR</t>
  </si>
  <si>
    <t>PERSENTASE %</t>
  </si>
  <si>
    <t xml:space="preserve">X TKR </t>
  </si>
  <si>
    <t>NAMA SISWA</t>
  </si>
  <si>
    <t>Andika Poetra P</t>
  </si>
  <si>
    <t xml:space="preserve">JUMLAH HARI EFEKTIF </t>
  </si>
  <si>
    <t xml:space="preserve">JUMLAH HARI EFEKTIF - JUMLAH KEHADIRAN </t>
  </si>
  <si>
    <t>PRESENTASI</t>
  </si>
  <si>
    <t>Revita Azahra</t>
  </si>
  <si>
    <t>JANUARI</t>
  </si>
  <si>
    <t xml:space="preserve">FEBRUARI </t>
  </si>
  <si>
    <t>MARET</t>
  </si>
  <si>
    <t>APRIL</t>
  </si>
  <si>
    <t>MEI</t>
  </si>
  <si>
    <t>JUNI</t>
  </si>
  <si>
    <t xml:space="preserve">VIANTIKA DWI JANUARIANTI </t>
  </si>
  <si>
    <t>Randy Achmad JANUARIanto</t>
  </si>
  <si>
    <t>Malik</t>
  </si>
  <si>
    <t>SISA POIN SMT GANJIL</t>
  </si>
  <si>
    <t>Julian Pamungkas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</si>
</sst>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??_-;_-@_-"/>
    <numFmt numFmtId="165" formatCode="0;\-0;;@"/>
  </numFmts>
  <fonts count="3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Times New Roman"/>
      <family val="1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0"/>
      <color theme="1"/>
      <name val="Arial Narrow"/>
      <family val="2"/>
      <charset val="1"/>
    </font>
    <font>
      <b/>
      <sz val="11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212529"/>
      <name val="Calibri"/>
      <family val="2"/>
      <scheme val="minor"/>
    </font>
    <font>
      <sz val="12"/>
      <color rgb="FF21252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0" fillId="0" borderId="0"/>
    <xf numFmtId="0" fontId="11" fillId="0" borderId="0"/>
    <xf numFmtId="0" fontId="11" fillId="0" borderId="0"/>
    <xf numFmtId="164" fontId="15" fillId="0" borderId="0" applyFont="0" applyFill="0" applyBorder="0" applyAlignment="0" applyProtection="0"/>
    <xf numFmtId="0" fontId="4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9" fontId="15" fillId="0" borderId="0" applyFont="0" applyFill="0" applyBorder="0" applyAlignment="0" applyProtection="0"/>
  </cellStyleXfs>
  <cellXfs count="49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/>
    </xf>
    <xf numFmtId="0" fontId="18" fillId="0" borderId="0" xfId="0" applyFont="1"/>
    <xf numFmtId="1" fontId="8" fillId="0" borderId="0" xfId="0" applyNumberFormat="1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8" fillId="3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0" quotePrefix="1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7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8" fillId="3" borderId="1" xfId="0" quotePrefix="1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1" xfId="0" quotePrefix="1" applyNumberFormat="1" applyFont="1" applyFill="1" applyBorder="1" applyAlignment="1">
      <alignment horizontal="center" vertical="center"/>
    </xf>
    <xf numFmtId="1" fontId="7" fillId="2" borderId="1" xfId="0" quotePrefix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0" xfId="0" quotePrefix="1" applyNumberFormat="1" applyFont="1" applyAlignment="1">
      <alignment horizontal="center" vertical="center"/>
    </xf>
    <xf numFmtId="0" fontId="7" fillId="0" borderId="0" xfId="0" applyFont="1"/>
    <xf numFmtId="1" fontId="5" fillId="0" borderId="1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65" fontId="4" fillId="2" borderId="1" xfId="5" applyNumberForma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/>
    </xf>
    <xf numFmtId="0" fontId="6" fillId="0" borderId="2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49" fontId="19" fillId="0" borderId="1" xfId="1" applyNumberFormat="1" applyFont="1" applyBorder="1" applyAlignment="1">
      <alignment horizontal="center" vertical="center" shrinkToFit="1"/>
    </xf>
    <xf numFmtId="0" fontId="19" fillId="2" borderId="1" xfId="1" applyFont="1" applyFill="1" applyBorder="1" applyAlignment="1">
      <alignment horizontal="left" vertical="center" shrinkToFit="1"/>
    </xf>
    <xf numFmtId="0" fontId="19" fillId="0" borderId="1" xfId="1" applyFont="1" applyBorder="1" applyAlignment="1">
      <alignment horizontal="center" vertical="center" shrinkToFit="1"/>
    </xf>
    <xf numFmtId="0" fontId="19" fillId="0" borderId="1" xfId="1" applyFont="1" applyBorder="1" applyAlignment="1">
      <alignment horizontal="left" vertical="center" shrinkToFit="1"/>
    </xf>
    <xf numFmtId="0" fontId="19" fillId="2" borderId="1" xfId="1" applyFont="1" applyFill="1" applyBorder="1" applyAlignment="1">
      <alignment vertical="center" shrinkToFit="1"/>
    </xf>
    <xf numFmtId="0" fontId="19" fillId="2" borderId="1" xfId="1" applyFont="1" applyFill="1" applyBorder="1" applyAlignment="1">
      <alignment horizontal="center" vertical="center" shrinkToFit="1"/>
    </xf>
    <xf numFmtId="0" fontId="19" fillId="2" borderId="1" xfId="1" quotePrefix="1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 vertical="center" shrinkToFit="1"/>
    </xf>
    <xf numFmtId="0" fontId="20" fillId="0" borderId="1" xfId="3" applyFont="1" applyBorder="1" applyAlignment="1">
      <alignment horizontal="left" vertical="center" shrinkToFit="1"/>
    </xf>
    <xf numFmtId="0" fontId="19" fillId="0" borderId="1" xfId="3" applyFont="1" applyBorder="1" applyAlignment="1">
      <alignment horizontal="center" vertical="center" shrinkToFit="1"/>
    </xf>
    <xf numFmtId="0" fontId="19" fillId="0" borderId="1" xfId="3" applyFont="1" applyBorder="1" applyAlignment="1">
      <alignment horizontal="left" vertical="center" shrinkToFit="1"/>
    </xf>
    <xf numFmtId="0" fontId="19" fillId="2" borderId="1" xfId="3" applyFont="1" applyFill="1" applyBorder="1" applyAlignment="1">
      <alignment horizontal="left" vertical="center" shrinkToFit="1"/>
    </xf>
    <xf numFmtId="0" fontId="21" fillId="0" borderId="1" xfId="3" applyFont="1" applyBorder="1" applyAlignment="1">
      <alignment horizontal="left" vertical="center" shrinkToFit="1"/>
    </xf>
    <xf numFmtId="0" fontId="19" fillId="2" borderId="1" xfId="1" applyFont="1" applyFill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21" fillId="4" borderId="1" xfId="3" applyFont="1" applyFill="1" applyBorder="1" applyAlignment="1">
      <alignment horizontal="left" vertical="center" shrinkToFit="1"/>
    </xf>
    <xf numFmtId="0" fontId="19" fillId="0" borderId="0" xfId="1" applyFont="1" applyAlignment="1">
      <alignment horizontal="center" vertical="center"/>
    </xf>
    <xf numFmtId="0" fontId="21" fillId="2" borderId="1" xfId="3" applyFont="1" applyFill="1" applyBorder="1" applyAlignment="1">
      <alignment horizontal="left" vertical="center" shrinkToFit="1"/>
    </xf>
    <xf numFmtId="0" fontId="20" fillId="0" borderId="1" xfId="1" applyFont="1" applyBorder="1" applyAlignment="1">
      <alignment horizontal="left" vertical="center" shrinkToFit="1"/>
    </xf>
    <xf numFmtId="0" fontId="19" fillId="0" borderId="1" xfId="1" applyFont="1" applyBorder="1" applyAlignment="1">
      <alignment horizontal="center" vertical="center"/>
    </xf>
    <xf numFmtId="0" fontId="20" fillId="2" borderId="1" xfId="3" applyFont="1" applyFill="1" applyBorder="1" applyAlignment="1">
      <alignment horizontal="left" vertical="center" shrinkToFit="1"/>
    </xf>
    <xf numFmtId="0" fontId="19" fillId="0" borderId="1" xfId="1" applyFont="1" applyBorder="1" applyAlignment="1">
      <alignment vertical="center"/>
    </xf>
    <xf numFmtId="0" fontId="20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vertical="center" shrinkToFit="1"/>
    </xf>
    <xf numFmtId="0" fontId="20" fillId="0" borderId="1" xfId="1" applyFont="1" applyBorder="1" applyAlignment="1">
      <alignment horizontal="left" vertical="center"/>
    </xf>
    <xf numFmtId="0" fontId="19" fillId="0" borderId="1" xfId="1" quotePrefix="1" applyFont="1" applyBorder="1" applyAlignment="1">
      <alignment horizontal="left" vertical="center"/>
    </xf>
    <xf numFmtId="0" fontId="24" fillId="2" borderId="1" xfId="1" applyFont="1" applyFill="1" applyBorder="1" applyAlignment="1">
      <alignment horizontal="left" vertical="center"/>
    </xf>
    <xf numFmtId="0" fontId="24" fillId="2" borderId="1" xfId="1" quotePrefix="1" applyFont="1" applyFill="1" applyBorder="1" applyAlignment="1">
      <alignment horizontal="left" vertical="center"/>
    </xf>
    <xf numFmtId="0" fontId="19" fillId="2" borderId="1" xfId="1" applyFont="1" applyFill="1" applyBorder="1" applyAlignment="1">
      <alignment vertical="center"/>
    </xf>
    <xf numFmtId="0" fontId="25" fillId="0" borderId="1" xfId="1" applyFont="1" applyBorder="1" applyAlignment="1">
      <alignment horizontal="left" vertical="center"/>
    </xf>
    <xf numFmtId="0" fontId="26" fillId="0" borderId="1" xfId="1" quotePrefix="1" applyFont="1" applyBorder="1" applyAlignment="1">
      <alignment horizontal="left" vertical="center" wrapText="1"/>
    </xf>
    <xf numFmtId="0" fontId="19" fillId="0" borderId="1" xfId="1" applyFont="1" applyBorder="1"/>
    <xf numFmtId="0" fontId="19" fillId="0" borderId="1" xfId="1" applyFont="1" applyBorder="1" applyAlignment="1">
      <alignment horizontal="center"/>
    </xf>
    <xf numFmtId="0" fontId="21" fillId="0" borderId="1" xfId="1" applyFont="1" applyBorder="1" applyAlignment="1">
      <alignment horizontal="left" vertical="center" shrinkToFit="1"/>
    </xf>
    <xf numFmtId="0" fontId="19" fillId="2" borderId="1" xfId="1" quotePrefix="1" applyFont="1" applyFill="1" applyBorder="1" applyAlignment="1">
      <alignment horizontal="left" vertical="center" shrinkToFit="1"/>
    </xf>
    <xf numFmtId="0" fontId="19" fillId="2" borderId="1" xfId="2" applyFont="1" applyFill="1" applyBorder="1" applyAlignment="1">
      <alignment horizontal="center" vertical="center" shrinkToFit="1"/>
    </xf>
    <xf numFmtId="0" fontId="19" fillId="2" borderId="1" xfId="1" quotePrefix="1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center"/>
    </xf>
    <xf numFmtId="0" fontId="19" fillId="2" borderId="1" xfId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shrinkToFit="1"/>
    </xf>
    <xf numFmtId="0" fontId="20" fillId="2" borderId="1" xfId="2" quotePrefix="1" applyFont="1" applyFill="1" applyBorder="1" applyAlignment="1">
      <alignment horizontal="left" vertical="center" shrinkToFit="1"/>
    </xf>
    <xf numFmtId="0" fontId="19" fillId="0" borderId="3" xfId="3" applyFont="1" applyBorder="1" applyAlignment="1">
      <alignment vertical="center" shrinkToFit="1"/>
    </xf>
    <xf numFmtId="0" fontId="27" fillId="0" borderId="1" xfId="0" quotePrefix="1" applyFont="1" applyBorder="1" applyAlignment="1">
      <alignment horizontal="left" vertical="center" wrapText="1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0" fillId="2" borderId="1" xfId="2" quotePrefix="1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left" vertical="center"/>
    </xf>
    <xf numFmtId="0" fontId="20" fillId="2" borderId="4" xfId="2" applyFont="1" applyFill="1" applyBorder="1" applyAlignment="1">
      <alignment horizontal="center" vertical="center" shrinkToFit="1"/>
    </xf>
    <xf numFmtId="0" fontId="20" fillId="2" borderId="4" xfId="2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horizontal="left" vertical="center" shrinkToFi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4" xfId="2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/>
    </xf>
    <xf numFmtId="0" fontId="20" fillId="2" borderId="1" xfId="2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20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0" fillId="2" borderId="0" xfId="2" applyFont="1" applyFill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left" vertical="center" shrinkToFit="1"/>
    </xf>
    <xf numFmtId="0" fontId="19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20" fillId="2" borderId="1" xfId="3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6" fillId="0" borderId="0" xfId="0" applyFont="1"/>
    <xf numFmtId="0" fontId="20" fillId="2" borderId="7" xfId="2" applyFont="1" applyFill="1" applyBorder="1" applyAlignment="1">
      <alignment horizontal="center" vertical="center" shrinkToFit="1"/>
    </xf>
    <xf numFmtId="1" fontId="8" fillId="0" borderId="2" xfId="0" applyNumberFormat="1" applyFont="1" applyBorder="1" applyAlignment="1">
      <alignment horizontal="center" vertical="center"/>
    </xf>
    <xf numFmtId="1" fontId="17" fillId="2" borderId="2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 shrinkToFit="1"/>
    </xf>
    <xf numFmtId="0" fontId="6" fillId="0" borderId="2" xfId="0" quotePrefix="1" applyFont="1" applyBorder="1" applyAlignment="1">
      <alignment horizontal="center" vertical="center" shrinkToFit="1"/>
    </xf>
    <xf numFmtId="1" fontId="8" fillId="0" borderId="2" xfId="0" quotePrefix="1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65" fontId="4" fillId="2" borderId="2" xfId="5" applyNumberFormat="1" applyFill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 shrinkToFit="1"/>
    </xf>
    <xf numFmtId="1" fontId="13" fillId="0" borderId="5" xfId="0" applyNumberFormat="1" applyFont="1" applyBorder="1" applyAlignment="1">
      <alignment horizontal="center" vertical="center" shrinkToFit="1"/>
    </xf>
    <xf numFmtId="0" fontId="19" fillId="0" borderId="2" xfId="1" applyFont="1" applyBorder="1" applyAlignment="1">
      <alignment vertical="center" shrinkToFit="1"/>
    </xf>
    <xf numFmtId="0" fontId="19" fillId="0" borderId="2" xfId="1" applyFont="1" applyBorder="1" applyAlignment="1">
      <alignment horizontal="left" vertical="center"/>
    </xf>
    <xf numFmtId="0" fontId="19" fillId="0" borderId="2" xfId="3" applyFont="1" applyBorder="1" applyAlignment="1">
      <alignment horizontal="center" vertical="center" shrinkToFit="1"/>
    </xf>
    <xf numFmtId="1" fontId="8" fillId="2" borderId="2" xfId="0" applyNumberFormat="1" applyFont="1" applyFill="1" applyBorder="1" applyAlignment="1">
      <alignment horizontal="center" vertical="center"/>
    </xf>
    <xf numFmtId="0" fontId="19" fillId="0" borderId="2" xfId="1" quotePrefix="1" applyFont="1" applyBorder="1" applyAlignment="1">
      <alignment horizontal="left" vertical="center"/>
    </xf>
    <xf numFmtId="0" fontId="20" fillId="0" borderId="2" xfId="3" applyFont="1" applyBorder="1" applyAlignment="1">
      <alignment horizontal="left" vertical="center" shrinkToFit="1"/>
    </xf>
    <xf numFmtId="1" fontId="9" fillId="2" borderId="2" xfId="0" applyNumberFormat="1" applyFont="1" applyFill="1" applyBorder="1" applyAlignment="1">
      <alignment horizontal="center" vertical="center"/>
    </xf>
    <xf numFmtId="0" fontId="19" fillId="0" borderId="2" xfId="3" applyFont="1" applyBorder="1" applyAlignment="1">
      <alignment horizontal="left" vertical="center" shrinkToFit="1"/>
    </xf>
    <xf numFmtId="0" fontId="19" fillId="0" borderId="2" xfId="1" applyFont="1" applyBorder="1" applyAlignment="1">
      <alignment horizontal="center" vertical="center" shrinkToFit="1"/>
    </xf>
    <xf numFmtId="1" fontId="8" fillId="2" borderId="2" xfId="0" quotePrefix="1" applyNumberFormat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center" vertical="center"/>
    </xf>
    <xf numFmtId="49" fontId="19" fillId="0" borderId="2" xfId="1" applyNumberFormat="1" applyFont="1" applyBorder="1" applyAlignment="1">
      <alignment horizontal="center" vertical="center" shrinkToFit="1"/>
    </xf>
    <xf numFmtId="0" fontId="19" fillId="2" borderId="2" xfId="1" applyFont="1" applyFill="1" applyBorder="1" applyAlignment="1">
      <alignment horizontal="left" vertical="center" shrinkToFit="1"/>
    </xf>
    <xf numFmtId="0" fontId="19" fillId="2" borderId="2" xfId="3" applyFont="1" applyFill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1" fontId="17" fillId="4" borderId="1" xfId="0" applyNumberFormat="1" applyFont="1" applyFill="1" applyBorder="1" applyAlignment="1">
      <alignment horizontal="center"/>
    </xf>
    <xf numFmtId="0" fontId="19" fillId="0" borderId="0" xfId="1" applyFont="1" applyAlignment="1">
      <alignment horizontal="left" vertical="center" shrinkToFit="1"/>
    </xf>
    <xf numFmtId="0" fontId="19" fillId="2" borderId="2" xfId="1" applyFont="1" applyFill="1" applyBorder="1" applyAlignment="1">
      <alignment vertical="center" shrinkToFit="1"/>
    </xf>
    <xf numFmtId="0" fontId="19" fillId="0" borderId="2" xfId="1" applyFont="1" applyBorder="1" applyAlignment="1">
      <alignment vertical="center"/>
    </xf>
    <xf numFmtId="0" fontId="19" fillId="2" borderId="2" xfId="1" applyFont="1" applyFill="1" applyBorder="1" applyAlignment="1">
      <alignment horizontal="center" vertical="center" shrinkToFit="1"/>
    </xf>
    <xf numFmtId="0" fontId="19" fillId="2" borderId="2" xfId="3" applyFont="1" applyFill="1" applyBorder="1" applyAlignment="1">
      <alignment horizontal="center" vertical="center" shrinkToFit="1"/>
    </xf>
    <xf numFmtId="0" fontId="20" fillId="0" borderId="2" xfId="3" applyFont="1" applyBorder="1" applyAlignment="1">
      <alignment horizontal="center" vertical="center" shrinkToFit="1"/>
    </xf>
    <xf numFmtId="0" fontId="19" fillId="0" borderId="2" xfId="1" applyFont="1" applyBorder="1" applyAlignment="1">
      <alignment horizontal="center" vertical="center"/>
    </xf>
    <xf numFmtId="0" fontId="20" fillId="2" borderId="2" xfId="3" applyFont="1" applyFill="1" applyBorder="1" applyAlignment="1">
      <alignment horizontal="left" vertical="center" shrinkToFit="1"/>
    </xf>
    <xf numFmtId="0" fontId="19" fillId="2" borderId="2" xfId="1" applyFont="1" applyFill="1" applyBorder="1" applyAlignment="1">
      <alignment horizontal="left" vertical="center"/>
    </xf>
    <xf numFmtId="0" fontId="19" fillId="2" borderId="0" xfId="1" applyFont="1" applyFill="1" applyAlignment="1">
      <alignment horizontal="left" vertical="center" shrinkToFit="1"/>
    </xf>
    <xf numFmtId="0" fontId="19" fillId="0" borderId="0" xfId="1" applyFont="1" applyAlignment="1">
      <alignment horizontal="center" vertical="center" shrinkToFit="1"/>
    </xf>
    <xf numFmtId="1" fontId="9" fillId="0" borderId="2" xfId="0" quotePrefix="1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 shrinkToFit="1"/>
    </xf>
    <xf numFmtId="0" fontId="21" fillId="0" borderId="2" xfId="3" applyFont="1" applyBorder="1" applyAlignment="1">
      <alignment horizontal="left" vertical="center" shrinkToFit="1"/>
    </xf>
    <xf numFmtId="0" fontId="19" fillId="0" borderId="0" xfId="3" applyFont="1" applyAlignment="1">
      <alignment horizontal="center" vertical="center" shrinkToFit="1"/>
    </xf>
    <xf numFmtId="1" fontId="9" fillId="2" borderId="2" xfId="0" quotePrefix="1" applyNumberFormat="1" applyFont="1" applyFill="1" applyBorder="1" applyAlignment="1">
      <alignment horizontal="center" vertical="center"/>
    </xf>
    <xf numFmtId="0" fontId="25" fillId="0" borderId="2" xfId="1" applyFont="1" applyBorder="1" applyAlignment="1">
      <alignment horizontal="left" vertical="center"/>
    </xf>
    <xf numFmtId="0" fontId="19" fillId="0" borderId="0" xfId="3" applyFont="1" applyAlignment="1">
      <alignment horizontal="left" vertical="center" shrinkToFit="1"/>
    </xf>
    <xf numFmtId="0" fontId="20" fillId="0" borderId="2" xfId="1" applyFont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/>
    </xf>
    <xf numFmtId="1" fontId="8" fillId="2" borderId="0" xfId="0" quotePrefix="1" applyNumberFormat="1" applyFont="1" applyFill="1" applyAlignment="1">
      <alignment horizontal="center" vertical="center"/>
    </xf>
    <xf numFmtId="0" fontId="0" fillId="0" borderId="1" xfId="0" applyBorder="1"/>
    <xf numFmtId="0" fontId="20" fillId="0" borderId="1" xfId="3" applyFont="1" applyBorder="1" applyAlignment="1">
      <alignment horizontal="center" vertical="center" shrinkToFit="1"/>
    </xf>
    <xf numFmtId="0" fontId="0" fillId="0" borderId="1" xfId="0" quotePrefix="1" applyBorder="1" applyAlignment="1">
      <alignment horizontal="center" vertical="center"/>
    </xf>
    <xf numFmtId="0" fontId="19" fillId="0" borderId="2" xfId="1" quotePrefix="1" applyFont="1" applyBorder="1" applyAlignment="1">
      <alignment horizontal="center" vertical="center"/>
    </xf>
    <xf numFmtId="0" fontId="19" fillId="0" borderId="1" xfId="3" applyFont="1" applyBorder="1" applyAlignment="1">
      <alignment vertical="center" shrinkToFit="1"/>
    </xf>
    <xf numFmtId="0" fontId="19" fillId="0" borderId="3" xfId="1" applyFont="1" applyBorder="1" applyAlignment="1">
      <alignment horizontal="left" vertical="center"/>
    </xf>
    <xf numFmtId="1" fontId="5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2" xfId="0" quotePrefix="1" applyNumberFormat="1" applyFont="1" applyFill="1" applyBorder="1" applyAlignment="1">
      <alignment horizontal="center" vertical="center"/>
    </xf>
    <xf numFmtId="0" fontId="19" fillId="0" borderId="3" xfId="1" applyFont="1" applyBorder="1" applyAlignment="1">
      <alignment horizontal="left" vertical="center" shrinkToFit="1"/>
    </xf>
    <xf numFmtId="0" fontId="19" fillId="2" borderId="2" xfId="1" quotePrefix="1" applyFont="1" applyFill="1" applyBorder="1" applyAlignment="1">
      <alignment horizontal="left" vertical="center"/>
    </xf>
    <xf numFmtId="0" fontId="20" fillId="0" borderId="3" xfId="3" applyFont="1" applyBorder="1" applyAlignment="1">
      <alignment horizontal="left" vertical="center" shrinkToFit="1"/>
    </xf>
    <xf numFmtId="0" fontId="20" fillId="0" borderId="2" xfId="1" applyFont="1" applyBorder="1" applyAlignment="1">
      <alignment horizontal="left" vertical="center" shrinkToFit="1"/>
    </xf>
    <xf numFmtId="0" fontId="19" fillId="0" borderId="1" xfId="1" quotePrefix="1" applyFont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8" fillId="2" borderId="1" xfId="2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28" fillId="2" borderId="0" xfId="2" applyFont="1" applyFill="1" applyAlignment="1">
      <alignment horizontal="center" vertical="center" shrinkToFit="1"/>
    </xf>
    <xf numFmtId="0" fontId="2" fillId="0" borderId="2" xfId="0" applyFont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8" fillId="2" borderId="7" xfId="2" applyFont="1" applyFill="1" applyBorder="1" applyAlignment="1">
      <alignment horizontal="center" vertical="center" shrinkToFit="1"/>
    </xf>
    <xf numFmtId="1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0" fontId="20" fillId="2" borderId="12" xfId="2" applyFont="1" applyFill="1" applyBorder="1" applyAlignment="1">
      <alignment horizontal="center" vertical="center" shrinkToFit="1"/>
    </xf>
    <xf numFmtId="0" fontId="19" fillId="2" borderId="1" xfId="1" quotePrefix="1" applyFont="1" applyFill="1" applyBorder="1" applyAlignment="1">
      <alignment horizontal="center" vertical="center"/>
    </xf>
    <xf numFmtId="0" fontId="19" fillId="2" borderId="0" xfId="1" quotePrefix="1" applyFont="1" applyFill="1" applyAlignment="1">
      <alignment horizontal="center" vertical="center"/>
    </xf>
    <xf numFmtId="0" fontId="30" fillId="0" borderId="2" xfId="0" quotePrefix="1" applyFont="1" applyBorder="1" applyAlignment="1">
      <alignment horizontal="center" vertical="center"/>
    </xf>
    <xf numFmtId="0" fontId="19" fillId="2" borderId="1" xfId="6" applyFont="1" applyFill="1" applyBorder="1" applyAlignment="1">
      <alignment horizontal="center" vertical="center" shrinkToFit="1"/>
    </xf>
    <xf numFmtId="0" fontId="19" fillId="0" borderId="1" xfId="6" applyFont="1" applyBorder="1" applyAlignment="1">
      <alignment horizontal="center" vertical="center" shrinkToFit="1"/>
    </xf>
    <xf numFmtId="0" fontId="30" fillId="0" borderId="2" xfId="0" quotePrefix="1" applyFont="1" applyBorder="1" applyAlignment="1">
      <alignment horizontal="center" vertical="center" shrinkToFit="1"/>
    </xf>
    <xf numFmtId="0" fontId="30" fillId="0" borderId="1" xfId="0" quotePrefix="1" applyFont="1" applyBorder="1" applyAlignment="1">
      <alignment horizontal="center" vertical="center" shrinkToFit="1"/>
    </xf>
    <xf numFmtId="0" fontId="19" fillId="2" borderId="1" xfId="7" applyFont="1" applyFill="1" applyBorder="1" applyAlignment="1">
      <alignment horizontal="center" vertical="center"/>
    </xf>
    <xf numFmtId="0" fontId="19" fillId="2" borderId="1" xfId="8" applyFont="1" applyFill="1" applyBorder="1" applyAlignment="1">
      <alignment horizontal="center" vertical="center"/>
    </xf>
    <xf numFmtId="0" fontId="30" fillId="2" borderId="1" xfId="0" quotePrefix="1" applyFont="1" applyFill="1" applyBorder="1" applyAlignment="1">
      <alignment horizontal="center" vertical="center" shrinkToFit="1"/>
    </xf>
    <xf numFmtId="0" fontId="19" fillId="2" borderId="1" xfId="8" applyFont="1" applyFill="1" applyBorder="1" applyAlignment="1">
      <alignment horizontal="center" vertical="center" wrapText="1"/>
    </xf>
    <xf numFmtId="0" fontId="30" fillId="6" borderId="5" xfId="9" applyFont="1" applyFill="1" applyBorder="1" applyAlignment="1">
      <alignment horizontal="center" vertical="center" wrapText="1" shrinkToFit="1"/>
    </xf>
    <xf numFmtId="1" fontId="30" fillId="0" borderId="5" xfId="0" applyNumberFormat="1" applyFon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 shrinkToFit="1"/>
    </xf>
    <xf numFmtId="1" fontId="20" fillId="2" borderId="0" xfId="0" applyNumberFormat="1" applyFont="1" applyFill="1" applyAlignment="1">
      <alignment horizontal="center" vertical="center"/>
    </xf>
    <xf numFmtId="1" fontId="30" fillId="6" borderId="5" xfId="9" applyNumberFormat="1" applyFont="1" applyFill="1" applyBorder="1" applyAlignment="1">
      <alignment horizontal="center" vertical="center" shrinkToFit="1"/>
    </xf>
    <xf numFmtId="1" fontId="30" fillId="6" borderId="5" xfId="9" applyNumberFormat="1" applyFont="1" applyFill="1" applyBorder="1" applyAlignment="1">
      <alignment horizontal="center" vertical="center" wrapText="1"/>
    </xf>
    <xf numFmtId="1" fontId="30" fillId="7" borderId="5" xfId="9" applyNumberFormat="1" applyFont="1" applyFill="1" applyBorder="1" applyAlignment="1">
      <alignment horizontal="center" vertical="center" wrapText="1"/>
    </xf>
    <xf numFmtId="0" fontId="30" fillId="8" borderId="5" xfId="9" applyFont="1" applyFill="1" applyBorder="1" applyAlignment="1">
      <alignment horizontal="center" vertical="center" wrapText="1" shrinkToFit="1"/>
    </xf>
    <xf numFmtId="1" fontId="30" fillId="8" borderId="5" xfId="9" applyNumberFormat="1" applyFont="1" applyFill="1" applyBorder="1" applyAlignment="1">
      <alignment horizontal="center" vertical="center" shrinkToFit="1"/>
    </xf>
    <xf numFmtId="1" fontId="30" fillId="8" borderId="5" xfId="9" applyNumberFormat="1" applyFont="1" applyFill="1" applyBorder="1" applyAlignment="1">
      <alignment horizontal="center" vertical="center" wrapText="1"/>
    </xf>
    <xf numFmtId="0" fontId="30" fillId="9" borderId="5" xfId="9" applyFont="1" applyFill="1" applyBorder="1" applyAlignment="1">
      <alignment horizontal="center" vertical="center" wrapText="1" shrinkToFit="1"/>
    </xf>
    <xf numFmtId="1" fontId="30" fillId="9" borderId="5" xfId="9" applyNumberFormat="1" applyFont="1" applyFill="1" applyBorder="1" applyAlignment="1">
      <alignment horizontal="center" vertical="center" shrinkToFit="1"/>
    </xf>
    <xf numFmtId="1" fontId="30" fillId="9" borderId="5" xfId="9" applyNumberFormat="1" applyFont="1" applyFill="1" applyBorder="1" applyAlignment="1">
      <alignment horizontal="center" vertical="center" wrapText="1"/>
    </xf>
    <xf numFmtId="0" fontId="19" fillId="5" borderId="2" xfId="1" applyFont="1" applyFill="1" applyBorder="1" applyAlignment="1">
      <alignment horizontal="center" vertical="center" shrinkToFit="1"/>
    </xf>
    <xf numFmtId="1" fontId="20" fillId="5" borderId="2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1" xfId="0" quotePrefix="1" applyNumberFormat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 shrinkToFit="1"/>
    </xf>
    <xf numFmtId="1" fontId="20" fillId="6" borderId="0" xfId="0" applyNumberFormat="1" applyFont="1" applyFill="1" applyAlignment="1">
      <alignment horizontal="center" vertical="center"/>
    </xf>
    <xf numFmtId="1" fontId="20" fillId="6" borderId="2" xfId="0" applyNumberFormat="1" applyFont="1" applyFill="1" applyBorder="1" applyAlignment="1">
      <alignment horizontal="center" vertical="center"/>
    </xf>
    <xf numFmtId="1" fontId="20" fillId="6" borderId="1" xfId="0" applyNumberFormat="1" applyFont="1" applyFill="1" applyBorder="1" applyAlignment="1">
      <alignment horizontal="center" vertical="center"/>
    </xf>
    <xf numFmtId="1" fontId="20" fillId="6" borderId="1" xfId="0" quotePrefix="1" applyNumberFormat="1" applyFont="1" applyFill="1" applyBorder="1" applyAlignment="1">
      <alignment horizontal="center" vertical="center"/>
    </xf>
    <xf numFmtId="1" fontId="30" fillId="10" borderId="5" xfId="9" applyNumberFormat="1" applyFont="1" applyFill="1" applyBorder="1" applyAlignment="1">
      <alignment horizontal="center" vertical="center" wrapText="1"/>
    </xf>
    <xf numFmtId="1" fontId="20" fillId="10" borderId="2" xfId="0" applyNumberFormat="1" applyFont="1" applyFill="1" applyBorder="1" applyAlignment="1">
      <alignment horizontal="center" vertical="center"/>
    </xf>
    <xf numFmtId="1" fontId="20" fillId="10" borderId="1" xfId="0" applyNumberFormat="1" applyFont="1" applyFill="1" applyBorder="1" applyAlignment="1">
      <alignment horizontal="center" vertical="center"/>
    </xf>
    <xf numFmtId="1" fontId="20" fillId="10" borderId="1" xfId="0" quotePrefix="1" applyNumberFormat="1" applyFont="1" applyFill="1" applyBorder="1" applyAlignment="1">
      <alignment horizontal="center" vertical="center"/>
    </xf>
    <xf numFmtId="1" fontId="20" fillId="7" borderId="2" xfId="0" applyNumberFormat="1" applyFont="1" applyFill="1" applyBorder="1" applyAlignment="1">
      <alignment horizontal="center" vertical="center"/>
    </xf>
    <xf numFmtId="1" fontId="20" fillId="8" borderId="2" xfId="0" applyNumberFormat="1" applyFont="1" applyFill="1" applyBorder="1" applyAlignment="1">
      <alignment horizontal="center" vertical="center"/>
    </xf>
    <xf numFmtId="1" fontId="20" fillId="9" borderId="2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0" xfId="0" quotePrefix="1" applyFont="1" applyFill="1" applyAlignment="1">
      <alignment horizontal="center" vertical="center"/>
    </xf>
    <xf numFmtId="0" fontId="19" fillId="2" borderId="0" xfId="3" applyFont="1" applyFill="1" applyAlignment="1">
      <alignment horizontal="center" vertical="center" shrinkToFit="1"/>
    </xf>
    <xf numFmtId="0" fontId="19" fillId="2" borderId="0" xfId="1" applyFont="1" applyFill="1" applyAlignment="1">
      <alignment horizontal="center" vertical="center" shrinkToFit="1"/>
    </xf>
    <xf numFmtId="0" fontId="30" fillId="5" borderId="5" xfId="9" applyFont="1" applyFill="1" applyBorder="1" applyAlignment="1">
      <alignment horizontal="center" vertical="center" wrapText="1" shrinkToFit="1"/>
    </xf>
    <xf numFmtId="1" fontId="30" fillId="5" borderId="5" xfId="9" applyNumberFormat="1" applyFont="1" applyFill="1" applyBorder="1" applyAlignment="1">
      <alignment horizontal="center" vertical="center" shrinkToFit="1"/>
    </xf>
    <xf numFmtId="1" fontId="30" fillId="5" borderId="5" xfId="9" applyNumberFormat="1" applyFont="1" applyFill="1" applyBorder="1" applyAlignment="1">
      <alignment horizontal="center" vertical="center" wrapText="1"/>
    </xf>
    <xf numFmtId="0" fontId="30" fillId="10" borderId="5" xfId="9" applyFont="1" applyFill="1" applyBorder="1" applyAlignment="1">
      <alignment horizontal="center" vertical="center" wrapText="1" shrinkToFit="1"/>
    </xf>
    <xf numFmtId="1" fontId="30" fillId="10" borderId="5" xfId="9" applyNumberFormat="1" applyFont="1" applyFill="1" applyBorder="1" applyAlignment="1">
      <alignment horizontal="center" vertical="center" shrinkToFit="1"/>
    </xf>
    <xf numFmtId="0" fontId="30" fillId="7" borderId="5" xfId="9" applyFont="1" applyFill="1" applyBorder="1" applyAlignment="1">
      <alignment horizontal="center" vertical="center" wrapText="1" shrinkToFit="1"/>
    </xf>
    <xf numFmtId="1" fontId="30" fillId="7" borderId="5" xfId="9" applyNumberFormat="1" applyFont="1" applyFill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6" applyFont="1" applyFill="1" applyBorder="1" applyAlignment="1">
      <alignment horizontal="center" vertical="center"/>
    </xf>
    <xf numFmtId="0" fontId="20" fillId="2" borderId="1" xfId="6" applyFont="1" applyFill="1" applyBorder="1" applyAlignment="1">
      <alignment horizontal="center" vertical="center" shrinkToFit="1"/>
    </xf>
    <xf numFmtId="0" fontId="20" fillId="5" borderId="1" xfId="0" applyFont="1" applyFill="1" applyBorder="1" applyAlignment="1">
      <alignment horizontal="center"/>
    </xf>
    <xf numFmtId="1" fontId="20" fillId="5" borderId="4" xfId="0" applyNumberFormat="1" applyFont="1" applyFill="1" applyBorder="1" applyAlignment="1">
      <alignment horizontal="center" vertical="center"/>
    </xf>
    <xf numFmtId="1" fontId="20" fillId="5" borderId="4" xfId="0" quotePrefix="1" applyNumberFormat="1" applyFont="1" applyFill="1" applyBorder="1" applyAlignment="1">
      <alignment horizontal="center" vertical="center"/>
    </xf>
    <xf numFmtId="1" fontId="20" fillId="6" borderId="2" xfId="0" quotePrefix="1" applyNumberFormat="1" applyFont="1" applyFill="1" applyBorder="1" applyAlignment="1">
      <alignment horizontal="center" vertical="center"/>
    </xf>
    <xf numFmtId="1" fontId="20" fillId="10" borderId="2" xfId="0" quotePrefix="1" applyNumberFormat="1" applyFont="1" applyFill="1" applyBorder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" xfId="0" quotePrefix="1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1" xfId="0" quotePrefix="1" applyNumberFormat="1" applyFont="1" applyFill="1" applyBorder="1" applyAlignment="1">
      <alignment horizontal="center" vertical="center"/>
    </xf>
    <xf numFmtId="1" fontId="20" fillId="9" borderId="1" xfId="0" applyNumberFormat="1" applyFont="1" applyFill="1" applyBorder="1" applyAlignment="1">
      <alignment horizontal="center" vertical="center"/>
    </xf>
    <xf numFmtId="1" fontId="20" fillId="9" borderId="1" xfId="0" quotePrefix="1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0" fontId="20" fillId="0" borderId="1" xfId="5" applyFont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 shrinkToFit="1"/>
    </xf>
    <xf numFmtId="0" fontId="20" fillId="0" borderId="1" xfId="5" applyFont="1" applyBorder="1" applyAlignment="1">
      <alignment horizontal="center" vertical="center" shrinkToFit="1"/>
    </xf>
    <xf numFmtId="0" fontId="20" fillId="0" borderId="1" xfId="2" applyFont="1" applyBorder="1" applyAlignment="1">
      <alignment horizontal="center" vertical="center" shrinkToFit="1"/>
    </xf>
    <xf numFmtId="0" fontId="20" fillId="2" borderId="3" xfId="1" applyFont="1" applyFill="1" applyBorder="1" applyAlignment="1">
      <alignment horizontal="center" vertical="center" shrinkToFit="1"/>
    </xf>
    <xf numFmtId="0" fontId="30" fillId="0" borderId="1" xfId="0" quotePrefix="1" applyFont="1" applyBorder="1" applyAlignment="1">
      <alignment horizontal="center" vertical="center"/>
    </xf>
    <xf numFmtId="0" fontId="20" fillId="2" borderId="3" xfId="6" quotePrefix="1" applyFont="1" applyFill="1" applyBorder="1" applyAlignment="1">
      <alignment horizontal="center" vertical="center" shrinkToFit="1"/>
    </xf>
    <xf numFmtId="0" fontId="30" fillId="0" borderId="11" xfId="0" quotePrefix="1" applyFont="1" applyBorder="1" applyAlignment="1">
      <alignment horizontal="center" vertical="center"/>
    </xf>
    <xf numFmtId="0" fontId="20" fillId="2" borderId="13" xfId="1" applyFont="1" applyFill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2" borderId="0" xfId="1" applyFont="1" applyFill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2" borderId="13" xfId="6" quotePrefix="1" applyFont="1" applyFill="1" applyBorder="1" applyAlignment="1">
      <alignment horizontal="center" vertical="center" shrinkToFit="1"/>
    </xf>
    <xf numFmtId="0" fontId="20" fillId="2" borderId="1" xfId="6" quotePrefix="1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horizontal="left"/>
    </xf>
    <xf numFmtId="0" fontId="19" fillId="2" borderId="0" xfId="1" applyFont="1" applyFill="1" applyAlignment="1">
      <alignment vertical="center" shrinkToFit="1"/>
    </xf>
    <xf numFmtId="0" fontId="20" fillId="2" borderId="0" xfId="3" applyFont="1" applyFill="1" applyAlignment="1">
      <alignment horizontal="left" vertical="center" shrinkToFit="1"/>
    </xf>
    <xf numFmtId="0" fontId="30" fillId="0" borderId="0" xfId="0" applyFont="1" applyAlignment="1">
      <alignment horizontal="center"/>
    </xf>
    <xf numFmtId="1" fontId="30" fillId="7" borderId="1" xfId="9" applyNumberFormat="1" applyFont="1" applyFill="1" applyBorder="1" applyAlignment="1">
      <alignment horizontal="center" vertical="center"/>
    </xf>
    <xf numFmtId="9" fontId="20" fillId="7" borderId="1" xfId="10" applyFont="1" applyFill="1" applyBorder="1" applyAlignment="1">
      <alignment horizontal="center" vertical="center"/>
    </xf>
    <xf numFmtId="1" fontId="20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1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1" fontId="20" fillId="0" borderId="1" xfId="0" applyNumberFormat="1" applyFont="1" applyBorder="1" applyAlignment="1">
      <alignment horizontal="center" vertical="center"/>
    </xf>
    <xf numFmtId="1" fontId="30" fillId="2" borderId="2" xfId="0" applyNumberFormat="1" applyFont="1" applyFill="1" applyBorder="1" applyAlignment="1">
      <alignment horizontal="center" vertical="center"/>
    </xf>
    <xf numFmtId="9" fontId="20" fillId="0" borderId="1" xfId="10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/>
    </xf>
    <xf numFmtId="1" fontId="20" fillId="2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" fontId="30" fillId="2" borderId="0" xfId="0" applyNumberFormat="1" applyFont="1" applyFill="1" applyAlignment="1">
      <alignment horizontal="center"/>
    </xf>
    <xf numFmtId="1" fontId="30" fillId="2" borderId="0" xfId="4" applyNumberFormat="1" applyFont="1" applyFill="1" applyBorder="1" applyAlignment="1">
      <alignment horizontal="center"/>
    </xf>
    <xf numFmtId="1" fontId="20" fillId="2" borderId="0" xfId="4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0" fillId="2" borderId="6" xfId="0" applyNumberFormat="1" applyFont="1" applyFill="1" applyBorder="1" applyAlignment="1">
      <alignment horizontal="center"/>
    </xf>
    <xf numFmtId="1" fontId="20" fillId="2" borderId="3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1" fontId="30" fillId="8" borderId="1" xfId="9" applyNumberFormat="1" applyFont="1" applyFill="1" applyBorder="1" applyAlignment="1">
      <alignment horizontal="center" vertical="center"/>
    </xf>
    <xf numFmtId="9" fontId="20" fillId="8" borderId="1" xfId="10" applyFont="1" applyFill="1" applyBorder="1" applyAlignment="1">
      <alignment horizontal="center" vertical="center"/>
    </xf>
    <xf numFmtId="1" fontId="30" fillId="9" borderId="1" xfId="9" applyNumberFormat="1" applyFont="1" applyFill="1" applyBorder="1" applyAlignment="1">
      <alignment horizontal="center" vertical="center"/>
    </xf>
    <xf numFmtId="9" fontId="20" fillId="9" borderId="1" xfId="1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1" fontId="20" fillId="8" borderId="11" xfId="0" applyNumberFormat="1" applyFont="1" applyFill="1" applyBorder="1" applyAlignment="1">
      <alignment horizontal="center" vertical="center"/>
    </xf>
    <xf numFmtId="1" fontId="20" fillId="9" borderId="11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1" fontId="30" fillId="2" borderId="0" xfId="0" applyNumberFormat="1" applyFont="1" applyFill="1" applyAlignment="1">
      <alignment horizontal="center" vertical="center"/>
    </xf>
    <xf numFmtId="9" fontId="20" fillId="2" borderId="0" xfId="10" applyFont="1" applyFill="1" applyBorder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1" fontId="20" fillId="9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0" xfId="0" applyFont="1"/>
    <xf numFmtId="0" fontId="20" fillId="2" borderId="0" xfId="0" applyFont="1" applyFill="1"/>
    <xf numFmtId="0" fontId="30" fillId="2" borderId="0" xfId="0" applyFont="1" applyFill="1"/>
    <xf numFmtId="0" fontId="20" fillId="0" borderId="0" xfId="0" applyFont="1" applyAlignment="1">
      <alignment vertical="center"/>
    </xf>
    <xf numFmtId="1" fontId="30" fillId="5" borderId="1" xfId="9" applyNumberFormat="1" applyFont="1" applyFill="1" applyBorder="1" applyAlignment="1">
      <alignment horizontal="center" vertical="center"/>
    </xf>
    <xf numFmtId="9" fontId="20" fillId="5" borderId="1" xfId="10" applyFont="1" applyFill="1" applyBorder="1" applyAlignment="1">
      <alignment horizontal="center" vertical="center"/>
    </xf>
    <xf numFmtId="1" fontId="30" fillId="6" borderId="1" xfId="9" applyNumberFormat="1" applyFont="1" applyFill="1" applyBorder="1" applyAlignment="1">
      <alignment horizontal="center" vertical="center"/>
    </xf>
    <xf numFmtId="9" fontId="20" fillId="6" borderId="1" xfId="10" applyFont="1" applyFill="1" applyBorder="1" applyAlignment="1">
      <alignment horizontal="center" vertical="center"/>
    </xf>
    <xf numFmtId="1" fontId="30" fillId="10" borderId="1" xfId="9" applyNumberFormat="1" applyFont="1" applyFill="1" applyBorder="1" applyAlignment="1">
      <alignment horizontal="center" vertical="center"/>
    </xf>
    <xf numFmtId="9" fontId="20" fillId="10" borderId="1" xfId="10" applyFont="1" applyFill="1" applyBorder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left" vertical="center" shrinkToFit="1"/>
    </xf>
    <xf numFmtId="0" fontId="21" fillId="2" borderId="1" xfId="6" applyFont="1" applyFill="1" applyBorder="1" applyAlignment="1">
      <alignment horizontal="left" vertical="center" shrinkToFit="1"/>
    </xf>
    <xf numFmtId="0" fontId="20" fillId="2" borderId="1" xfId="0" applyFont="1" applyFill="1" applyBorder="1"/>
    <xf numFmtId="0" fontId="20" fillId="0" borderId="1" xfId="0" applyFont="1" applyBorder="1"/>
    <xf numFmtId="0" fontId="20" fillId="5" borderId="0" xfId="0" applyFont="1" applyFill="1"/>
    <xf numFmtId="1" fontId="20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1" fontId="20" fillId="2" borderId="2" xfId="0" applyNumberFormat="1" applyFont="1" applyFill="1" applyBorder="1" applyAlignment="1">
      <alignment horizontal="center" vertical="center"/>
    </xf>
    <xf numFmtId="1" fontId="20" fillId="2" borderId="1" xfId="0" applyNumberFormat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left" vertical="center" shrinkToFit="1"/>
    </xf>
    <xf numFmtId="1" fontId="30" fillId="5" borderId="2" xfId="0" applyNumberFormat="1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8" borderId="2" xfId="0" quotePrefix="1" applyNumberFormat="1" applyFont="1" applyFill="1" applyBorder="1" applyAlignment="1">
      <alignment horizontal="center" vertical="center"/>
    </xf>
    <xf numFmtId="1" fontId="20" fillId="9" borderId="2" xfId="0" quotePrefix="1" applyNumberFormat="1" applyFont="1" applyFill="1" applyBorder="1" applyAlignment="1">
      <alignment horizontal="center" vertical="center"/>
    </xf>
    <xf numFmtId="1" fontId="30" fillId="5" borderId="1" xfId="0" applyNumberFormat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left" vertical="center" shrinkToFit="1"/>
    </xf>
    <xf numFmtId="1" fontId="30" fillId="5" borderId="1" xfId="0" quotePrefix="1" applyNumberFormat="1" applyFont="1" applyFill="1" applyBorder="1" applyAlignment="1">
      <alignment horizontal="center" vertical="center"/>
    </xf>
    <xf numFmtId="0" fontId="21" fillId="0" borderId="1" xfId="6" applyFont="1" applyBorder="1" applyAlignment="1">
      <alignment horizontal="left" vertical="center" shrinkToFit="1"/>
    </xf>
    <xf numFmtId="1" fontId="30" fillId="2" borderId="0" xfId="4" applyNumberFormat="1" applyFont="1" applyFill="1" applyBorder="1" applyAlignment="1">
      <alignment horizontal="center" vertical="center"/>
    </xf>
    <xf numFmtId="1" fontId="20" fillId="2" borderId="0" xfId="4" applyNumberFormat="1" applyFont="1" applyFill="1" applyBorder="1" applyAlignment="1">
      <alignment horizontal="center" vertical="center"/>
    </xf>
    <xf numFmtId="0" fontId="19" fillId="2" borderId="1" xfId="8" applyFont="1" applyFill="1" applyBorder="1" applyAlignment="1">
      <alignment horizontal="left" vertical="center"/>
    </xf>
    <xf numFmtId="1" fontId="20" fillId="2" borderId="6" xfId="0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0" fontId="20" fillId="2" borderId="1" xfId="6" applyFont="1" applyFill="1" applyBorder="1" applyAlignment="1">
      <alignment horizontal="left" vertical="center" shrinkToFit="1"/>
    </xf>
    <xf numFmtId="0" fontId="20" fillId="0" borderId="1" xfId="0" applyFont="1" applyBorder="1" applyAlignment="1">
      <alignment vertical="center"/>
    </xf>
    <xf numFmtId="0" fontId="19" fillId="2" borderId="0" xfId="1" applyFont="1" applyFill="1" applyAlignment="1">
      <alignment horizontal="left" vertical="center"/>
    </xf>
    <xf numFmtId="0" fontId="27" fillId="0" borderId="1" xfId="1" quotePrefix="1" applyFont="1" applyBorder="1" applyAlignment="1">
      <alignment horizontal="left" vertical="center" wrapText="1"/>
    </xf>
    <xf numFmtId="0" fontId="20" fillId="5" borderId="0" xfId="0" applyFont="1" applyFill="1" applyAlignment="1">
      <alignment vertical="center"/>
    </xf>
    <xf numFmtId="0" fontId="20" fillId="0" borderId="11" xfId="0" applyFont="1" applyBorder="1" applyAlignment="1">
      <alignment horizontal="left"/>
    </xf>
    <xf numFmtId="1" fontId="20" fillId="6" borderId="11" xfId="0" applyNumberFormat="1" applyFont="1" applyFill="1" applyBorder="1" applyAlignment="1">
      <alignment horizontal="center" vertical="center"/>
    </xf>
    <xf numFmtId="1" fontId="20" fillId="6" borderId="11" xfId="0" quotePrefix="1" applyNumberFormat="1" applyFont="1" applyFill="1" applyBorder="1" applyAlignment="1">
      <alignment horizontal="center" vertical="center"/>
    </xf>
    <xf numFmtId="1" fontId="20" fillId="10" borderId="1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30" fillId="2" borderId="0" xfId="9" applyNumberFormat="1" applyFont="1" applyFill="1" applyAlignment="1">
      <alignment horizontal="center" vertical="center"/>
    </xf>
    <xf numFmtId="1" fontId="20" fillId="2" borderId="0" xfId="0" quotePrefix="1" applyNumberFormat="1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30" fillId="11" borderId="5" xfId="0" applyNumberFormat="1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 vertical="center"/>
    </xf>
    <xf numFmtId="1" fontId="30" fillId="11" borderId="5" xfId="0" applyNumberFormat="1" applyFont="1" applyFill="1" applyBorder="1" applyAlignment="1">
      <alignment horizontal="center" vertical="center" wrapText="1"/>
    </xf>
    <xf numFmtId="1" fontId="20" fillId="11" borderId="2" xfId="0" applyNumberFormat="1" applyFont="1" applyFill="1" applyBorder="1" applyAlignment="1">
      <alignment horizontal="center" vertical="center"/>
    </xf>
    <xf numFmtId="1" fontId="20" fillId="11" borderId="1" xfId="0" applyNumberFormat="1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1" fontId="30" fillId="11" borderId="2" xfId="0" applyNumberFormat="1" applyFont="1" applyFill="1" applyBorder="1" applyAlignment="1">
      <alignment horizontal="center" vertical="center"/>
    </xf>
    <xf numFmtId="1" fontId="30" fillId="11" borderId="1" xfId="0" applyNumberFormat="1" applyFont="1" applyFill="1" applyBorder="1" applyAlignment="1">
      <alignment horizontal="center" vertical="center"/>
    </xf>
    <xf numFmtId="1" fontId="30" fillId="11" borderId="6" xfId="0" applyNumberFormat="1" applyFont="1" applyFill="1" applyBorder="1" applyAlignment="1">
      <alignment horizontal="center" vertical="center"/>
    </xf>
    <xf numFmtId="1" fontId="30" fillId="11" borderId="3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wrapText="1"/>
    </xf>
    <xf numFmtId="1" fontId="20" fillId="11" borderId="2" xfId="0" applyNumberFormat="1" applyFont="1" applyFill="1" applyBorder="1" applyAlignment="1">
      <alignment horizontal="center" vertical="center" wrapText="1"/>
    </xf>
    <xf numFmtId="1" fontId="20" fillId="11" borderId="1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/>
    </xf>
    <xf numFmtId="1" fontId="30" fillId="11" borderId="2" xfId="0" applyNumberFormat="1" applyFont="1" applyFill="1" applyBorder="1" applyAlignment="1">
      <alignment horizontal="center" wrapText="1"/>
    </xf>
    <xf numFmtId="1" fontId="20" fillId="11" borderId="6" xfId="0" applyNumberFormat="1" applyFont="1" applyFill="1" applyBorder="1" applyAlignment="1">
      <alignment horizontal="center" vertical="center"/>
    </xf>
    <xf numFmtId="1" fontId="20" fillId="11" borderId="3" xfId="0" applyNumberFormat="1" applyFont="1" applyFill="1" applyBorder="1" applyAlignment="1">
      <alignment horizontal="center" vertical="center"/>
    </xf>
    <xf numFmtId="1" fontId="20" fillId="11" borderId="2" xfId="0" applyNumberFormat="1" applyFont="1" applyFill="1" applyBorder="1" applyAlignment="1">
      <alignment horizontal="center" wrapText="1"/>
    </xf>
    <xf numFmtId="1" fontId="20" fillId="11" borderId="1" xfId="0" applyNumberFormat="1" applyFont="1" applyFill="1" applyBorder="1" applyAlignment="1">
      <alignment horizontal="center" wrapText="1"/>
    </xf>
    <xf numFmtId="1" fontId="20" fillId="2" borderId="0" xfId="0" applyNumberFormat="1" applyFont="1" applyFill="1" applyAlignment="1">
      <alignment horizontal="center" wrapText="1"/>
    </xf>
    <xf numFmtId="1" fontId="20" fillId="2" borderId="0" xfId="4" applyNumberFormat="1" applyFont="1" applyFill="1" applyBorder="1" applyAlignment="1">
      <alignment horizontal="center" wrapText="1"/>
    </xf>
    <xf numFmtId="1" fontId="20" fillId="11" borderId="6" xfId="0" applyNumberFormat="1" applyFont="1" applyFill="1" applyBorder="1" applyAlignment="1">
      <alignment horizontal="center" wrapText="1"/>
    </xf>
    <xf numFmtId="1" fontId="20" fillId="11" borderId="3" xfId="0" applyNumberFormat="1" applyFont="1" applyFill="1" applyBorder="1" applyAlignment="1">
      <alignment horizontal="center" wrapText="1"/>
    </xf>
    <xf numFmtId="1" fontId="20" fillId="0" borderId="0" xfId="0" applyNumberFormat="1" applyFont="1" applyAlignment="1">
      <alignment horizontal="center" wrapText="1"/>
    </xf>
    <xf numFmtId="1" fontId="20" fillId="2" borderId="0" xfId="0" applyNumberFormat="1" applyFont="1" applyFill="1" applyAlignment="1">
      <alignment horizontal="left" vertical="center"/>
    </xf>
    <xf numFmtId="0" fontId="19" fillId="12" borderId="1" xfId="6" applyFont="1" applyFill="1" applyBorder="1" applyAlignment="1">
      <alignment horizontal="center" vertical="center" shrinkToFit="1"/>
    </xf>
    <xf numFmtId="0" fontId="19" fillId="12" borderId="1" xfId="1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17" fillId="2" borderId="1" xfId="0" quotePrefix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left" vertical="center"/>
    </xf>
    <xf numFmtId="0" fontId="25" fillId="2" borderId="1" xfId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vertical="center"/>
    </xf>
    <xf numFmtId="0" fontId="25" fillId="2" borderId="1" xfId="1" applyFont="1" applyFill="1" applyBorder="1" applyAlignment="1">
      <alignment horizontal="left" vertical="center" shrinkToFit="1"/>
    </xf>
    <xf numFmtId="0" fontId="25" fillId="2" borderId="1" xfId="6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left"/>
    </xf>
    <xf numFmtId="0" fontId="1" fillId="2" borderId="1" xfId="6" applyFont="1" applyFill="1" applyBorder="1" applyAlignment="1">
      <alignment horizontal="center" vertical="center" shrinkToFit="1"/>
    </xf>
    <xf numFmtId="0" fontId="25" fillId="2" borderId="1" xfId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0" fontId="25" fillId="2" borderId="1" xfId="3" applyFont="1" applyFill="1" applyBorder="1" applyAlignment="1">
      <alignment horizontal="center" vertical="center" shrinkToFit="1"/>
    </xf>
    <xf numFmtId="0" fontId="25" fillId="2" borderId="1" xfId="6" applyFont="1" applyFill="1" applyBorder="1" applyAlignment="1">
      <alignment horizontal="left" vertical="center" shrinkToFit="1"/>
    </xf>
    <xf numFmtId="0" fontId="1" fillId="2" borderId="1" xfId="6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/>
    </xf>
    <xf numFmtId="0" fontId="25" fillId="2" borderId="1" xfId="1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1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30" fillId="2" borderId="2" xfId="0" quotePrefix="1" applyFont="1" applyFill="1" applyBorder="1" applyAlignment="1">
      <alignment horizontal="center" vertical="center"/>
    </xf>
    <xf numFmtId="9" fontId="20" fillId="2" borderId="1" xfId="10" applyFont="1" applyFill="1" applyBorder="1" applyAlignment="1">
      <alignment horizontal="center" vertical="center"/>
    </xf>
    <xf numFmtId="0" fontId="30" fillId="2" borderId="2" xfId="0" quotePrefix="1" applyFont="1" applyFill="1" applyBorder="1" applyAlignment="1">
      <alignment horizontal="center" vertical="center" shrinkToFit="1"/>
    </xf>
    <xf numFmtId="49" fontId="19" fillId="2" borderId="1" xfId="1" applyNumberFormat="1" applyFont="1" applyFill="1" applyBorder="1" applyAlignment="1">
      <alignment horizontal="center" vertical="center" shrinkToFit="1"/>
    </xf>
    <xf numFmtId="0" fontId="20" fillId="2" borderId="1" xfId="1" applyFont="1" applyFill="1" applyBorder="1" applyAlignment="1">
      <alignment horizontal="center" vertical="center"/>
    </xf>
    <xf numFmtId="1" fontId="30" fillId="11" borderId="5" xfId="0" applyNumberFormat="1" applyFont="1" applyFill="1" applyBorder="1" applyAlignment="1">
      <alignment horizontal="center" vertical="center"/>
    </xf>
    <xf numFmtId="0" fontId="30" fillId="11" borderId="5" xfId="0" applyFont="1" applyFill="1" applyBorder="1" applyAlignment="1">
      <alignment horizontal="center" vertical="center" wrapText="1"/>
    </xf>
    <xf numFmtId="1" fontId="30" fillId="11" borderId="5" xfId="0" applyNumberFormat="1" applyFont="1" applyFill="1" applyBorder="1" applyAlignment="1">
      <alignment horizontal="center" vertical="center" wrapText="1"/>
    </xf>
    <xf numFmtId="0" fontId="30" fillId="5" borderId="5" xfId="9" applyFont="1" applyFill="1" applyBorder="1" applyAlignment="1">
      <alignment horizontal="center" vertical="center" wrapText="1" shrinkToFit="1"/>
    </xf>
    <xf numFmtId="1" fontId="30" fillId="6" borderId="5" xfId="9" applyNumberFormat="1" applyFont="1" applyFill="1" applyBorder="1" applyAlignment="1">
      <alignment horizontal="center" vertical="center"/>
    </xf>
    <xf numFmtId="1" fontId="30" fillId="10" borderId="5" xfId="9" applyNumberFormat="1" applyFont="1" applyFill="1" applyBorder="1" applyAlignment="1">
      <alignment horizontal="center" vertical="center"/>
    </xf>
    <xf numFmtId="1" fontId="30" fillId="7" borderId="5" xfId="9" applyNumberFormat="1" applyFont="1" applyFill="1" applyBorder="1" applyAlignment="1">
      <alignment horizontal="center" vertical="center"/>
    </xf>
    <xf numFmtId="1" fontId="30" fillId="8" borderId="5" xfId="9" applyNumberFormat="1" applyFont="1" applyFill="1" applyBorder="1" applyAlignment="1">
      <alignment horizontal="center" vertical="center"/>
    </xf>
    <xf numFmtId="1" fontId="30" fillId="9" borderId="5" xfId="9" applyNumberFormat="1" applyFont="1" applyFill="1" applyBorder="1" applyAlignment="1">
      <alignment horizontal="center" vertical="center"/>
    </xf>
    <xf numFmtId="1" fontId="30" fillId="2" borderId="5" xfId="9" applyNumberFormat="1" applyFont="1" applyFill="1" applyBorder="1" applyAlignment="1">
      <alignment horizontal="center" vertical="center" wrapText="1"/>
    </xf>
    <xf numFmtId="1" fontId="30" fillId="0" borderId="5" xfId="0" applyNumberFormat="1" applyFont="1" applyBorder="1" applyAlignment="1">
      <alignment horizontal="center" vertical="center"/>
    </xf>
    <xf numFmtId="1" fontId="30" fillId="4" borderId="1" xfId="0" applyNumberFormat="1" applyFont="1" applyFill="1" applyBorder="1" applyAlignment="1">
      <alignment horizontal="center"/>
    </xf>
    <xf numFmtId="1" fontId="20" fillId="0" borderId="1" xfId="0" applyNumberFormat="1" applyFont="1" applyBorder="1" applyAlignment="1">
      <alignment horizontal="left"/>
    </xf>
    <xf numFmtId="1" fontId="20" fillId="2" borderId="1" xfId="0" applyNumberFormat="1" applyFont="1" applyFill="1" applyBorder="1" applyAlignment="1">
      <alignment horizontal="left" wrapText="1"/>
    </xf>
    <xf numFmtId="1" fontId="20" fillId="2" borderId="1" xfId="0" applyNumberFormat="1" applyFont="1" applyFill="1" applyBorder="1" applyAlignment="1">
      <alignment horizontal="left"/>
    </xf>
    <xf numFmtId="1" fontId="20" fillId="0" borderId="8" xfId="0" applyNumberFormat="1" applyFont="1" applyBorder="1" applyAlignment="1">
      <alignment horizontal="center" vertical="center" wrapText="1"/>
    </xf>
    <xf numFmtId="1" fontId="20" fillId="0" borderId="9" xfId="0" applyNumberFormat="1" applyFont="1" applyBorder="1" applyAlignment="1">
      <alignment horizontal="center" vertical="center" wrapText="1"/>
    </xf>
    <xf numFmtId="1" fontId="30" fillId="0" borderId="8" xfId="0" applyNumberFormat="1" applyFont="1" applyBorder="1" applyAlignment="1">
      <alignment horizontal="center" vertical="center" wrapText="1"/>
    </xf>
    <xf numFmtId="1" fontId="30" fillId="0" borderId="9" xfId="0" applyNumberFormat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shrinkToFit="1"/>
    </xf>
    <xf numFmtId="0" fontId="30" fillId="0" borderId="0" xfId="0" applyFont="1" applyAlignment="1">
      <alignment horizontal="center"/>
    </xf>
    <xf numFmtId="1" fontId="30" fillId="4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left" vertical="center" wrapText="1"/>
    </xf>
    <xf numFmtId="1" fontId="20" fillId="2" borderId="1" xfId="0" applyNumberFormat="1" applyFont="1" applyFill="1" applyBorder="1" applyAlignment="1">
      <alignment horizontal="left" vertical="center"/>
    </xf>
    <xf numFmtId="0" fontId="30" fillId="11" borderId="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0" fillId="11" borderId="19" xfId="0" applyFont="1" applyFill="1" applyBorder="1" applyAlignment="1">
      <alignment horizontal="center" vertical="center" wrapText="1"/>
    </xf>
    <xf numFmtId="1" fontId="30" fillId="0" borderId="17" xfId="0" applyNumberFormat="1" applyFont="1" applyBorder="1" applyAlignment="1">
      <alignment horizontal="center" vertical="center" wrapText="1"/>
    </xf>
    <xf numFmtId="1" fontId="30" fillId="0" borderId="18" xfId="0" applyNumberFormat="1" applyFont="1" applyBorder="1" applyAlignment="1">
      <alignment horizontal="center" vertical="center" wrapText="1"/>
    </xf>
    <xf numFmtId="1" fontId="20" fillId="2" borderId="0" xfId="0" applyNumberFormat="1" applyFont="1" applyFill="1" applyAlignment="1">
      <alignment horizontal="left"/>
    </xf>
    <xf numFmtId="1" fontId="20" fillId="2" borderId="13" xfId="0" applyNumberFormat="1" applyFont="1" applyFill="1" applyBorder="1" applyAlignment="1">
      <alignment horizontal="left" wrapText="1"/>
    </xf>
    <xf numFmtId="1" fontId="20" fillId="2" borderId="16" xfId="0" applyNumberFormat="1" applyFont="1" applyFill="1" applyBorder="1" applyAlignment="1">
      <alignment horizontal="left" wrapText="1"/>
    </xf>
    <xf numFmtId="1" fontId="20" fillId="2" borderId="6" xfId="0" applyNumberFormat="1" applyFont="1" applyFill="1" applyBorder="1" applyAlignment="1">
      <alignment horizontal="left" wrapText="1"/>
    </xf>
    <xf numFmtId="1" fontId="20" fillId="2" borderId="7" xfId="0" applyNumberFormat="1" applyFont="1" applyFill="1" applyBorder="1" applyAlignment="1">
      <alignment horizontal="left" wrapText="1"/>
    </xf>
    <xf numFmtId="0" fontId="20" fillId="2" borderId="1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 shrinkToFit="1"/>
    </xf>
    <xf numFmtId="0" fontId="19" fillId="0" borderId="2" xfId="1" applyFont="1" applyBorder="1" applyAlignment="1">
      <alignment horizontal="center" vertical="center" shrinkToFit="1"/>
    </xf>
    <xf numFmtId="0" fontId="19" fillId="0" borderId="11" xfId="3" applyFont="1" applyBorder="1" applyAlignment="1">
      <alignment horizontal="center" vertical="center" shrinkToFit="1"/>
    </xf>
    <xf numFmtId="0" fontId="19" fillId="0" borderId="2" xfId="3" applyFont="1" applyBorder="1" applyAlignment="1">
      <alignment horizontal="center" vertical="center" shrinkToFit="1"/>
    </xf>
    <xf numFmtId="0" fontId="32" fillId="11" borderId="1" xfId="0" applyFont="1" applyFill="1" applyBorder="1" applyAlignment="1">
      <alignment horizontal="center" vertical="center" wrapText="1"/>
    </xf>
    <xf numFmtId="0" fontId="30" fillId="11" borderId="11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30" fillId="0" borderId="0" xfId="0" applyFont="1" applyAlignment="1">
      <alignment vertical="center"/>
    </xf>
  </cellXfs>
  <cellStyles count="11">
    <cellStyle name="Mata Uang" xfId="4" builtinId="4"/>
    <cellStyle name="Normal" xfId="0" builtinId="0"/>
    <cellStyle name="Normal 2" xfId="5" xr:uid="{2DBB8BE3-95B6-401B-A12D-500E887C18C8}"/>
    <cellStyle name="Normal 2 2" xfId="8" xr:uid="{279D2F6C-1C7A-4CDE-8E6F-AFCF1F282D4D}"/>
    <cellStyle name="Normal 3" xfId="2" xr:uid="{99D3A894-C756-4323-910E-B5EEF49006E8}"/>
    <cellStyle name="Normal 3 2" xfId="1" xr:uid="{8A6FCDAE-2057-4BFF-9D36-A0785DAA8F02}"/>
    <cellStyle name="Normal 3 3" xfId="3" xr:uid="{624AE8A5-C4AF-4446-AE34-4360CC12A6B6}"/>
    <cellStyle name="Normal 3 3 2" xfId="6" xr:uid="{30743736-3331-4DF8-B41D-C1D8E419F8E0}"/>
    <cellStyle name="Normal 5" xfId="9" xr:uid="{09DB2DE3-B0CE-40CB-951A-E8C0CCE1391A}"/>
    <cellStyle name="Normal 6" xfId="7" xr:uid="{4443FF94-BD77-419C-885D-FF11000AD1D5}"/>
    <cellStyle name="Persen" xfId="10" builtinId="5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thf\OneDrive\Dokumen\SMK%20Yatindo\ABSEN\2025-2026\REKAP%20ABSEN%20GANJIL.xlsx" TargetMode="External"/><Relationship Id="rId1" Type="http://schemas.openxmlformats.org/officeDocument/2006/relationships/externalLinkPath" Target="REKAP%20ABSEN%20GANJ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"/>
      <sheetName val="Lembar1"/>
      <sheetName val="XI"/>
      <sheetName val="Lembar2"/>
      <sheetName val="XII"/>
      <sheetName val="REKAP ABSEN"/>
      <sheetName val="TERLAMBAT"/>
      <sheetName val="Lembar3"/>
    </sheetNames>
    <sheetDataSet>
      <sheetData sheetId="0">
        <row r="9">
          <cell r="BF9">
            <v>96</v>
          </cell>
        </row>
        <row r="10">
          <cell r="BF10">
            <v>94</v>
          </cell>
        </row>
        <row r="11">
          <cell r="BF11">
            <v>98</v>
          </cell>
        </row>
        <row r="12">
          <cell r="BF12">
            <v>100</v>
          </cell>
        </row>
        <row r="13">
          <cell r="BF13">
            <v>88</v>
          </cell>
        </row>
        <row r="14">
          <cell r="BF14">
            <v>100</v>
          </cell>
        </row>
        <row r="15">
          <cell r="BF15">
            <v>100</v>
          </cell>
        </row>
        <row r="16">
          <cell r="BF16">
            <v>100</v>
          </cell>
        </row>
        <row r="17">
          <cell r="BF17">
            <v>100</v>
          </cell>
        </row>
        <row r="18">
          <cell r="BF18">
            <v>100</v>
          </cell>
        </row>
        <row r="19">
          <cell r="BF19">
            <v>98</v>
          </cell>
        </row>
        <row r="20">
          <cell r="BF20">
            <v>100</v>
          </cell>
        </row>
        <row r="21">
          <cell r="BF21">
            <v>94</v>
          </cell>
        </row>
        <row r="22">
          <cell r="BF22">
            <v>100</v>
          </cell>
        </row>
        <row r="23">
          <cell r="BF23">
            <v>98</v>
          </cell>
        </row>
        <row r="24">
          <cell r="BF24">
            <v>96</v>
          </cell>
        </row>
        <row r="25">
          <cell r="BF25">
            <v>98</v>
          </cell>
        </row>
        <row r="26">
          <cell r="BF26">
            <v>96</v>
          </cell>
        </row>
        <row r="27">
          <cell r="BF27">
            <v>98</v>
          </cell>
        </row>
        <row r="28">
          <cell r="BF28">
            <v>96</v>
          </cell>
        </row>
        <row r="29">
          <cell r="BF29">
            <v>100</v>
          </cell>
        </row>
        <row r="37">
          <cell r="BF37">
            <v>100</v>
          </cell>
        </row>
        <row r="38">
          <cell r="BF38">
            <v>98</v>
          </cell>
        </row>
        <row r="39">
          <cell r="BF39">
            <v>100</v>
          </cell>
        </row>
        <row r="40">
          <cell r="BF40">
            <v>100</v>
          </cell>
        </row>
        <row r="41">
          <cell r="BF41">
            <v>100</v>
          </cell>
        </row>
        <row r="42">
          <cell r="BF42">
            <v>96</v>
          </cell>
        </row>
        <row r="43">
          <cell r="BF43">
            <v>100</v>
          </cell>
        </row>
        <row r="44">
          <cell r="BF44">
            <v>100</v>
          </cell>
        </row>
        <row r="45">
          <cell r="BF45">
            <v>98</v>
          </cell>
        </row>
        <row r="46">
          <cell r="BF46">
            <v>98</v>
          </cell>
        </row>
        <row r="47">
          <cell r="BF47">
            <v>100</v>
          </cell>
        </row>
        <row r="48">
          <cell r="BF48">
            <v>100</v>
          </cell>
        </row>
        <row r="49">
          <cell r="BF49">
            <v>100</v>
          </cell>
        </row>
        <row r="50">
          <cell r="BF50">
            <v>100</v>
          </cell>
        </row>
        <row r="51">
          <cell r="BF51">
            <v>100</v>
          </cell>
        </row>
        <row r="52">
          <cell r="BF52">
            <v>100</v>
          </cell>
        </row>
        <row r="53">
          <cell r="BF53">
            <v>100</v>
          </cell>
        </row>
        <row r="54">
          <cell r="BF54">
            <v>100</v>
          </cell>
        </row>
        <row r="55">
          <cell r="BF55">
            <v>100</v>
          </cell>
        </row>
        <row r="56">
          <cell r="BF56">
            <v>100</v>
          </cell>
        </row>
        <row r="57">
          <cell r="BF57">
            <v>100</v>
          </cell>
        </row>
        <row r="58">
          <cell r="BF58">
            <v>96</v>
          </cell>
        </row>
        <row r="59">
          <cell r="BF59">
            <v>86</v>
          </cell>
        </row>
        <row r="60">
          <cell r="BF60">
            <v>100</v>
          </cell>
        </row>
        <row r="61">
          <cell r="BF61">
            <v>100</v>
          </cell>
        </row>
        <row r="62">
          <cell r="BF62">
            <v>100</v>
          </cell>
        </row>
        <row r="63">
          <cell r="BF63">
            <v>100</v>
          </cell>
        </row>
        <row r="64">
          <cell r="BF64">
            <v>98</v>
          </cell>
        </row>
        <row r="65">
          <cell r="BF65">
            <v>100</v>
          </cell>
        </row>
        <row r="66">
          <cell r="BF66">
            <v>96</v>
          </cell>
        </row>
        <row r="67">
          <cell r="BF67">
            <v>100</v>
          </cell>
        </row>
        <row r="68">
          <cell r="BF68">
            <v>100</v>
          </cell>
        </row>
        <row r="69">
          <cell r="BF69">
            <v>100</v>
          </cell>
        </row>
        <row r="70">
          <cell r="BF70">
            <v>98</v>
          </cell>
        </row>
        <row r="71">
          <cell r="BF71">
            <v>100</v>
          </cell>
        </row>
        <row r="72">
          <cell r="BF72">
            <v>100</v>
          </cell>
        </row>
        <row r="73">
          <cell r="BF73">
            <v>94</v>
          </cell>
        </row>
        <row r="74">
          <cell r="BF74">
            <v>100</v>
          </cell>
        </row>
        <row r="75">
          <cell r="BF75">
            <v>100</v>
          </cell>
        </row>
        <row r="76">
          <cell r="BF76">
            <v>100</v>
          </cell>
        </row>
        <row r="87">
          <cell r="BF87">
            <v>48</v>
          </cell>
        </row>
        <row r="88">
          <cell r="BF88">
            <v>98</v>
          </cell>
        </row>
        <row r="89">
          <cell r="BF89">
            <v>98</v>
          </cell>
        </row>
        <row r="90">
          <cell r="BF90">
            <v>98</v>
          </cell>
        </row>
        <row r="91">
          <cell r="BF91">
            <v>86</v>
          </cell>
        </row>
        <row r="92">
          <cell r="BF92">
            <v>94</v>
          </cell>
        </row>
        <row r="93">
          <cell r="BF93">
            <v>98</v>
          </cell>
        </row>
        <row r="94">
          <cell r="BF94">
            <v>98</v>
          </cell>
        </row>
        <row r="95">
          <cell r="BF95">
            <v>100</v>
          </cell>
        </row>
        <row r="96">
          <cell r="BF96">
            <v>86</v>
          </cell>
        </row>
        <row r="97">
          <cell r="BF97">
            <v>94</v>
          </cell>
        </row>
        <row r="98">
          <cell r="BF98">
            <v>100</v>
          </cell>
        </row>
        <row r="99">
          <cell r="BF99">
            <v>98</v>
          </cell>
        </row>
        <row r="100">
          <cell r="BF100">
            <v>96</v>
          </cell>
        </row>
        <row r="101">
          <cell r="BF101">
            <v>98</v>
          </cell>
        </row>
        <row r="102">
          <cell r="BF102">
            <v>82</v>
          </cell>
        </row>
        <row r="103">
          <cell r="BF103">
            <v>92</v>
          </cell>
        </row>
        <row r="104">
          <cell r="BF104">
            <v>98</v>
          </cell>
        </row>
        <row r="105">
          <cell r="BF105">
            <v>94</v>
          </cell>
        </row>
        <row r="106">
          <cell r="BF106">
            <v>100</v>
          </cell>
        </row>
        <row r="107">
          <cell r="BF107">
            <v>62</v>
          </cell>
        </row>
        <row r="108">
          <cell r="BF108">
            <v>100</v>
          </cell>
        </row>
        <row r="109">
          <cell r="BF109">
            <v>100</v>
          </cell>
        </row>
        <row r="110">
          <cell r="BF110">
            <v>90</v>
          </cell>
        </row>
        <row r="111">
          <cell r="BF111">
            <v>72</v>
          </cell>
        </row>
        <row r="112">
          <cell r="BF112">
            <v>92</v>
          </cell>
        </row>
        <row r="113">
          <cell r="BF113">
            <v>96</v>
          </cell>
        </row>
        <row r="114">
          <cell r="BF114">
            <v>98</v>
          </cell>
        </row>
        <row r="115">
          <cell r="BF115">
            <v>100</v>
          </cell>
        </row>
        <row r="116">
          <cell r="BF116">
            <v>38</v>
          </cell>
        </row>
        <row r="117">
          <cell r="BF117">
            <v>92</v>
          </cell>
        </row>
        <row r="118">
          <cell r="BF118">
            <v>84</v>
          </cell>
        </row>
        <row r="119">
          <cell r="BF119">
            <v>100</v>
          </cell>
        </row>
        <row r="120">
          <cell r="BF120">
            <v>36</v>
          </cell>
        </row>
        <row r="121">
          <cell r="BF121">
            <v>100</v>
          </cell>
        </row>
        <row r="122">
          <cell r="BF122">
            <v>96</v>
          </cell>
        </row>
        <row r="123">
          <cell r="BF123">
            <v>100</v>
          </cell>
        </row>
        <row r="124">
          <cell r="BF124">
            <v>100</v>
          </cell>
        </row>
        <row r="125">
          <cell r="BF125">
            <v>100</v>
          </cell>
        </row>
        <row r="137">
          <cell r="BF137">
            <v>90</v>
          </cell>
        </row>
        <row r="138">
          <cell r="BF138">
            <v>12</v>
          </cell>
        </row>
        <row r="139">
          <cell r="BF139">
            <v>98</v>
          </cell>
        </row>
        <row r="140">
          <cell r="BF140">
            <v>36</v>
          </cell>
        </row>
        <row r="141">
          <cell r="BF141">
            <v>28</v>
          </cell>
        </row>
        <row r="142">
          <cell r="BF142">
            <v>42</v>
          </cell>
        </row>
        <row r="143">
          <cell r="BF143">
            <v>12</v>
          </cell>
        </row>
        <row r="144">
          <cell r="BF144">
            <v>92</v>
          </cell>
        </row>
        <row r="145">
          <cell r="BF145">
            <v>98</v>
          </cell>
        </row>
        <row r="146">
          <cell r="BF146">
            <v>44</v>
          </cell>
        </row>
        <row r="147">
          <cell r="BF147">
            <v>100</v>
          </cell>
        </row>
        <row r="148">
          <cell r="BF148">
            <v>76</v>
          </cell>
        </row>
        <row r="149">
          <cell r="BF149">
            <v>94</v>
          </cell>
        </row>
        <row r="150">
          <cell r="BF150">
            <v>50</v>
          </cell>
        </row>
        <row r="151">
          <cell r="BF151">
            <v>100</v>
          </cell>
        </row>
        <row r="152">
          <cell r="BF152">
            <v>92</v>
          </cell>
        </row>
        <row r="153">
          <cell r="BF153">
            <v>94</v>
          </cell>
        </row>
        <row r="154">
          <cell r="BF154">
            <v>88</v>
          </cell>
        </row>
        <row r="155">
          <cell r="BF155">
            <v>100</v>
          </cell>
        </row>
        <row r="156">
          <cell r="BF156">
            <v>98</v>
          </cell>
        </row>
        <row r="157">
          <cell r="BF157">
            <v>98</v>
          </cell>
        </row>
        <row r="158">
          <cell r="BF158">
            <v>50</v>
          </cell>
        </row>
        <row r="159">
          <cell r="BF159">
            <v>98</v>
          </cell>
        </row>
        <row r="160">
          <cell r="BF160">
            <v>98</v>
          </cell>
        </row>
        <row r="161">
          <cell r="BF161">
            <v>100</v>
          </cell>
        </row>
        <row r="162">
          <cell r="BF162">
            <v>94</v>
          </cell>
        </row>
        <row r="182">
          <cell r="BF182">
            <v>100</v>
          </cell>
        </row>
        <row r="183">
          <cell r="BF183">
            <v>82</v>
          </cell>
        </row>
        <row r="184">
          <cell r="BF184">
            <v>98</v>
          </cell>
        </row>
        <row r="185">
          <cell r="BF185">
            <v>86</v>
          </cell>
        </row>
        <row r="186">
          <cell r="BF186">
            <v>96</v>
          </cell>
        </row>
        <row r="187">
          <cell r="BF187">
            <v>98</v>
          </cell>
        </row>
        <row r="188">
          <cell r="BF188">
            <v>98</v>
          </cell>
        </row>
        <row r="189">
          <cell r="BF189">
            <v>94</v>
          </cell>
        </row>
        <row r="190">
          <cell r="BF190">
            <v>90</v>
          </cell>
        </row>
        <row r="191">
          <cell r="BF191">
            <v>96</v>
          </cell>
        </row>
        <row r="192">
          <cell r="BF192">
            <v>98</v>
          </cell>
        </row>
        <row r="193">
          <cell r="BF193">
            <v>96</v>
          </cell>
        </row>
        <row r="194">
          <cell r="BF194">
            <v>96</v>
          </cell>
        </row>
        <row r="195">
          <cell r="BF195">
            <v>98</v>
          </cell>
        </row>
        <row r="196">
          <cell r="BF196">
            <v>92</v>
          </cell>
        </row>
        <row r="197">
          <cell r="BF197">
            <v>100</v>
          </cell>
        </row>
        <row r="198">
          <cell r="BF198">
            <v>100</v>
          </cell>
        </row>
        <row r="199">
          <cell r="BF199">
            <v>98</v>
          </cell>
        </row>
        <row r="200">
          <cell r="BF200">
            <v>100</v>
          </cell>
        </row>
        <row r="201">
          <cell r="BF201">
            <v>100</v>
          </cell>
        </row>
        <row r="202">
          <cell r="BF202">
            <v>100</v>
          </cell>
        </row>
        <row r="203">
          <cell r="BF203">
            <v>98</v>
          </cell>
        </row>
        <row r="204">
          <cell r="BF204">
            <v>98</v>
          </cell>
        </row>
        <row r="205">
          <cell r="BF205">
            <v>96</v>
          </cell>
        </row>
        <row r="206">
          <cell r="BF206">
            <v>98</v>
          </cell>
        </row>
        <row r="207">
          <cell r="BF207">
            <v>48</v>
          </cell>
        </row>
        <row r="208">
          <cell r="BF208">
            <v>100</v>
          </cell>
        </row>
        <row r="209">
          <cell r="BF209">
            <v>98</v>
          </cell>
        </row>
        <row r="210">
          <cell r="BF210">
            <v>94</v>
          </cell>
        </row>
        <row r="211">
          <cell r="BF211">
            <v>100</v>
          </cell>
        </row>
        <row r="212">
          <cell r="BF212">
            <v>82</v>
          </cell>
        </row>
        <row r="213">
          <cell r="BF213">
            <v>94</v>
          </cell>
        </row>
        <row r="214">
          <cell r="BF214">
            <v>96</v>
          </cell>
        </row>
        <row r="215">
          <cell r="BF215">
            <v>94</v>
          </cell>
        </row>
        <row r="216">
          <cell r="BF216">
            <v>98</v>
          </cell>
        </row>
        <row r="227">
          <cell r="BF227">
            <v>100</v>
          </cell>
        </row>
        <row r="228">
          <cell r="BF228">
            <v>100</v>
          </cell>
        </row>
        <row r="229">
          <cell r="BF229">
            <v>100</v>
          </cell>
        </row>
        <row r="230">
          <cell r="BF230">
            <v>100</v>
          </cell>
        </row>
        <row r="231">
          <cell r="BF231">
            <v>100</v>
          </cell>
        </row>
        <row r="232">
          <cell r="BF232">
            <v>96</v>
          </cell>
        </row>
        <row r="233">
          <cell r="BF233">
            <v>100</v>
          </cell>
        </row>
        <row r="234">
          <cell r="BF234">
            <v>100</v>
          </cell>
        </row>
        <row r="235">
          <cell r="BF235">
            <v>100</v>
          </cell>
        </row>
        <row r="236">
          <cell r="BF236">
            <v>100</v>
          </cell>
        </row>
        <row r="237">
          <cell r="BF237">
            <v>98</v>
          </cell>
        </row>
        <row r="238">
          <cell r="BF238">
            <v>98</v>
          </cell>
        </row>
        <row r="239">
          <cell r="BF239">
            <v>100</v>
          </cell>
        </row>
        <row r="240">
          <cell r="BF240">
            <v>100</v>
          </cell>
        </row>
        <row r="241">
          <cell r="BF241">
            <v>100</v>
          </cell>
        </row>
        <row r="242">
          <cell r="BF242">
            <v>100</v>
          </cell>
        </row>
        <row r="243">
          <cell r="BF243">
            <v>100</v>
          </cell>
        </row>
        <row r="244">
          <cell r="BF244">
            <v>100</v>
          </cell>
        </row>
        <row r="245">
          <cell r="BF245">
            <v>86</v>
          </cell>
        </row>
        <row r="246">
          <cell r="BF246">
            <v>98</v>
          </cell>
        </row>
        <row r="247">
          <cell r="BF247">
            <v>98</v>
          </cell>
        </row>
        <row r="248">
          <cell r="BF248">
            <v>100</v>
          </cell>
        </row>
        <row r="249">
          <cell r="BF249">
            <v>86</v>
          </cell>
        </row>
        <row r="250">
          <cell r="BF250">
            <v>96</v>
          </cell>
        </row>
        <row r="251">
          <cell r="BF251">
            <v>100</v>
          </cell>
        </row>
        <row r="252">
          <cell r="BF252">
            <v>100</v>
          </cell>
        </row>
        <row r="253">
          <cell r="BF253">
            <v>98</v>
          </cell>
        </row>
        <row r="254">
          <cell r="BF254">
            <v>98</v>
          </cell>
        </row>
        <row r="255">
          <cell r="BF255">
            <v>100</v>
          </cell>
        </row>
        <row r="256">
          <cell r="BF256">
            <v>98</v>
          </cell>
        </row>
        <row r="257">
          <cell r="BF257">
            <v>100</v>
          </cell>
        </row>
        <row r="271">
          <cell r="BF271">
            <v>100</v>
          </cell>
        </row>
        <row r="272">
          <cell r="BF272">
            <v>100</v>
          </cell>
        </row>
        <row r="273">
          <cell r="BF273">
            <v>100</v>
          </cell>
        </row>
        <row r="274">
          <cell r="BF274">
            <v>100</v>
          </cell>
        </row>
        <row r="275">
          <cell r="BF275">
            <v>90</v>
          </cell>
        </row>
        <row r="276">
          <cell r="BF276">
            <v>100</v>
          </cell>
        </row>
        <row r="277">
          <cell r="BF277">
            <v>100</v>
          </cell>
        </row>
        <row r="278">
          <cell r="BF278">
            <v>100</v>
          </cell>
        </row>
        <row r="279">
          <cell r="BF279">
            <v>100</v>
          </cell>
        </row>
        <row r="280">
          <cell r="BF280">
            <v>100</v>
          </cell>
        </row>
        <row r="281">
          <cell r="BF281">
            <v>100</v>
          </cell>
        </row>
        <row r="282">
          <cell r="BF282">
            <v>100</v>
          </cell>
        </row>
        <row r="283">
          <cell r="BF283">
            <v>100</v>
          </cell>
        </row>
        <row r="284">
          <cell r="BF284">
            <v>100</v>
          </cell>
        </row>
        <row r="285">
          <cell r="BF285">
            <v>100</v>
          </cell>
        </row>
        <row r="286">
          <cell r="BF286">
            <v>100</v>
          </cell>
        </row>
        <row r="287">
          <cell r="BF287">
            <v>100</v>
          </cell>
        </row>
        <row r="288">
          <cell r="BF288">
            <v>100</v>
          </cell>
        </row>
        <row r="289">
          <cell r="BF289">
            <v>100</v>
          </cell>
        </row>
        <row r="290">
          <cell r="BF290">
            <v>96</v>
          </cell>
        </row>
        <row r="291">
          <cell r="BF291">
            <v>84</v>
          </cell>
        </row>
        <row r="292">
          <cell r="BF292">
            <v>90</v>
          </cell>
        </row>
        <row r="293">
          <cell r="BF293">
            <v>100</v>
          </cell>
        </row>
        <row r="294">
          <cell r="BF294">
            <v>100</v>
          </cell>
        </row>
        <row r="295">
          <cell r="BF295">
            <v>100</v>
          </cell>
        </row>
        <row r="296">
          <cell r="BF296">
            <v>100</v>
          </cell>
        </row>
        <row r="297">
          <cell r="BF297">
            <v>98</v>
          </cell>
        </row>
        <row r="298">
          <cell r="BF298">
            <v>100</v>
          </cell>
        </row>
        <row r="299">
          <cell r="BF299">
            <v>100</v>
          </cell>
        </row>
        <row r="300">
          <cell r="BF300">
            <v>100</v>
          </cell>
        </row>
        <row r="301">
          <cell r="BF301">
            <v>100</v>
          </cell>
        </row>
        <row r="302">
          <cell r="BF302">
            <v>100</v>
          </cell>
        </row>
        <row r="303">
          <cell r="BF303">
            <v>100</v>
          </cell>
        </row>
        <row r="304">
          <cell r="BF304">
            <v>100</v>
          </cell>
        </row>
        <row r="305">
          <cell r="BF305">
            <v>100</v>
          </cell>
        </row>
        <row r="306">
          <cell r="BF306">
            <v>100</v>
          </cell>
        </row>
        <row r="307">
          <cell r="BF307">
            <v>100</v>
          </cell>
        </row>
        <row r="308">
          <cell r="BF308">
            <v>100</v>
          </cell>
        </row>
      </sheetData>
      <sheetData sheetId="1" refreshError="1"/>
      <sheetData sheetId="2">
        <row r="10">
          <cell r="BF10">
            <v>94</v>
          </cell>
        </row>
        <row r="11">
          <cell r="BF11">
            <v>90</v>
          </cell>
        </row>
        <row r="12">
          <cell r="BF12">
            <v>96</v>
          </cell>
        </row>
        <row r="13">
          <cell r="BF13">
            <v>100</v>
          </cell>
        </row>
        <row r="14">
          <cell r="BF14">
            <v>84</v>
          </cell>
        </row>
        <row r="15">
          <cell r="BF15">
            <v>100</v>
          </cell>
        </row>
        <row r="16">
          <cell r="BF16">
            <v>86</v>
          </cell>
        </row>
        <row r="17">
          <cell r="BF17">
            <v>100</v>
          </cell>
        </row>
        <row r="18">
          <cell r="BF18">
            <v>58</v>
          </cell>
        </row>
        <row r="19">
          <cell r="BF19">
            <v>94</v>
          </cell>
        </row>
        <row r="20">
          <cell r="BF20">
            <v>76</v>
          </cell>
        </row>
        <row r="27">
          <cell r="BF27">
            <v>98</v>
          </cell>
        </row>
        <row r="28">
          <cell r="BF28">
            <v>96</v>
          </cell>
        </row>
        <row r="29">
          <cell r="BF29">
            <v>96</v>
          </cell>
        </row>
        <row r="30">
          <cell r="BF30">
            <v>96</v>
          </cell>
        </row>
        <row r="31">
          <cell r="BF31">
            <v>94</v>
          </cell>
        </row>
        <row r="32">
          <cell r="BF32">
            <v>64</v>
          </cell>
        </row>
        <row r="33">
          <cell r="BF33">
            <v>46</v>
          </cell>
        </row>
        <row r="34">
          <cell r="BF34">
            <v>100</v>
          </cell>
        </row>
        <row r="35">
          <cell r="BF35">
            <v>100</v>
          </cell>
        </row>
        <row r="36">
          <cell r="BF36">
            <v>98</v>
          </cell>
        </row>
        <row r="37">
          <cell r="BF37">
            <v>72</v>
          </cell>
        </row>
        <row r="38">
          <cell r="BF38">
            <v>98</v>
          </cell>
        </row>
        <row r="39">
          <cell r="BF39">
            <v>72</v>
          </cell>
        </row>
        <row r="40">
          <cell r="BF40">
            <v>88</v>
          </cell>
        </row>
        <row r="41">
          <cell r="BF41">
            <v>50</v>
          </cell>
        </row>
        <row r="42">
          <cell r="BF42">
            <v>88</v>
          </cell>
        </row>
        <row r="43">
          <cell r="BF43">
            <v>98</v>
          </cell>
        </row>
        <row r="44">
          <cell r="BF44">
            <v>96</v>
          </cell>
        </row>
        <row r="45">
          <cell r="BF45">
            <v>98</v>
          </cell>
        </row>
        <row r="46">
          <cell r="BF46">
            <v>100</v>
          </cell>
        </row>
        <row r="47">
          <cell r="BF47">
            <v>52</v>
          </cell>
        </row>
        <row r="48">
          <cell r="BF48">
            <v>100</v>
          </cell>
        </row>
        <row r="49">
          <cell r="BF49">
            <v>96</v>
          </cell>
        </row>
        <row r="50">
          <cell r="BF50">
            <v>100</v>
          </cell>
        </row>
        <row r="51">
          <cell r="BF51">
            <v>98</v>
          </cell>
        </row>
        <row r="52">
          <cell r="BF52">
            <v>96</v>
          </cell>
        </row>
        <row r="53">
          <cell r="BF53">
            <v>100</v>
          </cell>
        </row>
        <row r="54">
          <cell r="BF54">
            <v>98</v>
          </cell>
        </row>
        <row r="60">
          <cell r="BF60">
            <v>54</v>
          </cell>
        </row>
        <row r="61">
          <cell r="BF61">
            <v>90</v>
          </cell>
        </row>
        <row r="62">
          <cell r="BF62">
            <v>82</v>
          </cell>
        </row>
        <row r="63">
          <cell r="BF63">
            <v>82</v>
          </cell>
        </row>
        <row r="64">
          <cell r="BF64">
            <v>36</v>
          </cell>
        </row>
        <row r="65">
          <cell r="BF65">
            <v>90</v>
          </cell>
        </row>
        <row r="66">
          <cell r="BF66">
            <v>100</v>
          </cell>
        </row>
        <row r="67">
          <cell r="BF67">
            <v>64</v>
          </cell>
        </row>
        <row r="68">
          <cell r="BF68">
            <v>76</v>
          </cell>
        </row>
        <row r="69">
          <cell r="BF69">
            <v>100</v>
          </cell>
        </row>
        <row r="70">
          <cell r="BF70">
            <v>100</v>
          </cell>
        </row>
        <row r="71">
          <cell r="BF71">
            <v>30</v>
          </cell>
        </row>
        <row r="72">
          <cell r="BF72">
            <v>92</v>
          </cell>
        </row>
        <row r="73">
          <cell r="BF73">
            <v>96</v>
          </cell>
        </row>
        <row r="74">
          <cell r="BF74">
            <v>98</v>
          </cell>
        </row>
        <row r="75">
          <cell r="BF75">
            <v>96</v>
          </cell>
        </row>
        <row r="76">
          <cell r="BF76">
            <v>92</v>
          </cell>
        </row>
        <row r="77">
          <cell r="BF77">
            <v>96</v>
          </cell>
        </row>
        <row r="78">
          <cell r="BF78">
            <v>100</v>
          </cell>
        </row>
        <row r="79">
          <cell r="BF79">
            <v>94</v>
          </cell>
        </row>
        <row r="80">
          <cell r="BF80">
            <v>96</v>
          </cell>
        </row>
        <row r="81">
          <cell r="BF81">
            <v>78</v>
          </cell>
        </row>
        <row r="82">
          <cell r="BF82">
            <v>96</v>
          </cell>
        </row>
        <row r="83">
          <cell r="BF83">
            <v>88</v>
          </cell>
        </row>
        <row r="84">
          <cell r="BF84">
            <v>96</v>
          </cell>
        </row>
        <row r="85">
          <cell r="BF85">
            <v>96</v>
          </cell>
        </row>
        <row r="86">
          <cell r="BF86">
            <v>98</v>
          </cell>
        </row>
        <row r="87">
          <cell r="BF87">
            <v>82</v>
          </cell>
        </row>
        <row r="88">
          <cell r="BF88">
            <v>98</v>
          </cell>
        </row>
        <row r="94">
          <cell r="BF94">
            <v>96</v>
          </cell>
        </row>
        <row r="95">
          <cell r="BF95">
            <v>94</v>
          </cell>
        </row>
        <row r="96">
          <cell r="BF96">
            <v>96</v>
          </cell>
        </row>
        <row r="97">
          <cell r="BF97">
            <v>94</v>
          </cell>
        </row>
        <row r="98">
          <cell r="BF98">
            <v>84</v>
          </cell>
        </row>
        <row r="99">
          <cell r="BF99">
            <v>94</v>
          </cell>
        </row>
        <row r="100">
          <cell r="BF100">
            <v>94</v>
          </cell>
        </row>
        <row r="101">
          <cell r="BF101">
            <v>94</v>
          </cell>
        </row>
        <row r="102">
          <cell r="BF102">
            <v>54</v>
          </cell>
        </row>
        <row r="103">
          <cell r="BF103">
            <v>98</v>
          </cell>
        </row>
        <row r="104">
          <cell r="BF104">
            <v>90</v>
          </cell>
        </row>
        <row r="105">
          <cell r="BF105">
            <v>88</v>
          </cell>
        </row>
        <row r="106">
          <cell r="BF106">
            <v>66</v>
          </cell>
        </row>
        <row r="107">
          <cell r="BF107">
            <v>92</v>
          </cell>
        </row>
        <row r="108">
          <cell r="BF108">
            <v>94</v>
          </cell>
        </row>
        <row r="109">
          <cell r="BF109">
            <v>94</v>
          </cell>
        </row>
        <row r="110">
          <cell r="BF110">
            <v>80</v>
          </cell>
        </row>
        <row r="111">
          <cell r="BF111">
            <v>66</v>
          </cell>
        </row>
        <row r="112">
          <cell r="BF112">
            <v>88</v>
          </cell>
        </row>
        <row r="113">
          <cell r="BF113">
            <v>96</v>
          </cell>
        </row>
        <row r="114">
          <cell r="BF114">
            <v>96</v>
          </cell>
        </row>
        <row r="115">
          <cell r="BF115">
            <v>96</v>
          </cell>
        </row>
        <row r="116">
          <cell r="BF116">
            <v>98</v>
          </cell>
        </row>
        <row r="117">
          <cell r="BF117">
            <v>94</v>
          </cell>
        </row>
        <row r="118">
          <cell r="BF118">
            <v>92</v>
          </cell>
        </row>
        <row r="119">
          <cell r="BF119">
            <v>68</v>
          </cell>
        </row>
        <row r="120">
          <cell r="BF120">
            <v>92</v>
          </cell>
        </row>
        <row r="121">
          <cell r="BF121">
            <v>96</v>
          </cell>
        </row>
        <row r="122">
          <cell r="BF122">
            <v>96</v>
          </cell>
        </row>
        <row r="123">
          <cell r="BF123">
            <v>94</v>
          </cell>
        </row>
        <row r="124">
          <cell r="BF124">
            <v>92</v>
          </cell>
        </row>
        <row r="125">
          <cell r="BF125">
            <v>86</v>
          </cell>
        </row>
        <row r="126">
          <cell r="BF126">
            <v>92</v>
          </cell>
        </row>
        <row r="127">
          <cell r="BF127">
            <v>92</v>
          </cell>
        </row>
        <row r="128">
          <cell r="BF128">
            <v>92</v>
          </cell>
        </row>
        <row r="129">
          <cell r="BF129">
            <v>94</v>
          </cell>
        </row>
        <row r="130">
          <cell r="BF130">
            <v>98</v>
          </cell>
        </row>
        <row r="131">
          <cell r="BF131">
            <v>86</v>
          </cell>
        </row>
        <row r="132">
          <cell r="BF132">
            <v>92</v>
          </cell>
        </row>
        <row r="133">
          <cell r="BF133">
            <v>98</v>
          </cell>
        </row>
        <row r="134">
          <cell r="BF134">
            <v>100</v>
          </cell>
        </row>
        <row r="140">
          <cell r="BF140">
            <v>100</v>
          </cell>
        </row>
        <row r="141">
          <cell r="BF141">
            <v>100</v>
          </cell>
        </row>
        <row r="142">
          <cell r="BF142">
            <v>100</v>
          </cell>
        </row>
        <row r="143">
          <cell r="BF143">
            <v>90</v>
          </cell>
        </row>
        <row r="144">
          <cell r="BF144">
            <v>100</v>
          </cell>
        </row>
        <row r="145">
          <cell r="BF145">
            <v>100</v>
          </cell>
        </row>
        <row r="146">
          <cell r="BF146">
            <v>100</v>
          </cell>
        </row>
        <row r="147">
          <cell r="BF147">
            <v>100</v>
          </cell>
        </row>
        <row r="148">
          <cell r="BF148">
            <v>100</v>
          </cell>
        </row>
        <row r="149">
          <cell r="BF149">
            <v>100</v>
          </cell>
        </row>
        <row r="150">
          <cell r="BF150">
            <v>98</v>
          </cell>
        </row>
        <row r="151">
          <cell r="BF151">
            <v>98</v>
          </cell>
        </row>
        <row r="152">
          <cell r="BF152">
            <v>68</v>
          </cell>
        </row>
        <row r="153">
          <cell r="BF153">
            <v>100</v>
          </cell>
        </row>
        <row r="154">
          <cell r="BF154">
            <v>100</v>
          </cell>
        </row>
        <row r="155">
          <cell r="BF155">
            <v>94</v>
          </cell>
        </row>
        <row r="156">
          <cell r="BF156">
            <v>36</v>
          </cell>
        </row>
        <row r="157">
          <cell r="BF157">
            <v>100</v>
          </cell>
        </row>
        <row r="158">
          <cell r="BF158">
            <v>100</v>
          </cell>
        </row>
        <row r="159">
          <cell r="BF159">
            <v>100</v>
          </cell>
        </row>
        <row r="160">
          <cell r="BF160">
            <v>80</v>
          </cell>
        </row>
        <row r="161">
          <cell r="BF161">
            <v>100</v>
          </cell>
        </row>
        <row r="162">
          <cell r="BF162">
            <v>100</v>
          </cell>
        </row>
        <row r="163">
          <cell r="BF163">
            <v>92</v>
          </cell>
        </row>
        <row r="164">
          <cell r="BF164">
            <v>96</v>
          </cell>
        </row>
        <row r="165">
          <cell r="BF165">
            <v>100</v>
          </cell>
        </row>
        <row r="166">
          <cell r="BF166">
            <v>100</v>
          </cell>
        </row>
        <row r="167">
          <cell r="BF167">
            <v>98</v>
          </cell>
        </row>
        <row r="168">
          <cell r="BF168">
            <v>98</v>
          </cell>
        </row>
        <row r="169">
          <cell r="BF169">
            <v>96</v>
          </cell>
        </row>
        <row r="170">
          <cell r="BF170">
            <v>100</v>
          </cell>
        </row>
        <row r="171">
          <cell r="BF171">
            <v>100</v>
          </cell>
        </row>
        <row r="172">
          <cell r="BF172">
            <v>100</v>
          </cell>
        </row>
        <row r="173">
          <cell r="BF173">
            <v>100</v>
          </cell>
        </row>
        <row r="174">
          <cell r="BF174">
            <v>100</v>
          </cell>
        </row>
        <row r="175">
          <cell r="BF175">
            <v>100</v>
          </cell>
        </row>
        <row r="176">
          <cell r="BF176">
            <v>100</v>
          </cell>
        </row>
        <row r="182">
          <cell r="BF182">
            <v>98</v>
          </cell>
        </row>
        <row r="183">
          <cell r="BF183">
            <v>92</v>
          </cell>
        </row>
        <row r="184">
          <cell r="BF184">
            <v>96</v>
          </cell>
        </row>
        <row r="185">
          <cell r="BF185">
            <v>100</v>
          </cell>
        </row>
        <row r="186">
          <cell r="BF186">
            <v>100</v>
          </cell>
        </row>
        <row r="187">
          <cell r="BF187">
            <v>92</v>
          </cell>
        </row>
        <row r="188">
          <cell r="BF188">
            <v>96</v>
          </cell>
        </row>
        <row r="189">
          <cell r="BF189">
            <v>34</v>
          </cell>
        </row>
        <row r="190">
          <cell r="BF190">
            <v>88</v>
          </cell>
        </row>
        <row r="191">
          <cell r="BF191">
            <v>100</v>
          </cell>
        </row>
        <row r="192">
          <cell r="BF192">
            <v>100</v>
          </cell>
        </row>
        <row r="193">
          <cell r="BF193">
            <v>76</v>
          </cell>
        </row>
        <row r="194">
          <cell r="BF194">
            <v>90</v>
          </cell>
        </row>
        <row r="195">
          <cell r="BF195">
            <v>100</v>
          </cell>
        </row>
        <row r="196">
          <cell r="BF196">
            <v>96</v>
          </cell>
        </row>
        <row r="197">
          <cell r="BF197">
            <v>94</v>
          </cell>
        </row>
        <row r="198">
          <cell r="BF198">
            <v>96</v>
          </cell>
        </row>
        <row r="199">
          <cell r="BF199">
            <v>98</v>
          </cell>
        </row>
        <row r="200">
          <cell r="BF200">
            <v>76</v>
          </cell>
        </row>
        <row r="201">
          <cell r="BF201">
            <v>98</v>
          </cell>
        </row>
        <row r="202">
          <cell r="BF202">
            <v>96</v>
          </cell>
        </row>
        <row r="203">
          <cell r="BF203">
            <v>88</v>
          </cell>
        </row>
        <row r="204">
          <cell r="BF204">
            <v>72</v>
          </cell>
        </row>
        <row r="205">
          <cell r="BF205">
            <v>88</v>
          </cell>
        </row>
        <row r="206">
          <cell r="BF206">
            <v>98</v>
          </cell>
        </row>
        <row r="207">
          <cell r="BF207">
            <v>94</v>
          </cell>
        </row>
        <row r="208">
          <cell r="BF208">
            <v>86</v>
          </cell>
        </row>
        <row r="209">
          <cell r="BF209">
            <v>90</v>
          </cell>
        </row>
        <row r="210">
          <cell r="BF210">
            <v>100</v>
          </cell>
        </row>
      </sheetData>
      <sheetData sheetId="3" refreshError="1"/>
      <sheetData sheetId="4">
        <row r="9">
          <cell r="BF9">
            <v>86</v>
          </cell>
        </row>
        <row r="10">
          <cell r="BF10">
            <v>98</v>
          </cell>
        </row>
        <row r="11">
          <cell r="BF11">
            <v>94</v>
          </cell>
        </row>
        <row r="12">
          <cell r="BF12">
            <v>78</v>
          </cell>
        </row>
        <row r="13">
          <cell r="BF13">
            <v>100</v>
          </cell>
        </row>
        <row r="14">
          <cell r="BF14">
            <v>96</v>
          </cell>
        </row>
        <row r="15">
          <cell r="BF15">
            <v>98</v>
          </cell>
        </row>
        <row r="16">
          <cell r="BF16">
            <v>98</v>
          </cell>
        </row>
        <row r="17">
          <cell r="BF17">
            <v>92</v>
          </cell>
        </row>
        <row r="18">
          <cell r="BF18">
            <v>98</v>
          </cell>
        </row>
        <row r="19">
          <cell r="BF19">
            <v>96</v>
          </cell>
        </row>
        <row r="20">
          <cell r="BF20">
            <v>82</v>
          </cell>
        </row>
        <row r="21">
          <cell r="BF21">
            <v>98</v>
          </cell>
        </row>
        <row r="22">
          <cell r="BF22">
            <v>82</v>
          </cell>
        </row>
        <row r="28">
          <cell r="BF28">
            <v>100</v>
          </cell>
        </row>
        <row r="29">
          <cell r="BF29">
            <v>100</v>
          </cell>
        </row>
        <row r="30">
          <cell r="BF30">
            <v>88</v>
          </cell>
        </row>
        <row r="31">
          <cell r="BF31">
            <v>54</v>
          </cell>
        </row>
        <row r="32">
          <cell r="BF32">
            <v>88</v>
          </cell>
        </row>
        <row r="33">
          <cell r="BF33">
            <v>100</v>
          </cell>
        </row>
        <row r="34">
          <cell r="BF34">
            <v>100</v>
          </cell>
        </row>
        <row r="35">
          <cell r="BF35">
            <v>100</v>
          </cell>
        </row>
        <row r="36">
          <cell r="BF36">
            <v>98</v>
          </cell>
        </row>
        <row r="37">
          <cell r="BF37">
            <v>96</v>
          </cell>
        </row>
        <row r="38">
          <cell r="BF38">
            <v>96</v>
          </cell>
        </row>
        <row r="39">
          <cell r="BF39">
            <v>96</v>
          </cell>
        </row>
        <row r="40">
          <cell r="BF40">
            <v>84</v>
          </cell>
        </row>
        <row r="41">
          <cell r="BF41">
            <v>86</v>
          </cell>
        </row>
        <row r="42">
          <cell r="BF42">
            <v>100</v>
          </cell>
        </row>
        <row r="43">
          <cell r="BF43">
            <v>98</v>
          </cell>
        </row>
        <row r="44">
          <cell r="BF44">
            <v>86</v>
          </cell>
        </row>
        <row r="45">
          <cell r="BF45">
            <v>96</v>
          </cell>
        </row>
        <row r="46">
          <cell r="BF46">
            <v>100</v>
          </cell>
        </row>
        <row r="47">
          <cell r="BF47">
            <v>88</v>
          </cell>
        </row>
        <row r="48">
          <cell r="BF48">
            <v>98</v>
          </cell>
        </row>
        <row r="49">
          <cell r="BF49">
            <v>100</v>
          </cell>
        </row>
        <row r="50">
          <cell r="BF50">
            <v>78</v>
          </cell>
        </row>
        <row r="51">
          <cell r="BF51">
            <v>96</v>
          </cell>
        </row>
        <row r="52">
          <cell r="BF52">
            <v>96</v>
          </cell>
        </row>
        <row r="53">
          <cell r="BF53">
            <v>98</v>
          </cell>
        </row>
        <row r="54">
          <cell r="BF54">
            <v>92</v>
          </cell>
        </row>
        <row r="55">
          <cell r="BF55">
            <v>100</v>
          </cell>
        </row>
        <row r="56">
          <cell r="BF56">
            <v>94</v>
          </cell>
        </row>
        <row r="57">
          <cell r="BF57">
            <v>94</v>
          </cell>
        </row>
        <row r="58">
          <cell r="BF58">
            <v>100</v>
          </cell>
        </row>
        <row r="59">
          <cell r="BF59">
            <v>80</v>
          </cell>
        </row>
        <row r="65">
          <cell r="BF65">
            <v>94</v>
          </cell>
        </row>
        <row r="66">
          <cell r="BF66">
            <v>94</v>
          </cell>
        </row>
        <row r="67">
          <cell r="BF67">
            <v>96</v>
          </cell>
        </row>
        <row r="68">
          <cell r="BF68">
            <v>98</v>
          </cell>
        </row>
        <row r="69">
          <cell r="BF69">
            <v>100</v>
          </cell>
        </row>
        <row r="70">
          <cell r="BF70">
            <v>92</v>
          </cell>
        </row>
        <row r="71">
          <cell r="BF71">
            <v>96</v>
          </cell>
        </row>
        <row r="72">
          <cell r="BF72">
            <v>100</v>
          </cell>
        </row>
        <row r="73">
          <cell r="BF73">
            <v>92</v>
          </cell>
        </row>
        <row r="74">
          <cell r="BF74">
            <v>92</v>
          </cell>
        </row>
        <row r="75">
          <cell r="BF75">
            <v>98</v>
          </cell>
        </row>
        <row r="76">
          <cell r="BF76">
            <v>98</v>
          </cell>
        </row>
        <row r="77">
          <cell r="BF77">
            <v>86</v>
          </cell>
        </row>
        <row r="78">
          <cell r="BF78">
            <v>98</v>
          </cell>
        </row>
        <row r="79">
          <cell r="BF79">
            <v>90</v>
          </cell>
        </row>
        <row r="80">
          <cell r="BF80">
            <v>94</v>
          </cell>
        </row>
        <row r="81">
          <cell r="BF81">
            <v>98</v>
          </cell>
        </row>
        <row r="82">
          <cell r="BF82">
            <v>82</v>
          </cell>
        </row>
        <row r="83">
          <cell r="BF83">
            <v>96</v>
          </cell>
        </row>
        <row r="84">
          <cell r="BF84">
            <v>80</v>
          </cell>
        </row>
        <row r="85">
          <cell r="BF85">
            <v>100</v>
          </cell>
        </row>
        <row r="86">
          <cell r="BF86">
            <v>100</v>
          </cell>
        </row>
        <row r="87">
          <cell r="BF87">
            <v>88</v>
          </cell>
        </row>
        <row r="88">
          <cell r="BF88">
            <v>96</v>
          </cell>
        </row>
        <row r="89">
          <cell r="BF89">
            <v>76</v>
          </cell>
        </row>
        <row r="90">
          <cell r="BF90">
            <v>100</v>
          </cell>
        </row>
        <row r="91">
          <cell r="BF91">
            <v>100</v>
          </cell>
        </row>
        <row r="92">
          <cell r="BF92">
            <v>100</v>
          </cell>
        </row>
        <row r="93">
          <cell r="BF93">
            <v>96</v>
          </cell>
        </row>
        <row r="94">
          <cell r="BF94">
            <v>90</v>
          </cell>
        </row>
        <row r="95">
          <cell r="BF95">
            <v>92</v>
          </cell>
        </row>
        <row r="96">
          <cell r="BF96">
            <v>88</v>
          </cell>
        </row>
        <row r="102">
          <cell r="BF102">
            <v>92</v>
          </cell>
        </row>
        <row r="103">
          <cell r="BF103">
            <v>100</v>
          </cell>
        </row>
        <row r="104">
          <cell r="BF104">
            <v>82</v>
          </cell>
        </row>
        <row r="105">
          <cell r="BF105">
            <v>74</v>
          </cell>
        </row>
        <row r="106">
          <cell r="BF106">
            <v>96</v>
          </cell>
        </row>
        <row r="107">
          <cell r="BF107">
            <v>100</v>
          </cell>
        </row>
        <row r="108">
          <cell r="BF108">
            <v>82</v>
          </cell>
        </row>
        <row r="109">
          <cell r="BF109">
            <v>68</v>
          </cell>
        </row>
        <row r="110">
          <cell r="BF110">
            <v>98</v>
          </cell>
        </row>
        <row r="111">
          <cell r="BF111">
            <v>100</v>
          </cell>
        </row>
        <row r="112">
          <cell r="BF112">
            <v>98</v>
          </cell>
        </row>
        <row r="113">
          <cell r="BF113">
            <v>86</v>
          </cell>
        </row>
        <row r="114">
          <cell r="BF114">
            <v>100</v>
          </cell>
        </row>
        <row r="115">
          <cell r="BF115">
            <v>100</v>
          </cell>
        </row>
        <row r="116">
          <cell r="BF116">
            <v>94</v>
          </cell>
        </row>
        <row r="117">
          <cell r="BF117">
            <v>80</v>
          </cell>
        </row>
        <row r="118">
          <cell r="BF118">
            <v>98</v>
          </cell>
        </row>
        <row r="119">
          <cell r="BF119">
            <v>90</v>
          </cell>
        </row>
        <row r="120">
          <cell r="BF120">
            <v>100</v>
          </cell>
        </row>
        <row r="121">
          <cell r="BF121">
            <v>80</v>
          </cell>
        </row>
        <row r="122">
          <cell r="BF122">
            <v>100</v>
          </cell>
        </row>
        <row r="123">
          <cell r="BF123">
            <v>100</v>
          </cell>
        </row>
        <row r="124">
          <cell r="BF124">
            <v>90</v>
          </cell>
        </row>
        <row r="125">
          <cell r="BF125">
            <v>98</v>
          </cell>
        </row>
        <row r="126">
          <cell r="BF126">
            <v>100</v>
          </cell>
        </row>
        <row r="127">
          <cell r="BF127">
            <v>100</v>
          </cell>
        </row>
        <row r="128">
          <cell r="BF128">
            <v>100</v>
          </cell>
        </row>
        <row r="129">
          <cell r="BF129">
            <v>84</v>
          </cell>
        </row>
        <row r="130">
          <cell r="BF130">
            <v>100</v>
          </cell>
        </row>
        <row r="131">
          <cell r="BF131">
            <v>98</v>
          </cell>
        </row>
        <row r="137">
          <cell r="BF137">
            <v>100</v>
          </cell>
        </row>
        <row r="138">
          <cell r="BF138">
            <v>96</v>
          </cell>
        </row>
        <row r="139">
          <cell r="BF139">
            <v>98</v>
          </cell>
        </row>
        <row r="140">
          <cell r="BF140">
            <v>96</v>
          </cell>
        </row>
        <row r="141">
          <cell r="BF141">
            <v>94</v>
          </cell>
        </row>
        <row r="142">
          <cell r="BF142">
            <v>94</v>
          </cell>
        </row>
        <row r="143">
          <cell r="BF143">
            <v>100</v>
          </cell>
        </row>
        <row r="144">
          <cell r="BF144">
            <v>98</v>
          </cell>
        </row>
        <row r="145">
          <cell r="BF145">
            <v>92</v>
          </cell>
        </row>
        <row r="146">
          <cell r="BF146">
            <v>96</v>
          </cell>
        </row>
        <row r="147">
          <cell r="BF147">
            <v>98</v>
          </cell>
        </row>
        <row r="148">
          <cell r="BF148">
            <v>82</v>
          </cell>
        </row>
        <row r="149">
          <cell r="BF149">
            <v>98</v>
          </cell>
        </row>
        <row r="150">
          <cell r="BF150">
            <v>92</v>
          </cell>
        </row>
        <row r="151">
          <cell r="BF151">
            <v>98</v>
          </cell>
        </row>
        <row r="152">
          <cell r="BF152">
            <v>58</v>
          </cell>
        </row>
        <row r="153">
          <cell r="BF153">
            <v>90</v>
          </cell>
        </row>
        <row r="154">
          <cell r="BF154">
            <v>96</v>
          </cell>
        </row>
        <row r="155">
          <cell r="BF155">
            <v>76</v>
          </cell>
        </row>
        <row r="156">
          <cell r="BF156">
            <v>94</v>
          </cell>
        </row>
        <row r="157">
          <cell r="BF157">
            <v>94</v>
          </cell>
        </row>
        <row r="158">
          <cell r="BF158">
            <v>94</v>
          </cell>
        </row>
        <row r="159">
          <cell r="BF159">
            <v>100</v>
          </cell>
        </row>
        <row r="160">
          <cell r="BF160">
            <v>100</v>
          </cell>
        </row>
        <row r="161">
          <cell r="BF161">
            <v>100</v>
          </cell>
        </row>
        <row r="162">
          <cell r="BF162">
            <v>90</v>
          </cell>
        </row>
        <row r="163">
          <cell r="BF163">
            <v>100</v>
          </cell>
        </row>
        <row r="164">
          <cell r="BF164">
            <v>96</v>
          </cell>
        </row>
        <row r="165">
          <cell r="BF165">
            <v>90</v>
          </cell>
        </row>
        <row r="166">
          <cell r="BF166">
            <v>98</v>
          </cell>
        </row>
        <row r="167">
          <cell r="BF167">
            <v>94</v>
          </cell>
        </row>
        <row r="168">
          <cell r="BF168">
            <v>96</v>
          </cell>
        </row>
        <row r="174">
          <cell r="BF174">
            <v>100</v>
          </cell>
        </row>
        <row r="175">
          <cell r="BF175">
            <v>100</v>
          </cell>
        </row>
        <row r="176">
          <cell r="BF176">
            <v>98</v>
          </cell>
        </row>
        <row r="177">
          <cell r="BF177">
            <v>98</v>
          </cell>
        </row>
        <row r="178">
          <cell r="BF178">
            <v>100</v>
          </cell>
        </row>
        <row r="179">
          <cell r="BF179">
            <v>100</v>
          </cell>
        </row>
        <row r="180">
          <cell r="BF180">
            <v>100</v>
          </cell>
        </row>
        <row r="181">
          <cell r="BF181">
            <v>100</v>
          </cell>
        </row>
        <row r="182">
          <cell r="BF182">
            <v>100</v>
          </cell>
        </row>
        <row r="183">
          <cell r="BF183">
            <v>100</v>
          </cell>
        </row>
        <row r="184">
          <cell r="BF184">
            <v>100</v>
          </cell>
        </row>
        <row r="185">
          <cell r="BF185">
            <v>100</v>
          </cell>
        </row>
        <row r="186">
          <cell r="BF186">
            <v>100</v>
          </cell>
        </row>
        <row r="187">
          <cell r="BF187">
            <v>98</v>
          </cell>
        </row>
        <row r="188">
          <cell r="BF188">
            <v>96</v>
          </cell>
        </row>
        <row r="189">
          <cell r="BF189">
            <v>98</v>
          </cell>
        </row>
        <row r="190">
          <cell r="BF190">
            <v>100</v>
          </cell>
        </row>
        <row r="191">
          <cell r="BF191">
            <v>96</v>
          </cell>
        </row>
        <row r="192">
          <cell r="BF192">
            <v>96</v>
          </cell>
        </row>
        <row r="193">
          <cell r="BF193">
            <v>100</v>
          </cell>
        </row>
        <row r="194">
          <cell r="BF194">
            <v>100</v>
          </cell>
        </row>
        <row r="195">
          <cell r="BF195">
            <v>100</v>
          </cell>
        </row>
        <row r="196">
          <cell r="BF196">
            <v>98</v>
          </cell>
        </row>
        <row r="197">
          <cell r="BF197">
            <v>100</v>
          </cell>
        </row>
        <row r="198">
          <cell r="BF198">
            <v>100</v>
          </cell>
        </row>
        <row r="199">
          <cell r="BF199">
            <v>100</v>
          </cell>
        </row>
        <row r="200">
          <cell r="BF200">
            <v>98</v>
          </cell>
        </row>
        <row r="201">
          <cell r="BF201">
            <v>98</v>
          </cell>
        </row>
        <row r="202">
          <cell r="BF202">
            <v>100</v>
          </cell>
        </row>
        <row r="203">
          <cell r="BF203">
            <v>80</v>
          </cell>
        </row>
        <row r="204">
          <cell r="BF204">
            <v>50</v>
          </cell>
        </row>
        <row r="205">
          <cell r="BF205">
            <v>96</v>
          </cell>
        </row>
        <row r="206">
          <cell r="BF206">
            <v>100</v>
          </cell>
        </row>
        <row r="207">
          <cell r="BF207">
            <v>94</v>
          </cell>
        </row>
        <row r="213">
          <cell r="BF213">
            <v>100</v>
          </cell>
        </row>
        <row r="214">
          <cell r="BF214">
            <v>96</v>
          </cell>
        </row>
        <row r="215">
          <cell r="BF215">
            <v>100</v>
          </cell>
        </row>
        <row r="216">
          <cell r="BF216">
            <v>100</v>
          </cell>
        </row>
        <row r="217">
          <cell r="BF217">
            <v>96</v>
          </cell>
        </row>
        <row r="218">
          <cell r="BF218">
            <v>94</v>
          </cell>
        </row>
        <row r="219">
          <cell r="BF219">
            <v>94</v>
          </cell>
        </row>
        <row r="220">
          <cell r="BF220">
            <v>100</v>
          </cell>
        </row>
        <row r="221">
          <cell r="BF221">
            <v>94</v>
          </cell>
        </row>
        <row r="222">
          <cell r="BF222">
            <v>98</v>
          </cell>
        </row>
        <row r="223">
          <cell r="BF223">
            <v>98</v>
          </cell>
        </row>
        <row r="224">
          <cell r="BF224">
            <v>94</v>
          </cell>
        </row>
        <row r="225">
          <cell r="BF225">
            <v>100</v>
          </cell>
        </row>
        <row r="226">
          <cell r="BF226">
            <v>88</v>
          </cell>
        </row>
        <row r="227">
          <cell r="BF227">
            <v>88</v>
          </cell>
        </row>
        <row r="228">
          <cell r="BF228">
            <v>88</v>
          </cell>
        </row>
        <row r="229">
          <cell r="BF229">
            <v>100</v>
          </cell>
        </row>
        <row r="230">
          <cell r="BF230">
            <v>100</v>
          </cell>
        </row>
        <row r="231">
          <cell r="BF231">
            <v>98</v>
          </cell>
        </row>
        <row r="232">
          <cell r="BF232">
            <v>100</v>
          </cell>
        </row>
        <row r="233">
          <cell r="BF233">
            <v>98</v>
          </cell>
        </row>
        <row r="234">
          <cell r="BF234">
            <v>90</v>
          </cell>
        </row>
        <row r="235">
          <cell r="BF235">
            <v>98</v>
          </cell>
        </row>
        <row r="236">
          <cell r="BF236">
            <v>100</v>
          </cell>
        </row>
        <row r="237">
          <cell r="BF237">
            <v>98</v>
          </cell>
        </row>
        <row r="238">
          <cell r="BF238">
            <v>98</v>
          </cell>
        </row>
        <row r="239">
          <cell r="BF239">
            <v>100</v>
          </cell>
        </row>
        <row r="240">
          <cell r="BF240">
            <v>98</v>
          </cell>
        </row>
        <row r="241">
          <cell r="BF241">
            <v>98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F682-5939-4100-B3BC-04C0DFA27306}">
  <dimension ref="A1:BF311"/>
  <sheetViews>
    <sheetView tabSelected="1" zoomScale="70" zoomScaleNormal="70" zoomScaleSheetLayoutView="80" workbookViewId="0">
      <selection activeCell="P8" sqref="P8"/>
    </sheetView>
  </sheetViews>
  <sheetFormatPr defaultColWidth="8.81640625" defaultRowHeight="15.5" x14ac:dyDescent="0.35"/>
  <cols>
    <col min="1" max="1" width="6.90625" style="325" customWidth="1"/>
    <col min="2" max="2" width="12.90625" style="325" customWidth="1"/>
    <col min="3" max="3" width="34.81640625" style="325" customWidth="1"/>
    <col min="4" max="4" width="6.1796875" style="325" customWidth="1"/>
    <col min="5" max="5" width="8.6328125" style="363" customWidth="1"/>
    <col min="6" max="8" width="5.6328125" style="338" customWidth="1"/>
    <col min="9" max="11" width="8.6328125" style="338" customWidth="1"/>
    <col min="12" max="12" width="8.6328125" style="220" customWidth="1"/>
    <col min="13" max="15" width="5.6328125" style="220" customWidth="1"/>
    <col min="16" max="18" width="8.6328125" style="220" customWidth="1"/>
    <col min="19" max="19" width="8.6328125" style="254" customWidth="1"/>
    <col min="20" max="22" width="5.6328125" style="254" customWidth="1"/>
    <col min="23" max="25" width="8.6328125" style="254" customWidth="1"/>
    <col min="26" max="26" width="8.6328125" style="282" hidden="1" customWidth="1"/>
    <col min="27" max="29" width="5.6328125" style="282" hidden="1" customWidth="1"/>
    <col min="30" max="32" width="8.6328125" style="282" hidden="1" customWidth="1"/>
    <col min="33" max="33" width="8.6328125" style="317" hidden="1" customWidth="1"/>
    <col min="34" max="36" width="5.6328125" style="317" hidden="1" customWidth="1"/>
    <col min="37" max="39" width="8.6328125" style="317" hidden="1" customWidth="1"/>
    <col min="40" max="40" width="8.6328125" style="318" hidden="1" customWidth="1"/>
    <col min="41" max="43" width="5.6328125" style="318" hidden="1" customWidth="1"/>
    <col min="44" max="46" width="8.6328125" style="318" hidden="1" customWidth="1"/>
    <col min="47" max="49" width="5.6328125" style="302" customWidth="1"/>
    <col min="50" max="50" width="10.36328125" style="302" customWidth="1"/>
    <col min="51" max="51" width="11.453125" style="302" customWidth="1"/>
    <col min="52" max="52" width="12.453125" style="302" customWidth="1"/>
    <col min="53" max="53" width="20.1796875" style="302" customWidth="1"/>
    <col min="54" max="54" width="10.08984375" style="302" customWidth="1"/>
    <col min="55" max="55" width="17.54296875" style="302" customWidth="1"/>
    <col min="56" max="56" width="20.453125" style="302" customWidth="1"/>
    <col min="57" max="57" width="17.36328125" style="284" customWidth="1"/>
    <col min="58" max="58" width="8.453125" style="284" customWidth="1"/>
    <col min="59" max="16384" width="8.81640625" style="325"/>
  </cols>
  <sheetData>
    <row r="1" spans="1:58" x14ac:dyDescent="0.35">
      <c r="A1" s="455" t="s">
        <v>220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  <c r="AK1" s="455"/>
      <c r="AL1" s="455"/>
      <c r="AM1" s="455"/>
      <c r="AN1" s="455"/>
      <c r="AO1" s="455"/>
      <c r="AP1" s="455"/>
      <c r="AQ1" s="455"/>
      <c r="AR1" s="455"/>
      <c r="AS1" s="455"/>
      <c r="AT1" s="455"/>
      <c r="AU1" s="455"/>
      <c r="AV1" s="455"/>
      <c r="AW1" s="455"/>
      <c r="AX1" s="339"/>
      <c r="AY1" s="339"/>
      <c r="AZ1" s="339"/>
      <c r="BA1" s="284"/>
      <c r="BB1" s="450" t="s">
        <v>887</v>
      </c>
      <c r="BC1" s="450"/>
      <c r="BD1" s="450"/>
    </row>
    <row r="2" spans="1:58" x14ac:dyDescent="0.35">
      <c r="A2" s="455" t="s">
        <v>0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5"/>
      <c r="AP2" s="455"/>
      <c r="AQ2" s="455"/>
      <c r="AR2" s="455"/>
      <c r="AS2" s="455"/>
      <c r="AT2" s="455"/>
      <c r="AU2" s="455"/>
      <c r="AV2" s="455"/>
      <c r="AW2" s="455"/>
      <c r="AX2" s="339"/>
      <c r="AY2" s="339"/>
      <c r="AZ2" s="339"/>
      <c r="BA2" s="284"/>
      <c r="BB2" s="450" t="s">
        <v>888</v>
      </c>
      <c r="BC2" s="450"/>
      <c r="BD2" s="340" t="s">
        <v>886</v>
      </c>
    </row>
    <row r="3" spans="1:58" x14ac:dyDescent="0.35">
      <c r="A3" s="455" t="s">
        <v>1078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5"/>
      <c r="AX3" s="339"/>
      <c r="AY3" s="339"/>
      <c r="AZ3" s="339"/>
      <c r="BA3" s="284"/>
      <c r="BB3" s="451" t="s">
        <v>881</v>
      </c>
      <c r="BC3" s="451"/>
      <c r="BD3" s="294">
        <v>2</v>
      </c>
    </row>
    <row r="4" spans="1:58" s="341" customFormat="1" x14ac:dyDescent="0.35"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452" t="s">
        <v>885</v>
      </c>
      <c r="BC4" s="452"/>
      <c r="BD4" s="84">
        <v>2</v>
      </c>
      <c r="BE4" s="287"/>
      <c r="BF4" s="287"/>
    </row>
    <row r="5" spans="1:58" s="341" customFormat="1" x14ac:dyDescent="0.35">
      <c r="A5" s="342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453" t="s">
        <v>882</v>
      </c>
      <c r="BC5" s="453"/>
      <c r="BD5" s="84" t="s">
        <v>889</v>
      </c>
      <c r="BE5" s="287"/>
      <c r="BF5" s="287"/>
    </row>
    <row r="6" spans="1:58" s="341" customFormat="1" ht="16" thickBot="1" x14ac:dyDescent="0.4">
      <c r="A6" s="342" t="s">
        <v>225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400"/>
      <c r="BC6" s="400"/>
      <c r="BD6" s="287"/>
      <c r="BE6" s="287"/>
      <c r="BF6" s="287"/>
    </row>
    <row r="7" spans="1:58" ht="25" customHeight="1" thickBot="1" x14ac:dyDescent="0.4">
      <c r="A7" s="447" t="s">
        <v>1072</v>
      </c>
      <c r="B7" s="447" t="s">
        <v>2</v>
      </c>
      <c r="C7" s="448" t="s">
        <v>1606</v>
      </c>
      <c r="D7" s="448" t="s">
        <v>4</v>
      </c>
      <c r="E7" s="431" t="s">
        <v>1612</v>
      </c>
      <c r="F7" s="431"/>
      <c r="G7" s="431"/>
      <c r="H7" s="431"/>
      <c r="I7" s="431"/>
      <c r="J7" s="431"/>
      <c r="K7" s="431"/>
      <c r="L7" s="432" t="s">
        <v>1613</v>
      </c>
      <c r="M7" s="432"/>
      <c r="N7" s="432"/>
      <c r="O7" s="432"/>
      <c r="P7" s="432"/>
      <c r="Q7" s="432"/>
      <c r="R7" s="432"/>
      <c r="S7" s="433" t="s">
        <v>1614</v>
      </c>
      <c r="T7" s="433"/>
      <c r="U7" s="433"/>
      <c r="V7" s="433"/>
      <c r="W7" s="433"/>
      <c r="X7" s="433"/>
      <c r="Y7" s="433"/>
      <c r="Z7" s="434" t="s">
        <v>1615</v>
      </c>
      <c r="AA7" s="434"/>
      <c r="AB7" s="434"/>
      <c r="AC7" s="434"/>
      <c r="AD7" s="434"/>
      <c r="AE7" s="434"/>
      <c r="AF7" s="434"/>
      <c r="AG7" s="435" t="s">
        <v>1616</v>
      </c>
      <c r="AH7" s="435"/>
      <c r="AI7" s="435"/>
      <c r="AJ7" s="435"/>
      <c r="AK7" s="435"/>
      <c r="AL7" s="435"/>
      <c r="AM7" s="435"/>
      <c r="AN7" s="436" t="s">
        <v>1617</v>
      </c>
      <c r="AO7" s="436"/>
      <c r="AP7" s="436"/>
      <c r="AQ7" s="436"/>
      <c r="AR7" s="436"/>
      <c r="AS7" s="436"/>
      <c r="AT7" s="436"/>
      <c r="AU7" s="438" t="s">
        <v>224</v>
      </c>
      <c r="AV7" s="438"/>
      <c r="AW7" s="438"/>
      <c r="AX7" s="437" t="s">
        <v>1602</v>
      </c>
      <c r="AY7" s="437" t="s">
        <v>1603</v>
      </c>
      <c r="AZ7" s="437" t="s">
        <v>1604</v>
      </c>
      <c r="BA7" s="445" t="s">
        <v>881</v>
      </c>
      <c r="BB7" s="430" t="s">
        <v>1621</v>
      </c>
      <c r="BC7" s="428" t="s">
        <v>880</v>
      </c>
      <c r="BD7" s="428"/>
      <c r="BE7" s="428"/>
      <c r="BF7" s="429" t="s">
        <v>884</v>
      </c>
    </row>
    <row r="8" spans="1:58" s="489" customFormat="1" ht="55" customHeight="1" thickBot="1" x14ac:dyDescent="0.4">
      <c r="A8" s="447"/>
      <c r="B8" s="447"/>
      <c r="C8" s="448"/>
      <c r="D8" s="448"/>
      <c r="E8" s="235" t="s">
        <v>1598</v>
      </c>
      <c r="F8" s="236" t="s">
        <v>20</v>
      </c>
      <c r="G8" s="236" t="s">
        <v>19</v>
      </c>
      <c r="H8" s="236" t="s">
        <v>52</v>
      </c>
      <c r="I8" s="237" t="s">
        <v>1599</v>
      </c>
      <c r="J8" s="237" t="s">
        <v>1600</v>
      </c>
      <c r="K8" s="237" t="s">
        <v>1601</v>
      </c>
      <c r="L8" s="202" t="s">
        <v>1598</v>
      </c>
      <c r="M8" s="206" t="s">
        <v>20</v>
      </c>
      <c r="N8" s="206" t="s">
        <v>19</v>
      </c>
      <c r="O8" s="206" t="s">
        <v>52</v>
      </c>
      <c r="P8" s="207" t="s">
        <v>1599</v>
      </c>
      <c r="Q8" s="207" t="s">
        <v>1600</v>
      </c>
      <c r="R8" s="207" t="s">
        <v>1601</v>
      </c>
      <c r="S8" s="238" t="s">
        <v>1598</v>
      </c>
      <c r="T8" s="239" t="s">
        <v>20</v>
      </c>
      <c r="U8" s="239" t="s">
        <v>19</v>
      </c>
      <c r="V8" s="239" t="s">
        <v>52</v>
      </c>
      <c r="W8" s="224" t="s">
        <v>1599</v>
      </c>
      <c r="X8" s="224" t="s">
        <v>1600</v>
      </c>
      <c r="Y8" s="224" t="s">
        <v>1601</v>
      </c>
      <c r="Z8" s="240" t="s">
        <v>1598</v>
      </c>
      <c r="AA8" s="241" t="s">
        <v>20</v>
      </c>
      <c r="AB8" s="241" t="s">
        <v>19</v>
      </c>
      <c r="AC8" s="241" t="s">
        <v>52</v>
      </c>
      <c r="AD8" s="208" t="s">
        <v>1599</v>
      </c>
      <c r="AE8" s="208" t="s">
        <v>1600</v>
      </c>
      <c r="AF8" s="208" t="s">
        <v>1601</v>
      </c>
      <c r="AG8" s="209" t="s">
        <v>1598</v>
      </c>
      <c r="AH8" s="210" t="s">
        <v>20</v>
      </c>
      <c r="AI8" s="210" t="s">
        <v>19</v>
      </c>
      <c r="AJ8" s="210" t="s">
        <v>52</v>
      </c>
      <c r="AK8" s="211" t="s">
        <v>1599</v>
      </c>
      <c r="AL8" s="211" t="s">
        <v>1600</v>
      </c>
      <c r="AM8" s="211" t="s">
        <v>1601</v>
      </c>
      <c r="AN8" s="212" t="s">
        <v>1598</v>
      </c>
      <c r="AO8" s="213" t="s">
        <v>20</v>
      </c>
      <c r="AP8" s="213" t="s">
        <v>19</v>
      </c>
      <c r="AQ8" s="213" t="s">
        <v>52</v>
      </c>
      <c r="AR8" s="214" t="s">
        <v>1599</v>
      </c>
      <c r="AS8" s="214" t="s">
        <v>1600</v>
      </c>
      <c r="AT8" s="214" t="s">
        <v>1601</v>
      </c>
      <c r="AU8" s="203" t="s">
        <v>20</v>
      </c>
      <c r="AV8" s="204" t="s">
        <v>19</v>
      </c>
      <c r="AW8" s="204" t="s">
        <v>52</v>
      </c>
      <c r="AX8" s="437"/>
      <c r="AY8" s="437"/>
      <c r="AZ8" s="437"/>
      <c r="BA8" s="446"/>
      <c r="BB8" s="430"/>
      <c r="BC8" s="375" t="s">
        <v>881</v>
      </c>
      <c r="BD8" s="377" t="s">
        <v>885</v>
      </c>
      <c r="BE8" s="376" t="s">
        <v>882</v>
      </c>
      <c r="BF8" s="429"/>
    </row>
    <row r="9" spans="1:58" x14ac:dyDescent="0.35">
      <c r="A9" s="193" t="s">
        <v>21</v>
      </c>
      <c r="B9" s="33">
        <v>252610001</v>
      </c>
      <c r="C9" s="36" t="s">
        <v>1081</v>
      </c>
      <c r="D9" s="35" t="s">
        <v>6</v>
      </c>
      <c r="E9" s="215">
        <v>19</v>
      </c>
      <c r="F9" s="216"/>
      <c r="G9" s="216"/>
      <c r="H9" s="216"/>
      <c r="I9" s="326">
        <f>SUM(F9:H9)</f>
        <v>0</v>
      </c>
      <c r="J9" s="326">
        <f>E9-I9</f>
        <v>19</v>
      </c>
      <c r="K9" s="327">
        <f>J9/E9</f>
        <v>1</v>
      </c>
      <c r="L9" s="221">
        <v>14</v>
      </c>
      <c r="M9" s="221"/>
      <c r="N9" s="221">
        <v>2</v>
      </c>
      <c r="O9" s="221"/>
      <c r="P9" s="328">
        <f>SUM(M9:O9)</f>
        <v>2</v>
      </c>
      <c r="Q9" s="328">
        <f>L9-P9</f>
        <v>12</v>
      </c>
      <c r="R9" s="329">
        <f>Q9/L9</f>
        <v>0.8571428571428571</v>
      </c>
      <c r="S9" s="225">
        <v>12</v>
      </c>
      <c r="T9" s="225"/>
      <c r="U9" s="225"/>
      <c r="V9" s="225"/>
      <c r="W9" s="330">
        <f>SUM(T9:V9)</f>
        <v>0</v>
      </c>
      <c r="X9" s="330">
        <f>S9-W9</f>
        <v>12</v>
      </c>
      <c r="Y9" s="331">
        <f>X9/S9</f>
        <v>1</v>
      </c>
      <c r="Z9" s="228">
        <v>21</v>
      </c>
      <c r="AA9" s="228"/>
      <c r="AB9" s="228"/>
      <c r="AC9" s="228"/>
      <c r="AD9" s="280">
        <f>SUM(AA9:AC9)</f>
        <v>0</v>
      </c>
      <c r="AE9" s="280">
        <f>Z9-AD9</f>
        <v>21</v>
      </c>
      <c r="AF9" s="281">
        <f>AE9/Z9</f>
        <v>1</v>
      </c>
      <c r="AG9" s="229">
        <v>18</v>
      </c>
      <c r="AH9" s="229"/>
      <c r="AI9" s="229"/>
      <c r="AJ9" s="229"/>
      <c r="AK9" s="305">
        <f>SUM(AH9:AJ9)</f>
        <v>0</v>
      </c>
      <c r="AL9" s="305">
        <f>AG9-AK9</f>
        <v>18</v>
      </c>
      <c r="AM9" s="306">
        <f>AL9/AG9</f>
        <v>1</v>
      </c>
      <c r="AN9" s="230">
        <v>14</v>
      </c>
      <c r="AO9" s="230"/>
      <c r="AP9" s="230"/>
      <c r="AQ9" s="230"/>
      <c r="AR9" s="307">
        <f>SUM(AO9:AQ9)</f>
        <v>0</v>
      </c>
      <c r="AS9" s="307">
        <f>AN9-AR9</f>
        <v>14</v>
      </c>
      <c r="AT9" s="308">
        <f>AS9/AN9</f>
        <v>1</v>
      </c>
      <c r="AU9" s="289">
        <f>F9+M9+T9+AA9+AH9+AO9</f>
        <v>0</v>
      </c>
      <c r="AV9" s="289">
        <f t="shared" ref="AV9:AW9" si="0">G9+N9+U9+AB9+AI9+AP9</f>
        <v>2</v>
      </c>
      <c r="AW9" s="289">
        <f t="shared" si="0"/>
        <v>0</v>
      </c>
      <c r="AX9" s="290">
        <v>98</v>
      </c>
      <c r="AY9" s="289">
        <f>AX9-AU9-AV9-AW9</f>
        <v>96</v>
      </c>
      <c r="AZ9" s="291">
        <f>AY9/AX9</f>
        <v>0.97959183673469385</v>
      </c>
      <c r="BA9" s="343"/>
      <c r="BB9" s="378" cm="1">
        <f t="array" ref="BB9:BB29">[1]X!$BF$9:$BF$29</f>
        <v>96</v>
      </c>
      <c r="BC9" s="379">
        <f>BA9*2</f>
        <v>0</v>
      </c>
      <c r="BD9" s="378">
        <f>AW9*2</f>
        <v>0</v>
      </c>
      <c r="BE9" s="380"/>
      <c r="BF9" s="378">
        <f>BB9-BC9-BD9-BE9</f>
        <v>96</v>
      </c>
    </row>
    <row r="10" spans="1:58" x14ac:dyDescent="0.35">
      <c r="A10" s="193" t="s">
        <v>22</v>
      </c>
      <c r="B10" s="35">
        <v>252610002</v>
      </c>
      <c r="C10" s="36" t="s">
        <v>1082</v>
      </c>
      <c r="D10" s="35" t="s">
        <v>6</v>
      </c>
      <c r="E10" s="215">
        <v>19</v>
      </c>
      <c r="F10" s="217">
        <v>1</v>
      </c>
      <c r="G10" s="217">
        <v>2</v>
      </c>
      <c r="H10" s="217"/>
      <c r="I10" s="326">
        <f t="shared" ref="I10:I29" si="1">SUM(F10:H10)</f>
        <v>3</v>
      </c>
      <c r="J10" s="326">
        <f t="shared" ref="J10:J29" si="2">E10-I10</f>
        <v>16</v>
      </c>
      <c r="K10" s="327">
        <f t="shared" ref="K10:K29" si="3">J10/E10</f>
        <v>0.84210526315789469</v>
      </c>
      <c r="L10" s="221">
        <v>14</v>
      </c>
      <c r="M10" s="222"/>
      <c r="N10" s="222">
        <v>1</v>
      </c>
      <c r="O10" s="222">
        <v>1</v>
      </c>
      <c r="P10" s="328">
        <f t="shared" ref="P10:P29" si="4">SUM(M10:O10)</f>
        <v>2</v>
      </c>
      <c r="Q10" s="328">
        <f t="shared" ref="Q10:Q29" si="5">L10-P10</f>
        <v>12</v>
      </c>
      <c r="R10" s="329">
        <f t="shared" ref="R10:R29" si="6">Q10/L10</f>
        <v>0.8571428571428571</v>
      </c>
      <c r="S10" s="225">
        <v>12</v>
      </c>
      <c r="T10" s="226"/>
      <c r="U10" s="226">
        <v>2</v>
      </c>
      <c r="V10" s="226"/>
      <c r="W10" s="330">
        <f t="shared" ref="W10:W29" si="7">SUM(T10:V10)</f>
        <v>2</v>
      </c>
      <c r="X10" s="330">
        <f t="shared" ref="X10:X29" si="8">S10-W10</f>
        <v>10</v>
      </c>
      <c r="Y10" s="331">
        <f t="shared" ref="Y10:Y29" si="9">X10/S10</f>
        <v>0.83333333333333337</v>
      </c>
      <c r="Z10" s="228">
        <v>21</v>
      </c>
      <c r="AA10" s="255"/>
      <c r="AB10" s="255"/>
      <c r="AC10" s="255"/>
      <c r="AD10" s="280">
        <f t="shared" ref="AD10:AD29" si="10">SUM(AA10:AC10)</f>
        <v>0</v>
      </c>
      <c r="AE10" s="280">
        <f t="shared" ref="AE10:AE29" si="11">Z10-AD10</f>
        <v>21</v>
      </c>
      <c r="AF10" s="281">
        <f t="shared" ref="AF10:AF29" si="12">AE10/Z10</f>
        <v>1</v>
      </c>
      <c r="AG10" s="229">
        <v>18</v>
      </c>
      <c r="AH10" s="257"/>
      <c r="AI10" s="257"/>
      <c r="AJ10" s="257"/>
      <c r="AK10" s="305">
        <f t="shared" ref="AK10:AK29" si="13">SUM(AH10:AJ10)</f>
        <v>0</v>
      </c>
      <c r="AL10" s="305">
        <f t="shared" ref="AL10:AL29" si="14">AG10-AK10</f>
        <v>18</v>
      </c>
      <c r="AM10" s="306">
        <f t="shared" ref="AM10:AM29" si="15">AL10/AG10</f>
        <v>1</v>
      </c>
      <c r="AN10" s="230">
        <v>14</v>
      </c>
      <c r="AO10" s="259"/>
      <c r="AP10" s="259"/>
      <c r="AQ10" s="259"/>
      <c r="AR10" s="307">
        <f t="shared" ref="AR10:AR29" si="16">SUM(AO10:AQ10)</f>
        <v>0</v>
      </c>
      <c r="AS10" s="307">
        <f t="shared" ref="AS10:AS29" si="17">AN10-AR10</f>
        <v>14</v>
      </c>
      <c r="AT10" s="308">
        <f t="shared" ref="AT10:AT29" si="18">AS10/AN10</f>
        <v>1</v>
      </c>
      <c r="AU10" s="289">
        <f t="shared" ref="AU10:AU29" si="19">F10+M10+T10+AA10+AH10+AO10</f>
        <v>1</v>
      </c>
      <c r="AV10" s="289">
        <f t="shared" ref="AV10:AV29" si="20">G10+N10+U10+AB10+AI10+AP10</f>
        <v>5</v>
      </c>
      <c r="AW10" s="289">
        <f t="shared" ref="AW10:AW29" si="21">H10+O10+V10+AC10+AJ10+AQ10</f>
        <v>1</v>
      </c>
      <c r="AX10" s="290">
        <v>98</v>
      </c>
      <c r="AY10" s="289">
        <f t="shared" ref="AY10:AY29" si="22">AX10-AU10-AV10-AW10</f>
        <v>91</v>
      </c>
      <c r="AZ10" s="291">
        <f t="shared" ref="AZ10:AZ29" si="23">AY10/AX10</f>
        <v>0.9285714285714286</v>
      </c>
      <c r="BA10" s="344">
        <v>1</v>
      </c>
      <c r="BB10" s="378">
        <v>94</v>
      </c>
      <c r="BC10" s="379">
        <f t="shared" ref="BC10:BC29" si="24">BA10*2</f>
        <v>2</v>
      </c>
      <c r="BD10" s="378">
        <f t="shared" ref="BD10:BD29" si="25">AW10*2</f>
        <v>2</v>
      </c>
      <c r="BE10" s="381"/>
      <c r="BF10" s="378">
        <f t="shared" ref="BF10:BF29" si="26">BB10-BC10-BD10-BE10</f>
        <v>90</v>
      </c>
    </row>
    <row r="11" spans="1:58" x14ac:dyDescent="0.35">
      <c r="A11" s="193" t="s">
        <v>23</v>
      </c>
      <c r="B11" s="33">
        <v>252610003</v>
      </c>
      <c r="C11" s="36" t="s">
        <v>1083</v>
      </c>
      <c r="D11" s="35" t="s">
        <v>6</v>
      </c>
      <c r="E11" s="215">
        <v>19</v>
      </c>
      <c r="F11" s="217"/>
      <c r="G11" s="217"/>
      <c r="H11" s="217"/>
      <c r="I11" s="326">
        <f t="shared" si="1"/>
        <v>0</v>
      </c>
      <c r="J11" s="326">
        <f t="shared" si="2"/>
        <v>19</v>
      </c>
      <c r="K11" s="327">
        <f t="shared" si="3"/>
        <v>1</v>
      </c>
      <c r="L11" s="221">
        <v>14</v>
      </c>
      <c r="M11" s="222"/>
      <c r="N11" s="222"/>
      <c r="O11" s="222">
        <v>1</v>
      </c>
      <c r="P11" s="328">
        <f t="shared" si="4"/>
        <v>1</v>
      </c>
      <c r="Q11" s="328">
        <f t="shared" si="5"/>
        <v>13</v>
      </c>
      <c r="R11" s="329">
        <f t="shared" si="6"/>
        <v>0.9285714285714286</v>
      </c>
      <c r="S11" s="225">
        <v>12</v>
      </c>
      <c r="T11" s="226"/>
      <c r="U11" s="227"/>
      <c r="V11" s="226"/>
      <c r="W11" s="330">
        <f t="shared" si="7"/>
        <v>0</v>
      </c>
      <c r="X11" s="330">
        <f t="shared" si="8"/>
        <v>12</v>
      </c>
      <c r="Y11" s="331">
        <f t="shared" si="9"/>
        <v>1</v>
      </c>
      <c r="Z11" s="228">
        <v>21</v>
      </c>
      <c r="AA11" s="255"/>
      <c r="AB11" s="256"/>
      <c r="AC11" s="255"/>
      <c r="AD11" s="280">
        <f t="shared" si="10"/>
        <v>0</v>
      </c>
      <c r="AE11" s="280">
        <f t="shared" si="11"/>
        <v>21</v>
      </c>
      <c r="AF11" s="281">
        <f t="shared" si="12"/>
        <v>1</v>
      </c>
      <c r="AG11" s="229">
        <v>18</v>
      </c>
      <c r="AH11" s="257"/>
      <c r="AI11" s="258"/>
      <c r="AJ11" s="257"/>
      <c r="AK11" s="305">
        <f t="shared" si="13"/>
        <v>0</v>
      </c>
      <c r="AL11" s="305">
        <f t="shared" si="14"/>
        <v>18</v>
      </c>
      <c r="AM11" s="306">
        <f t="shared" si="15"/>
        <v>1</v>
      </c>
      <c r="AN11" s="230">
        <v>14</v>
      </c>
      <c r="AO11" s="259"/>
      <c r="AP11" s="260"/>
      <c r="AQ11" s="259"/>
      <c r="AR11" s="307">
        <f t="shared" si="16"/>
        <v>0</v>
      </c>
      <c r="AS11" s="307">
        <f t="shared" si="17"/>
        <v>14</v>
      </c>
      <c r="AT11" s="308">
        <f t="shared" si="18"/>
        <v>1</v>
      </c>
      <c r="AU11" s="289">
        <f t="shared" si="19"/>
        <v>0</v>
      </c>
      <c r="AV11" s="289">
        <f t="shared" si="20"/>
        <v>0</v>
      </c>
      <c r="AW11" s="289">
        <f t="shared" si="21"/>
        <v>1</v>
      </c>
      <c r="AX11" s="290">
        <v>98</v>
      </c>
      <c r="AY11" s="289">
        <f t="shared" si="22"/>
        <v>97</v>
      </c>
      <c r="AZ11" s="291">
        <f t="shared" si="23"/>
        <v>0.98979591836734693</v>
      </c>
      <c r="BA11" s="344"/>
      <c r="BB11" s="378">
        <v>98</v>
      </c>
      <c r="BC11" s="379">
        <f t="shared" si="24"/>
        <v>0</v>
      </c>
      <c r="BD11" s="378">
        <f t="shared" si="25"/>
        <v>2</v>
      </c>
      <c r="BE11" s="381"/>
      <c r="BF11" s="378">
        <f t="shared" si="26"/>
        <v>96</v>
      </c>
    </row>
    <row r="12" spans="1:58" x14ac:dyDescent="0.35">
      <c r="A12" s="193" t="s">
        <v>24</v>
      </c>
      <c r="B12" s="35">
        <v>252610004</v>
      </c>
      <c r="C12" s="36" t="s">
        <v>1084</v>
      </c>
      <c r="D12" s="35" t="s">
        <v>8</v>
      </c>
      <c r="E12" s="215">
        <v>19</v>
      </c>
      <c r="F12" s="217"/>
      <c r="G12" s="217"/>
      <c r="H12" s="217"/>
      <c r="I12" s="326">
        <f t="shared" si="1"/>
        <v>0</v>
      </c>
      <c r="J12" s="326">
        <f t="shared" si="2"/>
        <v>19</v>
      </c>
      <c r="K12" s="327">
        <f t="shared" si="3"/>
        <v>1</v>
      </c>
      <c r="L12" s="221">
        <v>14</v>
      </c>
      <c r="M12" s="222"/>
      <c r="N12" s="223">
        <v>1</v>
      </c>
      <c r="O12" s="222"/>
      <c r="P12" s="328">
        <f t="shared" si="4"/>
        <v>1</v>
      </c>
      <c r="Q12" s="328">
        <f t="shared" si="5"/>
        <v>13</v>
      </c>
      <c r="R12" s="329">
        <f t="shared" si="6"/>
        <v>0.9285714285714286</v>
      </c>
      <c r="S12" s="225">
        <v>12</v>
      </c>
      <c r="T12" s="226"/>
      <c r="U12" s="226"/>
      <c r="V12" s="226"/>
      <c r="W12" s="330">
        <f t="shared" si="7"/>
        <v>0</v>
      </c>
      <c r="X12" s="330">
        <f t="shared" si="8"/>
        <v>12</v>
      </c>
      <c r="Y12" s="331">
        <f t="shared" si="9"/>
        <v>1</v>
      </c>
      <c r="Z12" s="228">
        <v>21</v>
      </c>
      <c r="AA12" s="255"/>
      <c r="AB12" s="255"/>
      <c r="AC12" s="255"/>
      <c r="AD12" s="280">
        <f t="shared" si="10"/>
        <v>0</v>
      </c>
      <c r="AE12" s="280">
        <f t="shared" si="11"/>
        <v>21</v>
      </c>
      <c r="AF12" s="281">
        <f t="shared" si="12"/>
        <v>1</v>
      </c>
      <c r="AG12" s="229">
        <v>18</v>
      </c>
      <c r="AH12" s="257"/>
      <c r="AI12" s="257"/>
      <c r="AJ12" s="257"/>
      <c r="AK12" s="305">
        <f t="shared" si="13"/>
        <v>0</v>
      </c>
      <c r="AL12" s="305">
        <f t="shared" si="14"/>
        <v>18</v>
      </c>
      <c r="AM12" s="306">
        <f t="shared" si="15"/>
        <v>1</v>
      </c>
      <c r="AN12" s="230">
        <v>14</v>
      </c>
      <c r="AO12" s="259"/>
      <c r="AP12" s="259"/>
      <c r="AQ12" s="259"/>
      <c r="AR12" s="307">
        <f t="shared" si="16"/>
        <v>0</v>
      </c>
      <c r="AS12" s="307">
        <f t="shared" si="17"/>
        <v>14</v>
      </c>
      <c r="AT12" s="308">
        <f t="shared" si="18"/>
        <v>1</v>
      </c>
      <c r="AU12" s="289">
        <f t="shared" si="19"/>
        <v>0</v>
      </c>
      <c r="AV12" s="289">
        <f t="shared" si="20"/>
        <v>1</v>
      </c>
      <c r="AW12" s="289">
        <f t="shared" si="21"/>
        <v>0</v>
      </c>
      <c r="AX12" s="290">
        <v>98</v>
      </c>
      <c r="AY12" s="289">
        <f t="shared" si="22"/>
        <v>97</v>
      </c>
      <c r="AZ12" s="291">
        <f t="shared" si="23"/>
        <v>0.98979591836734693</v>
      </c>
      <c r="BA12" s="344"/>
      <c r="BB12" s="378">
        <v>100</v>
      </c>
      <c r="BC12" s="379">
        <f t="shared" si="24"/>
        <v>0</v>
      </c>
      <c r="BD12" s="378">
        <f t="shared" si="25"/>
        <v>0</v>
      </c>
      <c r="BE12" s="381"/>
      <c r="BF12" s="378">
        <f t="shared" si="26"/>
        <v>100</v>
      </c>
    </row>
    <row r="13" spans="1:58" x14ac:dyDescent="0.35">
      <c r="A13" s="193" t="s">
        <v>25</v>
      </c>
      <c r="B13" s="35">
        <v>252610005</v>
      </c>
      <c r="C13" s="36" t="s">
        <v>1085</v>
      </c>
      <c r="D13" s="35" t="s">
        <v>8</v>
      </c>
      <c r="E13" s="215">
        <v>19</v>
      </c>
      <c r="F13" s="217"/>
      <c r="G13" s="217"/>
      <c r="H13" s="217"/>
      <c r="I13" s="326">
        <f t="shared" si="1"/>
        <v>0</v>
      </c>
      <c r="J13" s="326">
        <f t="shared" si="2"/>
        <v>19</v>
      </c>
      <c r="K13" s="327">
        <f t="shared" si="3"/>
        <v>1</v>
      </c>
      <c r="L13" s="221">
        <v>14</v>
      </c>
      <c r="M13" s="222"/>
      <c r="N13" s="223">
        <v>2</v>
      </c>
      <c r="O13" s="222"/>
      <c r="P13" s="328">
        <f t="shared" si="4"/>
        <v>2</v>
      </c>
      <c r="Q13" s="328">
        <f t="shared" si="5"/>
        <v>12</v>
      </c>
      <c r="R13" s="329">
        <f t="shared" si="6"/>
        <v>0.8571428571428571</v>
      </c>
      <c r="S13" s="225">
        <v>12</v>
      </c>
      <c r="T13" s="226">
        <v>1</v>
      </c>
      <c r="U13" s="227"/>
      <c r="V13" s="226"/>
      <c r="W13" s="330">
        <f t="shared" si="7"/>
        <v>1</v>
      </c>
      <c r="X13" s="330">
        <f t="shared" si="8"/>
        <v>11</v>
      </c>
      <c r="Y13" s="331">
        <f t="shared" si="9"/>
        <v>0.91666666666666663</v>
      </c>
      <c r="Z13" s="228">
        <v>21</v>
      </c>
      <c r="AA13" s="255"/>
      <c r="AB13" s="256"/>
      <c r="AC13" s="255"/>
      <c r="AD13" s="280">
        <f t="shared" si="10"/>
        <v>0</v>
      </c>
      <c r="AE13" s="280">
        <f t="shared" si="11"/>
        <v>21</v>
      </c>
      <c r="AF13" s="281">
        <f t="shared" si="12"/>
        <v>1</v>
      </c>
      <c r="AG13" s="229">
        <v>18</v>
      </c>
      <c r="AH13" s="257"/>
      <c r="AI13" s="258"/>
      <c r="AJ13" s="257"/>
      <c r="AK13" s="305">
        <f t="shared" si="13"/>
        <v>0</v>
      </c>
      <c r="AL13" s="305">
        <f t="shared" si="14"/>
        <v>18</v>
      </c>
      <c r="AM13" s="306">
        <f t="shared" si="15"/>
        <v>1</v>
      </c>
      <c r="AN13" s="230">
        <v>14</v>
      </c>
      <c r="AO13" s="259"/>
      <c r="AP13" s="260"/>
      <c r="AQ13" s="259"/>
      <c r="AR13" s="307">
        <f t="shared" si="16"/>
        <v>0</v>
      </c>
      <c r="AS13" s="307">
        <f t="shared" si="17"/>
        <v>14</v>
      </c>
      <c r="AT13" s="308">
        <f t="shared" si="18"/>
        <v>1</v>
      </c>
      <c r="AU13" s="289">
        <f t="shared" si="19"/>
        <v>1</v>
      </c>
      <c r="AV13" s="289">
        <f t="shared" si="20"/>
        <v>2</v>
      </c>
      <c r="AW13" s="289">
        <f t="shared" si="21"/>
        <v>0</v>
      </c>
      <c r="AX13" s="290">
        <v>98</v>
      </c>
      <c r="AY13" s="289">
        <f t="shared" si="22"/>
        <v>95</v>
      </c>
      <c r="AZ13" s="291">
        <f t="shared" si="23"/>
        <v>0.96938775510204078</v>
      </c>
      <c r="BA13" s="344">
        <v>1</v>
      </c>
      <c r="BB13" s="378">
        <v>88</v>
      </c>
      <c r="BC13" s="379">
        <f t="shared" si="24"/>
        <v>2</v>
      </c>
      <c r="BD13" s="378">
        <f t="shared" si="25"/>
        <v>0</v>
      </c>
      <c r="BE13" s="381"/>
      <c r="BF13" s="378">
        <f t="shared" si="26"/>
        <v>86</v>
      </c>
    </row>
    <row r="14" spans="1:58" x14ac:dyDescent="0.35">
      <c r="A14" s="193" t="s">
        <v>26</v>
      </c>
      <c r="B14" s="35">
        <v>252610006</v>
      </c>
      <c r="C14" s="36" t="s">
        <v>1086</v>
      </c>
      <c r="D14" s="35" t="s">
        <v>8</v>
      </c>
      <c r="E14" s="215">
        <v>19</v>
      </c>
      <c r="F14" s="217">
        <v>1</v>
      </c>
      <c r="G14" s="217"/>
      <c r="H14" s="217"/>
      <c r="I14" s="326">
        <f t="shared" si="1"/>
        <v>1</v>
      </c>
      <c r="J14" s="326">
        <f t="shared" si="2"/>
        <v>18</v>
      </c>
      <c r="K14" s="327">
        <f t="shared" si="3"/>
        <v>0.94736842105263153</v>
      </c>
      <c r="L14" s="221">
        <v>14</v>
      </c>
      <c r="M14" s="222"/>
      <c r="N14" s="222">
        <v>4</v>
      </c>
      <c r="O14" s="222"/>
      <c r="P14" s="328">
        <f t="shared" si="4"/>
        <v>4</v>
      </c>
      <c r="Q14" s="328">
        <f t="shared" si="5"/>
        <v>10</v>
      </c>
      <c r="R14" s="329">
        <f t="shared" si="6"/>
        <v>0.7142857142857143</v>
      </c>
      <c r="S14" s="225">
        <v>12</v>
      </c>
      <c r="T14" s="226"/>
      <c r="U14" s="226">
        <v>5</v>
      </c>
      <c r="V14" s="226">
        <v>1</v>
      </c>
      <c r="W14" s="330">
        <f t="shared" si="7"/>
        <v>6</v>
      </c>
      <c r="X14" s="330">
        <f t="shared" si="8"/>
        <v>6</v>
      </c>
      <c r="Y14" s="331">
        <f t="shared" si="9"/>
        <v>0.5</v>
      </c>
      <c r="Z14" s="228">
        <v>21</v>
      </c>
      <c r="AA14" s="255"/>
      <c r="AB14" s="255"/>
      <c r="AC14" s="255"/>
      <c r="AD14" s="280">
        <f t="shared" si="10"/>
        <v>0</v>
      </c>
      <c r="AE14" s="280">
        <f t="shared" si="11"/>
        <v>21</v>
      </c>
      <c r="AF14" s="281">
        <f t="shared" si="12"/>
        <v>1</v>
      </c>
      <c r="AG14" s="229">
        <v>18</v>
      </c>
      <c r="AH14" s="257"/>
      <c r="AI14" s="257"/>
      <c r="AJ14" s="257"/>
      <c r="AK14" s="305">
        <f t="shared" si="13"/>
        <v>0</v>
      </c>
      <c r="AL14" s="305">
        <f t="shared" si="14"/>
        <v>18</v>
      </c>
      <c r="AM14" s="306">
        <f t="shared" si="15"/>
        <v>1</v>
      </c>
      <c r="AN14" s="230">
        <v>14</v>
      </c>
      <c r="AO14" s="259"/>
      <c r="AP14" s="259"/>
      <c r="AQ14" s="259"/>
      <c r="AR14" s="307">
        <f t="shared" si="16"/>
        <v>0</v>
      </c>
      <c r="AS14" s="307">
        <f t="shared" si="17"/>
        <v>14</v>
      </c>
      <c r="AT14" s="308">
        <f t="shared" si="18"/>
        <v>1</v>
      </c>
      <c r="AU14" s="289">
        <f t="shared" si="19"/>
        <v>1</v>
      </c>
      <c r="AV14" s="289">
        <f t="shared" si="20"/>
        <v>9</v>
      </c>
      <c r="AW14" s="289">
        <f t="shared" si="21"/>
        <v>1</v>
      </c>
      <c r="AX14" s="290">
        <v>98</v>
      </c>
      <c r="AY14" s="289">
        <f t="shared" si="22"/>
        <v>87</v>
      </c>
      <c r="AZ14" s="291">
        <f t="shared" si="23"/>
        <v>0.88775510204081631</v>
      </c>
      <c r="BA14" s="344">
        <v>1</v>
      </c>
      <c r="BB14" s="378">
        <v>100</v>
      </c>
      <c r="BC14" s="379">
        <f t="shared" si="24"/>
        <v>2</v>
      </c>
      <c r="BD14" s="378">
        <f t="shared" si="25"/>
        <v>2</v>
      </c>
      <c r="BE14" s="381"/>
      <c r="BF14" s="378">
        <f t="shared" si="26"/>
        <v>96</v>
      </c>
    </row>
    <row r="15" spans="1:58" x14ac:dyDescent="0.35">
      <c r="A15" s="193" t="s">
        <v>27</v>
      </c>
      <c r="B15" s="35">
        <v>252610007</v>
      </c>
      <c r="C15" s="36" t="s">
        <v>1087</v>
      </c>
      <c r="D15" s="35" t="s">
        <v>6</v>
      </c>
      <c r="E15" s="215">
        <v>19</v>
      </c>
      <c r="F15" s="217"/>
      <c r="G15" s="217">
        <v>1</v>
      </c>
      <c r="H15" s="217"/>
      <c r="I15" s="326">
        <f t="shared" si="1"/>
        <v>1</v>
      </c>
      <c r="J15" s="326">
        <f t="shared" si="2"/>
        <v>18</v>
      </c>
      <c r="K15" s="327">
        <f t="shared" si="3"/>
        <v>0.94736842105263153</v>
      </c>
      <c r="L15" s="221">
        <v>14</v>
      </c>
      <c r="M15" s="222"/>
      <c r="N15" s="222">
        <v>1</v>
      </c>
      <c r="O15" s="222"/>
      <c r="P15" s="328">
        <f t="shared" si="4"/>
        <v>1</v>
      </c>
      <c r="Q15" s="328">
        <f t="shared" si="5"/>
        <v>13</v>
      </c>
      <c r="R15" s="329">
        <f t="shared" si="6"/>
        <v>0.9285714285714286</v>
      </c>
      <c r="S15" s="225">
        <v>12</v>
      </c>
      <c r="T15" s="226"/>
      <c r="U15" s="226">
        <v>2</v>
      </c>
      <c r="V15" s="226"/>
      <c r="W15" s="330">
        <f t="shared" si="7"/>
        <v>2</v>
      </c>
      <c r="X15" s="330">
        <f t="shared" si="8"/>
        <v>10</v>
      </c>
      <c r="Y15" s="331">
        <f t="shared" si="9"/>
        <v>0.83333333333333337</v>
      </c>
      <c r="Z15" s="228">
        <v>21</v>
      </c>
      <c r="AA15" s="255"/>
      <c r="AB15" s="255"/>
      <c r="AC15" s="255"/>
      <c r="AD15" s="280">
        <f t="shared" si="10"/>
        <v>0</v>
      </c>
      <c r="AE15" s="280">
        <f t="shared" si="11"/>
        <v>21</v>
      </c>
      <c r="AF15" s="281">
        <f t="shared" si="12"/>
        <v>1</v>
      </c>
      <c r="AG15" s="229">
        <v>18</v>
      </c>
      <c r="AH15" s="257"/>
      <c r="AI15" s="257"/>
      <c r="AJ15" s="257"/>
      <c r="AK15" s="305">
        <f t="shared" si="13"/>
        <v>0</v>
      </c>
      <c r="AL15" s="305">
        <f t="shared" si="14"/>
        <v>18</v>
      </c>
      <c r="AM15" s="306">
        <f t="shared" si="15"/>
        <v>1</v>
      </c>
      <c r="AN15" s="230">
        <v>14</v>
      </c>
      <c r="AO15" s="259"/>
      <c r="AP15" s="259"/>
      <c r="AQ15" s="259"/>
      <c r="AR15" s="307">
        <f t="shared" si="16"/>
        <v>0</v>
      </c>
      <c r="AS15" s="307">
        <f t="shared" si="17"/>
        <v>14</v>
      </c>
      <c r="AT15" s="308">
        <f t="shared" si="18"/>
        <v>1</v>
      </c>
      <c r="AU15" s="289">
        <f t="shared" si="19"/>
        <v>0</v>
      </c>
      <c r="AV15" s="289">
        <f t="shared" si="20"/>
        <v>4</v>
      </c>
      <c r="AW15" s="289">
        <f t="shared" si="21"/>
        <v>0</v>
      </c>
      <c r="AX15" s="290">
        <v>98</v>
      </c>
      <c r="AY15" s="289">
        <f t="shared" si="22"/>
        <v>94</v>
      </c>
      <c r="AZ15" s="291">
        <f t="shared" si="23"/>
        <v>0.95918367346938771</v>
      </c>
      <c r="BA15" s="344"/>
      <c r="BB15" s="378">
        <v>100</v>
      </c>
      <c r="BC15" s="379">
        <f>BA15*2</f>
        <v>0</v>
      </c>
      <c r="BD15" s="378">
        <f t="shared" si="25"/>
        <v>0</v>
      </c>
      <c r="BE15" s="381"/>
      <c r="BF15" s="378">
        <f t="shared" si="26"/>
        <v>100</v>
      </c>
    </row>
    <row r="16" spans="1:58" x14ac:dyDescent="0.35">
      <c r="A16" s="193" t="s">
        <v>28</v>
      </c>
      <c r="B16" s="191">
        <v>252610008</v>
      </c>
      <c r="C16" s="34" t="s">
        <v>1088</v>
      </c>
      <c r="D16" s="38" t="s">
        <v>6</v>
      </c>
      <c r="E16" s="215">
        <v>19</v>
      </c>
      <c r="F16" s="217">
        <v>2</v>
      </c>
      <c r="G16" s="217"/>
      <c r="H16" s="217"/>
      <c r="I16" s="326">
        <f t="shared" si="1"/>
        <v>2</v>
      </c>
      <c r="J16" s="326">
        <f t="shared" si="2"/>
        <v>17</v>
      </c>
      <c r="K16" s="327">
        <f t="shared" si="3"/>
        <v>0.89473684210526316</v>
      </c>
      <c r="L16" s="221">
        <v>14</v>
      </c>
      <c r="M16" s="222"/>
      <c r="N16" s="222">
        <v>4</v>
      </c>
      <c r="O16" s="222"/>
      <c r="P16" s="328">
        <f t="shared" si="4"/>
        <v>4</v>
      </c>
      <c r="Q16" s="328">
        <f t="shared" si="5"/>
        <v>10</v>
      </c>
      <c r="R16" s="329">
        <f t="shared" si="6"/>
        <v>0.7142857142857143</v>
      </c>
      <c r="S16" s="225">
        <v>12</v>
      </c>
      <c r="T16" s="226"/>
      <c r="U16" s="226"/>
      <c r="V16" s="226"/>
      <c r="W16" s="330">
        <f t="shared" si="7"/>
        <v>0</v>
      </c>
      <c r="X16" s="330">
        <f t="shared" si="8"/>
        <v>12</v>
      </c>
      <c r="Y16" s="331">
        <f t="shared" si="9"/>
        <v>1</v>
      </c>
      <c r="Z16" s="228">
        <v>21</v>
      </c>
      <c r="AA16" s="255"/>
      <c r="AB16" s="255"/>
      <c r="AC16" s="255"/>
      <c r="AD16" s="280">
        <f t="shared" si="10"/>
        <v>0</v>
      </c>
      <c r="AE16" s="280">
        <f t="shared" si="11"/>
        <v>21</v>
      </c>
      <c r="AF16" s="281">
        <f t="shared" si="12"/>
        <v>1</v>
      </c>
      <c r="AG16" s="229">
        <v>18</v>
      </c>
      <c r="AH16" s="257"/>
      <c r="AI16" s="257"/>
      <c r="AJ16" s="257"/>
      <c r="AK16" s="305">
        <f t="shared" si="13"/>
        <v>0</v>
      </c>
      <c r="AL16" s="305">
        <f t="shared" si="14"/>
        <v>18</v>
      </c>
      <c r="AM16" s="306">
        <f t="shared" si="15"/>
        <v>1</v>
      </c>
      <c r="AN16" s="230">
        <v>14</v>
      </c>
      <c r="AO16" s="259"/>
      <c r="AP16" s="259"/>
      <c r="AQ16" s="259"/>
      <c r="AR16" s="307">
        <f t="shared" si="16"/>
        <v>0</v>
      </c>
      <c r="AS16" s="307">
        <f t="shared" si="17"/>
        <v>14</v>
      </c>
      <c r="AT16" s="308">
        <f t="shared" si="18"/>
        <v>1</v>
      </c>
      <c r="AU16" s="289">
        <f t="shared" si="19"/>
        <v>2</v>
      </c>
      <c r="AV16" s="289">
        <f t="shared" si="20"/>
        <v>4</v>
      </c>
      <c r="AW16" s="289">
        <f t="shared" si="21"/>
        <v>0</v>
      </c>
      <c r="AX16" s="290">
        <v>98</v>
      </c>
      <c r="AY16" s="289">
        <f t="shared" si="22"/>
        <v>92</v>
      </c>
      <c r="AZ16" s="291">
        <f t="shared" si="23"/>
        <v>0.93877551020408168</v>
      </c>
      <c r="BA16" s="344">
        <v>2</v>
      </c>
      <c r="BB16" s="378">
        <v>100</v>
      </c>
      <c r="BC16" s="379">
        <f t="shared" si="24"/>
        <v>4</v>
      </c>
      <c r="BD16" s="378">
        <f t="shared" si="25"/>
        <v>0</v>
      </c>
      <c r="BE16" s="381"/>
      <c r="BF16" s="378">
        <f t="shared" si="26"/>
        <v>96</v>
      </c>
    </row>
    <row r="17" spans="1:58" x14ac:dyDescent="0.35">
      <c r="A17" s="193" t="s">
        <v>29</v>
      </c>
      <c r="B17" s="38">
        <v>252610009</v>
      </c>
      <c r="C17" s="39" t="s">
        <v>1089</v>
      </c>
      <c r="D17" s="194" t="s">
        <v>6</v>
      </c>
      <c r="E17" s="215">
        <v>19</v>
      </c>
      <c r="F17" s="217"/>
      <c r="G17" s="217"/>
      <c r="H17" s="217"/>
      <c r="I17" s="326">
        <f t="shared" si="1"/>
        <v>0</v>
      </c>
      <c r="J17" s="326">
        <f t="shared" si="2"/>
        <v>19</v>
      </c>
      <c r="K17" s="327">
        <f t="shared" si="3"/>
        <v>1</v>
      </c>
      <c r="L17" s="221">
        <v>14</v>
      </c>
      <c r="M17" s="222"/>
      <c r="N17" s="222"/>
      <c r="O17" s="222"/>
      <c r="P17" s="328">
        <f t="shared" si="4"/>
        <v>0</v>
      </c>
      <c r="Q17" s="328">
        <f t="shared" si="5"/>
        <v>14</v>
      </c>
      <c r="R17" s="329">
        <f t="shared" si="6"/>
        <v>1</v>
      </c>
      <c r="S17" s="225">
        <v>12</v>
      </c>
      <c r="T17" s="226"/>
      <c r="U17" s="226"/>
      <c r="V17" s="226"/>
      <c r="W17" s="330">
        <f t="shared" si="7"/>
        <v>0</v>
      </c>
      <c r="X17" s="330">
        <f t="shared" si="8"/>
        <v>12</v>
      </c>
      <c r="Y17" s="331">
        <f t="shared" si="9"/>
        <v>1</v>
      </c>
      <c r="Z17" s="228">
        <v>21</v>
      </c>
      <c r="AA17" s="255"/>
      <c r="AB17" s="255"/>
      <c r="AC17" s="255"/>
      <c r="AD17" s="280">
        <f t="shared" si="10"/>
        <v>0</v>
      </c>
      <c r="AE17" s="280">
        <f t="shared" si="11"/>
        <v>21</v>
      </c>
      <c r="AF17" s="281">
        <f t="shared" si="12"/>
        <v>1</v>
      </c>
      <c r="AG17" s="229">
        <v>18</v>
      </c>
      <c r="AH17" s="257"/>
      <c r="AI17" s="257"/>
      <c r="AJ17" s="257"/>
      <c r="AK17" s="305">
        <f t="shared" si="13"/>
        <v>0</v>
      </c>
      <c r="AL17" s="305">
        <f t="shared" si="14"/>
        <v>18</v>
      </c>
      <c r="AM17" s="306">
        <f t="shared" si="15"/>
        <v>1</v>
      </c>
      <c r="AN17" s="230">
        <v>14</v>
      </c>
      <c r="AO17" s="259"/>
      <c r="AP17" s="259"/>
      <c r="AQ17" s="259"/>
      <c r="AR17" s="307">
        <f t="shared" si="16"/>
        <v>0</v>
      </c>
      <c r="AS17" s="307">
        <f t="shared" si="17"/>
        <v>14</v>
      </c>
      <c r="AT17" s="308">
        <f t="shared" si="18"/>
        <v>1</v>
      </c>
      <c r="AU17" s="289">
        <f t="shared" si="19"/>
        <v>0</v>
      </c>
      <c r="AV17" s="289">
        <f t="shared" si="20"/>
        <v>0</v>
      </c>
      <c r="AW17" s="289">
        <f t="shared" si="21"/>
        <v>0</v>
      </c>
      <c r="AX17" s="290">
        <v>98</v>
      </c>
      <c r="AY17" s="289">
        <f t="shared" si="22"/>
        <v>98</v>
      </c>
      <c r="AZ17" s="291">
        <f t="shared" si="23"/>
        <v>1</v>
      </c>
      <c r="BA17" s="344"/>
      <c r="BB17" s="378">
        <v>100</v>
      </c>
      <c r="BC17" s="379">
        <f t="shared" si="24"/>
        <v>0</v>
      </c>
      <c r="BD17" s="378">
        <f t="shared" si="25"/>
        <v>0</v>
      </c>
      <c r="BE17" s="381"/>
      <c r="BF17" s="378">
        <f t="shared" si="26"/>
        <v>100</v>
      </c>
    </row>
    <row r="18" spans="1:58" x14ac:dyDescent="0.35">
      <c r="A18" s="193" t="s">
        <v>30</v>
      </c>
      <c r="B18" s="38">
        <v>252610010</v>
      </c>
      <c r="C18" s="39" t="s">
        <v>1090</v>
      </c>
      <c r="D18" s="194" t="s">
        <v>6</v>
      </c>
      <c r="E18" s="215">
        <v>19</v>
      </c>
      <c r="F18" s="217"/>
      <c r="G18" s="217">
        <v>1</v>
      </c>
      <c r="H18" s="217"/>
      <c r="I18" s="326">
        <f t="shared" si="1"/>
        <v>1</v>
      </c>
      <c r="J18" s="326">
        <f t="shared" si="2"/>
        <v>18</v>
      </c>
      <c r="K18" s="327">
        <f t="shared" si="3"/>
        <v>0.94736842105263153</v>
      </c>
      <c r="L18" s="221">
        <v>14</v>
      </c>
      <c r="M18" s="222"/>
      <c r="N18" s="222">
        <v>1</v>
      </c>
      <c r="O18" s="222">
        <v>1</v>
      </c>
      <c r="P18" s="328">
        <f t="shared" si="4"/>
        <v>2</v>
      </c>
      <c r="Q18" s="328">
        <f t="shared" si="5"/>
        <v>12</v>
      </c>
      <c r="R18" s="329">
        <f t="shared" si="6"/>
        <v>0.8571428571428571</v>
      </c>
      <c r="S18" s="225">
        <v>12</v>
      </c>
      <c r="T18" s="226"/>
      <c r="U18" s="226"/>
      <c r="V18" s="226"/>
      <c r="W18" s="330">
        <f t="shared" si="7"/>
        <v>0</v>
      </c>
      <c r="X18" s="330">
        <f t="shared" si="8"/>
        <v>12</v>
      </c>
      <c r="Y18" s="331">
        <f t="shared" si="9"/>
        <v>1</v>
      </c>
      <c r="Z18" s="228">
        <v>21</v>
      </c>
      <c r="AA18" s="255"/>
      <c r="AB18" s="255"/>
      <c r="AC18" s="255"/>
      <c r="AD18" s="280">
        <f t="shared" si="10"/>
        <v>0</v>
      </c>
      <c r="AE18" s="280">
        <f t="shared" si="11"/>
        <v>21</v>
      </c>
      <c r="AF18" s="281">
        <f t="shared" si="12"/>
        <v>1</v>
      </c>
      <c r="AG18" s="229">
        <v>18</v>
      </c>
      <c r="AH18" s="257"/>
      <c r="AI18" s="257"/>
      <c r="AJ18" s="257"/>
      <c r="AK18" s="305">
        <f t="shared" si="13"/>
        <v>0</v>
      </c>
      <c r="AL18" s="305">
        <f t="shared" si="14"/>
        <v>18</v>
      </c>
      <c r="AM18" s="306">
        <f t="shared" si="15"/>
        <v>1</v>
      </c>
      <c r="AN18" s="230">
        <v>14</v>
      </c>
      <c r="AO18" s="259"/>
      <c r="AP18" s="259"/>
      <c r="AQ18" s="259"/>
      <c r="AR18" s="307">
        <f t="shared" si="16"/>
        <v>0</v>
      </c>
      <c r="AS18" s="307">
        <f t="shared" si="17"/>
        <v>14</v>
      </c>
      <c r="AT18" s="308">
        <f t="shared" si="18"/>
        <v>1</v>
      </c>
      <c r="AU18" s="289">
        <f t="shared" si="19"/>
        <v>0</v>
      </c>
      <c r="AV18" s="289">
        <f t="shared" si="20"/>
        <v>2</v>
      </c>
      <c r="AW18" s="289">
        <f t="shared" si="21"/>
        <v>1</v>
      </c>
      <c r="AX18" s="290">
        <v>98</v>
      </c>
      <c r="AY18" s="289">
        <f t="shared" si="22"/>
        <v>95</v>
      </c>
      <c r="AZ18" s="291">
        <f t="shared" si="23"/>
        <v>0.96938775510204078</v>
      </c>
      <c r="BA18" s="344"/>
      <c r="BB18" s="378">
        <v>100</v>
      </c>
      <c r="BC18" s="379">
        <f t="shared" si="24"/>
        <v>0</v>
      </c>
      <c r="BD18" s="378">
        <f t="shared" si="25"/>
        <v>2</v>
      </c>
      <c r="BE18" s="381"/>
      <c r="BF18" s="378">
        <f t="shared" si="26"/>
        <v>98</v>
      </c>
    </row>
    <row r="19" spans="1:58" x14ac:dyDescent="0.35">
      <c r="A19" s="193" t="s">
        <v>31</v>
      </c>
      <c r="B19" s="38">
        <v>252610011</v>
      </c>
      <c r="C19" s="39" t="s">
        <v>1091</v>
      </c>
      <c r="D19" s="194" t="s">
        <v>6</v>
      </c>
      <c r="E19" s="215">
        <v>19</v>
      </c>
      <c r="F19" s="217"/>
      <c r="G19" s="217">
        <v>2</v>
      </c>
      <c r="H19" s="217"/>
      <c r="I19" s="326">
        <f t="shared" si="1"/>
        <v>2</v>
      </c>
      <c r="J19" s="326">
        <f t="shared" si="2"/>
        <v>17</v>
      </c>
      <c r="K19" s="327">
        <f t="shared" si="3"/>
        <v>0.89473684210526316</v>
      </c>
      <c r="L19" s="221">
        <v>14</v>
      </c>
      <c r="M19" s="222"/>
      <c r="N19" s="222"/>
      <c r="O19" s="222"/>
      <c r="P19" s="328">
        <f t="shared" si="4"/>
        <v>0</v>
      </c>
      <c r="Q19" s="328">
        <f t="shared" si="5"/>
        <v>14</v>
      </c>
      <c r="R19" s="329">
        <f t="shared" si="6"/>
        <v>1</v>
      </c>
      <c r="S19" s="225">
        <v>12</v>
      </c>
      <c r="T19" s="226"/>
      <c r="U19" s="226"/>
      <c r="V19" s="226"/>
      <c r="W19" s="330">
        <f t="shared" si="7"/>
        <v>0</v>
      </c>
      <c r="X19" s="330">
        <f t="shared" si="8"/>
        <v>12</v>
      </c>
      <c r="Y19" s="331">
        <f t="shared" si="9"/>
        <v>1</v>
      </c>
      <c r="Z19" s="228">
        <v>21</v>
      </c>
      <c r="AA19" s="255"/>
      <c r="AB19" s="255"/>
      <c r="AC19" s="255"/>
      <c r="AD19" s="280">
        <f t="shared" si="10"/>
        <v>0</v>
      </c>
      <c r="AE19" s="280">
        <f t="shared" si="11"/>
        <v>21</v>
      </c>
      <c r="AF19" s="281">
        <f t="shared" si="12"/>
        <v>1</v>
      </c>
      <c r="AG19" s="229">
        <v>18</v>
      </c>
      <c r="AH19" s="257"/>
      <c r="AI19" s="257"/>
      <c r="AJ19" s="257"/>
      <c r="AK19" s="305">
        <f t="shared" si="13"/>
        <v>0</v>
      </c>
      <c r="AL19" s="305">
        <f t="shared" si="14"/>
        <v>18</v>
      </c>
      <c r="AM19" s="306">
        <f t="shared" si="15"/>
        <v>1</v>
      </c>
      <c r="AN19" s="230">
        <v>14</v>
      </c>
      <c r="AO19" s="259"/>
      <c r="AP19" s="259"/>
      <c r="AQ19" s="259"/>
      <c r="AR19" s="307">
        <f t="shared" si="16"/>
        <v>0</v>
      </c>
      <c r="AS19" s="307">
        <f t="shared" si="17"/>
        <v>14</v>
      </c>
      <c r="AT19" s="308">
        <f t="shared" si="18"/>
        <v>1</v>
      </c>
      <c r="AU19" s="289">
        <f t="shared" si="19"/>
        <v>0</v>
      </c>
      <c r="AV19" s="289">
        <f t="shared" si="20"/>
        <v>2</v>
      </c>
      <c r="AW19" s="289">
        <f t="shared" si="21"/>
        <v>0</v>
      </c>
      <c r="AX19" s="290">
        <v>98</v>
      </c>
      <c r="AY19" s="289">
        <f t="shared" si="22"/>
        <v>96</v>
      </c>
      <c r="AZ19" s="291">
        <f t="shared" si="23"/>
        <v>0.97959183673469385</v>
      </c>
      <c r="BA19" s="344"/>
      <c r="BB19" s="378">
        <v>98</v>
      </c>
      <c r="BC19" s="379">
        <f t="shared" si="24"/>
        <v>0</v>
      </c>
      <c r="BD19" s="378">
        <f t="shared" si="25"/>
        <v>0</v>
      </c>
      <c r="BE19" s="381"/>
      <c r="BF19" s="378">
        <f t="shared" si="26"/>
        <v>98</v>
      </c>
    </row>
    <row r="20" spans="1:58" x14ac:dyDescent="0.35">
      <c r="A20" s="193" t="s">
        <v>32</v>
      </c>
      <c r="B20" s="38">
        <v>252610012</v>
      </c>
      <c r="C20" s="39" t="s">
        <v>1092</v>
      </c>
      <c r="D20" s="194" t="s">
        <v>8</v>
      </c>
      <c r="E20" s="215">
        <v>19</v>
      </c>
      <c r="F20" s="217">
        <v>1</v>
      </c>
      <c r="G20" s="217"/>
      <c r="H20" s="217"/>
      <c r="I20" s="326">
        <f t="shared" si="1"/>
        <v>1</v>
      </c>
      <c r="J20" s="326">
        <f t="shared" si="2"/>
        <v>18</v>
      </c>
      <c r="K20" s="327">
        <f t="shared" si="3"/>
        <v>0.94736842105263153</v>
      </c>
      <c r="L20" s="221">
        <v>14</v>
      </c>
      <c r="M20" s="222"/>
      <c r="N20" s="222">
        <v>2</v>
      </c>
      <c r="O20" s="222"/>
      <c r="P20" s="328">
        <f t="shared" si="4"/>
        <v>2</v>
      </c>
      <c r="Q20" s="328">
        <f t="shared" si="5"/>
        <v>12</v>
      </c>
      <c r="R20" s="329">
        <f t="shared" si="6"/>
        <v>0.8571428571428571</v>
      </c>
      <c r="S20" s="225">
        <v>12</v>
      </c>
      <c r="T20" s="226"/>
      <c r="U20" s="226"/>
      <c r="V20" s="226"/>
      <c r="W20" s="330">
        <f t="shared" si="7"/>
        <v>0</v>
      </c>
      <c r="X20" s="330">
        <f t="shared" si="8"/>
        <v>12</v>
      </c>
      <c r="Y20" s="331">
        <f t="shared" si="9"/>
        <v>1</v>
      </c>
      <c r="Z20" s="228">
        <v>21</v>
      </c>
      <c r="AA20" s="255"/>
      <c r="AB20" s="255"/>
      <c r="AC20" s="255"/>
      <c r="AD20" s="280">
        <f t="shared" si="10"/>
        <v>0</v>
      </c>
      <c r="AE20" s="280">
        <f t="shared" si="11"/>
        <v>21</v>
      </c>
      <c r="AF20" s="281">
        <f t="shared" si="12"/>
        <v>1</v>
      </c>
      <c r="AG20" s="229">
        <v>18</v>
      </c>
      <c r="AH20" s="257"/>
      <c r="AI20" s="257"/>
      <c r="AJ20" s="257"/>
      <c r="AK20" s="305">
        <f t="shared" si="13"/>
        <v>0</v>
      </c>
      <c r="AL20" s="305">
        <f t="shared" si="14"/>
        <v>18</v>
      </c>
      <c r="AM20" s="306">
        <f t="shared" si="15"/>
        <v>1</v>
      </c>
      <c r="AN20" s="230">
        <v>14</v>
      </c>
      <c r="AO20" s="259"/>
      <c r="AP20" s="259"/>
      <c r="AQ20" s="259"/>
      <c r="AR20" s="307">
        <f t="shared" si="16"/>
        <v>0</v>
      </c>
      <c r="AS20" s="307">
        <f t="shared" si="17"/>
        <v>14</v>
      </c>
      <c r="AT20" s="308">
        <f t="shared" si="18"/>
        <v>1</v>
      </c>
      <c r="AU20" s="289">
        <f t="shared" si="19"/>
        <v>1</v>
      </c>
      <c r="AV20" s="289">
        <f t="shared" si="20"/>
        <v>2</v>
      </c>
      <c r="AW20" s="289">
        <f t="shared" si="21"/>
        <v>0</v>
      </c>
      <c r="AX20" s="290">
        <v>98</v>
      </c>
      <c r="AY20" s="289">
        <f t="shared" si="22"/>
        <v>95</v>
      </c>
      <c r="AZ20" s="291">
        <f t="shared" si="23"/>
        <v>0.96938775510204078</v>
      </c>
      <c r="BA20" s="344"/>
      <c r="BB20" s="378">
        <v>100</v>
      </c>
      <c r="BC20" s="379">
        <f t="shared" si="24"/>
        <v>0</v>
      </c>
      <c r="BD20" s="378">
        <f t="shared" si="25"/>
        <v>0</v>
      </c>
      <c r="BE20" s="381"/>
      <c r="BF20" s="378">
        <f t="shared" si="26"/>
        <v>100</v>
      </c>
    </row>
    <row r="21" spans="1:58" x14ac:dyDescent="0.35">
      <c r="A21" s="193" t="s">
        <v>33</v>
      </c>
      <c r="B21" s="38">
        <v>252610013</v>
      </c>
      <c r="C21" s="39" t="s">
        <v>1093</v>
      </c>
      <c r="D21" s="194" t="s">
        <v>6</v>
      </c>
      <c r="E21" s="215">
        <v>19</v>
      </c>
      <c r="F21" s="217">
        <v>1</v>
      </c>
      <c r="G21" s="217"/>
      <c r="H21" s="217"/>
      <c r="I21" s="326">
        <f t="shared" si="1"/>
        <v>1</v>
      </c>
      <c r="J21" s="326">
        <f t="shared" si="2"/>
        <v>18</v>
      </c>
      <c r="K21" s="327">
        <f t="shared" si="3"/>
        <v>0.94736842105263153</v>
      </c>
      <c r="L21" s="221">
        <v>14</v>
      </c>
      <c r="M21" s="222"/>
      <c r="N21" s="222">
        <v>1</v>
      </c>
      <c r="O21" s="223"/>
      <c r="P21" s="328">
        <f t="shared" si="4"/>
        <v>1</v>
      </c>
      <c r="Q21" s="328">
        <f t="shared" si="5"/>
        <v>13</v>
      </c>
      <c r="R21" s="329">
        <f t="shared" si="6"/>
        <v>0.9285714285714286</v>
      </c>
      <c r="S21" s="225">
        <v>12</v>
      </c>
      <c r="T21" s="226"/>
      <c r="U21" s="227"/>
      <c r="V21" s="227"/>
      <c r="W21" s="330">
        <f t="shared" si="7"/>
        <v>0</v>
      </c>
      <c r="X21" s="330">
        <f t="shared" si="8"/>
        <v>12</v>
      </c>
      <c r="Y21" s="331">
        <f t="shared" si="9"/>
        <v>1</v>
      </c>
      <c r="Z21" s="228">
        <v>21</v>
      </c>
      <c r="AA21" s="255"/>
      <c r="AB21" s="256"/>
      <c r="AC21" s="256"/>
      <c r="AD21" s="280">
        <f t="shared" si="10"/>
        <v>0</v>
      </c>
      <c r="AE21" s="280">
        <f t="shared" si="11"/>
        <v>21</v>
      </c>
      <c r="AF21" s="281">
        <f t="shared" si="12"/>
        <v>1</v>
      </c>
      <c r="AG21" s="229">
        <v>18</v>
      </c>
      <c r="AH21" s="257"/>
      <c r="AI21" s="258"/>
      <c r="AJ21" s="258"/>
      <c r="AK21" s="305">
        <f t="shared" si="13"/>
        <v>0</v>
      </c>
      <c r="AL21" s="305">
        <f t="shared" si="14"/>
        <v>18</v>
      </c>
      <c r="AM21" s="306">
        <f t="shared" si="15"/>
        <v>1</v>
      </c>
      <c r="AN21" s="230">
        <v>14</v>
      </c>
      <c r="AO21" s="259"/>
      <c r="AP21" s="260"/>
      <c r="AQ21" s="260"/>
      <c r="AR21" s="307">
        <f t="shared" si="16"/>
        <v>0</v>
      </c>
      <c r="AS21" s="307">
        <f t="shared" si="17"/>
        <v>14</v>
      </c>
      <c r="AT21" s="308">
        <f t="shared" si="18"/>
        <v>1</v>
      </c>
      <c r="AU21" s="289">
        <f t="shared" si="19"/>
        <v>1</v>
      </c>
      <c r="AV21" s="289">
        <f t="shared" si="20"/>
        <v>1</v>
      </c>
      <c r="AW21" s="289">
        <f t="shared" si="21"/>
        <v>0</v>
      </c>
      <c r="AX21" s="290">
        <v>98</v>
      </c>
      <c r="AY21" s="289">
        <f t="shared" si="22"/>
        <v>96</v>
      </c>
      <c r="AZ21" s="291">
        <f t="shared" si="23"/>
        <v>0.97959183673469385</v>
      </c>
      <c r="BA21" s="344"/>
      <c r="BB21" s="378">
        <v>94</v>
      </c>
      <c r="BC21" s="379">
        <f t="shared" si="24"/>
        <v>0</v>
      </c>
      <c r="BD21" s="378">
        <f t="shared" si="25"/>
        <v>0</v>
      </c>
      <c r="BE21" s="381"/>
      <c r="BF21" s="378">
        <f t="shared" si="26"/>
        <v>94</v>
      </c>
    </row>
    <row r="22" spans="1:58" x14ac:dyDescent="0.35">
      <c r="A22" s="193" t="s">
        <v>34</v>
      </c>
      <c r="B22" s="38">
        <v>252610014</v>
      </c>
      <c r="C22" s="39" t="s">
        <v>1094</v>
      </c>
      <c r="D22" s="194" t="s">
        <v>8</v>
      </c>
      <c r="E22" s="215">
        <v>19</v>
      </c>
      <c r="F22" s="217"/>
      <c r="G22" s="217">
        <v>2</v>
      </c>
      <c r="H22" s="217"/>
      <c r="I22" s="326">
        <f t="shared" si="1"/>
        <v>2</v>
      </c>
      <c r="J22" s="326">
        <f t="shared" si="2"/>
        <v>17</v>
      </c>
      <c r="K22" s="327">
        <f t="shared" si="3"/>
        <v>0.89473684210526316</v>
      </c>
      <c r="L22" s="221">
        <v>14</v>
      </c>
      <c r="M22" s="222"/>
      <c r="N22" s="222">
        <v>4</v>
      </c>
      <c r="O22" s="223"/>
      <c r="P22" s="328">
        <f t="shared" si="4"/>
        <v>4</v>
      </c>
      <c r="Q22" s="328">
        <f t="shared" si="5"/>
        <v>10</v>
      </c>
      <c r="R22" s="329">
        <f t="shared" si="6"/>
        <v>0.7142857142857143</v>
      </c>
      <c r="S22" s="225">
        <v>12</v>
      </c>
      <c r="T22" s="226">
        <v>2</v>
      </c>
      <c r="U22" s="227"/>
      <c r="V22" s="227"/>
      <c r="W22" s="330">
        <f t="shared" si="7"/>
        <v>2</v>
      </c>
      <c r="X22" s="330">
        <f t="shared" si="8"/>
        <v>10</v>
      </c>
      <c r="Y22" s="331">
        <f t="shared" si="9"/>
        <v>0.83333333333333337</v>
      </c>
      <c r="Z22" s="228">
        <v>21</v>
      </c>
      <c r="AA22" s="255"/>
      <c r="AB22" s="256"/>
      <c r="AC22" s="256"/>
      <c r="AD22" s="280">
        <f t="shared" si="10"/>
        <v>0</v>
      </c>
      <c r="AE22" s="280">
        <f t="shared" si="11"/>
        <v>21</v>
      </c>
      <c r="AF22" s="281">
        <f t="shared" si="12"/>
        <v>1</v>
      </c>
      <c r="AG22" s="229">
        <v>18</v>
      </c>
      <c r="AH22" s="257"/>
      <c r="AI22" s="258"/>
      <c r="AJ22" s="258"/>
      <c r="AK22" s="305">
        <f t="shared" si="13"/>
        <v>0</v>
      </c>
      <c r="AL22" s="305">
        <f t="shared" si="14"/>
        <v>18</v>
      </c>
      <c r="AM22" s="306">
        <f t="shared" si="15"/>
        <v>1</v>
      </c>
      <c r="AN22" s="230">
        <v>14</v>
      </c>
      <c r="AO22" s="259"/>
      <c r="AP22" s="260"/>
      <c r="AQ22" s="260"/>
      <c r="AR22" s="307">
        <f t="shared" si="16"/>
        <v>0</v>
      </c>
      <c r="AS22" s="307">
        <f t="shared" si="17"/>
        <v>14</v>
      </c>
      <c r="AT22" s="308">
        <f t="shared" si="18"/>
        <v>1</v>
      </c>
      <c r="AU22" s="289">
        <f t="shared" si="19"/>
        <v>2</v>
      </c>
      <c r="AV22" s="289">
        <f t="shared" si="20"/>
        <v>6</v>
      </c>
      <c r="AW22" s="289">
        <f t="shared" si="21"/>
        <v>0</v>
      </c>
      <c r="AX22" s="290">
        <v>98</v>
      </c>
      <c r="AY22" s="289">
        <f t="shared" si="22"/>
        <v>90</v>
      </c>
      <c r="AZ22" s="291">
        <f t="shared" si="23"/>
        <v>0.91836734693877553</v>
      </c>
      <c r="BA22" s="344"/>
      <c r="BB22" s="378">
        <v>100</v>
      </c>
      <c r="BC22" s="379">
        <f t="shared" si="24"/>
        <v>0</v>
      </c>
      <c r="BD22" s="378">
        <f t="shared" si="25"/>
        <v>0</v>
      </c>
      <c r="BE22" s="381"/>
      <c r="BF22" s="378">
        <f t="shared" si="26"/>
        <v>100</v>
      </c>
    </row>
    <row r="23" spans="1:58" x14ac:dyDescent="0.35">
      <c r="A23" s="193" t="s">
        <v>35</v>
      </c>
      <c r="B23" s="38">
        <v>252610015</v>
      </c>
      <c r="C23" s="39" t="s">
        <v>1095</v>
      </c>
      <c r="D23" s="194" t="s">
        <v>6</v>
      </c>
      <c r="E23" s="215">
        <v>19</v>
      </c>
      <c r="F23" s="217"/>
      <c r="G23" s="217">
        <v>2</v>
      </c>
      <c r="H23" s="217"/>
      <c r="I23" s="326">
        <f t="shared" si="1"/>
        <v>2</v>
      </c>
      <c r="J23" s="326">
        <f t="shared" si="2"/>
        <v>17</v>
      </c>
      <c r="K23" s="327">
        <f t="shared" si="3"/>
        <v>0.89473684210526316</v>
      </c>
      <c r="L23" s="221">
        <v>14</v>
      </c>
      <c r="M23" s="222"/>
      <c r="N23" s="222">
        <v>1</v>
      </c>
      <c r="O23" s="223">
        <v>1</v>
      </c>
      <c r="P23" s="328">
        <f t="shared" si="4"/>
        <v>2</v>
      </c>
      <c r="Q23" s="328">
        <f t="shared" si="5"/>
        <v>12</v>
      </c>
      <c r="R23" s="329">
        <f t="shared" si="6"/>
        <v>0.8571428571428571</v>
      </c>
      <c r="S23" s="225">
        <v>12</v>
      </c>
      <c r="T23" s="226"/>
      <c r="U23" s="227"/>
      <c r="V23" s="227"/>
      <c r="W23" s="330">
        <f t="shared" si="7"/>
        <v>0</v>
      </c>
      <c r="X23" s="330">
        <f t="shared" si="8"/>
        <v>12</v>
      </c>
      <c r="Y23" s="331">
        <f t="shared" si="9"/>
        <v>1</v>
      </c>
      <c r="Z23" s="228">
        <v>21</v>
      </c>
      <c r="AA23" s="255"/>
      <c r="AB23" s="256"/>
      <c r="AC23" s="256"/>
      <c r="AD23" s="280">
        <f t="shared" si="10"/>
        <v>0</v>
      </c>
      <c r="AE23" s="280">
        <f t="shared" si="11"/>
        <v>21</v>
      </c>
      <c r="AF23" s="281">
        <f t="shared" si="12"/>
        <v>1</v>
      </c>
      <c r="AG23" s="229">
        <v>18</v>
      </c>
      <c r="AH23" s="257"/>
      <c r="AI23" s="258"/>
      <c r="AJ23" s="258"/>
      <c r="AK23" s="305">
        <f t="shared" si="13"/>
        <v>0</v>
      </c>
      <c r="AL23" s="305">
        <f t="shared" si="14"/>
        <v>18</v>
      </c>
      <c r="AM23" s="306">
        <f t="shared" si="15"/>
        <v>1</v>
      </c>
      <c r="AN23" s="230">
        <v>14</v>
      </c>
      <c r="AO23" s="259"/>
      <c r="AP23" s="260"/>
      <c r="AQ23" s="260"/>
      <c r="AR23" s="307">
        <f t="shared" si="16"/>
        <v>0</v>
      </c>
      <c r="AS23" s="307">
        <f t="shared" si="17"/>
        <v>14</v>
      </c>
      <c r="AT23" s="308">
        <f t="shared" si="18"/>
        <v>1</v>
      </c>
      <c r="AU23" s="289">
        <f t="shared" si="19"/>
        <v>0</v>
      </c>
      <c r="AV23" s="289">
        <f t="shared" si="20"/>
        <v>3</v>
      </c>
      <c r="AW23" s="289">
        <f t="shared" si="21"/>
        <v>1</v>
      </c>
      <c r="AX23" s="290">
        <v>98</v>
      </c>
      <c r="AY23" s="289">
        <f t="shared" si="22"/>
        <v>94</v>
      </c>
      <c r="AZ23" s="291">
        <f t="shared" si="23"/>
        <v>0.95918367346938771</v>
      </c>
      <c r="BA23" s="344">
        <v>1</v>
      </c>
      <c r="BB23" s="378">
        <v>98</v>
      </c>
      <c r="BC23" s="379">
        <f t="shared" si="24"/>
        <v>2</v>
      </c>
      <c r="BD23" s="378">
        <f t="shared" si="25"/>
        <v>2</v>
      </c>
      <c r="BE23" s="381"/>
      <c r="BF23" s="378">
        <f t="shared" si="26"/>
        <v>94</v>
      </c>
    </row>
    <row r="24" spans="1:58" x14ac:dyDescent="0.35">
      <c r="A24" s="193" t="s">
        <v>36</v>
      </c>
      <c r="B24" s="38">
        <v>252610016</v>
      </c>
      <c r="C24" s="39" t="s">
        <v>1096</v>
      </c>
      <c r="D24" s="194" t="s">
        <v>6</v>
      </c>
      <c r="E24" s="215">
        <v>19</v>
      </c>
      <c r="F24" s="217"/>
      <c r="G24" s="217"/>
      <c r="H24" s="217"/>
      <c r="I24" s="326">
        <f t="shared" si="1"/>
        <v>0</v>
      </c>
      <c r="J24" s="326">
        <f t="shared" si="2"/>
        <v>19</v>
      </c>
      <c r="K24" s="327">
        <f t="shared" si="3"/>
        <v>1</v>
      </c>
      <c r="L24" s="221">
        <v>14</v>
      </c>
      <c r="M24" s="222">
        <v>1</v>
      </c>
      <c r="N24" s="222"/>
      <c r="O24" s="223"/>
      <c r="P24" s="328">
        <f t="shared" si="4"/>
        <v>1</v>
      </c>
      <c r="Q24" s="328">
        <f t="shared" si="5"/>
        <v>13</v>
      </c>
      <c r="R24" s="329">
        <f t="shared" si="6"/>
        <v>0.9285714285714286</v>
      </c>
      <c r="S24" s="225">
        <v>12</v>
      </c>
      <c r="T24" s="226"/>
      <c r="U24" s="227"/>
      <c r="V24" s="227"/>
      <c r="W24" s="330">
        <f t="shared" si="7"/>
        <v>0</v>
      </c>
      <c r="X24" s="330">
        <f t="shared" si="8"/>
        <v>12</v>
      </c>
      <c r="Y24" s="331">
        <f t="shared" si="9"/>
        <v>1</v>
      </c>
      <c r="Z24" s="228">
        <v>21</v>
      </c>
      <c r="AA24" s="255"/>
      <c r="AB24" s="256"/>
      <c r="AC24" s="256"/>
      <c r="AD24" s="280">
        <f t="shared" si="10"/>
        <v>0</v>
      </c>
      <c r="AE24" s="280">
        <f t="shared" si="11"/>
        <v>21</v>
      </c>
      <c r="AF24" s="281">
        <f t="shared" si="12"/>
        <v>1</v>
      </c>
      <c r="AG24" s="229">
        <v>18</v>
      </c>
      <c r="AH24" s="257"/>
      <c r="AI24" s="258"/>
      <c r="AJ24" s="258"/>
      <c r="AK24" s="305">
        <f t="shared" si="13"/>
        <v>0</v>
      </c>
      <c r="AL24" s="305">
        <f t="shared" si="14"/>
        <v>18</v>
      </c>
      <c r="AM24" s="306">
        <f t="shared" si="15"/>
        <v>1</v>
      </c>
      <c r="AN24" s="230">
        <v>14</v>
      </c>
      <c r="AO24" s="259"/>
      <c r="AP24" s="260"/>
      <c r="AQ24" s="260"/>
      <c r="AR24" s="307">
        <f t="shared" si="16"/>
        <v>0</v>
      </c>
      <c r="AS24" s="307">
        <f t="shared" si="17"/>
        <v>14</v>
      </c>
      <c r="AT24" s="308">
        <f t="shared" si="18"/>
        <v>1</v>
      </c>
      <c r="AU24" s="289">
        <f t="shared" si="19"/>
        <v>1</v>
      </c>
      <c r="AV24" s="289">
        <f t="shared" si="20"/>
        <v>0</v>
      </c>
      <c r="AW24" s="289">
        <f t="shared" si="21"/>
        <v>0</v>
      </c>
      <c r="AX24" s="290">
        <v>98</v>
      </c>
      <c r="AY24" s="289">
        <f t="shared" si="22"/>
        <v>97</v>
      </c>
      <c r="AZ24" s="291">
        <f t="shared" si="23"/>
        <v>0.98979591836734693</v>
      </c>
      <c r="BA24" s="344"/>
      <c r="BB24" s="378">
        <v>96</v>
      </c>
      <c r="BC24" s="379">
        <f t="shared" si="24"/>
        <v>0</v>
      </c>
      <c r="BD24" s="378">
        <f t="shared" si="25"/>
        <v>0</v>
      </c>
      <c r="BE24" s="381"/>
      <c r="BF24" s="378">
        <f t="shared" si="26"/>
        <v>96</v>
      </c>
    </row>
    <row r="25" spans="1:58" x14ac:dyDescent="0.35">
      <c r="A25" s="193" t="s">
        <v>37</v>
      </c>
      <c r="B25" s="38">
        <v>252610017</v>
      </c>
      <c r="C25" s="39" t="s">
        <v>1097</v>
      </c>
      <c r="D25" s="194" t="s">
        <v>8</v>
      </c>
      <c r="E25" s="215">
        <v>19</v>
      </c>
      <c r="F25" s="217"/>
      <c r="G25" s="217"/>
      <c r="H25" s="217"/>
      <c r="I25" s="326">
        <f t="shared" si="1"/>
        <v>0</v>
      </c>
      <c r="J25" s="326">
        <f t="shared" si="2"/>
        <v>19</v>
      </c>
      <c r="K25" s="327">
        <f t="shared" si="3"/>
        <v>1</v>
      </c>
      <c r="L25" s="221">
        <v>14</v>
      </c>
      <c r="M25" s="222"/>
      <c r="N25" s="222"/>
      <c r="O25" s="223"/>
      <c r="P25" s="328">
        <f t="shared" si="4"/>
        <v>0</v>
      </c>
      <c r="Q25" s="328">
        <f t="shared" si="5"/>
        <v>14</v>
      </c>
      <c r="R25" s="329">
        <f t="shared" si="6"/>
        <v>1</v>
      </c>
      <c r="S25" s="225">
        <v>12</v>
      </c>
      <c r="T25" s="226"/>
      <c r="U25" s="227"/>
      <c r="V25" s="227"/>
      <c r="W25" s="330">
        <f t="shared" si="7"/>
        <v>0</v>
      </c>
      <c r="X25" s="330">
        <f t="shared" si="8"/>
        <v>12</v>
      </c>
      <c r="Y25" s="331">
        <f t="shared" si="9"/>
        <v>1</v>
      </c>
      <c r="Z25" s="228">
        <v>21</v>
      </c>
      <c r="AA25" s="255"/>
      <c r="AB25" s="256"/>
      <c r="AC25" s="256"/>
      <c r="AD25" s="280">
        <f t="shared" si="10"/>
        <v>0</v>
      </c>
      <c r="AE25" s="280">
        <f t="shared" si="11"/>
        <v>21</v>
      </c>
      <c r="AF25" s="281">
        <f t="shared" si="12"/>
        <v>1</v>
      </c>
      <c r="AG25" s="229">
        <v>18</v>
      </c>
      <c r="AH25" s="257"/>
      <c r="AI25" s="258"/>
      <c r="AJ25" s="258"/>
      <c r="AK25" s="305">
        <f t="shared" si="13"/>
        <v>0</v>
      </c>
      <c r="AL25" s="305">
        <f t="shared" si="14"/>
        <v>18</v>
      </c>
      <c r="AM25" s="306">
        <f t="shared" si="15"/>
        <v>1</v>
      </c>
      <c r="AN25" s="230">
        <v>14</v>
      </c>
      <c r="AO25" s="259"/>
      <c r="AP25" s="260"/>
      <c r="AQ25" s="260"/>
      <c r="AR25" s="307">
        <f t="shared" si="16"/>
        <v>0</v>
      </c>
      <c r="AS25" s="307">
        <f t="shared" si="17"/>
        <v>14</v>
      </c>
      <c r="AT25" s="308">
        <f t="shared" si="18"/>
        <v>1</v>
      </c>
      <c r="AU25" s="289">
        <f t="shared" si="19"/>
        <v>0</v>
      </c>
      <c r="AV25" s="289">
        <f t="shared" si="20"/>
        <v>0</v>
      </c>
      <c r="AW25" s="289">
        <f t="shared" si="21"/>
        <v>0</v>
      </c>
      <c r="AX25" s="290">
        <v>98</v>
      </c>
      <c r="AY25" s="289">
        <f t="shared" si="22"/>
        <v>98</v>
      </c>
      <c r="AZ25" s="291">
        <f t="shared" si="23"/>
        <v>1</v>
      </c>
      <c r="BA25" s="344"/>
      <c r="BB25" s="378">
        <v>98</v>
      </c>
      <c r="BC25" s="379">
        <f t="shared" si="24"/>
        <v>0</v>
      </c>
      <c r="BD25" s="378">
        <f t="shared" si="25"/>
        <v>0</v>
      </c>
      <c r="BE25" s="381"/>
      <c r="BF25" s="378">
        <f t="shared" si="26"/>
        <v>98</v>
      </c>
    </row>
    <row r="26" spans="1:58" x14ac:dyDescent="0.35">
      <c r="A26" s="193" t="s">
        <v>38</v>
      </c>
      <c r="B26" s="38">
        <v>252610018</v>
      </c>
      <c r="C26" s="39" t="s">
        <v>1098</v>
      </c>
      <c r="D26" s="194" t="s">
        <v>8</v>
      </c>
      <c r="E26" s="215">
        <v>19</v>
      </c>
      <c r="F26" s="217"/>
      <c r="G26" s="217"/>
      <c r="H26" s="217"/>
      <c r="I26" s="326">
        <f t="shared" si="1"/>
        <v>0</v>
      </c>
      <c r="J26" s="326">
        <f t="shared" si="2"/>
        <v>19</v>
      </c>
      <c r="K26" s="327">
        <f t="shared" si="3"/>
        <v>1</v>
      </c>
      <c r="L26" s="221">
        <v>14</v>
      </c>
      <c r="M26" s="222"/>
      <c r="N26" s="222"/>
      <c r="O26" s="223"/>
      <c r="P26" s="328">
        <f t="shared" si="4"/>
        <v>0</v>
      </c>
      <c r="Q26" s="328">
        <f t="shared" si="5"/>
        <v>14</v>
      </c>
      <c r="R26" s="329">
        <f t="shared" si="6"/>
        <v>1</v>
      </c>
      <c r="S26" s="225">
        <v>12</v>
      </c>
      <c r="T26" s="226"/>
      <c r="U26" s="227"/>
      <c r="V26" s="227"/>
      <c r="W26" s="330">
        <f t="shared" si="7"/>
        <v>0</v>
      </c>
      <c r="X26" s="330">
        <f t="shared" si="8"/>
        <v>12</v>
      </c>
      <c r="Y26" s="331">
        <f t="shared" si="9"/>
        <v>1</v>
      </c>
      <c r="Z26" s="228">
        <v>21</v>
      </c>
      <c r="AA26" s="255"/>
      <c r="AB26" s="256"/>
      <c r="AC26" s="256"/>
      <c r="AD26" s="280">
        <f t="shared" si="10"/>
        <v>0</v>
      </c>
      <c r="AE26" s="280">
        <f t="shared" si="11"/>
        <v>21</v>
      </c>
      <c r="AF26" s="281">
        <f t="shared" si="12"/>
        <v>1</v>
      </c>
      <c r="AG26" s="229">
        <v>18</v>
      </c>
      <c r="AH26" s="257"/>
      <c r="AI26" s="258"/>
      <c r="AJ26" s="258"/>
      <c r="AK26" s="305">
        <f t="shared" si="13"/>
        <v>0</v>
      </c>
      <c r="AL26" s="305">
        <f t="shared" si="14"/>
        <v>18</v>
      </c>
      <c r="AM26" s="306">
        <f t="shared" si="15"/>
        <v>1</v>
      </c>
      <c r="AN26" s="230">
        <v>14</v>
      </c>
      <c r="AO26" s="259"/>
      <c r="AP26" s="260"/>
      <c r="AQ26" s="260"/>
      <c r="AR26" s="307">
        <f t="shared" si="16"/>
        <v>0</v>
      </c>
      <c r="AS26" s="307">
        <f t="shared" si="17"/>
        <v>14</v>
      </c>
      <c r="AT26" s="308">
        <f t="shared" si="18"/>
        <v>1</v>
      </c>
      <c r="AU26" s="289">
        <f t="shared" si="19"/>
        <v>0</v>
      </c>
      <c r="AV26" s="289">
        <f t="shared" si="20"/>
        <v>0</v>
      </c>
      <c r="AW26" s="289">
        <f t="shared" si="21"/>
        <v>0</v>
      </c>
      <c r="AX26" s="290">
        <v>98</v>
      </c>
      <c r="AY26" s="289">
        <f t="shared" si="22"/>
        <v>98</v>
      </c>
      <c r="AZ26" s="291">
        <f t="shared" si="23"/>
        <v>1</v>
      </c>
      <c r="BA26" s="344"/>
      <c r="BB26" s="378">
        <v>96</v>
      </c>
      <c r="BC26" s="379">
        <f t="shared" si="24"/>
        <v>0</v>
      </c>
      <c r="BD26" s="378">
        <f t="shared" si="25"/>
        <v>0</v>
      </c>
      <c r="BE26" s="381"/>
      <c r="BF26" s="378">
        <f t="shared" si="26"/>
        <v>96</v>
      </c>
    </row>
    <row r="27" spans="1:58" x14ac:dyDescent="0.35">
      <c r="A27" s="193" t="s">
        <v>39</v>
      </c>
      <c r="B27" s="38">
        <v>252610019</v>
      </c>
      <c r="C27" s="39" t="s">
        <v>1099</v>
      </c>
      <c r="D27" s="194" t="s">
        <v>8</v>
      </c>
      <c r="E27" s="215">
        <v>19</v>
      </c>
      <c r="F27" s="217"/>
      <c r="G27" s="217"/>
      <c r="H27" s="217"/>
      <c r="I27" s="326">
        <f t="shared" si="1"/>
        <v>0</v>
      </c>
      <c r="J27" s="326">
        <f t="shared" si="2"/>
        <v>19</v>
      </c>
      <c r="K27" s="327">
        <f t="shared" si="3"/>
        <v>1</v>
      </c>
      <c r="L27" s="221">
        <v>14</v>
      </c>
      <c r="M27" s="222"/>
      <c r="N27" s="223"/>
      <c r="O27" s="223"/>
      <c r="P27" s="328">
        <f t="shared" si="4"/>
        <v>0</v>
      </c>
      <c r="Q27" s="328">
        <f t="shared" si="5"/>
        <v>14</v>
      </c>
      <c r="R27" s="329">
        <f t="shared" si="6"/>
        <v>1</v>
      </c>
      <c r="S27" s="225">
        <v>12</v>
      </c>
      <c r="T27" s="226"/>
      <c r="U27" s="226"/>
      <c r="V27" s="226"/>
      <c r="W27" s="330">
        <f t="shared" si="7"/>
        <v>0</v>
      </c>
      <c r="X27" s="330">
        <f t="shared" si="8"/>
        <v>12</v>
      </c>
      <c r="Y27" s="331">
        <f t="shared" si="9"/>
        <v>1</v>
      </c>
      <c r="Z27" s="228">
        <v>21</v>
      </c>
      <c r="AA27" s="255"/>
      <c r="AB27" s="255"/>
      <c r="AC27" s="255"/>
      <c r="AD27" s="280">
        <f t="shared" si="10"/>
        <v>0</v>
      </c>
      <c r="AE27" s="280">
        <f t="shared" si="11"/>
        <v>21</v>
      </c>
      <c r="AF27" s="281">
        <f t="shared" si="12"/>
        <v>1</v>
      </c>
      <c r="AG27" s="229">
        <v>18</v>
      </c>
      <c r="AH27" s="257"/>
      <c r="AI27" s="257"/>
      <c r="AJ27" s="257"/>
      <c r="AK27" s="305">
        <f t="shared" si="13"/>
        <v>0</v>
      </c>
      <c r="AL27" s="305">
        <f t="shared" si="14"/>
        <v>18</v>
      </c>
      <c r="AM27" s="306">
        <f t="shared" si="15"/>
        <v>1</v>
      </c>
      <c r="AN27" s="230">
        <v>14</v>
      </c>
      <c r="AO27" s="259"/>
      <c r="AP27" s="259"/>
      <c r="AQ27" s="259"/>
      <c r="AR27" s="307">
        <f t="shared" si="16"/>
        <v>0</v>
      </c>
      <c r="AS27" s="307">
        <f t="shared" si="17"/>
        <v>14</v>
      </c>
      <c r="AT27" s="308">
        <f t="shared" si="18"/>
        <v>1</v>
      </c>
      <c r="AU27" s="289">
        <f t="shared" si="19"/>
        <v>0</v>
      </c>
      <c r="AV27" s="289">
        <f t="shared" si="20"/>
        <v>0</v>
      </c>
      <c r="AW27" s="289">
        <f t="shared" si="21"/>
        <v>0</v>
      </c>
      <c r="AX27" s="290">
        <v>98</v>
      </c>
      <c r="AY27" s="289">
        <f t="shared" si="22"/>
        <v>98</v>
      </c>
      <c r="AZ27" s="291">
        <f t="shared" si="23"/>
        <v>1</v>
      </c>
      <c r="BA27" s="344"/>
      <c r="BB27" s="378">
        <v>98</v>
      </c>
      <c r="BC27" s="379">
        <f t="shared" si="24"/>
        <v>0</v>
      </c>
      <c r="BD27" s="378">
        <f t="shared" si="25"/>
        <v>0</v>
      </c>
      <c r="BE27" s="381"/>
      <c r="BF27" s="378">
        <f t="shared" si="26"/>
        <v>98</v>
      </c>
    </row>
    <row r="28" spans="1:58" x14ac:dyDescent="0.35">
      <c r="A28" s="193" t="s">
        <v>40</v>
      </c>
      <c r="B28" s="35">
        <v>252610020</v>
      </c>
      <c r="C28" s="345" t="s">
        <v>1100</v>
      </c>
      <c r="D28" s="195" t="s">
        <v>6</v>
      </c>
      <c r="E28" s="215">
        <v>19</v>
      </c>
      <c r="F28" s="217"/>
      <c r="G28" s="217"/>
      <c r="H28" s="217"/>
      <c r="I28" s="326">
        <f t="shared" si="1"/>
        <v>0</v>
      </c>
      <c r="J28" s="326">
        <f t="shared" si="2"/>
        <v>19</v>
      </c>
      <c r="K28" s="327">
        <f t="shared" si="3"/>
        <v>1</v>
      </c>
      <c r="L28" s="221">
        <v>14</v>
      </c>
      <c r="M28" s="222"/>
      <c r="N28" s="222"/>
      <c r="O28" s="223"/>
      <c r="P28" s="328">
        <f t="shared" si="4"/>
        <v>0</v>
      </c>
      <c r="Q28" s="328">
        <f t="shared" si="5"/>
        <v>14</v>
      </c>
      <c r="R28" s="329">
        <f t="shared" si="6"/>
        <v>1</v>
      </c>
      <c r="S28" s="225">
        <v>12</v>
      </c>
      <c r="T28" s="226"/>
      <c r="U28" s="226"/>
      <c r="V28" s="226"/>
      <c r="W28" s="330">
        <f t="shared" si="7"/>
        <v>0</v>
      </c>
      <c r="X28" s="330">
        <f t="shared" si="8"/>
        <v>12</v>
      </c>
      <c r="Y28" s="331">
        <f t="shared" si="9"/>
        <v>1</v>
      </c>
      <c r="Z28" s="228">
        <v>21</v>
      </c>
      <c r="AA28" s="255"/>
      <c r="AB28" s="255"/>
      <c r="AC28" s="255"/>
      <c r="AD28" s="280">
        <f t="shared" si="10"/>
        <v>0</v>
      </c>
      <c r="AE28" s="280">
        <f t="shared" si="11"/>
        <v>21</v>
      </c>
      <c r="AF28" s="281">
        <f t="shared" si="12"/>
        <v>1</v>
      </c>
      <c r="AG28" s="229">
        <v>18</v>
      </c>
      <c r="AH28" s="257"/>
      <c r="AI28" s="257"/>
      <c r="AJ28" s="257"/>
      <c r="AK28" s="305">
        <f t="shared" si="13"/>
        <v>0</v>
      </c>
      <c r="AL28" s="305">
        <f t="shared" si="14"/>
        <v>18</v>
      </c>
      <c r="AM28" s="306">
        <f t="shared" si="15"/>
        <v>1</v>
      </c>
      <c r="AN28" s="230">
        <v>14</v>
      </c>
      <c r="AO28" s="259"/>
      <c r="AP28" s="259"/>
      <c r="AQ28" s="259"/>
      <c r="AR28" s="307">
        <f t="shared" si="16"/>
        <v>0</v>
      </c>
      <c r="AS28" s="307">
        <f t="shared" si="17"/>
        <v>14</v>
      </c>
      <c r="AT28" s="308">
        <f t="shared" si="18"/>
        <v>1</v>
      </c>
      <c r="AU28" s="289">
        <f t="shared" si="19"/>
        <v>0</v>
      </c>
      <c r="AV28" s="289">
        <f t="shared" si="20"/>
        <v>0</v>
      </c>
      <c r="AW28" s="289">
        <f t="shared" si="21"/>
        <v>0</v>
      </c>
      <c r="AX28" s="290">
        <v>98</v>
      </c>
      <c r="AY28" s="289">
        <f t="shared" si="22"/>
        <v>98</v>
      </c>
      <c r="AZ28" s="291">
        <f t="shared" si="23"/>
        <v>1</v>
      </c>
      <c r="BA28" s="344"/>
      <c r="BB28" s="378">
        <v>96</v>
      </c>
      <c r="BC28" s="379">
        <f t="shared" si="24"/>
        <v>0</v>
      </c>
      <c r="BD28" s="378">
        <f t="shared" si="25"/>
        <v>0</v>
      </c>
      <c r="BE28" s="381"/>
      <c r="BF28" s="378">
        <f t="shared" si="26"/>
        <v>96</v>
      </c>
    </row>
    <row r="29" spans="1:58" x14ac:dyDescent="0.35">
      <c r="A29" s="193" t="s">
        <v>41</v>
      </c>
      <c r="B29" s="35">
        <v>252610021</v>
      </c>
      <c r="C29" s="47" t="s">
        <v>1101</v>
      </c>
      <c r="D29" s="35" t="s">
        <v>8</v>
      </c>
      <c r="E29" s="215">
        <v>19</v>
      </c>
      <c r="F29" s="217"/>
      <c r="G29" s="217"/>
      <c r="H29" s="218"/>
      <c r="I29" s="326">
        <f t="shared" si="1"/>
        <v>0</v>
      </c>
      <c r="J29" s="326">
        <f t="shared" si="2"/>
        <v>19</v>
      </c>
      <c r="K29" s="327">
        <f t="shared" si="3"/>
        <v>1</v>
      </c>
      <c r="L29" s="221">
        <v>14</v>
      </c>
      <c r="M29" s="222"/>
      <c r="N29" s="222"/>
      <c r="O29" s="223"/>
      <c r="P29" s="328">
        <f t="shared" si="4"/>
        <v>0</v>
      </c>
      <c r="Q29" s="328">
        <f t="shared" si="5"/>
        <v>14</v>
      </c>
      <c r="R29" s="329">
        <f t="shared" si="6"/>
        <v>1</v>
      </c>
      <c r="S29" s="225">
        <v>12</v>
      </c>
      <c r="T29" s="226">
        <v>1</v>
      </c>
      <c r="U29" s="226"/>
      <c r="V29" s="227"/>
      <c r="W29" s="330">
        <f t="shared" si="7"/>
        <v>1</v>
      </c>
      <c r="X29" s="330">
        <f t="shared" si="8"/>
        <v>11</v>
      </c>
      <c r="Y29" s="331">
        <f t="shared" si="9"/>
        <v>0.91666666666666663</v>
      </c>
      <c r="Z29" s="228">
        <v>21</v>
      </c>
      <c r="AA29" s="255"/>
      <c r="AB29" s="255"/>
      <c r="AC29" s="256"/>
      <c r="AD29" s="280">
        <f t="shared" si="10"/>
        <v>0</v>
      </c>
      <c r="AE29" s="280">
        <f t="shared" si="11"/>
        <v>21</v>
      </c>
      <c r="AF29" s="281">
        <f t="shared" si="12"/>
        <v>1</v>
      </c>
      <c r="AG29" s="229">
        <v>18</v>
      </c>
      <c r="AH29" s="257"/>
      <c r="AI29" s="257"/>
      <c r="AJ29" s="258"/>
      <c r="AK29" s="305">
        <f t="shared" si="13"/>
        <v>0</v>
      </c>
      <c r="AL29" s="305">
        <f t="shared" si="14"/>
        <v>18</v>
      </c>
      <c r="AM29" s="306">
        <f t="shared" si="15"/>
        <v>1</v>
      </c>
      <c r="AN29" s="230">
        <v>14</v>
      </c>
      <c r="AO29" s="259"/>
      <c r="AP29" s="259"/>
      <c r="AQ29" s="260"/>
      <c r="AR29" s="307">
        <f t="shared" si="16"/>
        <v>0</v>
      </c>
      <c r="AS29" s="307">
        <f t="shared" si="17"/>
        <v>14</v>
      </c>
      <c r="AT29" s="308">
        <f t="shared" si="18"/>
        <v>1</v>
      </c>
      <c r="AU29" s="289">
        <f t="shared" si="19"/>
        <v>1</v>
      </c>
      <c r="AV29" s="289">
        <f t="shared" si="20"/>
        <v>0</v>
      </c>
      <c r="AW29" s="289">
        <f t="shared" si="21"/>
        <v>0</v>
      </c>
      <c r="AX29" s="290">
        <v>98</v>
      </c>
      <c r="AY29" s="289">
        <f t="shared" si="22"/>
        <v>97</v>
      </c>
      <c r="AZ29" s="291">
        <f t="shared" si="23"/>
        <v>0.98979591836734693</v>
      </c>
      <c r="BA29" s="344"/>
      <c r="BB29" s="378">
        <v>100</v>
      </c>
      <c r="BC29" s="379">
        <f t="shared" si="24"/>
        <v>0</v>
      </c>
      <c r="BD29" s="378">
        <f t="shared" si="25"/>
        <v>0</v>
      </c>
      <c r="BE29" s="381"/>
      <c r="BF29" s="378">
        <f t="shared" si="26"/>
        <v>100</v>
      </c>
    </row>
    <row r="30" spans="1:58" x14ac:dyDescent="0.35">
      <c r="A30" s="193"/>
      <c r="B30" s="35"/>
      <c r="C30" s="332"/>
      <c r="D30" s="35"/>
      <c r="E30" s="215"/>
      <c r="F30" s="217"/>
      <c r="G30" s="217"/>
      <c r="H30" s="217"/>
      <c r="I30" s="326"/>
      <c r="J30" s="326"/>
      <c r="K30" s="327"/>
      <c r="L30" s="221"/>
      <c r="M30" s="222"/>
      <c r="N30" s="223"/>
      <c r="O30" s="222"/>
      <c r="P30" s="328"/>
      <c r="Q30" s="328"/>
      <c r="R30" s="329"/>
      <c r="S30" s="225"/>
      <c r="T30" s="226"/>
      <c r="U30" s="226"/>
      <c r="V30" s="227"/>
      <c r="W30" s="330"/>
      <c r="X30" s="330"/>
      <c r="Y30" s="331"/>
      <c r="Z30" s="228"/>
      <c r="AA30" s="255"/>
      <c r="AB30" s="255"/>
      <c r="AC30" s="256"/>
      <c r="AD30" s="280"/>
      <c r="AE30" s="280"/>
      <c r="AF30" s="281"/>
      <c r="AG30" s="229"/>
      <c r="AH30" s="257"/>
      <c r="AI30" s="257"/>
      <c r="AJ30" s="258"/>
      <c r="AK30" s="305"/>
      <c r="AL30" s="305"/>
      <c r="AM30" s="306"/>
      <c r="AN30" s="230"/>
      <c r="AO30" s="259"/>
      <c r="AP30" s="259"/>
      <c r="AQ30" s="260"/>
      <c r="AR30" s="307"/>
      <c r="AS30" s="307"/>
      <c r="AT30" s="308"/>
      <c r="AU30" s="289"/>
      <c r="AV30" s="289"/>
      <c r="AW30" s="289"/>
      <c r="AX30" s="290"/>
      <c r="AY30" s="289"/>
      <c r="AZ30" s="291"/>
      <c r="BA30" s="344"/>
      <c r="BB30" s="378"/>
      <c r="BC30" s="379"/>
      <c r="BD30" s="378"/>
      <c r="BE30" s="381"/>
      <c r="BF30" s="378"/>
    </row>
    <row r="31" spans="1:58" x14ac:dyDescent="0.35">
      <c r="A31" s="193"/>
      <c r="B31" s="35"/>
      <c r="C31" s="41"/>
      <c r="D31" s="42"/>
      <c r="E31" s="215"/>
      <c r="F31" s="217"/>
      <c r="G31" s="217"/>
      <c r="H31" s="217"/>
      <c r="I31" s="326"/>
      <c r="J31" s="326"/>
      <c r="K31" s="327"/>
      <c r="L31" s="221"/>
      <c r="M31" s="222"/>
      <c r="N31" s="222"/>
      <c r="O31" s="223"/>
      <c r="P31" s="328"/>
      <c r="Q31" s="328"/>
      <c r="R31" s="329"/>
      <c r="S31" s="225"/>
      <c r="T31" s="226"/>
      <c r="U31" s="226"/>
      <c r="V31" s="226"/>
      <c r="W31" s="330"/>
      <c r="X31" s="330"/>
      <c r="Y31" s="331"/>
      <c r="Z31" s="228"/>
      <c r="AA31" s="255"/>
      <c r="AB31" s="255"/>
      <c r="AC31" s="255"/>
      <c r="AD31" s="280"/>
      <c r="AE31" s="280"/>
      <c r="AF31" s="281"/>
      <c r="AG31" s="229"/>
      <c r="AH31" s="257"/>
      <c r="AI31" s="257"/>
      <c r="AJ31" s="257"/>
      <c r="AK31" s="305"/>
      <c r="AL31" s="305"/>
      <c r="AM31" s="306"/>
      <c r="AN31" s="230"/>
      <c r="AO31" s="259"/>
      <c r="AP31" s="259"/>
      <c r="AQ31" s="259"/>
      <c r="AR31" s="307"/>
      <c r="AS31" s="307"/>
      <c r="AT31" s="308"/>
      <c r="AU31" s="289"/>
      <c r="AV31" s="289"/>
      <c r="AW31" s="289"/>
      <c r="AX31" s="290"/>
      <c r="AY31" s="289"/>
      <c r="AZ31" s="291"/>
      <c r="BA31" s="344"/>
      <c r="BB31" s="378"/>
      <c r="BC31" s="379"/>
      <c r="BD31" s="378"/>
      <c r="BE31" s="381"/>
      <c r="BF31" s="378"/>
    </row>
    <row r="32" spans="1:58" s="341" customFormat="1" x14ac:dyDescent="0.35"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87"/>
      <c r="BF32" s="287"/>
    </row>
    <row r="33" spans="1:58" s="341" customFormat="1" x14ac:dyDescent="0.35"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87"/>
      <c r="BF33" s="287"/>
    </row>
    <row r="34" spans="1:58" s="341" customFormat="1" ht="16" thickBot="1" x14ac:dyDescent="0.4">
      <c r="A34" s="342" t="s">
        <v>1605</v>
      </c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87"/>
      <c r="BF34" s="287"/>
    </row>
    <row r="35" spans="1:58" ht="25" customHeight="1" thickBot="1" x14ac:dyDescent="0.4">
      <c r="A35" s="447" t="s">
        <v>1072</v>
      </c>
      <c r="B35" s="447" t="s">
        <v>2</v>
      </c>
      <c r="C35" s="448" t="s">
        <v>1606</v>
      </c>
      <c r="D35" s="448" t="s">
        <v>4</v>
      </c>
      <c r="E35" s="431" t="s">
        <v>1612</v>
      </c>
      <c r="F35" s="431"/>
      <c r="G35" s="431"/>
      <c r="H35" s="431"/>
      <c r="I35" s="431"/>
      <c r="J35" s="431"/>
      <c r="K35" s="431"/>
      <c r="L35" s="432" t="s">
        <v>1613</v>
      </c>
      <c r="M35" s="432"/>
      <c r="N35" s="432"/>
      <c r="O35" s="432"/>
      <c r="P35" s="432"/>
      <c r="Q35" s="432"/>
      <c r="R35" s="432"/>
      <c r="S35" s="433" t="s">
        <v>1614</v>
      </c>
      <c r="T35" s="433"/>
      <c r="U35" s="433"/>
      <c r="V35" s="433"/>
      <c r="W35" s="433"/>
      <c r="X35" s="433"/>
      <c r="Y35" s="433"/>
      <c r="Z35" s="434" t="s">
        <v>1615</v>
      </c>
      <c r="AA35" s="434"/>
      <c r="AB35" s="434"/>
      <c r="AC35" s="434"/>
      <c r="AD35" s="434"/>
      <c r="AE35" s="434"/>
      <c r="AF35" s="434"/>
      <c r="AG35" s="435" t="s">
        <v>1616</v>
      </c>
      <c r="AH35" s="435"/>
      <c r="AI35" s="435"/>
      <c r="AJ35" s="435"/>
      <c r="AK35" s="435"/>
      <c r="AL35" s="435"/>
      <c r="AM35" s="435"/>
      <c r="AN35" s="436" t="s">
        <v>1617</v>
      </c>
      <c r="AO35" s="436"/>
      <c r="AP35" s="436"/>
      <c r="AQ35" s="436"/>
      <c r="AR35" s="436"/>
      <c r="AS35" s="436"/>
      <c r="AT35" s="436"/>
      <c r="AU35" s="438" t="s">
        <v>224</v>
      </c>
      <c r="AV35" s="438"/>
      <c r="AW35" s="438"/>
      <c r="AX35" s="437" t="s">
        <v>1602</v>
      </c>
      <c r="AY35" s="437" t="s">
        <v>1603</v>
      </c>
      <c r="AZ35" s="437" t="s">
        <v>1604</v>
      </c>
      <c r="BA35" s="445" t="s">
        <v>1076</v>
      </c>
      <c r="BB35" s="428" t="s">
        <v>883</v>
      </c>
      <c r="BC35" s="428" t="s">
        <v>880</v>
      </c>
      <c r="BD35" s="428"/>
      <c r="BE35" s="428"/>
      <c r="BF35" s="454" t="s">
        <v>884</v>
      </c>
    </row>
    <row r="36" spans="1:58" ht="55" customHeight="1" thickBot="1" x14ac:dyDescent="0.4">
      <c r="A36" s="447"/>
      <c r="B36" s="447"/>
      <c r="C36" s="448"/>
      <c r="D36" s="448"/>
      <c r="E36" s="235" t="s">
        <v>1598</v>
      </c>
      <c r="F36" s="236" t="s">
        <v>20</v>
      </c>
      <c r="G36" s="236" t="s">
        <v>19</v>
      </c>
      <c r="H36" s="236" t="s">
        <v>52</v>
      </c>
      <c r="I36" s="237" t="s">
        <v>1599</v>
      </c>
      <c r="J36" s="237" t="s">
        <v>1600</v>
      </c>
      <c r="K36" s="237" t="s">
        <v>1601</v>
      </c>
      <c r="L36" s="202" t="s">
        <v>1598</v>
      </c>
      <c r="M36" s="206" t="s">
        <v>20</v>
      </c>
      <c r="N36" s="206" t="s">
        <v>19</v>
      </c>
      <c r="O36" s="206" t="s">
        <v>52</v>
      </c>
      <c r="P36" s="207" t="s">
        <v>1599</v>
      </c>
      <c r="Q36" s="207" t="s">
        <v>1600</v>
      </c>
      <c r="R36" s="207" t="s">
        <v>1601</v>
      </c>
      <c r="S36" s="238" t="s">
        <v>1598</v>
      </c>
      <c r="T36" s="239" t="s">
        <v>20</v>
      </c>
      <c r="U36" s="239" t="s">
        <v>19</v>
      </c>
      <c r="V36" s="239" t="s">
        <v>52</v>
      </c>
      <c r="W36" s="224" t="s">
        <v>1599</v>
      </c>
      <c r="X36" s="224" t="s">
        <v>1600</v>
      </c>
      <c r="Y36" s="224" t="s">
        <v>1601</v>
      </c>
      <c r="Z36" s="240" t="s">
        <v>1598</v>
      </c>
      <c r="AA36" s="241" t="s">
        <v>20</v>
      </c>
      <c r="AB36" s="241" t="s">
        <v>19</v>
      </c>
      <c r="AC36" s="241" t="s">
        <v>52</v>
      </c>
      <c r="AD36" s="208" t="s">
        <v>1599</v>
      </c>
      <c r="AE36" s="208" t="s">
        <v>1600</v>
      </c>
      <c r="AF36" s="208" t="s">
        <v>1601</v>
      </c>
      <c r="AG36" s="209" t="s">
        <v>1598</v>
      </c>
      <c r="AH36" s="210" t="s">
        <v>20</v>
      </c>
      <c r="AI36" s="210" t="s">
        <v>19</v>
      </c>
      <c r="AJ36" s="210" t="s">
        <v>52</v>
      </c>
      <c r="AK36" s="211" t="s">
        <v>1599</v>
      </c>
      <c r="AL36" s="211" t="s">
        <v>1600</v>
      </c>
      <c r="AM36" s="211" t="s">
        <v>1601</v>
      </c>
      <c r="AN36" s="212" t="s">
        <v>1598</v>
      </c>
      <c r="AO36" s="213" t="s">
        <v>20</v>
      </c>
      <c r="AP36" s="213" t="s">
        <v>19</v>
      </c>
      <c r="AQ36" s="213" t="s">
        <v>52</v>
      </c>
      <c r="AR36" s="214" t="s">
        <v>1599</v>
      </c>
      <c r="AS36" s="214" t="s">
        <v>1600</v>
      </c>
      <c r="AT36" s="214" t="s">
        <v>1601</v>
      </c>
      <c r="AU36" s="203" t="s">
        <v>20</v>
      </c>
      <c r="AV36" s="204" t="s">
        <v>19</v>
      </c>
      <c r="AW36" s="204" t="s">
        <v>52</v>
      </c>
      <c r="AX36" s="437"/>
      <c r="AY36" s="437"/>
      <c r="AZ36" s="437"/>
      <c r="BA36" s="446"/>
      <c r="BB36" s="428"/>
      <c r="BC36" s="375" t="s">
        <v>881</v>
      </c>
      <c r="BD36" s="377" t="s">
        <v>885</v>
      </c>
      <c r="BE36" s="376" t="s">
        <v>882</v>
      </c>
      <c r="BF36" s="454"/>
    </row>
    <row r="37" spans="1:58" x14ac:dyDescent="0.35">
      <c r="A37" s="193" t="s">
        <v>21</v>
      </c>
      <c r="B37" s="35">
        <v>252610022</v>
      </c>
      <c r="C37" s="36" t="s">
        <v>1102</v>
      </c>
      <c r="D37" s="194" t="s">
        <v>6</v>
      </c>
      <c r="E37" s="215">
        <v>19</v>
      </c>
      <c r="F37" s="219"/>
      <c r="G37" s="346"/>
      <c r="H37" s="346"/>
      <c r="I37" s="326">
        <f t="shared" ref="I37" si="27">SUM(F37:H37)</f>
        <v>0</v>
      </c>
      <c r="J37" s="326">
        <f t="shared" ref="J37" si="28">E37-I37</f>
        <v>19</v>
      </c>
      <c r="K37" s="327">
        <f t="shared" ref="K37" si="29">J37/E37</f>
        <v>1</v>
      </c>
      <c r="L37" s="221">
        <v>14</v>
      </c>
      <c r="M37" s="221"/>
      <c r="N37" s="252"/>
      <c r="O37" s="252"/>
      <c r="P37" s="328">
        <f t="shared" ref="P37" si="30">SUM(M37:O37)</f>
        <v>0</v>
      </c>
      <c r="Q37" s="328">
        <f t="shared" ref="Q37" si="31">L37-P37</f>
        <v>14</v>
      </c>
      <c r="R37" s="329">
        <f t="shared" ref="R37" si="32">Q37/L37</f>
        <v>1</v>
      </c>
      <c r="S37" s="225">
        <v>12</v>
      </c>
      <c r="T37" s="225"/>
      <c r="U37" s="253"/>
      <c r="V37" s="225"/>
      <c r="W37" s="330">
        <f t="shared" ref="W37" si="33">SUM(T37:V37)</f>
        <v>0</v>
      </c>
      <c r="X37" s="330">
        <f t="shared" ref="X37" si="34">S37-W37</f>
        <v>12</v>
      </c>
      <c r="Y37" s="331">
        <f t="shared" ref="Y37" si="35">X37/S37</f>
        <v>1</v>
      </c>
      <c r="Z37" s="228">
        <v>21</v>
      </c>
      <c r="AA37" s="228"/>
      <c r="AB37" s="347"/>
      <c r="AC37" s="228"/>
      <c r="AD37" s="280">
        <f t="shared" ref="AD37" si="36">SUM(AA37:AC37)</f>
        <v>0</v>
      </c>
      <c r="AE37" s="280">
        <f t="shared" ref="AE37" si="37">Z37-AD37</f>
        <v>21</v>
      </c>
      <c r="AF37" s="281">
        <f t="shared" ref="AF37" si="38">AE37/Z37</f>
        <v>1</v>
      </c>
      <c r="AG37" s="229">
        <v>18</v>
      </c>
      <c r="AH37" s="229"/>
      <c r="AI37" s="348"/>
      <c r="AJ37" s="229"/>
      <c r="AK37" s="305">
        <f t="shared" ref="AK37" si="39">SUM(AH37:AJ37)</f>
        <v>0</v>
      </c>
      <c r="AL37" s="305">
        <f t="shared" ref="AL37" si="40">AG37-AK37</f>
        <v>18</v>
      </c>
      <c r="AM37" s="306">
        <f t="shared" ref="AM37" si="41">AL37/AG37</f>
        <v>1</v>
      </c>
      <c r="AN37" s="230">
        <v>14</v>
      </c>
      <c r="AO37" s="230"/>
      <c r="AP37" s="349"/>
      <c r="AQ37" s="230"/>
      <c r="AR37" s="307">
        <f t="shared" ref="AR37" si="42">SUM(AO37:AQ37)</f>
        <v>0</v>
      </c>
      <c r="AS37" s="307">
        <f t="shared" ref="AS37" si="43">AN37-AR37</f>
        <v>14</v>
      </c>
      <c r="AT37" s="308">
        <f t="shared" ref="AT37" si="44">AS37/AN37</f>
        <v>1</v>
      </c>
      <c r="AU37" s="289">
        <f t="shared" ref="AU37" si="45">F37+M37+T37+AA37+AH37+AO37</f>
        <v>0</v>
      </c>
      <c r="AV37" s="289">
        <f t="shared" ref="AV37" si="46">G37+N37+U37+AB37+AI37+AP37</f>
        <v>0</v>
      </c>
      <c r="AW37" s="289">
        <f t="shared" ref="AW37" si="47">H37+O37+V37+AC37+AJ37+AQ37</f>
        <v>0</v>
      </c>
      <c r="AX37" s="290">
        <v>98</v>
      </c>
      <c r="AY37" s="289">
        <f t="shared" ref="AY37" si="48">AX37-AU37-AV37-AW37</f>
        <v>98</v>
      </c>
      <c r="AZ37" s="291">
        <f t="shared" ref="AZ37" si="49">AY37/AX37</f>
        <v>1</v>
      </c>
      <c r="BA37" s="343"/>
      <c r="BB37" s="378" cm="1">
        <f t="array" ref="BB37:BB76">[1]X!$BF$37:$BF$76</f>
        <v>100</v>
      </c>
      <c r="BC37" s="379">
        <f t="shared" ref="BC37:BC76" si="50">BA37*2</f>
        <v>0</v>
      </c>
      <c r="BD37" s="378">
        <f t="shared" ref="BD37:BD76" si="51">AW37*2</f>
        <v>0</v>
      </c>
      <c r="BE37" s="381"/>
      <c r="BF37" s="378">
        <f t="shared" ref="BF37:BF75" si="52">BB37-BC37-BD37-BE37</f>
        <v>100</v>
      </c>
    </row>
    <row r="38" spans="1:58" x14ac:dyDescent="0.35">
      <c r="A38" s="193" t="s">
        <v>22</v>
      </c>
      <c r="B38" s="35">
        <v>252610023</v>
      </c>
      <c r="C38" s="36" t="s">
        <v>1103</v>
      </c>
      <c r="D38" s="194" t="s">
        <v>6</v>
      </c>
      <c r="E38" s="215">
        <v>19</v>
      </c>
      <c r="F38" s="219">
        <v>1</v>
      </c>
      <c r="G38" s="350">
        <v>1</v>
      </c>
      <c r="H38" s="350"/>
      <c r="I38" s="326">
        <f t="shared" ref="I38:I76" si="53">SUM(F38:H38)</f>
        <v>2</v>
      </c>
      <c r="J38" s="326">
        <f t="shared" ref="J38:J76" si="54">E38-I38</f>
        <v>17</v>
      </c>
      <c r="K38" s="327">
        <f t="shared" ref="K38:K76" si="55">J38/E38</f>
        <v>0.89473684210526316</v>
      </c>
      <c r="L38" s="221">
        <v>14</v>
      </c>
      <c r="M38" s="222"/>
      <c r="N38" s="223"/>
      <c r="O38" s="222"/>
      <c r="P38" s="328">
        <f t="shared" ref="P38:P76" si="56">SUM(M38:O38)</f>
        <v>0</v>
      </c>
      <c r="Q38" s="328">
        <f t="shared" ref="Q38:Q76" si="57">L38-P38</f>
        <v>14</v>
      </c>
      <c r="R38" s="329">
        <f t="shared" ref="R38:R76" si="58">Q38/L38</f>
        <v>1</v>
      </c>
      <c r="S38" s="225">
        <v>12</v>
      </c>
      <c r="T38" s="227"/>
      <c r="U38" s="226"/>
      <c r="V38" s="227"/>
      <c r="W38" s="330">
        <f t="shared" ref="W38:W76" si="59">SUM(T38:V38)</f>
        <v>0</v>
      </c>
      <c r="X38" s="330">
        <f t="shared" ref="X38:X76" si="60">S38-W38</f>
        <v>12</v>
      </c>
      <c r="Y38" s="331">
        <f t="shared" ref="Y38:Y76" si="61">X38/S38</f>
        <v>1</v>
      </c>
      <c r="Z38" s="228">
        <v>21</v>
      </c>
      <c r="AA38" s="255"/>
      <c r="AB38" s="255"/>
      <c r="AC38" s="256"/>
      <c r="AD38" s="280">
        <f t="shared" ref="AD38:AD76" si="62">SUM(AA38:AC38)</f>
        <v>0</v>
      </c>
      <c r="AE38" s="280">
        <f t="shared" ref="AE38:AE76" si="63">Z38-AD38</f>
        <v>21</v>
      </c>
      <c r="AF38" s="281">
        <f t="shared" ref="AF38:AF76" si="64">AE38/Z38</f>
        <v>1</v>
      </c>
      <c r="AG38" s="229">
        <v>18</v>
      </c>
      <c r="AH38" s="257"/>
      <c r="AI38" s="257"/>
      <c r="AJ38" s="258"/>
      <c r="AK38" s="305">
        <f t="shared" ref="AK38:AK76" si="65">SUM(AH38:AJ38)</f>
        <v>0</v>
      </c>
      <c r="AL38" s="305">
        <f t="shared" ref="AL38:AL76" si="66">AG38-AK38</f>
        <v>18</v>
      </c>
      <c r="AM38" s="306">
        <f t="shared" ref="AM38:AM76" si="67">AL38/AG38</f>
        <v>1</v>
      </c>
      <c r="AN38" s="230">
        <v>14</v>
      </c>
      <c r="AO38" s="259"/>
      <c r="AP38" s="259"/>
      <c r="AQ38" s="260"/>
      <c r="AR38" s="307">
        <f t="shared" ref="AR38:AR76" si="68">SUM(AO38:AQ38)</f>
        <v>0</v>
      </c>
      <c r="AS38" s="307">
        <f t="shared" ref="AS38:AS76" si="69">AN38-AR38</f>
        <v>14</v>
      </c>
      <c r="AT38" s="308">
        <f t="shared" ref="AT38:AT76" si="70">AS38/AN38</f>
        <v>1</v>
      </c>
      <c r="AU38" s="289">
        <f t="shared" ref="AU38:AU76" si="71">F38+M38+T38+AA38+AH38+AO38</f>
        <v>1</v>
      </c>
      <c r="AV38" s="289">
        <f t="shared" ref="AV38:AV76" si="72">G38+N38+U38+AB38+AI38+AP38</f>
        <v>1</v>
      </c>
      <c r="AW38" s="289">
        <f t="shared" ref="AW38:AW76" si="73">H38+O38+V38+AC38+AJ38+AQ38</f>
        <v>0</v>
      </c>
      <c r="AX38" s="290">
        <v>98</v>
      </c>
      <c r="AY38" s="289">
        <f t="shared" ref="AY38:AY76" si="74">AX38-AU38-AV38-AW38</f>
        <v>96</v>
      </c>
      <c r="AZ38" s="291">
        <f t="shared" ref="AZ38:AZ76" si="75">AY38/AX38</f>
        <v>0.97959183673469385</v>
      </c>
      <c r="BA38" s="344"/>
      <c r="BB38" s="379">
        <v>98</v>
      </c>
      <c r="BC38" s="379">
        <f t="shared" si="50"/>
        <v>0</v>
      </c>
      <c r="BD38" s="378">
        <f t="shared" si="51"/>
        <v>0</v>
      </c>
      <c r="BE38" s="381"/>
      <c r="BF38" s="378">
        <f t="shared" si="52"/>
        <v>98</v>
      </c>
    </row>
    <row r="39" spans="1:58" x14ac:dyDescent="0.35">
      <c r="A39" s="193" t="s">
        <v>23</v>
      </c>
      <c r="B39" s="35">
        <v>252610024</v>
      </c>
      <c r="C39" s="351" t="s">
        <v>1104</v>
      </c>
      <c r="D39" s="194" t="s">
        <v>6</v>
      </c>
      <c r="E39" s="215">
        <v>19</v>
      </c>
      <c r="F39" s="219"/>
      <c r="G39" s="350">
        <v>2</v>
      </c>
      <c r="H39" s="350"/>
      <c r="I39" s="326">
        <f t="shared" si="53"/>
        <v>2</v>
      </c>
      <c r="J39" s="326">
        <f t="shared" si="54"/>
        <v>17</v>
      </c>
      <c r="K39" s="327">
        <f t="shared" si="55"/>
        <v>0.89473684210526316</v>
      </c>
      <c r="L39" s="221">
        <v>14</v>
      </c>
      <c r="M39" s="223"/>
      <c r="N39" s="222"/>
      <c r="O39" s="223"/>
      <c r="P39" s="328">
        <f t="shared" si="56"/>
        <v>0</v>
      </c>
      <c r="Q39" s="328">
        <f t="shared" si="57"/>
        <v>14</v>
      </c>
      <c r="R39" s="329">
        <f t="shared" si="58"/>
        <v>1</v>
      </c>
      <c r="S39" s="225">
        <v>12</v>
      </c>
      <c r="T39" s="226"/>
      <c r="U39" s="227"/>
      <c r="V39" s="226"/>
      <c r="W39" s="330">
        <f t="shared" si="59"/>
        <v>0</v>
      </c>
      <c r="X39" s="330">
        <f t="shared" si="60"/>
        <v>12</v>
      </c>
      <c r="Y39" s="331">
        <f t="shared" si="61"/>
        <v>1</v>
      </c>
      <c r="Z39" s="228">
        <v>21</v>
      </c>
      <c r="AA39" s="255"/>
      <c r="AB39" s="255"/>
      <c r="AC39" s="255"/>
      <c r="AD39" s="280">
        <f t="shared" si="62"/>
        <v>0</v>
      </c>
      <c r="AE39" s="280">
        <f t="shared" si="63"/>
        <v>21</v>
      </c>
      <c r="AF39" s="281">
        <f t="shared" si="64"/>
        <v>1</v>
      </c>
      <c r="AG39" s="229">
        <v>18</v>
      </c>
      <c r="AH39" s="257"/>
      <c r="AI39" s="257"/>
      <c r="AJ39" s="257"/>
      <c r="AK39" s="305">
        <f t="shared" si="65"/>
        <v>0</v>
      </c>
      <c r="AL39" s="305">
        <f t="shared" si="66"/>
        <v>18</v>
      </c>
      <c r="AM39" s="306">
        <f t="shared" si="67"/>
        <v>1</v>
      </c>
      <c r="AN39" s="230">
        <v>14</v>
      </c>
      <c r="AO39" s="259"/>
      <c r="AP39" s="259"/>
      <c r="AQ39" s="259"/>
      <c r="AR39" s="307">
        <f t="shared" si="68"/>
        <v>0</v>
      </c>
      <c r="AS39" s="307">
        <f t="shared" si="69"/>
        <v>14</v>
      </c>
      <c r="AT39" s="308">
        <f t="shared" si="70"/>
        <v>1</v>
      </c>
      <c r="AU39" s="289">
        <f t="shared" si="71"/>
        <v>0</v>
      </c>
      <c r="AV39" s="289">
        <f t="shared" si="72"/>
        <v>2</v>
      </c>
      <c r="AW39" s="289">
        <f t="shared" si="73"/>
        <v>0</v>
      </c>
      <c r="AX39" s="290">
        <v>98</v>
      </c>
      <c r="AY39" s="289">
        <f t="shared" si="74"/>
        <v>96</v>
      </c>
      <c r="AZ39" s="291">
        <f t="shared" si="75"/>
        <v>0.97959183673469385</v>
      </c>
      <c r="BA39" s="344"/>
      <c r="BB39" s="379">
        <v>100</v>
      </c>
      <c r="BC39" s="379">
        <f t="shared" si="50"/>
        <v>0</v>
      </c>
      <c r="BD39" s="378">
        <f t="shared" si="51"/>
        <v>0</v>
      </c>
      <c r="BE39" s="381"/>
      <c r="BF39" s="378">
        <f t="shared" si="52"/>
        <v>100</v>
      </c>
    </row>
    <row r="40" spans="1:58" x14ac:dyDescent="0.35">
      <c r="A40" s="193" t="s">
        <v>24</v>
      </c>
      <c r="B40" s="35">
        <v>252610025</v>
      </c>
      <c r="C40" s="351" t="s">
        <v>1105</v>
      </c>
      <c r="D40" s="194" t="s">
        <v>8</v>
      </c>
      <c r="E40" s="215">
        <v>19</v>
      </c>
      <c r="F40" s="219"/>
      <c r="G40" s="350">
        <v>1</v>
      </c>
      <c r="H40" s="350"/>
      <c r="I40" s="326">
        <f t="shared" si="53"/>
        <v>1</v>
      </c>
      <c r="J40" s="326">
        <f t="shared" si="54"/>
        <v>18</v>
      </c>
      <c r="K40" s="327">
        <f t="shared" si="55"/>
        <v>0.94736842105263153</v>
      </c>
      <c r="L40" s="221">
        <v>14</v>
      </c>
      <c r="M40" s="222"/>
      <c r="N40" s="223"/>
      <c r="O40" s="223"/>
      <c r="P40" s="328">
        <f t="shared" si="56"/>
        <v>0</v>
      </c>
      <c r="Q40" s="328">
        <f t="shared" si="57"/>
        <v>14</v>
      </c>
      <c r="R40" s="329">
        <f t="shared" si="58"/>
        <v>1</v>
      </c>
      <c r="S40" s="225">
        <v>12</v>
      </c>
      <c r="T40" s="226"/>
      <c r="U40" s="226"/>
      <c r="V40" s="227"/>
      <c r="W40" s="330">
        <f t="shared" si="59"/>
        <v>0</v>
      </c>
      <c r="X40" s="330">
        <f t="shared" si="60"/>
        <v>12</v>
      </c>
      <c r="Y40" s="331">
        <f t="shared" si="61"/>
        <v>1</v>
      </c>
      <c r="Z40" s="228">
        <v>21</v>
      </c>
      <c r="AA40" s="255"/>
      <c r="AB40" s="255"/>
      <c r="AC40" s="255"/>
      <c r="AD40" s="280">
        <f t="shared" si="62"/>
        <v>0</v>
      </c>
      <c r="AE40" s="280">
        <f t="shared" si="63"/>
        <v>21</v>
      </c>
      <c r="AF40" s="281">
        <f t="shared" si="64"/>
        <v>1</v>
      </c>
      <c r="AG40" s="229">
        <v>18</v>
      </c>
      <c r="AH40" s="257"/>
      <c r="AI40" s="257"/>
      <c r="AJ40" s="257"/>
      <c r="AK40" s="305">
        <f t="shared" si="65"/>
        <v>0</v>
      </c>
      <c r="AL40" s="305">
        <f t="shared" si="66"/>
        <v>18</v>
      </c>
      <c r="AM40" s="306">
        <f t="shared" si="67"/>
        <v>1</v>
      </c>
      <c r="AN40" s="230">
        <v>14</v>
      </c>
      <c r="AO40" s="259"/>
      <c r="AP40" s="259"/>
      <c r="AQ40" s="259"/>
      <c r="AR40" s="307">
        <f t="shared" si="68"/>
        <v>0</v>
      </c>
      <c r="AS40" s="307">
        <f t="shared" si="69"/>
        <v>14</v>
      </c>
      <c r="AT40" s="308">
        <f t="shared" si="70"/>
        <v>1</v>
      </c>
      <c r="AU40" s="289">
        <f t="shared" si="71"/>
        <v>0</v>
      </c>
      <c r="AV40" s="289">
        <f t="shared" si="72"/>
        <v>1</v>
      </c>
      <c r="AW40" s="289">
        <f t="shared" si="73"/>
        <v>0</v>
      </c>
      <c r="AX40" s="290">
        <v>98</v>
      </c>
      <c r="AY40" s="289">
        <f t="shared" si="74"/>
        <v>97</v>
      </c>
      <c r="AZ40" s="291">
        <f t="shared" si="75"/>
        <v>0.98979591836734693</v>
      </c>
      <c r="BA40" s="344"/>
      <c r="BB40" s="379">
        <v>100</v>
      </c>
      <c r="BC40" s="379">
        <f t="shared" si="50"/>
        <v>0</v>
      </c>
      <c r="BD40" s="378">
        <f t="shared" si="51"/>
        <v>0</v>
      </c>
      <c r="BE40" s="381"/>
      <c r="BF40" s="378">
        <f t="shared" si="52"/>
        <v>100</v>
      </c>
    </row>
    <row r="41" spans="1:58" x14ac:dyDescent="0.35">
      <c r="A41" s="193" t="s">
        <v>25</v>
      </c>
      <c r="B41" s="33">
        <v>252610026</v>
      </c>
      <c r="C41" s="351" t="s">
        <v>1106</v>
      </c>
      <c r="D41" s="194" t="s">
        <v>6</v>
      </c>
      <c r="E41" s="215">
        <v>19</v>
      </c>
      <c r="F41" s="219"/>
      <c r="G41" s="350"/>
      <c r="H41" s="350"/>
      <c r="I41" s="326">
        <f t="shared" si="53"/>
        <v>0</v>
      </c>
      <c r="J41" s="326">
        <f t="shared" si="54"/>
        <v>19</v>
      </c>
      <c r="K41" s="327">
        <f t="shared" si="55"/>
        <v>1</v>
      </c>
      <c r="L41" s="221">
        <v>14</v>
      </c>
      <c r="M41" s="222"/>
      <c r="N41" s="223"/>
      <c r="O41" s="222"/>
      <c r="P41" s="328">
        <f t="shared" si="56"/>
        <v>0</v>
      </c>
      <c r="Q41" s="328">
        <f t="shared" si="57"/>
        <v>14</v>
      </c>
      <c r="R41" s="329">
        <f t="shared" si="58"/>
        <v>1</v>
      </c>
      <c r="S41" s="225">
        <v>12</v>
      </c>
      <c r="T41" s="226"/>
      <c r="U41" s="226"/>
      <c r="V41" s="226"/>
      <c r="W41" s="330">
        <f t="shared" si="59"/>
        <v>0</v>
      </c>
      <c r="X41" s="330">
        <f t="shared" si="60"/>
        <v>12</v>
      </c>
      <c r="Y41" s="331">
        <f t="shared" si="61"/>
        <v>1</v>
      </c>
      <c r="Z41" s="228">
        <v>21</v>
      </c>
      <c r="AA41" s="255"/>
      <c r="AB41" s="256"/>
      <c r="AC41" s="255"/>
      <c r="AD41" s="280">
        <f t="shared" si="62"/>
        <v>0</v>
      </c>
      <c r="AE41" s="280">
        <f t="shared" si="63"/>
        <v>21</v>
      </c>
      <c r="AF41" s="281">
        <f t="shared" si="64"/>
        <v>1</v>
      </c>
      <c r="AG41" s="229">
        <v>18</v>
      </c>
      <c r="AH41" s="257"/>
      <c r="AI41" s="258"/>
      <c r="AJ41" s="257"/>
      <c r="AK41" s="305">
        <f t="shared" si="65"/>
        <v>0</v>
      </c>
      <c r="AL41" s="305">
        <f t="shared" si="66"/>
        <v>18</v>
      </c>
      <c r="AM41" s="306">
        <f t="shared" si="67"/>
        <v>1</v>
      </c>
      <c r="AN41" s="230">
        <v>14</v>
      </c>
      <c r="AO41" s="259"/>
      <c r="AP41" s="260"/>
      <c r="AQ41" s="259"/>
      <c r="AR41" s="307">
        <f t="shared" si="68"/>
        <v>0</v>
      </c>
      <c r="AS41" s="307">
        <f t="shared" si="69"/>
        <v>14</v>
      </c>
      <c r="AT41" s="308">
        <f t="shared" si="70"/>
        <v>1</v>
      </c>
      <c r="AU41" s="289">
        <f t="shared" si="71"/>
        <v>0</v>
      </c>
      <c r="AV41" s="289">
        <f t="shared" si="72"/>
        <v>0</v>
      </c>
      <c r="AW41" s="289">
        <f t="shared" si="73"/>
        <v>0</v>
      </c>
      <c r="AX41" s="290">
        <v>98</v>
      </c>
      <c r="AY41" s="289">
        <f t="shared" si="74"/>
        <v>98</v>
      </c>
      <c r="AZ41" s="291">
        <f t="shared" si="75"/>
        <v>1</v>
      </c>
      <c r="BA41" s="344"/>
      <c r="BB41" s="379">
        <v>100</v>
      </c>
      <c r="BC41" s="379">
        <f t="shared" si="50"/>
        <v>0</v>
      </c>
      <c r="BD41" s="378">
        <f t="shared" si="51"/>
        <v>0</v>
      </c>
      <c r="BE41" s="381"/>
      <c r="BF41" s="378">
        <f t="shared" si="52"/>
        <v>100</v>
      </c>
    </row>
    <row r="42" spans="1:58" x14ac:dyDescent="0.35">
      <c r="A42" s="193" t="s">
        <v>26</v>
      </c>
      <c r="B42" s="38">
        <v>252610027</v>
      </c>
      <c r="C42" s="34" t="s">
        <v>1107</v>
      </c>
      <c r="D42" s="194" t="s">
        <v>6</v>
      </c>
      <c r="E42" s="215">
        <v>19</v>
      </c>
      <c r="F42" s="219"/>
      <c r="G42" s="352">
        <v>1</v>
      </c>
      <c r="H42" s="350"/>
      <c r="I42" s="326">
        <f t="shared" si="53"/>
        <v>1</v>
      </c>
      <c r="J42" s="326">
        <f t="shared" si="54"/>
        <v>18</v>
      </c>
      <c r="K42" s="327">
        <f t="shared" si="55"/>
        <v>0.94736842105263153</v>
      </c>
      <c r="L42" s="221">
        <v>14</v>
      </c>
      <c r="M42" s="222"/>
      <c r="N42" s="223">
        <v>2</v>
      </c>
      <c r="O42" s="223"/>
      <c r="P42" s="328">
        <f t="shared" si="56"/>
        <v>2</v>
      </c>
      <c r="Q42" s="328">
        <f t="shared" si="57"/>
        <v>12</v>
      </c>
      <c r="R42" s="329">
        <f t="shared" si="58"/>
        <v>0.8571428571428571</v>
      </c>
      <c r="S42" s="225">
        <v>12</v>
      </c>
      <c r="T42" s="226"/>
      <c r="U42" s="226"/>
      <c r="V42" s="226"/>
      <c r="W42" s="330">
        <f t="shared" si="59"/>
        <v>0</v>
      </c>
      <c r="X42" s="330">
        <f t="shared" si="60"/>
        <v>12</v>
      </c>
      <c r="Y42" s="331">
        <f t="shared" si="61"/>
        <v>1</v>
      </c>
      <c r="Z42" s="228">
        <v>21</v>
      </c>
      <c r="AA42" s="255"/>
      <c r="AB42" s="256"/>
      <c r="AC42" s="255"/>
      <c r="AD42" s="280">
        <f t="shared" si="62"/>
        <v>0</v>
      </c>
      <c r="AE42" s="280">
        <f t="shared" si="63"/>
        <v>21</v>
      </c>
      <c r="AF42" s="281">
        <f t="shared" si="64"/>
        <v>1</v>
      </c>
      <c r="AG42" s="229">
        <v>18</v>
      </c>
      <c r="AH42" s="257"/>
      <c r="AI42" s="258"/>
      <c r="AJ42" s="257"/>
      <c r="AK42" s="305">
        <f t="shared" si="65"/>
        <v>0</v>
      </c>
      <c r="AL42" s="305">
        <f t="shared" si="66"/>
        <v>18</v>
      </c>
      <c r="AM42" s="306">
        <f t="shared" si="67"/>
        <v>1</v>
      </c>
      <c r="AN42" s="230">
        <v>14</v>
      </c>
      <c r="AO42" s="259"/>
      <c r="AP42" s="260"/>
      <c r="AQ42" s="259"/>
      <c r="AR42" s="307">
        <f t="shared" si="68"/>
        <v>0</v>
      </c>
      <c r="AS42" s="307">
        <f t="shared" si="69"/>
        <v>14</v>
      </c>
      <c r="AT42" s="308">
        <f t="shared" si="70"/>
        <v>1</v>
      </c>
      <c r="AU42" s="289">
        <f t="shared" si="71"/>
        <v>0</v>
      </c>
      <c r="AV42" s="289">
        <f t="shared" si="72"/>
        <v>3</v>
      </c>
      <c r="AW42" s="289">
        <f t="shared" si="73"/>
        <v>0</v>
      </c>
      <c r="AX42" s="290">
        <v>98</v>
      </c>
      <c r="AY42" s="289">
        <f t="shared" si="74"/>
        <v>95</v>
      </c>
      <c r="AZ42" s="291">
        <f t="shared" si="75"/>
        <v>0.96938775510204078</v>
      </c>
      <c r="BA42" s="344"/>
      <c r="BB42" s="379">
        <v>96</v>
      </c>
      <c r="BC42" s="379">
        <f t="shared" si="50"/>
        <v>0</v>
      </c>
      <c r="BD42" s="378">
        <f t="shared" si="51"/>
        <v>0</v>
      </c>
      <c r="BE42" s="381"/>
      <c r="BF42" s="378">
        <f t="shared" si="52"/>
        <v>96</v>
      </c>
    </row>
    <row r="43" spans="1:58" x14ac:dyDescent="0.35">
      <c r="A43" s="193" t="s">
        <v>27</v>
      </c>
      <c r="B43" s="35">
        <v>252610028</v>
      </c>
      <c r="C43" s="351" t="s">
        <v>1108</v>
      </c>
      <c r="D43" s="194" t="s">
        <v>6</v>
      </c>
      <c r="E43" s="215">
        <v>19</v>
      </c>
      <c r="F43" s="219"/>
      <c r="G43" s="350"/>
      <c r="H43" s="350"/>
      <c r="I43" s="326">
        <f t="shared" si="53"/>
        <v>0</v>
      </c>
      <c r="J43" s="326">
        <f t="shared" si="54"/>
        <v>19</v>
      </c>
      <c r="K43" s="327">
        <f t="shared" si="55"/>
        <v>1</v>
      </c>
      <c r="L43" s="221">
        <v>14</v>
      </c>
      <c r="M43" s="222"/>
      <c r="N43" s="223"/>
      <c r="O43" s="223"/>
      <c r="P43" s="328">
        <f t="shared" si="56"/>
        <v>0</v>
      </c>
      <c r="Q43" s="328">
        <f t="shared" si="57"/>
        <v>14</v>
      </c>
      <c r="R43" s="329">
        <f t="shared" si="58"/>
        <v>1</v>
      </c>
      <c r="S43" s="225">
        <v>12</v>
      </c>
      <c r="T43" s="226"/>
      <c r="U43" s="227"/>
      <c r="V43" s="227"/>
      <c r="W43" s="330">
        <f t="shared" si="59"/>
        <v>0</v>
      </c>
      <c r="X43" s="330">
        <f t="shared" si="60"/>
        <v>12</v>
      </c>
      <c r="Y43" s="331">
        <f t="shared" si="61"/>
        <v>1</v>
      </c>
      <c r="Z43" s="228">
        <v>21</v>
      </c>
      <c r="AA43" s="255"/>
      <c r="AB43" s="256"/>
      <c r="AC43" s="256"/>
      <c r="AD43" s="280">
        <f t="shared" si="62"/>
        <v>0</v>
      </c>
      <c r="AE43" s="280">
        <f t="shared" si="63"/>
        <v>21</v>
      </c>
      <c r="AF43" s="281">
        <f t="shared" si="64"/>
        <v>1</v>
      </c>
      <c r="AG43" s="229">
        <v>18</v>
      </c>
      <c r="AH43" s="257"/>
      <c r="AI43" s="258"/>
      <c r="AJ43" s="258"/>
      <c r="AK43" s="305">
        <f t="shared" si="65"/>
        <v>0</v>
      </c>
      <c r="AL43" s="305">
        <f t="shared" si="66"/>
        <v>18</v>
      </c>
      <c r="AM43" s="306">
        <f t="shared" si="67"/>
        <v>1</v>
      </c>
      <c r="AN43" s="230">
        <v>14</v>
      </c>
      <c r="AO43" s="259"/>
      <c r="AP43" s="260"/>
      <c r="AQ43" s="260"/>
      <c r="AR43" s="307">
        <f t="shared" si="68"/>
        <v>0</v>
      </c>
      <c r="AS43" s="307">
        <f t="shared" si="69"/>
        <v>14</v>
      </c>
      <c r="AT43" s="308">
        <f t="shared" si="70"/>
        <v>1</v>
      </c>
      <c r="AU43" s="289">
        <f t="shared" si="71"/>
        <v>0</v>
      </c>
      <c r="AV43" s="289">
        <f t="shared" si="72"/>
        <v>0</v>
      </c>
      <c r="AW43" s="289">
        <f t="shared" si="73"/>
        <v>0</v>
      </c>
      <c r="AX43" s="290">
        <v>98</v>
      </c>
      <c r="AY43" s="289">
        <f t="shared" si="74"/>
        <v>98</v>
      </c>
      <c r="AZ43" s="291">
        <f t="shared" si="75"/>
        <v>1</v>
      </c>
      <c r="BA43" s="344"/>
      <c r="BB43" s="379">
        <v>100</v>
      </c>
      <c r="BC43" s="379">
        <f t="shared" si="50"/>
        <v>0</v>
      </c>
      <c r="BD43" s="378">
        <f t="shared" si="51"/>
        <v>0</v>
      </c>
      <c r="BE43" s="381"/>
      <c r="BF43" s="378">
        <f t="shared" si="52"/>
        <v>100</v>
      </c>
    </row>
    <row r="44" spans="1:58" x14ac:dyDescent="0.35">
      <c r="A44" s="193" t="s">
        <v>28</v>
      </c>
      <c r="B44" s="35">
        <v>252610029</v>
      </c>
      <c r="C44" s="351" t="s">
        <v>1109</v>
      </c>
      <c r="D44" s="194" t="s">
        <v>6</v>
      </c>
      <c r="E44" s="215">
        <v>19</v>
      </c>
      <c r="F44" s="219"/>
      <c r="G44" s="350">
        <v>1</v>
      </c>
      <c r="H44" s="350"/>
      <c r="I44" s="326">
        <f t="shared" si="53"/>
        <v>1</v>
      </c>
      <c r="J44" s="326">
        <f t="shared" si="54"/>
        <v>18</v>
      </c>
      <c r="K44" s="327">
        <f t="shared" si="55"/>
        <v>0.94736842105263153</v>
      </c>
      <c r="L44" s="221">
        <v>14</v>
      </c>
      <c r="M44" s="222"/>
      <c r="N44" s="223">
        <v>2</v>
      </c>
      <c r="O44" s="223"/>
      <c r="P44" s="328">
        <f t="shared" si="56"/>
        <v>2</v>
      </c>
      <c r="Q44" s="328">
        <f t="shared" si="57"/>
        <v>12</v>
      </c>
      <c r="R44" s="329">
        <f t="shared" si="58"/>
        <v>0.8571428571428571</v>
      </c>
      <c r="S44" s="225">
        <v>12</v>
      </c>
      <c r="T44" s="226"/>
      <c r="U44" s="226"/>
      <c r="V44" s="226"/>
      <c r="W44" s="330">
        <f t="shared" si="59"/>
        <v>0</v>
      </c>
      <c r="X44" s="330">
        <f t="shared" si="60"/>
        <v>12</v>
      </c>
      <c r="Y44" s="331">
        <f t="shared" si="61"/>
        <v>1</v>
      </c>
      <c r="Z44" s="228">
        <v>21</v>
      </c>
      <c r="AA44" s="255"/>
      <c r="AB44" s="256"/>
      <c r="AC44" s="256"/>
      <c r="AD44" s="280">
        <f t="shared" si="62"/>
        <v>0</v>
      </c>
      <c r="AE44" s="280">
        <f t="shared" si="63"/>
        <v>21</v>
      </c>
      <c r="AF44" s="281">
        <f t="shared" si="64"/>
        <v>1</v>
      </c>
      <c r="AG44" s="229">
        <v>18</v>
      </c>
      <c r="AH44" s="257"/>
      <c r="AI44" s="258"/>
      <c r="AJ44" s="258"/>
      <c r="AK44" s="305">
        <f t="shared" si="65"/>
        <v>0</v>
      </c>
      <c r="AL44" s="305">
        <f t="shared" si="66"/>
        <v>18</v>
      </c>
      <c r="AM44" s="306">
        <f t="shared" si="67"/>
        <v>1</v>
      </c>
      <c r="AN44" s="230">
        <v>14</v>
      </c>
      <c r="AO44" s="259"/>
      <c r="AP44" s="260"/>
      <c r="AQ44" s="260"/>
      <c r="AR44" s="307">
        <f t="shared" si="68"/>
        <v>0</v>
      </c>
      <c r="AS44" s="307">
        <f t="shared" si="69"/>
        <v>14</v>
      </c>
      <c r="AT44" s="308">
        <f t="shared" si="70"/>
        <v>1</v>
      </c>
      <c r="AU44" s="289">
        <f t="shared" si="71"/>
        <v>0</v>
      </c>
      <c r="AV44" s="289">
        <f t="shared" si="72"/>
        <v>3</v>
      </c>
      <c r="AW44" s="289">
        <f t="shared" si="73"/>
        <v>0</v>
      </c>
      <c r="AX44" s="290">
        <v>98</v>
      </c>
      <c r="AY44" s="289">
        <f t="shared" si="74"/>
        <v>95</v>
      </c>
      <c r="AZ44" s="291">
        <f t="shared" si="75"/>
        <v>0.96938775510204078</v>
      </c>
      <c r="BA44" s="344"/>
      <c r="BB44" s="379">
        <v>100</v>
      </c>
      <c r="BC44" s="379">
        <f t="shared" si="50"/>
        <v>0</v>
      </c>
      <c r="BD44" s="378">
        <f t="shared" si="51"/>
        <v>0</v>
      </c>
      <c r="BE44" s="381"/>
      <c r="BF44" s="378">
        <f t="shared" si="52"/>
        <v>100</v>
      </c>
    </row>
    <row r="45" spans="1:58" x14ac:dyDescent="0.35">
      <c r="A45" s="193" t="s">
        <v>29</v>
      </c>
      <c r="B45" s="35">
        <v>252610030</v>
      </c>
      <c r="C45" s="36" t="s">
        <v>1110</v>
      </c>
      <c r="D45" s="194" t="s">
        <v>6</v>
      </c>
      <c r="E45" s="215">
        <v>19</v>
      </c>
      <c r="F45" s="219">
        <v>1</v>
      </c>
      <c r="G45" s="350">
        <v>2</v>
      </c>
      <c r="H45" s="350"/>
      <c r="I45" s="326">
        <f t="shared" si="53"/>
        <v>3</v>
      </c>
      <c r="J45" s="326">
        <f t="shared" si="54"/>
        <v>16</v>
      </c>
      <c r="K45" s="327">
        <f t="shared" si="55"/>
        <v>0.84210526315789469</v>
      </c>
      <c r="L45" s="221">
        <v>14</v>
      </c>
      <c r="M45" s="222"/>
      <c r="N45" s="223">
        <v>1</v>
      </c>
      <c r="O45" s="223">
        <v>2</v>
      </c>
      <c r="P45" s="328">
        <f t="shared" si="56"/>
        <v>3</v>
      </c>
      <c r="Q45" s="328">
        <f t="shared" si="57"/>
        <v>11</v>
      </c>
      <c r="R45" s="329">
        <f t="shared" si="58"/>
        <v>0.7857142857142857</v>
      </c>
      <c r="S45" s="225">
        <v>12</v>
      </c>
      <c r="T45" s="226"/>
      <c r="U45" s="226"/>
      <c r="V45" s="226"/>
      <c r="W45" s="330">
        <f t="shared" si="59"/>
        <v>0</v>
      </c>
      <c r="X45" s="330">
        <f t="shared" si="60"/>
        <v>12</v>
      </c>
      <c r="Y45" s="331">
        <f t="shared" si="61"/>
        <v>1</v>
      </c>
      <c r="Z45" s="228">
        <v>21</v>
      </c>
      <c r="AA45" s="255"/>
      <c r="AB45" s="256"/>
      <c r="AC45" s="256"/>
      <c r="AD45" s="280">
        <f t="shared" si="62"/>
        <v>0</v>
      </c>
      <c r="AE45" s="280">
        <f t="shared" si="63"/>
        <v>21</v>
      </c>
      <c r="AF45" s="281">
        <f t="shared" si="64"/>
        <v>1</v>
      </c>
      <c r="AG45" s="229">
        <v>18</v>
      </c>
      <c r="AH45" s="257"/>
      <c r="AI45" s="258"/>
      <c r="AJ45" s="258"/>
      <c r="AK45" s="305">
        <f t="shared" si="65"/>
        <v>0</v>
      </c>
      <c r="AL45" s="305">
        <f t="shared" si="66"/>
        <v>18</v>
      </c>
      <c r="AM45" s="306">
        <f t="shared" si="67"/>
        <v>1</v>
      </c>
      <c r="AN45" s="230">
        <v>14</v>
      </c>
      <c r="AO45" s="259"/>
      <c r="AP45" s="260"/>
      <c r="AQ45" s="260"/>
      <c r="AR45" s="307">
        <f t="shared" si="68"/>
        <v>0</v>
      </c>
      <c r="AS45" s="307">
        <f t="shared" si="69"/>
        <v>14</v>
      </c>
      <c r="AT45" s="308">
        <f t="shared" si="70"/>
        <v>1</v>
      </c>
      <c r="AU45" s="289">
        <f t="shared" si="71"/>
        <v>1</v>
      </c>
      <c r="AV45" s="289">
        <f t="shared" si="72"/>
        <v>3</v>
      </c>
      <c r="AW45" s="289">
        <f t="shared" si="73"/>
        <v>2</v>
      </c>
      <c r="AX45" s="290">
        <v>98</v>
      </c>
      <c r="AY45" s="289">
        <f t="shared" si="74"/>
        <v>92</v>
      </c>
      <c r="AZ45" s="291">
        <f t="shared" si="75"/>
        <v>0.93877551020408168</v>
      </c>
      <c r="BA45" s="344">
        <v>4</v>
      </c>
      <c r="BB45" s="379">
        <v>98</v>
      </c>
      <c r="BC45" s="379">
        <f t="shared" si="50"/>
        <v>8</v>
      </c>
      <c r="BD45" s="378">
        <f t="shared" si="51"/>
        <v>4</v>
      </c>
      <c r="BE45" s="381"/>
      <c r="BF45" s="378">
        <f t="shared" si="52"/>
        <v>86</v>
      </c>
    </row>
    <row r="46" spans="1:58" x14ac:dyDescent="0.35">
      <c r="A46" s="193" t="s">
        <v>30</v>
      </c>
      <c r="B46" s="35">
        <v>252610031</v>
      </c>
      <c r="C46" s="36" t="s">
        <v>1111</v>
      </c>
      <c r="D46" s="194" t="s">
        <v>6</v>
      </c>
      <c r="E46" s="215">
        <v>19</v>
      </c>
      <c r="F46" s="219"/>
      <c r="G46" s="350">
        <v>1</v>
      </c>
      <c r="H46" s="350"/>
      <c r="I46" s="326">
        <f t="shared" si="53"/>
        <v>1</v>
      </c>
      <c r="J46" s="326">
        <f t="shared" si="54"/>
        <v>18</v>
      </c>
      <c r="K46" s="327">
        <f t="shared" si="55"/>
        <v>0.94736842105263153</v>
      </c>
      <c r="L46" s="221">
        <v>14</v>
      </c>
      <c r="M46" s="222">
        <v>1</v>
      </c>
      <c r="N46" s="223">
        <v>1</v>
      </c>
      <c r="O46" s="223"/>
      <c r="P46" s="328">
        <f t="shared" si="56"/>
        <v>2</v>
      </c>
      <c r="Q46" s="328">
        <f t="shared" si="57"/>
        <v>12</v>
      </c>
      <c r="R46" s="329">
        <f t="shared" si="58"/>
        <v>0.8571428571428571</v>
      </c>
      <c r="S46" s="225">
        <v>12</v>
      </c>
      <c r="T46" s="226"/>
      <c r="U46" s="226"/>
      <c r="V46" s="226"/>
      <c r="W46" s="330">
        <f t="shared" si="59"/>
        <v>0</v>
      </c>
      <c r="X46" s="330">
        <f t="shared" si="60"/>
        <v>12</v>
      </c>
      <c r="Y46" s="331">
        <f t="shared" si="61"/>
        <v>1</v>
      </c>
      <c r="Z46" s="228">
        <v>21</v>
      </c>
      <c r="AA46" s="255"/>
      <c r="AB46" s="256"/>
      <c r="AC46" s="256"/>
      <c r="AD46" s="280">
        <f t="shared" si="62"/>
        <v>0</v>
      </c>
      <c r="AE46" s="280">
        <f t="shared" si="63"/>
        <v>21</v>
      </c>
      <c r="AF46" s="281">
        <f t="shared" si="64"/>
        <v>1</v>
      </c>
      <c r="AG46" s="229">
        <v>18</v>
      </c>
      <c r="AH46" s="257"/>
      <c r="AI46" s="258"/>
      <c r="AJ46" s="258"/>
      <c r="AK46" s="305">
        <f t="shared" si="65"/>
        <v>0</v>
      </c>
      <c r="AL46" s="305">
        <f t="shared" si="66"/>
        <v>18</v>
      </c>
      <c r="AM46" s="306">
        <f t="shared" si="67"/>
        <v>1</v>
      </c>
      <c r="AN46" s="230">
        <v>14</v>
      </c>
      <c r="AO46" s="259"/>
      <c r="AP46" s="260"/>
      <c r="AQ46" s="260"/>
      <c r="AR46" s="307">
        <f t="shared" si="68"/>
        <v>0</v>
      </c>
      <c r="AS46" s="307">
        <f t="shared" si="69"/>
        <v>14</v>
      </c>
      <c r="AT46" s="308">
        <f t="shared" si="70"/>
        <v>1</v>
      </c>
      <c r="AU46" s="289">
        <f t="shared" si="71"/>
        <v>1</v>
      </c>
      <c r="AV46" s="289">
        <f t="shared" si="72"/>
        <v>2</v>
      </c>
      <c r="AW46" s="289">
        <f t="shared" si="73"/>
        <v>0</v>
      </c>
      <c r="AX46" s="290">
        <v>98</v>
      </c>
      <c r="AY46" s="289">
        <f t="shared" si="74"/>
        <v>95</v>
      </c>
      <c r="AZ46" s="291">
        <f t="shared" si="75"/>
        <v>0.96938775510204078</v>
      </c>
      <c r="BA46" s="344">
        <v>4</v>
      </c>
      <c r="BB46" s="379">
        <v>98</v>
      </c>
      <c r="BC46" s="379">
        <f t="shared" si="50"/>
        <v>8</v>
      </c>
      <c r="BD46" s="378">
        <f t="shared" si="51"/>
        <v>0</v>
      </c>
      <c r="BE46" s="381"/>
      <c r="BF46" s="378">
        <f t="shared" si="52"/>
        <v>90</v>
      </c>
    </row>
    <row r="47" spans="1:58" x14ac:dyDescent="0.35">
      <c r="A47" s="193" t="s">
        <v>31</v>
      </c>
      <c r="B47" s="35">
        <v>252610032</v>
      </c>
      <c r="C47" s="351" t="s">
        <v>1112</v>
      </c>
      <c r="D47" s="194" t="s">
        <v>6</v>
      </c>
      <c r="E47" s="215">
        <v>19</v>
      </c>
      <c r="F47" s="219"/>
      <c r="G47" s="350"/>
      <c r="H47" s="350"/>
      <c r="I47" s="326">
        <f t="shared" si="53"/>
        <v>0</v>
      </c>
      <c r="J47" s="326">
        <f t="shared" si="54"/>
        <v>19</v>
      </c>
      <c r="K47" s="327">
        <f t="shared" si="55"/>
        <v>1</v>
      </c>
      <c r="L47" s="221">
        <v>14</v>
      </c>
      <c r="M47" s="222"/>
      <c r="N47" s="223"/>
      <c r="O47" s="223"/>
      <c r="P47" s="328">
        <f t="shared" si="56"/>
        <v>0</v>
      </c>
      <c r="Q47" s="328">
        <f t="shared" si="57"/>
        <v>14</v>
      </c>
      <c r="R47" s="329">
        <f t="shared" si="58"/>
        <v>1</v>
      </c>
      <c r="S47" s="225">
        <v>12</v>
      </c>
      <c r="T47" s="226"/>
      <c r="U47" s="226"/>
      <c r="V47" s="226"/>
      <c r="W47" s="330">
        <f t="shared" si="59"/>
        <v>0</v>
      </c>
      <c r="X47" s="330">
        <f t="shared" si="60"/>
        <v>12</v>
      </c>
      <c r="Y47" s="331">
        <f t="shared" si="61"/>
        <v>1</v>
      </c>
      <c r="Z47" s="228">
        <v>21</v>
      </c>
      <c r="AA47" s="255"/>
      <c r="AB47" s="256"/>
      <c r="AC47" s="256"/>
      <c r="AD47" s="280">
        <f t="shared" si="62"/>
        <v>0</v>
      </c>
      <c r="AE47" s="280">
        <f t="shared" si="63"/>
        <v>21</v>
      </c>
      <c r="AF47" s="281">
        <f t="shared" si="64"/>
        <v>1</v>
      </c>
      <c r="AG47" s="229">
        <v>18</v>
      </c>
      <c r="AH47" s="257"/>
      <c r="AI47" s="258"/>
      <c r="AJ47" s="258"/>
      <c r="AK47" s="305">
        <f t="shared" si="65"/>
        <v>0</v>
      </c>
      <c r="AL47" s="305">
        <f t="shared" si="66"/>
        <v>18</v>
      </c>
      <c r="AM47" s="306">
        <f t="shared" si="67"/>
        <v>1</v>
      </c>
      <c r="AN47" s="230">
        <v>14</v>
      </c>
      <c r="AO47" s="259"/>
      <c r="AP47" s="260"/>
      <c r="AQ47" s="260"/>
      <c r="AR47" s="307">
        <f t="shared" si="68"/>
        <v>0</v>
      </c>
      <c r="AS47" s="307">
        <f t="shared" si="69"/>
        <v>14</v>
      </c>
      <c r="AT47" s="308">
        <f t="shared" si="70"/>
        <v>1</v>
      </c>
      <c r="AU47" s="289">
        <f t="shared" si="71"/>
        <v>0</v>
      </c>
      <c r="AV47" s="289">
        <f t="shared" si="72"/>
        <v>0</v>
      </c>
      <c r="AW47" s="289">
        <f t="shared" si="73"/>
        <v>0</v>
      </c>
      <c r="AX47" s="290">
        <v>98</v>
      </c>
      <c r="AY47" s="289">
        <f t="shared" si="74"/>
        <v>98</v>
      </c>
      <c r="AZ47" s="291">
        <f t="shared" si="75"/>
        <v>1</v>
      </c>
      <c r="BA47" s="344"/>
      <c r="BB47" s="379">
        <v>100</v>
      </c>
      <c r="BC47" s="379">
        <f t="shared" si="50"/>
        <v>0</v>
      </c>
      <c r="BD47" s="378">
        <f t="shared" si="51"/>
        <v>0</v>
      </c>
      <c r="BE47" s="381"/>
      <c r="BF47" s="378">
        <f t="shared" si="52"/>
        <v>100</v>
      </c>
    </row>
    <row r="48" spans="1:58" x14ac:dyDescent="0.35">
      <c r="A48" s="193" t="s">
        <v>32</v>
      </c>
      <c r="B48" s="35">
        <v>252610033</v>
      </c>
      <c r="C48" s="351" t="s">
        <v>1113</v>
      </c>
      <c r="D48" s="194" t="s">
        <v>6</v>
      </c>
      <c r="E48" s="215">
        <v>19</v>
      </c>
      <c r="F48" s="219"/>
      <c r="G48" s="350"/>
      <c r="H48" s="350"/>
      <c r="I48" s="326">
        <f t="shared" si="53"/>
        <v>0</v>
      </c>
      <c r="J48" s="326">
        <f t="shared" si="54"/>
        <v>19</v>
      </c>
      <c r="K48" s="327">
        <f t="shared" si="55"/>
        <v>1</v>
      </c>
      <c r="L48" s="221">
        <v>14</v>
      </c>
      <c r="M48" s="222"/>
      <c r="N48" s="223"/>
      <c r="O48" s="223"/>
      <c r="P48" s="328">
        <f t="shared" si="56"/>
        <v>0</v>
      </c>
      <c r="Q48" s="328">
        <f t="shared" si="57"/>
        <v>14</v>
      </c>
      <c r="R48" s="329">
        <f t="shared" si="58"/>
        <v>1</v>
      </c>
      <c r="S48" s="225">
        <v>12</v>
      </c>
      <c r="T48" s="226"/>
      <c r="U48" s="226"/>
      <c r="V48" s="226"/>
      <c r="W48" s="330">
        <f t="shared" si="59"/>
        <v>0</v>
      </c>
      <c r="X48" s="330">
        <f t="shared" si="60"/>
        <v>12</v>
      </c>
      <c r="Y48" s="331">
        <f t="shared" si="61"/>
        <v>1</v>
      </c>
      <c r="Z48" s="228">
        <v>21</v>
      </c>
      <c r="AA48" s="255"/>
      <c r="AB48" s="256"/>
      <c r="AC48" s="256"/>
      <c r="AD48" s="280">
        <f t="shared" si="62"/>
        <v>0</v>
      </c>
      <c r="AE48" s="280">
        <f t="shared" si="63"/>
        <v>21</v>
      </c>
      <c r="AF48" s="281">
        <f t="shared" si="64"/>
        <v>1</v>
      </c>
      <c r="AG48" s="229">
        <v>18</v>
      </c>
      <c r="AH48" s="257"/>
      <c r="AI48" s="258"/>
      <c r="AJ48" s="258"/>
      <c r="AK48" s="305">
        <f t="shared" si="65"/>
        <v>0</v>
      </c>
      <c r="AL48" s="305">
        <f t="shared" si="66"/>
        <v>18</v>
      </c>
      <c r="AM48" s="306">
        <f t="shared" si="67"/>
        <v>1</v>
      </c>
      <c r="AN48" s="230">
        <v>14</v>
      </c>
      <c r="AO48" s="259"/>
      <c r="AP48" s="260"/>
      <c r="AQ48" s="260"/>
      <c r="AR48" s="307">
        <f t="shared" si="68"/>
        <v>0</v>
      </c>
      <c r="AS48" s="307">
        <f t="shared" si="69"/>
        <v>14</v>
      </c>
      <c r="AT48" s="308">
        <f t="shared" si="70"/>
        <v>1</v>
      </c>
      <c r="AU48" s="289">
        <f t="shared" si="71"/>
        <v>0</v>
      </c>
      <c r="AV48" s="289">
        <f t="shared" si="72"/>
        <v>0</v>
      </c>
      <c r="AW48" s="289">
        <f t="shared" si="73"/>
        <v>0</v>
      </c>
      <c r="AX48" s="290">
        <v>98</v>
      </c>
      <c r="AY48" s="289">
        <f t="shared" si="74"/>
        <v>98</v>
      </c>
      <c r="AZ48" s="291">
        <f t="shared" si="75"/>
        <v>1</v>
      </c>
      <c r="BA48" s="344"/>
      <c r="BB48" s="379">
        <v>100</v>
      </c>
      <c r="BC48" s="379">
        <f t="shared" si="50"/>
        <v>0</v>
      </c>
      <c r="BD48" s="378">
        <f t="shared" si="51"/>
        <v>0</v>
      </c>
      <c r="BE48" s="381"/>
      <c r="BF48" s="378">
        <f t="shared" si="52"/>
        <v>100</v>
      </c>
    </row>
    <row r="49" spans="1:58" x14ac:dyDescent="0.35">
      <c r="A49" s="193" t="s">
        <v>33</v>
      </c>
      <c r="B49" s="35">
        <v>252610034</v>
      </c>
      <c r="C49" s="351" t="s">
        <v>1114</v>
      </c>
      <c r="D49" s="194" t="s">
        <v>6</v>
      </c>
      <c r="E49" s="215">
        <v>19</v>
      </c>
      <c r="F49" s="219"/>
      <c r="G49" s="350"/>
      <c r="H49" s="350"/>
      <c r="I49" s="326">
        <f t="shared" si="53"/>
        <v>0</v>
      </c>
      <c r="J49" s="326">
        <f t="shared" si="54"/>
        <v>19</v>
      </c>
      <c r="K49" s="327">
        <f t="shared" si="55"/>
        <v>1</v>
      </c>
      <c r="L49" s="221">
        <v>14</v>
      </c>
      <c r="M49" s="222"/>
      <c r="N49" s="223"/>
      <c r="O49" s="223"/>
      <c r="P49" s="328">
        <f t="shared" si="56"/>
        <v>0</v>
      </c>
      <c r="Q49" s="328">
        <f t="shared" si="57"/>
        <v>14</v>
      </c>
      <c r="R49" s="329">
        <f t="shared" si="58"/>
        <v>1</v>
      </c>
      <c r="S49" s="225">
        <v>12</v>
      </c>
      <c r="T49" s="226"/>
      <c r="U49" s="226"/>
      <c r="V49" s="226"/>
      <c r="W49" s="330">
        <f t="shared" si="59"/>
        <v>0</v>
      </c>
      <c r="X49" s="330">
        <f t="shared" si="60"/>
        <v>12</v>
      </c>
      <c r="Y49" s="331">
        <f t="shared" si="61"/>
        <v>1</v>
      </c>
      <c r="Z49" s="228">
        <v>21</v>
      </c>
      <c r="AA49" s="255"/>
      <c r="AB49" s="256"/>
      <c r="AC49" s="256"/>
      <c r="AD49" s="280">
        <f t="shared" si="62"/>
        <v>0</v>
      </c>
      <c r="AE49" s="280">
        <f t="shared" si="63"/>
        <v>21</v>
      </c>
      <c r="AF49" s="281">
        <f t="shared" si="64"/>
        <v>1</v>
      </c>
      <c r="AG49" s="229">
        <v>18</v>
      </c>
      <c r="AH49" s="257"/>
      <c r="AI49" s="258"/>
      <c r="AJ49" s="258"/>
      <c r="AK49" s="305">
        <f t="shared" si="65"/>
        <v>0</v>
      </c>
      <c r="AL49" s="305">
        <f t="shared" si="66"/>
        <v>18</v>
      </c>
      <c r="AM49" s="306">
        <f t="shared" si="67"/>
        <v>1</v>
      </c>
      <c r="AN49" s="230">
        <v>14</v>
      </c>
      <c r="AO49" s="259"/>
      <c r="AP49" s="260"/>
      <c r="AQ49" s="260"/>
      <c r="AR49" s="307">
        <f t="shared" si="68"/>
        <v>0</v>
      </c>
      <c r="AS49" s="307">
        <f t="shared" si="69"/>
        <v>14</v>
      </c>
      <c r="AT49" s="308">
        <f t="shared" si="70"/>
        <v>1</v>
      </c>
      <c r="AU49" s="289">
        <f t="shared" si="71"/>
        <v>0</v>
      </c>
      <c r="AV49" s="289">
        <f t="shared" si="72"/>
        <v>0</v>
      </c>
      <c r="AW49" s="289">
        <f t="shared" si="73"/>
        <v>0</v>
      </c>
      <c r="AX49" s="290">
        <v>98</v>
      </c>
      <c r="AY49" s="289">
        <f t="shared" si="74"/>
        <v>98</v>
      </c>
      <c r="AZ49" s="291">
        <f t="shared" si="75"/>
        <v>1</v>
      </c>
      <c r="BA49" s="344"/>
      <c r="BB49" s="379">
        <v>100</v>
      </c>
      <c r="BC49" s="379">
        <f t="shared" si="50"/>
        <v>0</v>
      </c>
      <c r="BD49" s="378">
        <f t="shared" si="51"/>
        <v>0</v>
      </c>
      <c r="BE49" s="381"/>
      <c r="BF49" s="378">
        <f t="shared" si="52"/>
        <v>100</v>
      </c>
    </row>
    <row r="50" spans="1:58" x14ac:dyDescent="0.35">
      <c r="A50" s="193" t="s">
        <v>34</v>
      </c>
      <c r="B50" s="35">
        <v>252610036</v>
      </c>
      <c r="C50" s="351" t="s">
        <v>1115</v>
      </c>
      <c r="D50" s="194" t="s">
        <v>6</v>
      </c>
      <c r="E50" s="215">
        <v>19</v>
      </c>
      <c r="F50" s="219"/>
      <c r="G50" s="350"/>
      <c r="H50" s="350"/>
      <c r="I50" s="326">
        <f t="shared" si="53"/>
        <v>0</v>
      </c>
      <c r="J50" s="326">
        <f t="shared" si="54"/>
        <v>19</v>
      </c>
      <c r="K50" s="327">
        <f t="shared" si="55"/>
        <v>1</v>
      </c>
      <c r="L50" s="221">
        <v>14</v>
      </c>
      <c r="M50" s="222"/>
      <c r="N50" s="223"/>
      <c r="O50" s="223"/>
      <c r="P50" s="328">
        <f t="shared" si="56"/>
        <v>0</v>
      </c>
      <c r="Q50" s="328">
        <f t="shared" si="57"/>
        <v>14</v>
      </c>
      <c r="R50" s="329">
        <f t="shared" si="58"/>
        <v>1</v>
      </c>
      <c r="S50" s="225">
        <v>12</v>
      </c>
      <c r="T50" s="226"/>
      <c r="U50" s="226"/>
      <c r="V50" s="226"/>
      <c r="W50" s="330">
        <f t="shared" si="59"/>
        <v>0</v>
      </c>
      <c r="X50" s="330">
        <f t="shared" si="60"/>
        <v>12</v>
      </c>
      <c r="Y50" s="331">
        <f t="shared" si="61"/>
        <v>1</v>
      </c>
      <c r="Z50" s="228">
        <v>21</v>
      </c>
      <c r="AA50" s="255"/>
      <c r="AB50" s="256"/>
      <c r="AC50" s="256"/>
      <c r="AD50" s="280">
        <f t="shared" si="62"/>
        <v>0</v>
      </c>
      <c r="AE50" s="280">
        <f t="shared" si="63"/>
        <v>21</v>
      </c>
      <c r="AF50" s="281">
        <f t="shared" si="64"/>
        <v>1</v>
      </c>
      <c r="AG50" s="229">
        <v>18</v>
      </c>
      <c r="AH50" s="257"/>
      <c r="AI50" s="258"/>
      <c r="AJ50" s="258"/>
      <c r="AK50" s="305">
        <f t="shared" si="65"/>
        <v>0</v>
      </c>
      <c r="AL50" s="305">
        <f t="shared" si="66"/>
        <v>18</v>
      </c>
      <c r="AM50" s="306">
        <f t="shared" si="67"/>
        <v>1</v>
      </c>
      <c r="AN50" s="230">
        <v>14</v>
      </c>
      <c r="AO50" s="259"/>
      <c r="AP50" s="260"/>
      <c r="AQ50" s="260"/>
      <c r="AR50" s="307">
        <f t="shared" si="68"/>
        <v>0</v>
      </c>
      <c r="AS50" s="307">
        <f t="shared" si="69"/>
        <v>14</v>
      </c>
      <c r="AT50" s="308">
        <f t="shared" si="70"/>
        <v>1</v>
      </c>
      <c r="AU50" s="289">
        <f t="shared" si="71"/>
        <v>0</v>
      </c>
      <c r="AV50" s="289">
        <f t="shared" si="72"/>
        <v>0</v>
      </c>
      <c r="AW50" s="289">
        <f t="shared" si="73"/>
        <v>0</v>
      </c>
      <c r="AX50" s="290">
        <v>98</v>
      </c>
      <c r="AY50" s="289">
        <f t="shared" si="74"/>
        <v>98</v>
      </c>
      <c r="AZ50" s="291">
        <f t="shared" si="75"/>
        <v>1</v>
      </c>
      <c r="BA50" s="344"/>
      <c r="BB50" s="379">
        <v>100</v>
      </c>
      <c r="BC50" s="379">
        <f t="shared" si="50"/>
        <v>0</v>
      </c>
      <c r="BD50" s="378">
        <f t="shared" si="51"/>
        <v>0</v>
      </c>
      <c r="BE50" s="381"/>
      <c r="BF50" s="378">
        <f t="shared" si="52"/>
        <v>100</v>
      </c>
    </row>
    <row r="51" spans="1:58" ht="15.5" customHeight="1" x14ac:dyDescent="0.35">
      <c r="A51" s="193" t="s">
        <v>35</v>
      </c>
      <c r="B51" s="33">
        <v>252610035</v>
      </c>
      <c r="C51" s="351" t="s">
        <v>1116</v>
      </c>
      <c r="D51" s="194" t="s">
        <v>6</v>
      </c>
      <c r="E51" s="215">
        <v>19</v>
      </c>
      <c r="F51" s="219"/>
      <c r="G51" s="350"/>
      <c r="H51" s="350"/>
      <c r="I51" s="326">
        <f t="shared" si="53"/>
        <v>0</v>
      </c>
      <c r="J51" s="326">
        <f t="shared" si="54"/>
        <v>19</v>
      </c>
      <c r="K51" s="327">
        <f t="shared" si="55"/>
        <v>1</v>
      </c>
      <c r="L51" s="221">
        <v>14</v>
      </c>
      <c r="M51" s="222"/>
      <c r="N51" s="223"/>
      <c r="O51" s="223"/>
      <c r="P51" s="328">
        <f t="shared" si="56"/>
        <v>0</v>
      </c>
      <c r="Q51" s="328">
        <f t="shared" si="57"/>
        <v>14</v>
      </c>
      <c r="R51" s="329">
        <f t="shared" si="58"/>
        <v>1</v>
      </c>
      <c r="S51" s="225">
        <v>12</v>
      </c>
      <c r="T51" s="226"/>
      <c r="U51" s="226"/>
      <c r="V51" s="226"/>
      <c r="W51" s="330">
        <f t="shared" si="59"/>
        <v>0</v>
      </c>
      <c r="X51" s="330">
        <f t="shared" si="60"/>
        <v>12</v>
      </c>
      <c r="Y51" s="331">
        <f t="shared" si="61"/>
        <v>1</v>
      </c>
      <c r="Z51" s="228">
        <v>21</v>
      </c>
      <c r="AA51" s="255"/>
      <c r="AB51" s="256"/>
      <c r="AC51" s="256"/>
      <c r="AD51" s="280">
        <f t="shared" si="62"/>
        <v>0</v>
      </c>
      <c r="AE51" s="280">
        <f t="shared" si="63"/>
        <v>21</v>
      </c>
      <c r="AF51" s="281">
        <f t="shared" si="64"/>
        <v>1</v>
      </c>
      <c r="AG51" s="229">
        <v>18</v>
      </c>
      <c r="AH51" s="257"/>
      <c r="AI51" s="258"/>
      <c r="AJ51" s="258"/>
      <c r="AK51" s="305">
        <f t="shared" si="65"/>
        <v>0</v>
      </c>
      <c r="AL51" s="305">
        <f t="shared" si="66"/>
        <v>18</v>
      </c>
      <c r="AM51" s="306">
        <f t="shared" si="67"/>
        <v>1</v>
      </c>
      <c r="AN51" s="230">
        <v>14</v>
      </c>
      <c r="AO51" s="259"/>
      <c r="AP51" s="260"/>
      <c r="AQ51" s="260"/>
      <c r="AR51" s="307">
        <f t="shared" si="68"/>
        <v>0</v>
      </c>
      <c r="AS51" s="307">
        <f t="shared" si="69"/>
        <v>14</v>
      </c>
      <c r="AT51" s="308">
        <f t="shared" si="70"/>
        <v>1</v>
      </c>
      <c r="AU51" s="289">
        <f t="shared" si="71"/>
        <v>0</v>
      </c>
      <c r="AV51" s="289">
        <f t="shared" si="72"/>
        <v>0</v>
      </c>
      <c r="AW51" s="289">
        <f t="shared" si="73"/>
        <v>0</v>
      </c>
      <c r="AX51" s="290">
        <v>98</v>
      </c>
      <c r="AY51" s="289">
        <f t="shared" si="74"/>
        <v>98</v>
      </c>
      <c r="AZ51" s="291">
        <f t="shared" si="75"/>
        <v>1</v>
      </c>
      <c r="BA51" s="344"/>
      <c r="BB51" s="379">
        <v>100</v>
      </c>
      <c r="BC51" s="379">
        <f t="shared" si="50"/>
        <v>0</v>
      </c>
      <c r="BD51" s="378">
        <f t="shared" si="51"/>
        <v>0</v>
      </c>
      <c r="BE51" s="381"/>
      <c r="BF51" s="378">
        <f t="shared" si="52"/>
        <v>100</v>
      </c>
    </row>
    <row r="52" spans="1:58" x14ac:dyDescent="0.35">
      <c r="A52" s="193" t="s">
        <v>36</v>
      </c>
      <c r="B52" s="33">
        <v>252610037</v>
      </c>
      <c r="C52" s="36" t="s">
        <v>1117</v>
      </c>
      <c r="D52" s="194" t="s">
        <v>8</v>
      </c>
      <c r="E52" s="215">
        <v>19</v>
      </c>
      <c r="F52" s="219"/>
      <c r="G52" s="350">
        <v>1</v>
      </c>
      <c r="H52" s="350"/>
      <c r="I52" s="326">
        <f t="shared" si="53"/>
        <v>1</v>
      </c>
      <c r="J52" s="326">
        <f t="shared" si="54"/>
        <v>18</v>
      </c>
      <c r="K52" s="327">
        <f t="shared" si="55"/>
        <v>0.94736842105263153</v>
      </c>
      <c r="L52" s="221">
        <v>14</v>
      </c>
      <c r="M52" s="222"/>
      <c r="N52" s="223"/>
      <c r="O52" s="223"/>
      <c r="P52" s="328">
        <f t="shared" si="56"/>
        <v>0</v>
      </c>
      <c r="Q52" s="328">
        <f t="shared" si="57"/>
        <v>14</v>
      </c>
      <c r="R52" s="329">
        <f t="shared" si="58"/>
        <v>1</v>
      </c>
      <c r="S52" s="225">
        <v>12</v>
      </c>
      <c r="T52" s="226"/>
      <c r="U52" s="226"/>
      <c r="V52" s="226"/>
      <c r="W52" s="330">
        <f t="shared" si="59"/>
        <v>0</v>
      </c>
      <c r="X52" s="330">
        <f t="shared" si="60"/>
        <v>12</v>
      </c>
      <c r="Y52" s="331">
        <f t="shared" si="61"/>
        <v>1</v>
      </c>
      <c r="Z52" s="228">
        <v>21</v>
      </c>
      <c r="AA52" s="255"/>
      <c r="AB52" s="256"/>
      <c r="AC52" s="256"/>
      <c r="AD52" s="280">
        <f t="shared" si="62"/>
        <v>0</v>
      </c>
      <c r="AE52" s="280">
        <f t="shared" si="63"/>
        <v>21</v>
      </c>
      <c r="AF52" s="281">
        <f t="shared" si="64"/>
        <v>1</v>
      </c>
      <c r="AG52" s="229">
        <v>18</v>
      </c>
      <c r="AH52" s="257"/>
      <c r="AI52" s="258"/>
      <c r="AJ52" s="258"/>
      <c r="AK52" s="305">
        <f t="shared" si="65"/>
        <v>0</v>
      </c>
      <c r="AL52" s="305">
        <f t="shared" si="66"/>
        <v>18</v>
      </c>
      <c r="AM52" s="306">
        <f t="shared" si="67"/>
        <v>1</v>
      </c>
      <c r="AN52" s="230">
        <v>14</v>
      </c>
      <c r="AO52" s="259"/>
      <c r="AP52" s="260"/>
      <c r="AQ52" s="260"/>
      <c r="AR52" s="307">
        <f t="shared" si="68"/>
        <v>0</v>
      </c>
      <c r="AS52" s="307">
        <f t="shared" si="69"/>
        <v>14</v>
      </c>
      <c r="AT52" s="308">
        <f t="shared" si="70"/>
        <v>1</v>
      </c>
      <c r="AU52" s="289">
        <f t="shared" si="71"/>
        <v>0</v>
      </c>
      <c r="AV52" s="289">
        <f t="shared" si="72"/>
        <v>1</v>
      </c>
      <c r="AW52" s="289">
        <f t="shared" si="73"/>
        <v>0</v>
      </c>
      <c r="AX52" s="290">
        <v>98</v>
      </c>
      <c r="AY52" s="289">
        <f t="shared" si="74"/>
        <v>97</v>
      </c>
      <c r="AZ52" s="291">
        <f t="shared" si="75"/>
        <v>0.98979591836734693</v>
      </c>
      <c r="BA52" s="344"/>
      <c r="BB52" s="379">
        <v>100</v>
      </c>
      <c r="BC52" s="379">
        <f t="shared" si="50"/>
        <v>0</v>
      </c>
      <c r="BD52" s="378">
        <f t="shared" si="51"/>
        <v>0</v>
      </c>
      <c r="BE52" s="381"/>
      <c r="BF52" s="378">
        <f t="shared" si="52"/>
        <v>100</v>
      </c>
    </row>
    <row r="53" spans="1:58" x14ac:dyDescent="0.35">
      <c r="A53" s="193" t="s">
        <v>37</v>
      </c>
      <c r="B53" s="35">
        <v>252610038</v>
      </c>
      <c r="C53" s="353" t="s">
        <v>1118</v>
      </c>
      <c r="D53" s="194" t="s">
        <v>6</v>
      </c>
      <c r="E53" s="215">
        <v>19</v>
      </c>
      <c r="F53" s="219"/>
      <c r="G53" s="350"/>
      <c r="H53" s="350"/>
      <c r="I53" s="326">
        <f t="shared" si="53"/>
        <v>0</v>
      </c>
      <c r="J53" s="326">
        <f t="shared" si="54"/>
        <v>19</v>
      </c>
      <c r="K53" s="327">
        <f t="shared" si="55"/>
        <v>1</v>
      </c>
      <c r="L53" s="221">
        <v>14</v>
      </c>
      <c r="M53" s="222"/>
      <c r="N53" s="223"/>
      <c r="O53" s="223"/>
      <c r="P53" s="328">
        <f t="shared" si="56"/>
        <v>0</v>
      </c>
      <c r="Q53" s="328">
        <f t="shared" si="57"/>
        <v>14</v>
      </c>
      <c r="R53" s="329">
        <f t="shared" si="58"/>
        <v>1</v>
      </c>
      <c r="S53" s="225">
        <v>12</v>
      </c>
      <c r="T53" s="226"/>
      <c r="U53" s="226"/>
      <c r="V53" s="226"/>
      <c r="W53" s="330">
        <f t="shared" si="59"/>
        <v>0</v>
      </c>
      <c r="X53" s="330">
        <f t="shared" si="60"/>
        <v>12</v>
      </c>
      <c r="Y53" s="331">
        <f t="shared" si="61"/>
        <v>1</v>
      </c>
      <c r="Z53" s="228">
        <v>21</v>
      </c>
      <c r="AA53" s="255"/>
      <c r="AB53" s="256"/>
      <c r="AC53" s="256"/>
      <c r="AD53" s="280">
        <f t="shared" si="62"/>
        <v>0</v>
      </c>
      <c r="AE53" s="280">
        <f t="shared" si="63"/>
        <v>21</v>
      </c>
      <c r="AF53" s="281">
        <f t="shared" si="64"/>
        <v>1</v>
      </c>
      <c r="AG53" s="229">
        <v>18</v>
      </c>
      <c r="AH53" s="257"/>
      <c r="AI53" s="258"/>
      <c r="AJ53" s="258"/>
      <c r="AK53" s="305">
        <f t="shared" si="65"/>
        <v>0</v>
      </c>
      <c r="AL53" s="305">
        <f t="shared" si="66"/>
        <v>18</v>
      </c>
      <c r="AM53" s="306">
        <f t="shared" si="67"/>
        <v>1</v>
      </c>
      <c r="AN53" s="230">
        <v>14</v>
      </c>
      <c r="AO53" s="259"/>
      <c r="AP53" s="260"/>
      <c r="AQ53" s="260"/>
      <c r="AR53" s="307">
        <f t="shared" si="68"/>
        <v>0</v>
      </c>
      <c r="AS53" s="307">
        <f t="shared" si="69"/>
        <v>14</v>
      </c>
      <c r="AT53" s="308">
        <f t="shared" si="70"/>
        <v>1</v>
      </c>
      <c r="AU53" s="289">
        <f t="shared" si="71"/>
        <v>0</v>
      </c>
      <c r="AV53" s="289">
        <f t="shared" si="72"/>
        <v>0</v>
      </c>
      <c r="AW53" s="289">
        <f t="shared" si="73"/>
        <v>0</v>
      </c>
      <c r="AX53" s="290">
        <v>98</v>
      </c>
      <c r="AY53" s="289">
        <f t="shared" si="74"/>
        <v>98</v>
      </c>
      <c r="AZ53" s="291">
        <f t="shared" si="75"/>
        <v>1</v>
      </c>
      <c r="BA53" s="344"/>
      <c r="BB53" s="379">
        <v>100</v>
      </c>
      <c r="BC53" s="379">
        <f t="shared" si="50"/>
        <v>0</v>
      </c>
      <c r="BD53" s="378">
        <f t="shared" si="51"/>
        <v>0</v>
      </c>
      <c r="BE53" s="381"/>
      <c r="BF53" s="378">
        <f t="shared" si="52"/>
        <v>100</v>
      </c>
    </row>
    <row r="54" spans="1:58" x14ac:dyDescent="0.35">
      <c r="A54" s="193" t="s">
        <v>38</v>
      </c>
      <c r="B54" s="33">
        <v>252610039</v>
      </c>
      <c r="C54" s="47" t="s">
        <v>1119</v>
      </c>
      <c r="D54" s="194" t="s">
        <v>6</v>
      </c>
      <c r="E54" s="215">
        <v>19</v>
      </c>
      <c r="F54" s="219"/>
      <c r="G54" s="350">
        <v>1</v>
      </c>
      <c r="H54" s="350"/>
      <c r="I54" s="326">
        <f t="shared" si="53"/>
        <v>1</v>
      </c>
      <c r="J54" s="326">
        <f t="shared" si="54"/>
        <v>18</v>
      </c>
      <c r="K54" s="327">
        <f t="shared" si="55"/>
        <v>0.94736842105263153</v>
      </c>
      <c r="L54" s="221">
        <v>14</v>
      </c>
      <c r="M54" s="222"/>
      <c r="N54" s="223"/>
      <c r="O54" s="223">
        <v>2</v>
      </c>
      <c r="P54" s="328">
        <f t="shared" si="56"/>
        <v>2</v>
      </c>
      <c r="Q54" s="328">
        <f t="shared" si="57"/>
        <v>12</v>
      </c>
      <c r="R54" s="329">
        <f t="shared" si="58"/>
        <v>0.8571428571428571</v>
      </c>
      <c r="S54" s="225">
        <v>12</v>
      </c>
      <c r="T54" s="226"/>
      <c r="U54" s="226"/>
      <c r="V54" s="226"/>
      <c r="W54" s="330">
        <f t="shared" si="59"/>
        <v>0</v>
      </c>
      <c r="X54" s="330">
        <f t="shared" si="60"/>
        <v>12</v>
      </c>
      <c r="Y54" s="331">
        <f t="shared" si="61"/>
        <v>1</v>
      </c>
      <c r="Z54" s="228">
        <v>21</v>
      </c>
      <c r="AA54" s="255"/>
      <c r="AB54" s="256"/>
      <c r="AC54" s="256"/>
      <c r="AD54" s="280">
        <f t="shared" si="62"/>
        <v>0</v>
      </c>
      <c r="AE54" s="280">
        <f t="shared" si="63"/>
        <v>21</v>
      </c>
      <c r="AF54" s="281">
        <f t="shared" si="64"/>
        <v>1</v>
      </c>
      <c r="AG54" s="229">
        <v>18</v>
      </c>
      <c r="AH54" s="257"/>
      <c r="AI54" s="258"/>
      <c r="AJ54" s="258"/>
      <c r="AK54" s="305">
        <f t="shared" si="65"/>
        <v>0</v>
      </c>
      <c r="AL54" s="305">
        <f t="shared" si="66"/>
        <v>18</v>
      </c>
      <c r="AM54" s="306">
        <f t="shared" si="67"/>
        <v>1</v>
      </c>
      <c r="AN54" s="230">
        <v>14</v>
      </c>
      <c r="AO54" s="259"/>
      <c r="AP54" s="260"/>
      <c r="AQ54" s="260"/>
      <c r="AR54" s="307">
        <f t="shared" si="68"/>
        <v>0</v>
      </c>
      <c r="AS54" s="307">
        <f t="shared" si="69"/>
        <v>14</v>
      </c>
      <c r="AT54" s="308">
        <f t="shared" si="70"/>
        <v>1</v>
      </c>
      <c r="AU54" s="289">
        <f t="shared" si="71"/>
        <v>0</v>
      </c>
      <c r="AV54" s="289">
        <f t="shared" si="72"/>
        <v>1</v>
      </c>
      <c r="AW54" s="289">
        <f t="shared" si="73"/>
        <v>2</v>
      </c>
      <c r="AX54" s="290">
        <v>98</v>
      </c>
      <c r="AY54" s="289">
        <f t="shared" si="74"/>
        <v>95</v>
      </c>
      <c r="AZ54" s="291">
        <f t="shared" si="75"/>
        <v>0.96938775510204078</v>
      </c>
      <c r="BA54" s="344">
        <v>2</v>
      </c>
      <c r="BB54" s="379">
        <v>100</v>
      </c>
      <c r="BC54" s="379">
        <f t="shared" si="50"/>
        <v>4</v>
      </c>
      <c r="BD54" s="378">
        <f t="shared" si="51"/>
        <v>4</v>
      </c>
      <c r="BE54" s="381"/>
      <c r="BF54" s="378">
        <f t="shared" si="52"/>
        <v>92</v>
      </c>
    </row>
    <row r="55" spans="1:58" x14ac:dyDescent="0.35">
      <c r="A55" s="193" t="s">
        <v>39</v>
      </c>
      <c r="B55" s="35">
        <v>252610040</v>
      </c>
      <c r="C55" s="351" t="s">
        <v>1120</v>
      </c>
      <c r="D55" s="194" t="s">
        <v>6</v>
      </c>
      <c r="E55" s="215">
        <v>19</v>
      </c>
      <c r="F55" s="219"/>
      <c r="G55" s="350"/>
      <c r="H55" s="350"/>
      <c r="I55" s="326">
        <f t="shared" si="53"/>
        <v>0</v>
      </c>
      <c r="J55" s="326">
        <f t="shared" si="54"/>
        <v>19</v>
      </c>
      <c r="K55" s="327">
        <f t="shared" si="55"/>
        <v>1</v>
      </c>
      <c r="L55" s="221">
        <v>14</v>
      </c>
      <c r="M55" s="222"/>
      <c r="N55" s="223">
        <v>2</v>
      </c>
      <c r="O55" s="223"/>
      <c r="P55" s="328">
        <f t="shared" si="56"/>
        <v>2</v>
      </c>
      <c r="Q55" s="328">
        <f t="shared" si="57"/>
        <v>12</v>
      </c>
      <c r="R55" s="329">
        <f t="shared" si="58"/>
        <v>0.8571428571428571</v>
      </c>
      <c r="S55" s="225">
        <v>12</v>
      </c>
      <c r="T55" s="226"/>
      <c r="U55" s="226"/>
      <c r="V55" s="226"/>
      <c r="W55" s="330">
        <f t="shared" si="59"/>
        <v>0</v>
      </c>
      <c r="X55" s="330">
        <f t="shared" si="60"/>
        <v>12</v>
      </c>
      <c r="Y55" s="331">
        <f t="shared" si="61"/>
        <v>1</v>
      </c>
      <c r="Z55" s="228">
        <v>21</v>
      </c>
      <c r="AA55" s="255"/>
      <c r="AB55" s="256"/>
      <c r="AC55" s="256"/>
      <c r="AD55" s="280">
        <f t="shared" si="62"/>
        <v>0</v>
      </c>
      <c r="AE55" s="280">
        <f t="shared" si="63"/>
        <v>21</v>
      </c>
      <c r="AF55" s="281">
        <f t="shared" si="64"/>
        <v>1</v>
      </c>
      <c r="AG55" s="229">
        <v>18</v>
      </c>
      <c r="AH55" s="257"/>
      <c r="AI55" s="258"/>
      <c r="AJ55" s="258"/>
      <c r="AK55" s="305">
        <f t="shared" si="65"/>
        <v>0</v>
      </c>
      <c r="AL55" s="305">
        <f t="shared" si="66"/>
        <v>18</v>
      </c>
      <c r="AM55" s="306">
        <f t="shared" si="67"/>
        <v>1</v>
      </c>
      <c r="AN55" s="230">
        <v>14</v>
      </c>
      <c r="AO55" s="259"/>
      <c r="AP55" s="260"/>
      <c r="AQ55" s="260"/>
      <c r="AR55" s="307">
        <f t="shared" si="68"/>
        <v>0</v>
      </c>
      <c r="AS55" s="307">
        <f t="shared" si="69"/>
        <v>14</v>
      </c>
      <c r="AT55" s="308">
        <f t="shared" si="70"/>
        <v>1</v>
      </c>
      <c r="AU55" s="289">
        <f t="shared" si="71"/>
        <v>0</v>
      </c>
      <c r="AV55" s="289">
        <f t="shared" si="72"/>
        <v>2</v>
      </c>
      <c r="AW55" s="289">
        <f t="shared" si="73"/>
        <v>0</v>
      </c>
      <c r="AX55" s="290">
        <v>98</v>
      </c>
      <c r="AY55" s="289">
        <f t="shared" si="74"/>
        <v>96</v>
      </c>
      <c r="AZ55" s="291">
        <f t="shared" si="75"/>
        <v>0.97959183673469385</v>
      </c>
      <c r="BA55" s="344"/>
      <c r="BB55" s="379">
        <v>100</v>
      </c>
      <c r="BC55" s="379">
        <f t="shared" si="50"/>
        <v>0</v>
      </c>
      <c r="BD55" s="378">
        <f t="shared" si="51"/>
        <v>0</v>
      </c>
      <c r="BE55" s="381"/>
      <c r="BF55" s="378">
        <f t="shared" si="52"/>
        <v>100</v>
      </c>
    </row>
    <row r="56" spans="1:58" x14ac:dyDescent="0.35">
      <c r="A56" s="193" t="s">
        <v>40</v>
      </c>
      <c r="B56" s="35">
        <v>252610045</v>
      </c>
      <c r="C56" s="345" t="s">
        <v>1121</v>
      </c>
      <c r="D56" s="194" t="s">
        <v>6</v>
      </c>
      <c r="E56" s="215">
        <v>19</v>
      </c>
      <c r="F56" s="219"/>
      <c r="G56" s="350"/>
      <c r="H56" s="350"/>
      <c r="I56" s="326">
        <f t="shared" si="53"/>
        <v>0</v>
      </c>
      <c r="J56" s="326">
        <f t="shared" si="54"/>
        <v>19</v>
      </c>
      <c r="K56" s="327">
        <f t="shared" si="55"/>
        <v>1</v>
      </c>
      <c r="L56" s="221">
        <v>14</v>
      </c>
      <c r="M56" s="222"/>
      <c r="N56" s="223"/>
      <c r="O56" s="223"/>
      <c r="P56" s="328">
        <f t="shared" si="56"/>
        <v>0</v>
      </c>
      <c r="Q56" s="328">
        <f t="shared" si="57"/>
        <v>14</v>
      </c>
      <c r="R56" s="329">
        <f t="shared" si="58"/>
        <v>1</v>
      </c>
      <c r="S56" s="225">
        <v>12</v>
      </c>
      <c r="T56" s="226"/>
      <c r="U56" s="226"/>
      <c r="V56" s="226"/>
      <c r="W56" s="330">
        <f t="shared" si="59"/>
        <v>0</v>
      </c>
      <c r="X56" s="330">
        <f t="shared" si="60"/>
        <v>12</v>
      </c>
      <c r="Y56" s="331">
        <f t="shared" si="61"/>
        <v>1</v>
      </c>
      <c r="Z56" s="228">
        <v>21</v>
      </c>
      <c r="AA56" s="255"/>
      <c r="AB56" s="256"/>
      <c r="AC56" s="256"/>
      <c r="AD56" s="280">
        <f t="shared" si="62"/>
        <v>0</v>
      </c>
      <c r="AE56" s="280">
        <f t="shared" si="63"/>
        <v>21</v>
      </c>
      <c r="AF56" s="281">
        <f t="shared" si="64"/>
        <v>1</v>
      </c>
      <c r="AG56" s="229">
        <v>18</v>
      </c>
      <c r="AH56" s="257"/>
      <c r="AI56" s="258"/>
      <c r="AJ56" s="258"/>
      <c r="AK56" s="305">
        <f t="shared" si="65"/>
        <v>0</v>
      </c>
      <c r="AL56" s="305">
        <f t="shared" si="66"/>
        <v>18</v>
      </c>
      <c r="AM56" s="306">
        <f t="shared" si="67"/>
        <v>1</v>
      </c>
      <c r="AN56" s="230">
        <v>14</v>
      </c>
      <c r="AO56" s="259"/>
      <c r="AP56" s="260"/>
      <c r="AQ56" s="260"/>
      <c r="AR56" s="307">
        <f t="shared" si="68"/>
        <v>0</v>
      </c>
      <c r="AS56" s="307">
        <f t="shared" si="69"/>
        <v>14</v>
      </c>
      <c r="AT56" s="308">
        <f t="shared" si="70"/>
        <v>1</v>
      </c>
      <c r="AU56" s="289">
        <f t="shared" si="71"/>
        <v>0</v>
      </c>
      <c r="AV56" s="289">
        <f t="shared" si="72"/>
        <v>0</v>
      </c>
      <c r="AW56" s="289">
        <f t="shared" si="73"/>
        <v>0</v>
      </c>
      <c r="AX56" s="290">
        <v>98</v>
      </c>
      <c r="AY56" s="289">
        <f t="shared" si="74"/>
        <v>98</v>
      </c>
      <c r="AZ56" s="291">
        <f t="shared" si="75"/>
        <v>1</v>
      </c>
      <c r="BA56" s="344"/>
      <c r="BB56" s="379">
        <v>100</v>
      </c>
      <c r="BC56" s="379">
        <f t="shared" si="50"/>
        <v>0</v>
      </c>
      <c r="BD56" s="378">
        <f t="shared" si="51"/>
        <v>0</v>
      </c>
      <c r="BE56" s="381"/>
      <c r="BF56" s="378">
        <f t="shared" si="52"/>
        <v>100</v>
      </c>
    </row>
    <row r="57" spans="1:58" x14ac:dyDescent="0.35">
      <c r="A57" s="193" t="s">
        <v>41</v>
      </c>
      <c r="B57" s="35">
        <v>252610041</v>
      </c>
      <c r="C57" s="34" t="s">
        <v>1122</v>
      </c>
      <c r="D57" s="194" t="s">
        <v>6</v>
      </c>
      <c r="E57" s="215">
        <v>19</v>
      </c>
      <c r="F57" s="219"/>
      <c r="G57" s="350">
        <v>1</v>
      </c>
      <c r="H57" s="350"/>
      <c r="I57" s="326">
        <f t="shared" si="53"/>
        <v>1</v>
      </c>
      <c r="J57" s="326">
        <f t="shared" si="54"/>
        <v>18</v>
      </c>
      <c r="K57" s="327">
        <f t="shared" si="55"/>
        <v>0.94736842105263153</v>
      </c>
      <c r="L57" s="221">
        <v>14</v>
      </c>
      <c r="M57" s="222"/>
      <c r="N57" s="223"/>
      <c r="O57" s="223"/>
      <c r="P57" s="328">
        <f t="shared" si="56"/>
        <v>0</v>
      </c>
      <c r="Q57" s="328">
        <f t="shared" si="57"/>
        <v>14</v>
      </c>
      <c r="R57" s="329">
        <f t="shared" si="58"/>
        <v>1</v>
      </c>
      <c r="S57" s="225">
        <v>12</v>
      </c>
      <c r="T57" s="226"/>
      <c r="U57" s="226"/>
      <c r="V57" s="226"/>
      <c r="W57" s="330">
        <f t="shared" si="59"/>
        <v>0</v>
      </c>
      <c r="X57" s="330">
        <f t="shared" si="60"/>
        <v>12</v>
      </c>
      <c r="Y57" s="331">
        <f t="shared" si="61"/>
        <v>1</v>
      </c>
      <c r="Z57" s="228">
        <v>21</v>
      </c>
      <c r="AA57" s="255"/>
      <c r="AB57" s="256"/>
      <c r="AC57" s="256"/>
      <c r="AD57" s="280">
        <f t="shared" si="62"/>
        <v>0</v>
      </c>
      <c r="AE57" s="280">
        <f t="shared" si="63"/>
        <v>21</v>
      </c>
      <c r="AF57" s="281">
        <f t="shared" si="64"/>
        <v>1</v>
      </c>
      <c r="AG57" s="229">
        <v>18</v>
      </c>
      <c r="AH57" s="257"/>
      <c r="AI57" s="258"/>
      <c r="AJ57" s="258"/>
      <c r="AK57" s="305">
        <f t="shared" si="65"/>
        <v>0</v>
      </c>
      <c r="AL57" s="305">
        <f t="shared" si="66"/>
        <v>18</v>
      </c>
      <c r="AM57" s="306">
        <f t="shared" si="67"/>
        <v>1</v>
      </c>
      <c r="AN57" s="230">
        <v>14</v>
      </c>
      <c r="AO57" s="259"/>
      <c r="AP57" s="260"/>
      <c r="AQ57" s="260"/>
      <c r="AR57" s="307">
        <f t="shared" si="68"/>
        <v>0</v>
      </c>
      <c r="AS57" s="307">
        <f t="shared" si="69"/>
        <v>14</v>
      </c>
      <c r="AT57" s="308">
        <f t="shared" si="70"/>
        <v>1</v>
      </c>
      <c r="AU57" s="289">
        <f t="shared" si="71"/>
        <v>0</v>
      </c>
      <c r="AV57" s="289">
        <f t="shared" si="72"/>
        <v>1</v>
      </c>
      <c r="AW57" s="289">
        <f t="shared" si="73"/>
        <v>0</v>
      </c>
      <c r="AX57" s="290">
        <v>98</v>
      </c>
      <c r="AY57" s="289">
        <f t="shared" si="74"/>
        <v>97</v>
      </c>
      <c r="AZ57" s="291">
        <f t="shared" si="75"/>
        <v>0.98979591836734693</v>
      </c>
      <c r="BA57" s="344"/>
      <c r="BB57" s="379">
        <v>100</v>
      </c>
      <c r="BC57" s="379">
        <f t="shared" si="50"/>
        <v>0</v>
      </c>
      <c r="BD57" s="378">
        <f t="shared" si="51"/>
        <v>0</v>
      </c>
      <c r="BE57" s="381"/>
      <c r="BF57" s="378">
        <f t="shared" si="52"/>
        <v>100</v>
      </c>
    </row>
    <row r="58" spans="1:58" x14ac:dyDescent="0.35">
      <c r="A58" s="193" t="s">
        <v>42</v>
      </c>
      <c r="B58" s="33">
        <v>252610042</v>
      </c>
      <c r="C58" s="47" t="s">
        <v>1123</v>
      </c>
      <c r="D58" s="194" t="s">
        <v>6</v>
      </c>
      <c r="E58" s="215">
        <v>19</v>
      </c>
      <c r="F58" s="219"/>
      <c r="G58" s="350"/>
      <c r="H58" s="350"/>
      <c r="I58" s="326">
        <f t="shared" si="53"/>
        <v>0</v>
      </c>
      <c r="J58" s="326">
        <f t="shared" si="54"/>
        <v>19</v>
      </c>
      <c r="K58" s="327">
        <f t="shared" si="55"/>
        <v>1</v>
      </c>
      <c r="L58" s="221">
        <v>14</v>
      </c>
      <c r="M58" s="222"/>
      <c r="N58" s="223"/>
      <c r="O58" s="223"/>
      <c r="P58" s="328">
        <f t="shared" si="56"/>
        <v>0</v>
      </c>
      <c r="Q58" s="328">
        <f t="shared" si="57"/>
        <v>14</v>
      </c>
      <c r="R58" s="329">
        <f t="shared" si="58"/>
        <v>1</v>
      </c>
      <c r="S58" s="225">
        <v>12</v>
      </c>
      <c r="T58" s="226"/>
      <c r="U58" s="226"/>
      <c r="V58" s="226"/>
      <c r="W58" s="330">
        <f t="shared" si="59"/>
        <v>0</v>
      </c>
      <c r="X58" s="330">
        <f t="shared" si="60"/>
        <v>12</v>
      </c>
      <c r="Y58" s="331">
        <f t="shared" si="61"/>
        <v>1</v>
      </c>
      <c r="Z58" s="228">
        <v>21</v>
      </c>
      <c r="AA58" s="255"/>
      <c r="AB58" s="256"/>
      <c r="AC58" s="256"/>
      <c r="AD58" s="280">
        <f t="shared" si="62"/>
        <v>0</v>
      </c>
      <c r="AE58" s="280">
        <f t="shared" si="63"/>
        <v>21</v>
      </c>
      <c r="AF58" s="281">
        <f t="shared" si="64"/>
        <v>1</v>
      </c>
      <c r="AG58" s="229">
        <v>18</v>
      </c>
      <c r="AH58" s="257"/>
      <c r="AI58" s="258"/>
      <c r="AJ58" s="258"/>
      <c r="AK58" s="305">
        <f t="shared" si="65"/>
        <v>0</v>
      </c>
      <c r="AL58" s="305">
        <f t="shared" si="66"/>
        <v>18</v>
      </c>
      <c r="AM58" s="306">
        <f t="shared" si="67"/>
        <v>1</v>
      </c>
      <c r="AN58" s="230">
        <v>14</v>
      </c>
      <c r="AO58" s="259"/>
      <c r="AP58" s="260"/>
      <c r="AQ58" s="260"/>
      <c r="AR58" s="307">
        <f t="shared" si="68"/>
        <v>0</v>
      </c>
      <c r="AS58" s="307">
        <f t="shared" si="69"/>
        <v>14</v>
      </c>
      <c r="AT58" s="308">
        <f t="shared" si="70"/>
        <v>1</v>
      </c>
      <c r="AU58" s="289">
        <f t="shared" si="71"/>
        <v>0</v>
      </c>
      <c r="AV58" s="289">
        <f t="shared" si="72"/>
        <v>0</v>
      </c>
      <c r="AW58" s="289">
        <f t="shared" si="73"/>
        <v>0</v>
      </c>
      <c r="AX58" s="290">
        <v>98</v>
      </c>
      <c r="AY58" s="289">
        <f t="shared" si="74"/>
        <v>98</v>
      </c>
      <c r="AZ58" s="291">
        <f t="shared" si="75"/>
        <v>1</v>
      </c>
      <c r="BA58" s="344">
        <v>1</v>
      </c>
      <c r="BB58" s="379">
        <v>96</v>
      </c>
      <c r="BC58" s="379">
        <f t="shared" si="50"/>
        <v>2</v>
      </c>
      <c r="BD58" s="378">
        <f t="shared" si="51"/>
        <v>0</v>
      </c>
      <c r="BE58" s="381"/>
      <c r="BF58" s="378">
        <f t="shared" si="52"/>
        <v>94</v>
      </c>
    </row>
    <row r="59" spans="1:58" x14ac:dyDescent="0.35">
      <c r="A59" s="193" t="s">
        <v>43</v>
      </c>
      <c r="B59" s="35">
        <v>242510126</v>
      </c>
      <c r="C59" s="36" t="s">
        <v>1124</v>
      </c>
      <c r="D59" s="194" t="s">
        <v>6</v>
      </c>
      <c r="E59" s="215">
        <v>19</v>
      </c>
      <c r="F59" s="219">
        <v>1</v>
      </c>
      <c r="G59" s="350">
        <v>1</v>
      </c>
      <c r="H59" s="350"/>
      <c r="I59" s="326">
        <f t="shared" si="53"/>
        <v>2</v>
      </c>
      <c r="J59" s="326">
        <f t="shared" si="54"/>
        <v>17</v>
      </c>
      <c r="K59" s="327">
        <f t="shared" si="55"/>
        <v>0.89473684210526316</v>
      </c>
      <c r="L59" s="221">
        <v>14</v>
      </c>
      <c r="M59" s="222"/>
      <c r="N59" s="223">
        <v>2</v>
      </c>
      <c r="O59" s="223"/>
      <c r="P59" s="328">
        <f t="shared" si="56"/>
        <v>2</v>
      </c>
      <c r="Q59" s="328">
        <f t="shared" si="57"/>
        <v>12</v>
      </c>
      <c r="R59" s="329">
        <f t="shared" si="58"/>
        <v>0.8571428571428571</v>
      </c>
      <c r="S59" s="225">
        <v>12</v>
      </c>
      <c r="T59" s="226"/>
      <c r="U59" s="226"/>
      <c r="V59" s="226"/>
      <c r="W59" s="330">
        <f t="shared" si="59"/>
        <v>0</v>
      </c>
      <c r="X59" s="330">
        <f t="shared" si="60"/>
        <v>12</v>
      </c>
      <c r="Y59" s="331">
        <f t="shared" si="61"/>
        <v>1</v>
      </c>
      <c r="Z59" s="228">
        <v>21</v>
      </c>
      <c r="AA59" s="255"/>
      <c r="AB59" s="256"/>
      <c r="AC59" s="256"/>
      <c r="AD59" s="280">
        <f t="shared" si="62"/>
        <v>0</v>
      </c>
      <c r="AE59" s="280">
        <f t="shared" si="63"/>
        <v>21</v>
      </c>
      <c r="AF59" s="281">
        <f t="shared" si="64"/>
        <v>1</v>
      </c>
      <c r="AG59" s="229">
        <v>18</v>
      </c>
      <c r="AH59" s="257"/>
      <c r="AI59" s="258"/>
      <c r="AJ59" s="258"/>
      <c r="AK59" s="305">
        <f t="shared" si="65"/>
        <v>0</v>
      </c>
      <c r="AL59" s="305">
        <f t="shared" si="66"/>
        <v>18</v>
      </c>
      <c r="AM59" s="306">
        <f t="shared" si="67"/>
        <v>1</v>
      </c>
      <c r="AN59" s="230">
        <v>14</v>
      </c>
      <c r="AO59" s="259"/>
      <c r="AP59" s="260"/>
      <c r="AQ59" s="260"/>
      <c r="AR59" s="307">
        <f t="shared" si="68"/>
        <v>0</v>
      </c>
      <c r="AS59" s="307">
        <f t="shared" si="69"/>
        <v>14</v>
      </c>
      <c r="AT59" s="308">
        <f t="shared" si="70"/>
        <v>1</v>
      </c>
      <c r="AU59" s="289">
        <f t="shared" si="71"/>
        <v>1</v>
      </c>
      <c r="AV59" s="289">
        <f t="shared" si="72"/>
        <v>3</v>
      </c>
      <c r="AW59" s="289">
        <f t="shared" si="73"/>
        <v>0</v>
      </c>
      <c r="AX59" s="290">
        <v>98</v>
      </c>
      <c r="AY59" s="289">
        <f t="shared" si="74"/>
        <v>94</v>
      </c>
      <c r="AZ59" s="291">
        <f t="shared" si="75"/>
        <v>0.95918367346938771</v>
      </c>
      <c r="BA59" s="344">
        <v>1</v>
      </c>
      <c r="BB59" s="379">
        <v>86</v>
      </c>
      <c r="BC59" s="379">
        <f t="shared" si="50"/>
        <v>2</v>
      </c>
      <c r="BD59" s="378">
        <f t="shared" si="51"/>
        <v>0</v>
      </c>
      <c r="BE59" s="381"/>
      <c r="BF59" s="378">
        <f t="shared" si="52"/>
        <v>84</v>
      </c>
    </row>
    <row r="60" spans="1:58" x14ac:dyDescent="0.35">
      <c r="A60" s="193" t="s">
        <v>44</v>
      </c>
      <c r="B60" s="35">
        <v>252610043</v>
      </c>
      <c r="C60" s="36" t="s">
        <v>1125</v>
      </c>
      <c r="D60" s="194" t="s">
        <v>6</v>
      </c>
      <c r="E60" s="215">
        <v>19</v>
      </c>
      <c r="F60" s="219"/>
      <c r="G60" s="350"/>
      <c r="H60" s="350"/>
      <c r="I60" s="326">
        <f t="shared" si="53"/>
        <v>0</v>
      </c>
      <c r="J60" s="326">
        <f t="shared" si="54"/>
        <v>19</v>
      </c>
      <c r="K60" s="327">
        <f t="shared" si="55"/>
        <v>1</v>
      </c>
      <c r="L60" s="221">
        <v>14</v>
      </c>
      <c r="M60" s="222"/>
      <c r="N60" s="223"/>
      <c r="O60" s="223"/>
      <c r="P60" s="328">
        <f t="shared" si="56"/>
        <v>0</v>
      </c>
      <c r="Q60" s="328">
        <f t="shared" si="57"/>
        <v>14</v>
      </c>
      <c r="R60" s="329">
        <f t="shared" si="58"/>
        <v>1</v>
      </c>
      <c r="S60" s="225">
        <v>12</v>
      </c>
      <c r="T60" s="226"/>
      <c r="U60" s="226"/>
      <c r="V60" s="226"/>
      <c r="W60" s="330">
        <f t="shared" si="59"/>
        <v>0</v>
      </c>
      <c r="X60" s="330">
        <f t="shared" si="60"/>
        <v>12</v>
      </c>
      <c r="Y60" s="331">
        <f t="shared" si="61"/>
        <v>1</v>
      </c>
      <c r="Z60" s="228">
        <v>21</v>
      </c>
      <c r="AA60" s="255"/>
      <c r="AB60" s="256"/>
      <c r="AC60" s="256"/>
      <c r="AD60" s="280">
        <f t="shared" si="62"/>
        <v>0</v>
      </c>
      <c r="AE60" s="280">
        <f t="shared" si="63"/>
        <v>21</v>
      </c>
      <c r="AF60" s="281">
        <f t="shared" si="64"/>
        <v>1</v>
      </c>
      <c r="AG60" s="229">
        <v>18</v>
      </c>
      <c r="AH60" s="257"/>
      <c r="AI60" s="258"/>
      <c r="AJ60" s="258"/>
      <c r="AK60" s="305">
        <f t="shared" si="65"/>
        <v>0</v>
      </c>
      <c r="AL60" s="305">
        <f t="shared" si="66"/>
        <v>18</v>
      </c>
      <c r="AM60" s="306">
        <f t="shared" si="67"/>
        <v>1</v>
      </c>
      <c r="AN60" s="230">
        <v>14</v>
      </c>
      <c r="AO60" s="259"/>
      <c r="AP60" s="260"/>
      <c r="AQ60" s="260"/>
      <c r="AR60" s="307">
        <f t="shared" si="68"/>
        <v>0</v>
      </c>
      <c r="AS60" s="307">
        <f t="shared" si="69"/>
        <v>14</v>
      </c>
      <c r="AT60" s="308">
        <f t="shared" si="70"/>
        <v>1</v>
      </c>
      <c r="AU60" s="289">
        <f t="shared" si="71"/>
        <v>0</v>
      </c>
      <c r="AV60" s="289">
        <f t="shared" si="72"/>
        <v>0</v>
      </c>
      <c r="AW60" s="289">
        <f t="shared" si="73"/>
        <v>0</v>
      </c>
      <c r="AX60" s="290">
        <v>98</v>
      </c>
      <c r="AY60" s="289">
        <f t="shared" si="74"/>
        <v>98</v>
      </c>
      <c r="AZ60" s="291">
        <f t="shared" si="75"/>
        <v>1</v>
      </c>
      <c r="BA60" s="344"/>
      <c r="BB60" s="379">
        <v>100</v>
      </c>
      <c r="BC60" s="379">
        <f t="shared" si="50"/>
        <v>0</v>
      </c>
      <c r="BD60" s="378">
        <f t="shared" si="51"/>
        <v>0</v>
      </c>
      <c r="BE60" s="381"/>
      <c r="BF60" s="378">
        <f t="shared" si="52"/>
        <v>100</v>
      </c>
    </row>
    <row r="61" spans="1:58" x14ac:dyDescent="0.35">
      <c r="A61" s="193" t="s">
        <v>45</v>
      </c>
      <c r="B61" s="35">
        <v>252610044</v>
      </c>
      <c r="C61" s="72" t="s">
        <v>1126</v>
      </c>
      <c r="D61" s="194" t="s">
        <v>6</v>
      </c>
      <c r="E61" s="215">
        <v>19</v>
      </c>
      <c r="F61" s="219"/>
      <c r="G61" s="350"/>
      <c r="H61" s="350"/>
      <c r="I61" s="326">
        <f t="shared" si="53"/>
        <v>0</v>
      </c>
      <c r="J61" s="326">
        <f t="shared" si="54"/>
        <v>19</v>
      </c>
      <c r="K61" s="327">
        <f t="shared" si="55"/>
        <v>1</v>
      </c>
      <c r="L61" s="221">
        <v>14</v>
      </c>
      <c r="M61" s="222"/>
      <c r="N61" s="223"/>
      <c r="O61" s="223"/>
      <c r="P61" s="328">
        <f t="shared" si="56"/>
        <v>0</v>
      </c>
      <c r="Q61" s="328">
        <f t="shared" si="57"/>
        <v>14</v>
      </c>
      <c r="R61" s="329">
        <f t="shared" si="58"/>
        <v>1</v>
      </c>
      <c r="S61" s="225">
        <v>12</v>
      </c>
      <c r="T61" s="226"/>
      <c r="U61" s="226"/>
      <c r="V61" s="226"/>
      <c r="W61" s="330">
        <f t="shared" si="59"/>
        <v>0</v>
      </c>
      <c r="X61" s="330">
        <f t="shared" si="60"/>
        <v>12</v>
      </c>
      <c r="Y61" s="331">
        <f t="shared" si="61"/>
        <v>1</v>
      </c>
      <c r="Z61" s="228">
        <v>21</v>
      </c>
      <c r="AA61" s="255"/>
      <c r="AB61" s="256"/>
      <c r="AC61" s="256"/>
      <c r="AD61" s="280">
        <f t="shared" si="62"/>
        <v>0</v>
      </c>
      <c r="AE61" s="280">
        <f t="shared" si="63"/>
        <v>21</v>
      </c>
      <c r="AF61" s="281">
        <f t="shared" si="64"/>
        <v>1</v>
      </c>
      <c r="AG61" s="229">
        <v>18</v>
      </c>
      <c r="AH61" s="257"/>
      <c r="AI61" s="258"/>
      <c r="AJ61" s="258"/>
      <c r="AK61" s="305">
        <f t="shared" si="65"/>
        <v>0</v>
      </c>
      <c r="AL61" s="305">
        <f t="shared" si="66"/>
        <v>18</v>
      </c>
      <c r="AM61" s="306">
        <f t="shared" si="67"/>
        <v>1</v>
      </c>
      <c r="AN61" s="230">
        <v>14</v>
      </c>
      <c r="AO61" s="259"/>
      <c r="AP61" s="260"/>
      <c r="AQ61" s="260"/>
      <c r="AR61" s="307">
        <f t="shared" si="68"/>
        <v>0</v>
      </c>
      <c r="AS61" s="307">
        <f t="shared" si="69"/>
        <v>14</v>
      </c>
      <c r="AT61" s="308">
        <f t="shared" si="70"/>
        <v>1</v>
      </c>
      <c r="AU61" s="289">
        <f t="shared" si="71"/>
        <v>0</v>
      </c>
      <c r="AV61" s="289">
        <f t="shared" si="72"/>
        <v>0</v>
      </c>
      <c r="AW61" s="289">
        <f t="shared" si="73"/>
        <v>0</v>
      </c>
      <c r="AX61" s="290">
        <v>98</v>
      </c>
      <c r="AY61" s="289">
        <f t="shared" si="74"/>
        <v>98</v>
      </c>
      <c r="AZ61" s="291">
        <f t="shared" si="75"/>
        <v>1</v>
      </c>
      <c r="BA61" s="344">
        <v>1</v>
      </c>
      <c r="BB61" s="379">
        <v>100</v>
      </c>
      <c r="BC61" s="379">
        <f t="shared" si="50"/>
        <v>2</v>
      </c>
      <c r="BD61" s="378">
        <f t="shared" si="51"/>
        <v>0</v>
      </c>
      <c r="BE61" s="381"/>
      <c r="BF61" s="378">
        <f t="shared" si="52"/>
        <v>98</v>
      </c>
    </row>
    <row r="62" spans="1:58" x14ac:dyDescent="0.35">
      <c r="A62" s="193" t="s">
        <v>46</v>
      </c>
      <c r="B62" s="35">
        <v>252610046</v>
      </c>
      <c r="C62" s="36" t="s">
        <v>1127</v>
      </c>
      <c r="D62" s="194" t="s">
        <v>6</v>
      </c>
      <c r="E62" s="215">
        <v>19</v>
      </c>
      <c r="F62" s="219">
        <v>1</v>
      </c>
      <c r="G62" s="350">
        <v>1</v>
      </c>
      <c r="H62" s="350"/>
      <c r="I62" s="326">
        <f t="shared" si="53"/>
        <v>2</v>
      </c>
      <c r="J62" s="326">
        <f t="shared" si="54"/>
        <v>17</v>
      </c>
      <c r="K62" s="327">
        <f t="shared" si="55"/>
        <v>0.89473684210526316</v>
      </c>
      <c r="L62" s="221">
        <v>14</v>
      </c>
      <c r="M62" s="222"/>
      <c r="N62" s="223"/>
      <c r="O62" s="223"/>
      <c r="P62" s="328">
        <f t="shared" si="56"/>
        <v>0</v>
      </c>
      <c r="Q62" s="328">
        <f t="shared" si="57"/>
        <v>14</v>
      </c>
      <c r="R62" s="329">
        <f t="shared" si="58"/>
        <v>1</v>
      </c>
      <c r="S62" s="225">
        <v>12</v>
      </c>
      <c r="T62" s="226"/>
      <c r="U62" s="226"/>
      <c r="V62" s="226"/>
      <c r="W62" s="330">
        <f t="shared" si="59"/>
        <v>0</v>
      </c>
      <c r="X62" s="330">
        <f t="shared" si="60"/>
        <v>12</v>
      </c>
      <c r="Y62" s="331">
        <f t="shared" si="61"/>
        <v>1</v>
      </c>
      <c r="Z62" s="228">
        <v>21</v>
      </c>
      <c r="AA62" s="255"/>
      <c r="AB62" s="256"/>
      <c r="AC62" s="256"/>
      <c r="AD62" s="280">
        <f t="shared" si="62"/>
        <v>0</v>
      </c>
      <c r="AE62" s="280">
        <f t="shared" si="63"/>
        <v>21</v>
      </c>
      <c r="AF62" s="281">
        <f t="shared" si="64"/>
        <v>1</v>
      </c>
      <c r="AG62" s="229">
        <v>18</v>
      </c>
      <c r="AH62" s="257"/>
      <c r="AI62" s="258"/>
      <c r="AJ62" s="258"/>
      <c r="AK62" s="305">
        <f t="shared" si="65"/>
        <v>0</v>
      </c>
      <c r="AL62" s="305">
        <f t="shared" si="66"/>
        <v>18</v>
      </c>
      <c r="AM62" s="306">
        <f t="shared" si="67"/>
        <v>1</v>
      </c>
      <c r="AN62" s="230">
        <v>14</v>
      </c>
      <c r="AO62" s="259"/>
      <c r="AP62" s="260"/>
      <c r="AQ62" s="260"/>
      <c r="AR62" s="307">
        <f t="shared" si="68"/>
        <v>0</v>
      </c>
      <c r="AS62" s="307">
        <f t="shared" si="69"/>
        <v>14</v>
      </c>
      <c r="AT62" s="308">
        <f t="shared" si="70"/>
        <v>1</v>
      </c>
      <c r="AU62" s="289">
        <f t="shared" si="71"/>
        <v>1</v>
      </c>
      <c r="AV62" s="289">
        <f t="shared" si="72"/>
        <v>1</v>
      </c>
      <c r="AW62" s="289">
        <f t="shared" si="73"/>
        <v>0</v>
      </c>
      <c r="AX62" s="290">
        <v>98</v>
      </c>
      <c r="AY62" s="289">
        <f t="shared" si="74"/>
        <v>96</v>
      </c>
      <c r="AZ62" s="291">
        <f t="shared" si="75"/>
        <v>0.97959183673469385</v>
      </c>
      <c r="BA62" s="344"/>
      <c r="BB62" s="379">
        <v>100</v>
      </c>
      <c r="BC62" s="379">
        <f t="shared" si="50"/>
        <v>0</v>
      </c>
      <c r="BD62" s="378">
        <f t="shared" si="51"/>
        <v>0</v>
      </c>
      <c r="BE62" s="381"/>
      <c r="BF62" s="378">
        <f t="shared" si="52"/>
        <v>100</v>
      </c>
    </row>
    <row r="63" spans="1:58" x14ac:dyDescent="0.35">
      <c r="A63" s="193" t="s">
        <v>47</v>
      </c>
      <c r="B63" s="33">
        <v>252610047</v>
      </c>
      <c r="C63" s="36" t="s">
        <v>1128</v>
      </c>
      <c r="D63" s="194" t="s">
        <v>6</v>
      </c>
      <c r="E63" s="215">
        <v>19</v>
      </c>
      <c r="F63" s="219"/>
      <c r="G63" s="350"/>
      <c r="H63" s="350"/>
      <c r="I63" s="326">
        <f t="shared" si="53"/>
        <v>0</v>
      </c>
      <c r="J63" s="326">
        <f t="shared" si="54"/>
        <v>19</v>
      </c>
      <c r="K63" s="327">
        <f t="shared" si="55"/>
        <v>1</v>
      </c>
      <c r="L63" s="221">
        <v>14</v>
      </c>
      <c r="M63" s="222"/>
      <c r="N63" s="223"/>
      <c r="O63" s="223"/>
      <c r="P63" s="328">
        <f t="shared" si="56"/>
        <v>0</v>
      </c>
      <c r="Q63" s="328">
        <f t="shared" si="57"/>
        <v>14</v>
      </c>
      <c r="R63" s="329">
        <f t="shared" si="58"/>
        <v>1</v>
      </c>
      <c r="S63" s="225">
        <v>12</v>
      </c>
      <c r="T63" s="226"/>
      <c r="U63" s="226"/>
      <c r="V63" s="226"/>
      <c r="W63" s="330">
        <f t="shared" si="59"/>
        <v>0</v>
      </c>
      <c r="X63" s="330">
        <f t="shared" si="60"/>
        <v>12</v>
      </c>
      <c r="Y63" s="331">
        <f t="shared" si="61"/>
        <v>1</v>
      </c>
      <c r="Z63" s="228">
        <v>21</v>
      </c>
      <c r="AA63" s="255"/>
      <c r="AB63" s="256"/>
      <c r="AC63" s="256"/>
      <c r="AD63" s="280">
        <f t="shared" si="62"/>
        <v>0</v>
      </c>
      <c r="AE63" s="280">
        <f t="shared" si="63"/>
        <v>21</v>
      </c>
      <c r="AF63" s="281">
        <f t="shared" si="64"/>
        <v>1</v>
      </c>
      <c r="AG63" s="229">
        <v>18</v>
      </c>
      <c r="AH63" s="257"/>
      <c r="AI63" s="258"/>
      <c r="AJ63" s="258"/>
      <c r="AK63" s="305">
        <f t="shared" si="65"/>
        <v>0</v>
      </c>
      <c r="AL63" s="305">
        <f t="shared" si="66"/>
        <v>18</v>
      </c>
      <c r="AM63" s="306">
        <f t="shared" si="67"/>
        <v>1</v>
      </c>
      <c r="AN63" s="230">
        <v>14</v>
      </c>
      <c r="AO63" s="259"/>
      <c r="AP63" s="260"/>
      <c r="AQ63" s="260"/>
      <c r="AR63" s="307">
        <f t="shared" si="68"/>
        <v>0</v>
      </c>
      <c r="AS63" s="307">
        <f t="shared" si="69"/>
        <v>14</v>
      </c>
      <c r="AT63" s="308">
        <f t="shared" si="70"/>
        <v>1</v>
      </c>
      <c r="AU63" s="289">
        <f t="shared" si="71"/>
        <v>0</v>
      </c>
      <c r="AV63" s="289">
        <f t="shared" si="72"/>
        <v>0</v>
      </c>
      <c r="AW63" s="289">
        <f t="shared" si="73"/>
        <v>0</v>
      </c>
      <c r="AX63" s="290">
        <v>98</v>
      </c>
      <c r="AY63" s="289">
        <f t="shared" si="74"/>
        <v>98</v>
      </c>
      <c r="AZ63" s="291">
        <f t="shared" si="75"/>
        <v>1</v>
      </c>
      <c r="BA63" s="344"/>
      <c r="BB63" s="379">
        <v>100</v>
      </c>
      <c r="BC63" s="379">
        <f t="shared" si="50"/>
        <v>0</v>
      </c>
      <c r="BD63" s="378">
        <f t="shared" si="51"/>
        <v>0</v>
      </c>
      <c r="BE63" s="381"/>
      <c r="BF63" s="378">
        <f t="shared" si="52"/>
        <v>100</v>
      </c>
    </row>
    <row r="64" spans="1:58" x14ac:dyDescent="0.35">
      <c r="A64" s="193" t="s">
        <v>48</v>
      </c>
      <c r="B64" s="35">
        <v>252610048</v>
      </c>
      <c r="C64" s="351" t="s">
        <v>1129</v>
      </c>
      <c r="D64" s="194" t="s">
        <v>6</v>
      </c>
      <c r="E64" s="215">
        <v>19</v>
      </c>
      <c r="F64" s="219">
        <v>1</v>
      </c>
      <c r="G64" s="350">
        <v>1</v>
      </c>
      <c r="H64" s="350"/>
      <c r="I64" s="326">
        <f t="shared" si="53"/>
        <v>2</v>
      </c>
      <c r="J64" s="326">
        <f t="shared" si="54"/>
        <v>17</v>
      </c>
      <c r="K64" s="327">
        <f t="shared" si="55"/>
        <v>0.89473684210526316</v>
      </c>
      <c r="L64" s="221">
        <v>14</v>
      </c>
      <c r="M64" s="222"/>
      <c r="N64" s="223"/>
      <c r="O64" s="223"/>
      <c r="P64" s="328">
        <f t="shared" si="56"/>
        <v>0</v>
      </c>
      <c r="Q64" s="328">
        <f t="shared" si="57"/>
        <v>14</v>
      </c>
      <c r="R64" s="329">
        <f t="shared" si="58"/>
        <v>1</v>
      </c>
      <c r="S64" s="225">
        <v>12</v>
      </c>
      <c r="T64" s="226"/>
      <c r="U64" s="226"/>
      <c r="V64" s="226"/>
      <c r="W64" s="330">
        <f t="shared" si="59"/>
        <v>0</v>
      </c>
      <c r="X64" s="330">
        <f t="shared" si="60"/>
        <v>12</v>
      </c>
      <c r="Y64" s="331">
        <f t="shared" si="61"/>
        <v>1</v>
      </c>
      <c r="Z64" s="228">
        <v>21</v>
      </c>
      <c r="AA64" s="255"/>
      <c r="AB64" s="256"/>
      <c r="AC64" s="256"/>
      <c r="AD64" s="280">
        <f t="shared" si="62"/>
        <v>0</v>
      </c>
      <c r="AE64" s="280">
        <f t="shared" si="63"/>
        <v>21</v>
      </c>
      <c r="AF64" s="281">
        <f t="shared" si="64"/>
        <v>1</v>
      </c>
      <c r="AG64" s="229">
        <v>18</v>
      </c>
      <c r="AH64" s="257"/>
      <c r="AI64" s="258"/>
      <c r="AJ64" s="258"/>
      <c r="AK64" s="305">
        <f t="shared" si="65"/>
        <v>0</v>
      </c>
      <c r="AL64" s="305">
        <f t="shared" si="66"/>
        <v>18</v>
      </c>
      <c r="AM64" s="306">
        <f t="shared" si="67"/>
        <v>1</v>
      </c>
      <c r="AN64" s="230">
        <v>14</v>
      </c>
      <c r="AO64" s="259"/>
      <c r="AP64" s="260"/>
      <c r="AQ64" s="260"/>
      <c r="AR64" s="307">
        <f t="shared" si="68"/>
        <v>0</v>
      </c>
      <c r="AS64" s="307">
        <f t="shared" si="69"/>
        <v>14</v>
      </c>
      <c r="AT64" s="308">
        <f t="shared" si="70"/>
        <v>1</v>
      </c>
      <c r="AU64" s="289">
        <f t="shared" si="71"/>
        <v>1</v>
      </c>
      <c r="AV64" s="289">
        <f t="shared" si="72"/>
        <v>1</v>
      </c>
      <c r="AW64" s="289">
        <f t="shared" si="73"/>
        <v>0</v>
      </c>
      <c r="AX64" s="290">
        <v>98</v>
      </c>
      <c r="AY64" s="289">
        <f t="shared" si="74"/>
        <v>96</v>
      </c>
      <c r="AZ64" s="291">
        <f t="shared" si="75"/>
        <v>0.97959183673469385</v>
      </c>
      <c r="BA64" s="344">
        <v>1</v>
      </c>
      <c r="BB64" s="379">
        <v>98</v>
      </c>
      <c r="BC64" s="379">
        <f t="shared" si="50"/>
        <v>2</v>
      </c>
      <c r="BD64" s="378">
        <f t="shared" si="51"/>
        <v>0</v>
      </c>
      <c r="BE64" s="381"/>
      <c r="BF64" s="378">
        <f t="shared" si="52"/>
        <v>96</v>
      </c>
    </row>
    <row r="65" spans="1:58" x14ac:dyDescent="0.35">
      <c r="A65" s="193" t="s">
        <v>49</v>
      </c>
      <c r="B65" s="35">
        <v>252610049</v>
      </c>
      <c r="C65" s="36" t="s">
        <v>1130</v>
      </c>
      <c r="D65" s="194" t="s">
        <v>6</v>
      </c>
      <c r="E65" s="215">
        <v>19</v>
      </c>
      <c r="F65" s="219"/>
      <c r="G65" s="350"/>
      <c r="H65" s="350"/>
      <c r="I65" s="326">
        <f t="shared" si="53"/>
        <v>0</v>
      </c>
      <c r="J65" s="326">
        <f t="shared" si="54"/>
        <v>19</v>
      </c>
      <c r="K65" s="327">
        <f t="shared" si="55"/>
        <v>1</v>
      </c>
      <c r="L65" s="221">
        <v>14</v>
      </c>
      <c r="M65" s="222"/>
      <c r="N65" s="223"/>
      <c r="O65" s="223"/>
      <c r="P65" s="328">
        <f t="shared" si="56"/>
        <v>0</v>
      </c>
      <c r="Q65" s="328">
        <f t="shared" si="57"/>
        <v>14</v>
      </c>
      <c r="R65" s="329">
        <f t="shared" si="58"/>
        <v>1</v>
      </c>
      <c r="S65" s="225">
        <v>12</v>
      </c>
      <c r="T65" s="226"/>
      <c r="U65" s="226"/>
      <c r="V65" s="226"/>
      <c r="W65" s="330">
        <f t="shared" si="59"/>
        <v>0</v>
      </c>
      <c r="X65" s="330">
        <f t="shared" si="60"/>
        <v>12</v>
      </c>
      <c r="Y65" s="331">
        <f t="shared" si="61"/>
        <v>1</v>
      </c>
      <c r="Z65" s="228">
        <v>21</v>
      </c>
      <c r="AA65" s="255"/>
      <c r="AB65" s="256"/>
      <c r="AC65" s="256"/>
      <c r="AD65" s="280">
        <f t="shared" si="62"/>
        <v>0</v>
      </c>
      <c r="AE65" s="280">
        <f t="shared" si="63"/>
        <v>21</v>
      </c>
      <c r="AF65" s="281">
        <f t="shared" si="64"/>
        <v>1</v>
      </c>
      <c r="AG65" s="229">
        <v>18</v>
      </c>
      <c r="AH65" s="257"/>
      <c r="AI65" s="258"/>
      <c r="AJ65" s="258"/>
      <c r="AK65" s="305">
        <f t="shared" si="65"/>
        <v>0</v>
      </c>
      <c r="AL65" s="305">
        <f t="shared" si="66"/>
        <v>18</v>
      </c>
      <c r="AM65" s="306">
        <f t="shared" si="67"/>
        <v>1</v>
      </c>
      <c r="AN65" s="230">
        <v>14</v>
      </c>
      <c r="AO65" s="259"/>
      <c r="AP65" s="260"/>
      <c r="AQ65" s="260"/>
      <c r="AR65" s="307">
        <f t="shared" si="68"/>
        <v>0</v>
      </c>
      <c r="AS65" s="307">
        <f t="shared" si="69"/>
        <v>14</v>
      </c>
      <c r="AT65" s="308">
        <f t="shared" si="70"/>
        <v>1</v>
      </c>
      <c r="AU65" s="289">
        <f t="shared" si="71"/>
        <v>0</v>
      </c>
      <c r="AV65" s="289">
        <f t="shared" si="72"/>
        <v>0</v>
      </c>
      <c r="AW65" s="289">
        <f t="shared" si="73"/>
        <v>0</v>
      </c>
      <c r="AX65" s="290">
        <v>98</v>
      </c>
      <c r="AY65" s="289">
        <f t="shared" si="74"/>
        <v>98</v>
      </c>
      <c r="AZ65" s="291">
        <f t="shared" si="75"/>
        <v>1</v>
      </c>
      <c r="BA65" s="344">
        <v>1</v>
      </c>
      <c r="BB65" s="379">
        <v>100</v>
      </c>
      <c r="BC65" s="379">
        <f t="shared" si="50"/>
        <v>2</v>
      </c>
      <c r="BD65" s="378">
        <f t="shared" si="51"/>
        <v>0</v>
      </c>
      <c r="BE65" s="381"/>
      <c r="BF65" s="378">
        <f t="shared" si="52"/>
        <v>98</v>
      </c>
    </row>
    <row r="66" spans="1:58" x14ac:dyDescent="0.35">
      <c r="A66" s="193" t="s">
        <v>50</v>
      </c>
      <c r="B66" s="35">
        <v>252610050</v>
      </c>
      <c r="C66" s="351" t="s">
        <v>1131</v>
      </c>
      <c r="D66" s="194" t="s">
        <v>6</v>
      </c>
      <c r="E66" s="215">
        <v>19</v>
      </c>
      <c r="F66" s="219"/>
      <c r="G66" s="350">
        <v>2</v>
      </c>
      <c r="H66" s="350">
        <v>4</v>
      </c>
      <c r="I66" s="326">
        <f t="shared" si="53"/>
        <v>6</v>
      </c>
      <c r="J66" s="326">
        <f t="shared" si="54"/>
        <v>13</v>
      </c>
      <c r="K66" s="327">
        <f t="shared" si="55"/>
        <v>0.68421052631578949</v>
      </c>
      <c r="L66" s="221">
        <v>14</v>
      </c>
      <c r="M66" s="222">
        <v>1</v>
      </c>
      <c r="N66" s="223">
        <v>2</v>
      </c>
      <c r="O66" s="223">
        <v>5</v>
      </c>
      <c r="P66" s="328">
        <f t="shared" si="56"/>
        <v>8</v>
      </c>
      <c r="Q66" s="328">
        <f t="shared" si="57"/>
        <v>6</v>
      </c>
      <c r="R66" s="329">
        <f t="shared" si="58"/>
        <v>0.42857142857142855</v>
      </c>
      <c r="S66" s="225">
        <v>12</v>
      </c>
      <c r="T66" s="226"/>
      <c r="U66" s="226"/>
      <c r="V66" s="226"/>
      <c r="W66" s="330">
        <f t="shared" si="59"/>
        <v>0</v>
      </c>
      <c r="X66" s="330">
        <f t="shared" si="60"/>
        <v>12</v>
      </c>
      <c r="Y66" s="331">
        <f t="shared" si="61"/>
        <v>1</v>
      </c>
      <c r="Z66" s="228">
        <v>21</v>
      </c>
      <c r="AA66" s="255"/>
      <c r="AB66" s="256"/>
      <c r="AC66" s="256"/>
      <c r="AD66" s="280">
        <f t="shared" si="62"/>
        <v>0</v>
      </c>
      <c r="AE66" s="280">
        <f t="shared" si="63"/>
        <v>21</v>
      </c>
      <c r="AF66" s="281">
        <f t="shared" si="64"/>
        <v>1</v>
      </c>
      <c r="AG66" s="229">
        <v>18</v>
      </c>
      <c r="AH66" s="257"/>
      <c r="AI66" s="258"/>
      <c r="AJ66" s="258"/>
      <c r="AK66" s="305">
        <f t="shared" si="65"/>
        <v>0</v>
      </c>
      <c r="AL66" s="305">
        <f t="shared" si="66"/>
        <v>18</v>
      </c>
      <c r="AM66" s="306">
        <f t="shared" si="67"/>
        <v>1</v>
      </c>
      <c r="AN66" s="230">
        <v>14</v>
      </c>
      <c r="AO66" s="259"/>
      <c r="AP66" s="260"/>
      <c r="AQ66" s="260"/>
      <c r="AR66" s="307">
        <f t="shared" si="68"/>
        <v>0</v>
      </c>
      <c r="AS66" s="307">
        <f t="shared" si="69"/>
        <v>14</v>
      </c>
      <c r="AT66" s="308">
        <f t="shared" si="70"/>
        <v>1</v>
      </c>
      <c r="AU66" s="289">
        <f t="shared" si="71"/>
        <v>1</v>
      </c>
      <c r="AV66" s="289">
        <f t="shared" si="72"/>
        <v>4</v>
      </c>
      <c r="AW66" s="289">
        <f t="shared" si="73"/>
        <v>9</v>
      </c>
      <c r="AX66" s="290">
        <v>98</v>
      </c>
      <c r="AY66" s="289">
        <f t="shared" si="74"/>
        <v>84</v>
      </c>
      <c r="AZ66" s="291">
        <f t="shared" si="75"/>
        <v>0.8571428571428571</v>
      </c>
      <c r="BA66" s="344"/>
      <c r="BB66" s="379">
        <v>96</v>
      </c>
      <c r="BC66" s="379">
        <f t="shared" si="50"/>
        <v>0</v>
      </c>
      <c r="BD66" s="378">
        <f t="shared" si="51"/>
        <v>18</v>
      </c>
      <c r="BE66" s="381"/>
      <c r="BF66" s="378">
        <f t="shared" si="52"/>
        <v>78</v>
      </c>
    </row>
    <row r="67" spans="1:58" x14ac:dyDescent="0.35">
      <c r="A67" s="193" t="s">
        <v>51</v>
      </c>
      <c r="B67" s="35">
        <v>252610051</v>
      </c>
      <c r="C67" s="351" t="s">
        <v>1132</v>
      </c>
      <c r="D67" s="194" t="s">
        <v>6</v>
      </c>
      <c r="E67" s="215">
        <v>19</v>
      </c>
      <c r="F67" s="219"/>
      <c r="G67" s="350"/>
      <c r="H67" s="350"/>
      <c r="I67" s="326">
        <f t="shared" si="53"/>
        <v>0</v>
      </c>
      <c r="J67" s="326">
        <f t="shared" si="54"/>
        <v>19</v>
      </c>
      <c r="K67" s="327">
        <f t="shared" si="55"/>
        <v>1</v>
      </c>
      <c r="L67" s="221">
        <v>14</v>
      </c>
      <c r="M67" s="222"/>
      <c r="N67" s="223"/>
      <c r="O67" s="223"/>
      <c r="P67" s="328">
        <f t="shared" si="56"/>
        <v>0</v>
      </c>
      <c r="Q67" s="328">
        <f t="shared" si="57"/>
        <v>14</v>
      </c>
      <c r="R67" s="329">
        <f t="shared" si="58"/>
        <v>1</v>
      </c>
      <c r="S67" s="225">
        <v>12</v>
      </c>
      <c r="T67" s="226"/>
      <c r="U67" s="226"/>
      <c r="V67" s="226"/>
      <c r="W67" s="330">
        <f t="shared" si="59"/>
        <v>0</v>
      </c>
      <c r="X67" s="330">
        <f t="shared" si="60"/>
        <v>12</v>
      </c>
      <c r="Y67" s="331">
        <f t="shared" si="61"/>
        <v>1</v>
      </c>
      <c r="Z67" s="228">
        <v>21</v>
      </c>
      <c r="AA67" s="255"/>
      <c r="AB67" s="256"/>
      <c r="AC67" s="256"/>
      <c r="AD67" s="280">
        <f t="shared" si="62"/>
        <v>0</v>
      </c>
      <c r="AE67" s="280">
        <f t="shared" si="63"/>
        <v>21</v>
      </c>
      <c r="AF67" s="281">
        <f t="shared" si="64"/>
        <v>1</v>
      </c>
      <c r="AG67" s="229">
        <v>18</v>
      </c>
      <c r="AH67" s="257"/>
      <c r="AI67" s="258"/>
      <c r="AJ67" s="258"/>
      <c r="AK67" s="305">
        <f t="shared" si="65"/>
        <v>0</v>
      </c>
      <c r="AL67" s="305">
        <f t="shared" si="66"/>
        <v>18</v>
      </c>
      <c r="AM67" s="306">
        <f t="shared" si="67"/>
        <v>1</v>
      </c>
      <c r="AN67" s="230">
        <v>14</v>
      </c>
      <c r="AO67" s="259"/>
      <c r="AP67" s="260"/>
      <c r="AQ67" s="260"/>
      <c r="AR67" s="307">
        <f t="shared" si="68"/>
        <v>0</v>
      </c>
      <c r="AS67" s="307">
        <f t="shared" si="69"/>
        <v>14</v>
      </c>
      <c r="AT67" s="308">
        <f t="shared" si="70"/>
        <v>1</v>
      </c>
      <c r="AU67" s="289">
        <f t="shared" si="71"/>
        <v>0</v>
      </c>
      <c r="AV67" s="289">
        <f t="shared" si="72"/>
        <v>0</v>
      </c>
      <c r="AW67" s="289">
        <f t="shared" si="73"/>
        <v>0</v>
      </c>
      <c r="AX67" s="290">
        <v>98</v>
      </c>
      <c r="AY67" s="289">
        <f t="shared" si="74"/>
        <v>98</v>
      </c>
      <c r="AZ67" s="291">
        <f t="shared" si="75"/>
        <v>1</v>
      </c>
      <c r="BA67" s="344">
        <v>1</v>
      </c>
      <c r="BB67" s="379">
        <v>100</v>
      </c>
      <c r="BC67" s="379">
        <f t="shared" si="50"/>
        <v>2</v>
      </c>
      <c r="BD67" s="378">
        <f t="shared" si="51"/>
        <v>0</v>
      </c>
      <c r="BE67" s="381"/>
      <c r="BF67" s="378">
        <f t="shared" si="52"/>
        <v>98</v>
      </c>
    </row>
    <row r="68" spans="1:58" x14ac:dyDescent="0.35">
      <c r="A68" s="193" t="s">
        <v>122</v>
      </c>
      <c r="B68" s="33">
        <v>252610052</v>
      </c>
      <c r="C68" s="351" t="s">
        <v>1133</v>
      </c>
      <c r="D68" s="194" t="s">
        <v>6</v>
      </c>
      <c r="E68" s="215">
        <v>19</v>
      </c>
      <c r="F68" s="219"/>
      <c r="G68" s="350"/>
      <c r="H68" s="350"/>
      <c r="I68" s="326">
        <f t="shared" si="53"/>
        <v>0</v>
      </c>
      <c r="J68" s="326">
        <f t="shared" si="54"/>
        <v>19</v>
      </c>
      <c r="K68" s="327">
        <f t="shared" si="55"/>
        <v>1</v>
      </c>
      <c r="L68" s="221">
        <v>14</v>
      </c>
      <c r="M68" s="222"/>
      <c r="N68" s="223"/>
      <c r="O68" s="223"/>
      <c r="P68" s="328">
        <f t="shared" si="56"/>
        <v>0</v>
      </c>
      <c r="Q68" s="328">
        <f t="shared" si="57"/>
        <v>14</v>
      </c>
      <c r="R68" s="329">
        <f t="shared" si="58"/>
        <v>1</v>
      </c>
      <c r="S68" s="225">
        <v>12</v>
      </c>
      <c r="T68" s="226"/>
      <c r="U68" s="226"/>
      <c r="V68" s="226"/>
      <c r="W68" s="330">
        <f t="shared" si="59"/>
        <v>0</v>
      </c>
      <c r="X68" s="330">
        <f t="shared" si="60"/>
        <v>12</v>
      </c>
      <c r="Y68" s="331">
        <f t="shared" si="61"/>
        <v>1</v>
      </c>
      <c r="Z68" s="228">
        <v>21</v>
      </c>
      <c r="AA68" s="255"/>
      <c r="AB68" s="256"/>
      <c r="AC68" s="256"/>
      <c r="AD68" s="280">
        <f t="shared" si="62"/>
        <v>0</v>
      </c>
      <c r="AE68" s="280">
        <f t="shared" si="63"/>
        <v>21</v>
      </c>
      <c r="AF68" s="281">
        <f t="shared" si="64"/>
        <v>1</v>
      </c>
      <c r="AG68" s="229">
        <v>18</v>
      </c>
      <c r="AH68" s="257"/>
      <c r="AI68" s="258"/>
      <c r="AJ68" s="258"/>
      <c r="AK68" s="305">
        <f t="shared" si="65"/>
        <v>0</v>
      </c>
      <c r="AL68" s="305">
        <f t="shared" si="66"/>
        <v>18</v>
      </c>
      <c r="AM68" s="306">
        <f t="shared" si="67"/>
        <v>1</v>
      </c>
      <c r="AN68" s="230">
        <v>14</v>
      </c>
      <c r="AO68" s="259"/>
      <c r="AP68" s="260"/>
      <c r="AQ68" s="260"/>
      <c r="AR68" s="307">
        <f t="shared" si="68"/>
        <v>0</v>
      </c>
      <c r="AS68" s="307">
        <f t="shared" si="69"/>
        <v>14</v>
      </c>
      <c r="AT68" s="308">
        <f t="shared" si="70"/>
        <v>1</v>
      </c>
      <c r="AU68" s="289">
        <f t="shared" si="71"/>
        <v>0</v>
      </c>
      <c r="AV68" s="289">
        <f t="shared" si="72"/>
        <v>0</v>
      </c>
      <c r="AW68" s="289">
        <f t="shared" si="73"/>
        <v>0</v>
      </c>
      <c r="AX68" s="290">
        <v>98</v>
      </c>
      <c r="AY68" s="289">
        <f t="shared" si="74"/>
        <v>98</v>
      </c>
      <c r="AZ68" s="291">
        <f t="shared" si="75"/>
        <v>1</v>
      </c>
      <c r="BA68" s="344">
        <v>3</v>
      </c>
      <c r="BB68" s="379">
        <v>100</v>
      </c>
      <c r="BC68" s="379">
        <f t="shared" si="50"/>
        <v>6</v>
      </c>
      <c r="BD68" s="378">
        <f t="shared" si="51"/>
        <v>0</v>
      </c>
      <c r="BE68" s="381"/>
      <c r="BF68" s="378">
        <f t="shared" si="52"/>
        <v>94</v>
      </c>
    </row>
    <row r="69" spans="1:58" x14ac:dyDescent="0.35">
      <c r="A69" s="193" t="s">
        <v>123</v>
      </c>
      <c r="B69" s="38">
        <v>252610053</v>
      </c>
      <c r="C69" s="34" t="s">
        <v>1134</v>
      </c>
      <c r="D69" s="194" t="s">
        <v>6</v>
      </c>
      <c r="E69" s="215">
        <v>19</v>
      </c>
      <c r="F69" s="219"/>
      <c r="G69" s="350">
        <v>1</v>
      </c>
      <c r="H69" s="352"/>
      <c r="I69" s="326">
        <f t="shared" si="53"/>
        <v>1</v>
      </c>
      <c r="J69" s="326">
        <f t="shared" si="54"/>
        <v>18</v>
      </c>
      <c r="K69" s="327">
        <f t="shared" si="55"/>
        <v>0.94736842105263153</v>
      </c>
      <c r="L69" s="221">
        <v>14</v>
      </c>
      <c r="M69" s="222"/>
      <c r="N69" s="222"/>
      <c r="O69" s="223"/>
      <c r="P69" s="328">
        <f t="shared" si="56"/>
        <v>0</v>
      </c>
      <c r="Q69" s="328">
        <f t="shared" si="57"/>
        <v>14</v>
      </c>
      <c r="R69" s="329">
        <f t="shared" si="58"/>
        <v>1</v>
      </c>
      <c r="S69" s="225">
        <v>12</v>
      </c>
      <c r="T69" s="226"/>
      <c r="U69" s="226"/>
      <c r="V69" s="226"/>
      <c r="W69" s="330">
        <f t="shared" si="59"/>
        <v>0</v>
      </c>
      <c r="X69" s="330">
        <f t="shared" si="60"/>
        <v>12</v>
      </c>
      <c r="Y69" s="331">
        <f t="shared" si="61"/>
        <v>1</v>
      </c>
      <c r="Z69" s="228">
        <v>21</v>
      </c>
      <c r="AA69" s="255"/>
      <c r="AB69" s="256"/>
      <c r="AC69" s="255"/>
      <c r="AD69" s="280">
        <f t="shared" si="62"/>
        <v>0</v>
      </c>
      <c r="AE69" s="280">
        <f t="shared" si="63"/>
        <v>21</v>
      </c>
      <c r="AF69" s="281">
        <f t="shared" si="64"/>
        <v>1</v>
      </c>
      <c r="AG69" s="229">
        <v>18</v>
      </c>
      <c r="AH69" s="257"/>
      <c r="AI69" s="258"/>
      <c r="AJ69" s="257"/>
      <c r="AK69" s="305">
        <f t="shared" si="65"/>
        <v>0</v>
      </c>
      <c r="AL69" s="305">
        <f t="shared" si="66"/>
        <v>18</v>
      </c>
      <c r="AM69" s="306">
        <f t="shared" si="67"/>
        <v>1</v>
      </c>
      <c r="AN69" s="230">
        <v>14</v>
      </c>
      <c r="AO69" s="259"/>
      <c r="AP69" s="260"/>
      <c r="AQ69" s="259"/>
      <c r="AR69" s="307">
        <f t="shared" si="68"/>
        <v>0</v>
      </c>
      <c r="AS69" s="307">
        <f t="shared" si="69"/>
        <v>14</v>
      </c>
      <c r="AT69" s="308">
        <f t="shared" si="70"/>
        <v>1</v>
      </c>
      <c r="AU69" s="289">
        <f t="shared" si="71"/>
        <v>0</v>
      </c>
      <c r="AV69" s="289">
        <f t="shared" si="72"/>
        <v>1</v>
      </c>
      <c r="AW69" s="289">
        <f t="shared" si="73"/>
        <v>0</v>
      </c>
      <c r="AX69" s="290">
        <v>98</v>
      </c>
      <c r="AY69" s="289">
        <f t="shared" si="74"/>
        <v>97</v>
      </c>
      <c r="AZ69" s="291">
        <f t="shared" si="75"/>
        <v>0.98979591836734693</v>
      </c>
      <c r="BA69" s="344"/>
      <c r="BB69" s="379">
        <v>100</v>
      </c>
      <c r="BC69" s="379">
        <f t="shared" si="50"/>
        <v>0</v>
      </c>
      <c r="BD69" s="378">
        <f t="shared" si="51"/>
        <v>0</v>
      </c>
      <c r="BE69" s="381"/>
      <c r="BF69" s="378">
        <f t="shared" si="52"/>
        <v>100</v>
      </c>
    </row>
    <row r="70" spans="1:58" x14ac:dyDescent="0.35">
      <c r="A70" s="193" t="s">
        <v>124</v>
      </c>
      <c r="B70" s="35">
        <v>252610054</v>
      </c>
      <c r="C70" s="351" t="s">
        <v>1135</v>
      </c>
      <c r="D70" s="194" t="s">
        <v>6</v>
      </c>
      <c r="E70" s="215">
        <v>19</v>
      </c>
      <c r="F70" s="219"/>
      <c r="G70" s="350"/>
      <c r="H70" s="350"/>
      <c r="I70" s="326">
        <f t="shared" si="53"/>
        <v>0</v>
      </c>
      <c r="J70" s="326">
        <f t="shared" si="54"/>
        <v>19</v>
      </c>
      <c r="K70" s="327">
        <f t="shared" si="55"/>
        <v>1</v>
      </c>
      <c r="L70" s="221">
        <v>14</v>
      </c>
      <c r="M70" s="222"/>
      <c r="N70" s="223">
        <v>3</v>
      </c>
      <c r="O70" s="222"/>
      <c r="P70" s="328">
        <f t="shared" si="56"/>
        <v>3</v>
      </c>
      <c r="Q70" s="328">
        <f t="shared" si="57"/>
        <v>11</v>
      </c>
      <c r="R70" s="329">
        <f t="shared" si="58"/>
        <v>0.7857142857142857</v>
      </c>
      <c r="S70" s="225">
        <v>12</v>
      </c>
      <c r="T70" s="226"/>
      <c r="U70" s="226"/>
      <c r="V70" s="226"/>
      <c r="W70" s="330">
        <f t="shared" si="59"/>
        <v>0</v>
      </c>
      <c r="X70" s="330">
        <f t="shared" si="60"/>
        <v>12</v>
      </c>
      <c r="Y70" s="331">
        <f t="shared" si="61"/>
        <v>1</v>
      </c>
      <c r="Z70" s="228">
        <v>21</v>
      </c>
      <c r="AA70" s="255"/>
      <c r="AB70" s="255"/>
      <c r="AC70" s="255"/>
      <c r="AD70" s="280">
        <f t="shared" si="62"/>
        <v>0</v>
      </c>
      <c r="AE70" s="280">
        <f t="shared" si="63"/>
        <v>21</v>
      </c>
      <c r="AF70" s="281">
        <f t="shared" si="64"/>
        <v>1</v>
      </c>
      <c r="AG70" s="229">
        <v>18</v>
      </c>
      <c r="AH70" s="257"/>
      <c r="AI70" s="257"/>
      <c r="AJ70" s="257"/>
      <c r="AK70" s="305">
        <f t="shared" si="65"/>
        <v>0</v>
      </c>
      <c r="AL70" s="305">
        <f t="shared" si="66"/>
        <v>18</v>
      </c>
      <c r="AM70" s="306">
        <f t="shared" si="67"/>
        <v>1</v>
      </c>
      <c r="AN70" s="230">
        <v>14</v>
      </c>
      <c r="AO70" s="259"/>
      <c r="AP70" s="259"/>
      <c r="AQ70" s="259"/>
      <c r="AR70" s="307">
        <f t="shared" si="68"/>
        <v>0</v>
      </c>
      <c r="AS70" s="307">
        <f t="shared" si="69"/>
        <v>14</v>
      </c>
      <c r="AT70" s="308">
        <f t="shared" si="70"/>
        <v>1</v>
      </c>
      <c r="AU70" s="289">
        <f t="shared" si="71"/>
        <v>0</v>
      </c>
      <c r="AV70" s="289">
        <f t="shared" si="72"/>
        <v>3</v>
      </c>
      <c r="AW70" s="289">
        <f t="shared" si="73"/>
        <v>0</v>
      </c>
      <c r="AX70" s="290">
        <v>98</v>
      </c>
      <c r="AY70" s="289">
        <f t="shared" si="74"/>
        <v>95</v>
      </c>
      <c r="AZ70" s="291">
        <f t="shared" si="75"/>
        <v>0.96938775510204078</v>
      </c>
      <c r="BA70" s="344">
        <v>1</v>
      </c>
      <c r="BB70" s="379">
        <v>98</v>
      </c>
      <c r="BC70" s="379">
        <f t="shared" si="50"/>
        <v>2</v>
      </c>
      <c r="BD70" s="378">
        <f t="shared" si="51"/>
        <v>0</v>
      </c>
      <c r="BE70" s="381"/>
      <c r="BF70" s="378">
        <f t="shared" si="52"/>
        <v>96</v>
      </c>
    </row>
    <row r="71" spans="1:58" x14ac:dyDescent="0.35">
      <c r="A71" s="193" t="s">
        <v>125</v>
      </c>
      <c r="B71" s="35">
        <v>252610055</v>
      </c>
      <c r="C71" s="351" t="s">
        <v>1136</v>
      </c>
      <c r="D71" s="194" t="s">
        <v>6</v>
      </c>
      <c r="E71" s="215">
        <v>19</v>
      </c>
      <c r="F71" s="219"/>
      <c r="G71" s="350"/>
      <c r="H71" s="350"/>
      <c r="I71" s="326">
        <f t="shared" si="53"/>
        <v>0</v>
      </c>
      <c r="J71" s="326">
        <f t="shared" si="54"/>
        <v>19</v>
      </c>
      <c r="K71" s="327">
        <f t="shared" si="55"/>
        <v>1</v>
      </c>
      <c r="L71" s="221">
        <v>14</v>
      </c>
      <c r="M71" s="223"/>
      <c r="N71" s="222"/>
      <c r="O71" s="223"/>
      <c r="P71" s="328">
        <f t="shared" si="56"/>
        <v>0</v>
      </c>
      <c r="Q71" s="328">
        <f t="shared" si="57"/>
        <v>14</v>
      </c>
      <c r="R71" s="329">
        <f t="shared" si="58"/>
        <v>1</v>
      </c>
      <c r="S71" s="225">
        <v>12</v>
      </c>
      <c r="T71" s="226"/>
      <c r="U71" s="226"/>
      <c r="V71" s="226"/>
      <c r="W71" s="330">
        <f t="shared" si="59"/>
        <v>0</v>
      </c>
      <c r="X71" s="330">
        <f t="shared" si="60"/>
        <v>12</v>
      </c>
      <c r="Y71" s="331">
        <f t="shared" si="61"/>
        <v>1</v>
      </c>
      <c r="Z71" s="228">
        <v>21</v>
      </c>
      <c r="AA71" s="255"/>
      <c r="AB71" s="256"/>
      <c r="AC71" s="255"/>
      <c r="AD71" s="280">
        <f t="shared" si="62"/>
        <v>0</v>
      </c>
      <c r="AE71" s="280">
        <f t="shared" si="63"/>
        <v>21</v>
      </c>
      <c r="AF71" s="281">
        <f t="shared" si="64"/>
        <v>1</v>
      </c>
      <c r="AG71" s="229">
        <v>18</v>
      </c>
      <c r="AH71" s="257"/>
      <c r="AI71" s="258"/>
      <c r="AJ71" s="257"/>
      <c r="AK71" s="305">
        <f t="shared" si="65"/>
        <v>0</v>
      </c>
      <c r="AL71" s="305">
        <f t="shared" si="66"/>
        <v>18</v>
      </c>
      <c r="AM71" s="306">
        <f t="shared" si="67"/>
        <v>1</v>
      </c>
      <c r="AN71" s="230">
        <v>14</v>
      </c>
      <c r="AO71" s="259"/>
      <c r="AP71" s="260"/>
      <c r="AQ71" s="259"/>
      <c r="AR71" s="307">
        <f t="shared" si="68"/>
        <v>0</v>
      </c>
      <c r="AS71" s="307">
        <f t="shared" si="69"/>
        <v>14</v>
      </c>
      <c r="AT71" s="308">
        <f t="shared" si="70"/>
        <v>1</v>
      </c>
      <c r="AU71" s="289">
        <f t="shared" si="71"/>
        <v>0</v>
      </c>
      <c r="AV71" s="289">
        <f t="shared" si="72"/>
        <v>0</v>
      </c>
      <c r="AW71" s="289">
        <f t="shared" si="73"/>
        <v>0</v>
      </c>
      <c r="AX71" s="290">
        <v>98</v>
      </c>
      <c r="AY71" s="289">
        <f t="shared" si="74"/>
        <v>98</v>
      </c>
      <c r="AZ71" s="291">
        <f t="shared" si="75"/>
        <v>1</v>
      </c>
      <c r="BA71" s="344">
        <v>1</v>
      </c>
      <c r="BB71" s="379">
        <v>100</v>
      </c>
      <c r="BC71" s="379">
        <f t="shared" si="50"/>
        <v>2</v>
      </c>
      <c r="BD71" s="378">
        <f t="shared" si="51"/>
        <v>0</v>
      </c>
      <c r="BE71" s="381"/>
      <c r="BF71" s="378">
        <f t="shared" si="52"/>
        <v>98</v>
      </c>
    </row>
    <row r="72" spans="1:58" x14ac:dyDescent="0.35">
      <c r="A72" s="193" t="s">
        <v>126</v>
      </c>
      <c r="B72" s="35">
        <v>252610056</v>
      </c>
      <c r="C72" s="36" t="s">
        <v>1137</v>
      </c>
      <c r="D72" s="194" t="s">
        <v>6</v>
      </c>
      <c r="E72" s="215">
        <v>19</v>
      </c>
      <c r="F72" s="219"/>
      <c r="G72" s="350">
        <v>1</v>
      </c>
      <c r="H72" s="350"/>
      <c r="I72" s="326">
        <f t="shared" si="53"/>
        <v>1</v>
      </c>
      <c r="J72" s="326">
        <f t="shared" si="54"/>
        <v>18</v>
      </c>
      <c r="K72" s="327">
        <f t="shared" si="55"/>
        <v>0.94736842105263153</v>
      </c>
      <c r="L72" s="221">
        <v>14</v>
      </c>
      <c r="M72" s="222"/>
      <c r="N72" s="222"/>
      <c r="O72" s="223"/>
      <c r="P72" s="328">
        <f t="shared" si="56"/>
        <v>0</v>
      </c>
      <c r="Q72" s="328">
        <f t="shared" si="57"/>
        <v>14</v>
      </c>
      <c r="R72" s="329">
        <f t="shared" si="58"/>
        <v>1</v>
      </c>
      <c r="S72" s="225">
        <v>12</v>
      </c>
      <c r="T72" s="226"/>
      <c r="U72" s="226"/>
      <c r="V72" s="226"/>
      <c r="W72" s="330">
        <f t="shared" si="59"/>
        <v>0</v>
      </c>
      <c r="X72" s="330">
        <f t="shared" si="60"/>
        <v>12</v>
      </c>
      <c r="Y72" s="331">
        <f t="shared" si="61"/>
        <v>1</v>
      </c>
      <c r="Z72" s="228">
        <v>21</v>
      </c>
      <c r="AA72" s="255"/>
      <c r="AB72" s="255"/>
      <c r="AC72" s="255"/>
      <c r="AD72" s="280">
        <f t="shared" si="62"/>
        <v>0</v>
      </c>
      <c r="AE72" s="280">
        <f t="shared" si="63"/>
        <v>21</v>
      </c>
      <c r="AF72" s="281">
        <f t="shared" si="64"/>
        <v>1</v>
      </c>
      <c r="AG72" s="229">
        <v>18</v>
      </c>
      <c r="AH72" s="257"/>
      <c r="AI72" s="257"/>
      <c r="AJ72" s="257"/>
      <c r="AK72" s="305">
        <f t="shared" si="65"/>
        <v>0</v>
      </c>
      <c r="AL72" s="305">
        <f t="shared" si="66"/>
        <v>18</v>
      </c>
      <c r="AM72" s="306">
        <f t="shared" si="67"/>
        <v>1</v>
      </c>
      <c r="AN72" s="230">
        <v>14</v>
      </c>
      <c r="AO72" s="259"/>
      <c r="AP72" s="259"/>
      <c r="AQ72" s="259"/>
      <c r="AR72" s="307">
        <f t="shared" si="68"/>
        <v>0</v>
      </c>
      <c r="AS72" s="307">
        <f t="shared" si="69"/>
        <v>14</v>
      </c>
      <c r="AT72" s="308">
        <f t="shared" si="70"/>
        <v>1</v>
      </c>
      <c r="AU72" s="289">
        <f t="shared" si="71"/>
        <v>0</v>
      </c>
      <c r="AV72" s="289">
        <f t="shared" si="72"/>
        <v>1</v>
      </c>
      <c r="AW72" s="289">
        <f t="shared" si="73"/>
        <v>0</v>
      </c>
      <c r="AX72" s="290">
        <v>98</v>
      </c>
      <c r="AY72" s="289">
        <f t="shared" si="74"/>
        <v>97</v>
      </c>
      <c r="AZ72" s="291">
        <f t="shared" si="75"/>
        <v>0.98979591836734693</v>
      </c>
      <c r="BA72" s="344"/>
      <c r="BB72" s="379">
        <v>100</v>
      </c>
      <c r="BC72" s="379">
        <f t="shared" si="50"/>
        <v>0</v>
      </c>
      <c r="BD72" s="378">
        <f t="shared" si="51"/>
        <v>0</v>
      </c>
      <c r="BE72" s="381"/>
      <c r="BF72" s="378">
        <f t="shared" si="52"/>
        <v>100</v>
      </c>
    </row>
    <row r="73" spans="1:58" x14ac:dyDescent="0.35">
      <c r="A73" s="193" t="s">
        <v>127</v>
      </c>
      <c r="B73" s="35">
        <v>252610057</v>
      </c>
      <c r="C73" s="36" t="s">
        <v>1138</v>
      </c>
      <c r="D73" s="194" t="s">
        <v>6</v>
      </c>
      <c r="E73" s="215">
        <v>19</v>
      </c>
      <c r="F73" s="219"/>
      <c r="G73" s="352">
        <v>1</v>
      </c>
      <c r="H73" s="350"/>
      <c r="I73" s="326">
        <f t="shared" si="53"/>
        <v>1</v>
      </c>
      <c r="J73" s="326">
        <f t="shared" si="54"/>
        <v>18</v>
      </c>
      <c r="K73" s="327">
        <f t="shared" si="55"/>
        <v>0.94736842105263153</v>
      </c>
      <c r="L73" s="221">
        <v>14</v>
      </c>
      <c r="M73" s="222"/>
      <c r="N73" s="223"/>
      <c r="O73" s="223"/>
      <c r="P73" s="328">
        <f t="shared" si="56"/>
        <v>0</v>
      </c>
      <c r="Q73" s="328">
        <f t="shared" si="57"/>
        <v>14</v>
      </c>
      <c r="R73" s="329">
        <f t="shared" si="58"/>
        <v>1</v>
      </c>
      <c r="S73" s="225">
        <v>12</v>
      </c>
      <c r="T73" s="226"/>
      <c r="U73" s="226"/>
      <c r="V73" s="226"/>
      <c r="W73" s="330">
        <f t="shared" si="59"/>
        <v>0</v>
      </c>
      <c r="X73" s="330">
        <f t="shared" si="60"/>
        <v>12</v>
      </c>
      <c r="Y73" s="331">
        <f t="shared" si="61"/>
        <v>1</v>
      </c>
      <c r="Z73" s="228">
        <v>21</v>
      </c>
      <c r="AA73" s="256"/>
      <c r="AB73" s="256"/>
      <c r="AC73" s="256"/>
      <c r="AD73" s="280">
        <f t="shared" si="62"/>
        <v>0</v>
      </c>
      <c r="AE73" s="280">
        <f t="shared" si="63"/>
        <v>21</v>
      </c>
      <c r="AF73" s="281">
        <f t="shared" si="64"/>
        <v>1</v>
      </c>
      <c r="AG73" s="229">
        <v>18</v>
      </c>
      <c r="AH73" s="258"/>
      <c r="AI73" s="258"/>
      <c r="AJ73" s="258"/>
      <c r="AK73" s="305">
        <f t="shared" si="65"/>
        <v>0</v>
      </c>
      <c r="AL73" s="305">
        <f t="shared" si="66"/>
        <v>18</v>
      </c>
      <c r="AM73" s="306">
        <f t="shared" si="67"/>
        <v>1</v>
      </c>
      <c r="AN73" s="230">
        <v>14</v>
      </c>
      <c r="AO73" s="260"/>
      <c r="AP73" s="260"/>
      <c r="AQ73" s="260"/>
      <c r="AR73" s="307">
        <f t="shared" si="68"/>
        <v>0</v>
      </c>
      <c r="AS73" s="307">
        <f t="shared" si="69"/>
        <v>14</v>
      </c>
      <c r="AT73" s="308">
        <f t="shared" si="70"/>
        <v>1</v>
      </c>
      <c r="AU73" s="289">
        <f t="shared" si="71"/>
        <v>0</v>
      </c>
      <c r="AV73" s="289">
        <f t="shared" si="72"/>
        <v>1</v>
      </c>
      <c r="AW73" s="289">
        <f t="shared" si="73"/>
        <v>0</v>
      </c>
      <c r="AX73" s="290">
        <v>98</v>
      </c>
      <c r="AY73" s="289">
        <f t="shared" si="74"/>
        <v>97</v>
      </c>
      <c r="AZ73" s="291">
        <f t="shared" si="75"/>
        <v>0.98979591836734693</v>
      </c>
      <c r="BA73" s="344"/>
      <c r="BB73" s="379">
        <v>94</v>
      </c>
      <c r="BC73" s="379">
        <f t="shared" si="50"/>
        <v>0</v>
      </c>
      <c r="BD73" s="378">
        <f t="shared" si="51"/>
        <v>0</v>
      </c>
      <c r="BE73" s="381"/>
      <c r="BF73" s="378">
        <f t="shared" si="52"/>
        <v>94</v>
      </c>
    </row>
    <row r="74" spans="1:58" x14ac:dyDescent="0.35">
      <c r="A74" s="193" t="s">
        <v>893</v>
      </c>
      <c r="B74" s="35">
        <v>252610058</v>
      </c>
      <c r="C74" s="351" t="s">
        <v>1139</v>
      </c>
      <c r="D74" s="194" t="s">
        <v>6</v>
      </c>
      <c r="E74" s="215">
        <v>19</v>
      </c>
      <c r="F74" s="219"/>
      <c r="G74" s="352">
        <v>1</v>
      </c>
      <c r="H74" s="350"/>
      <c r="I74" s="326">
        <f t="shared" si="53"/>
        <v>1</v>
      </c>
      <c r="J74" s="326">
        <f t="shared" si="54"/>
        <v>18</v>
      </c>
      <c r="K74" s="327">
        <f t="shared" si="55"/>
        <v>0.94736842105263153</v>
      </c>
      <c r="L74" s="221">
        <v>14</v>
      </c>
      <c r="M74" s="222"/>
      <c r="N74" s="223">
        <v>2</v>
      </c>
      <c r="O74" s="223"/>
      <c r="P74" s="328">
        <f t="shared" si="56"/>
        <v>2</v>
      </c>
      <c r="Q74" s="328">
        <f t="shared" si="57"/>
        <v>12</v>
      </c>
      <c r="R74" s="329">
        <f t="shared" si="58"/>
        <v>0.8571428571428571</v>
      </c>
      <c r="S74" s="225">
        <v>12</v>
      </c>
      <c r="T74" s="226"/>
      <c r="U74" s="226"/>
      <c r="V74" s="226"/>
      <c r="W74" s="330">
        <f t="shared" si="59"/>
        <v>0</v>
      </c>
      <c r="X74" s="330">
        <f t="shared" si="60"/>
        <v>12</v>
      </c>
      <c r="Y74" s="331">
        <f t="shared" si="61"/>
        <v>1</v>
      </c>
      <c r="Z74" s="228">
        <v>21</v>
      </c>
      <c r="AA74" s="256"/>
      <c r="AB74" s="256"/>
      <c r="AC74" s="256"/>
      <c r="AD74" s="280">
        <f t="shared" si="62"/>
        <v>0</v>
      </c>
      <c r="AE74" s="280">
        <f t="shared" si="63"/>
        <v>21</v>
      </c>
      <c r="AF74" s="281">
        <f t="shared" si="64"/>
        <v>1</v>
      </c>
      <c r="AG74" s="229">
        <v>18</v>
      </c>
      <c r="AH74" s="258"/>
      <c r="AI74" s="258"/>
      <c r="AJ74" s="258"/>
      <c r="AK74" s="305">
        <f t="shared" si="65"/>
        <v>0</v>
      </c>
      <c r="AL74" s="305">
        <f t="shared" si="66"/>
        <v>18</v>
      </c>
      <c r="AM74" s="306">
        <f t="shared" si="67"/>
        <v>1</v>
      </c>
      <c r="AN74" s="230">
        <v>14</v>
      </c>
      <c r="AO74" s="260"/>
      <c r="AP74" s="260"/>
      <c r="AQ74" s="260"/>
      <c r="AR74" s="307">
        <f t="shared" si="68"/>
        <v>0</v>
      </c>
      <c r="AS74" s="307">
        <f t="shared" si="69"/>
        <v>14</v>
      </c>
      <c r="AT74" s="308">
        <f t="shared" si="70"/>
        <v>1</v>
      </c>
      <c r="AU74" s="289">
        <f t="shared" si="71"/>
        <v>0</v>
      </c>
      <c r="AV74" s="289">
        <f t="shared" si="72"/>
        <v>3</v>
      </c>
      <c r="AW74" s="289">
        <f t="shared" si="73"/>
        <v>0</v>
      </c>
      <c r="AX74" s="290">
        <v>98</v>
      </c>
      <c r="AY74" s="289">
        <f t="shared" si="74"/>
        <v>95</v>
      </c>
      <c r="AZ74" s="291">
        <f t="shared" si="75"/>
        <v>0.96938775510204078</v>
      </c>
      <c r="BA74" s="344"/>
      <c r="BB74" s="379">
        <v>100</v>
      </c>
      <c r="BC74" s="379">
        <f t="shared" si="50"/>
        <v>0</v>
      </c>
      <c r="BD74" s="378">
        <f t="shared" si="51"/>
        <v>0</v>
      </c>
      <c r="BE74" s="381"/>
      <c r="BF74" s="378">
        <f t="shared" si="52"/>
        <v>100</v>
      </c>
    </row>
    <row r="75" spans="1:58" x14ac:dyDescent="0.35">
      <c r="A75" s="193" t="s">
        <v>890</v>
      </c>
      <c r="B75" s="35">
        <v>252610059</v>
      </c>
      <c r="C75" s="351" t="s">
        <v>1140</v>
      </c>
      <c r="D75" s="194" t="s">
        <v>6</v>
      </c>
      <c r="E75" s="215">
        <v>19</v>
      </c>
      <c r="F75" s="219"/>
      <c r="G75" s="352"/>
      <c r="H75" s="350"/>
      <c r="I75" s="326">
        <f t="shared" si="53"/>
        <v>0</v>
      </c>
      <c r="J75" s="326">
        <f t="shared" si="54"/>
        <v>19</v>
      </c>
      <c r="K75" s="327">
        <f t="shared" si="55"/>
        <v>1</v>
      </c>
      <c r="L75" s="221">
        <v>14</v>
      </c>
      <c r="M75" s="222">
        <v>1</v>
      </c>
      <c r="N75" s="223"/>
      <c r="O75" s="223"/>
      <c r="P75" s="328">
        <f t="shared" si="56"/>
        <v>1</v>
      </c>
      <c r="Q75" s="328">
        <f t="shared" si="57"/>
        <v>13</v>
      </c>
      <c r="R75" s="329">
        <f t="shared" si="58"/>
        <v>0.9285714285714286</v>
      </c>
      <c r="S75" s="225">
        <v>12</v>
      </c>
      <c r="T75" s="226"/>
      <c r="U75" s="226"/>
      <c r="V75" s="226"/>
      <c r="W75" s="330">
        <f t="shared" si="59"/>
        <v>0</v>
      </c>
      <c r="X75" s="330">
        <f t="shared" si="60"/>
        <v>12</v>
      </c>
      <c r="Y75" s="331">
        <f t="shared" si="61"/>
        <v>1</v>
      </c>
      <c r="Z75" s="228">
        <v>21</v>
      </c>
      <c r="AA75" s="256"/>
      <c r="AB75" s="256"/>
      <c r="AC75" s="256"/>
      <c r="AD75" s="280">
        <f t="shared" si="62"/>
        <v>0</v>
      </c>
      <c r="AE75" s="280">
        <f t="shared" si="63"/>
        <v>21</v>
      </c>
      <c r="AF75" s="281">
        <f t="shared" si="64"/>
        <v>1</v>
      </c>
      <c r="AG75" s="229">
        <v>18</v>
      </c>
      <c r="AH75" s="258"/>
      <c r="AI75" s="258"/>
      <c r="AJ75" s="258"/>
      <c r="AK75" s="305">
        <f t="shared" si="65"/>
        <v>0</v>
      </c>
      <c r="AL75" s="305">
        <f t="shared" si="66"/>
        <v>18</v>
      </c>
      <c r="AM75" s="306">
        <f t="shared" si="67"/>
        <v>1</v>
      </c>
      <c r="AN75" s="230">
        <v>14</v>
      </c>
      <c r="AO75" s="260"/>
      <c r="AP75" s="260"/>
      <c r="AQ75" s="260"/>
      <c r="AR75" s="307">
        <f t="shared" si="68"/>
        <v>0</v>
      </c>
      <c r="AS75" s="307">
        <f t="shared" si="69"/>
        <v>14</v>
      </c>
      <c r="AT75" s="308">
        <f t="shared" si="70"/>
        <v>1</v>
      </c>
      <c r="AU75" s="289">
        <f t="shared" si="71"/>
        <v>1</v>
      </c>
      <c r="AV75" s="289">
        <f t="shared" si="72"/>
        <v>0</v>
      </c>
      <c r="AW75" s="289">
        <f t="shared" si="73"/>
        <v>0</v>
      </c>
      <c r="AX75" s="290">
        <v>98</v>
      </c>
      <c r="AY75" s="289">
        <f t="shared" si="74"/>
        <v>97</v>
      </c>
      <c r="AZ75" s="291">
        <f t="shared" si="75"/>
        <v>0.98979591836734693</v>
      </c>
      <c r="BA75" s="344"/>
      <c r="BB75" s="379">
        <v>100</v>
      </c>
      <c r="BC75" s="379">
        <f t="shared" si="50"/>
        <v>0</v>
      </c>
      <c r="BD75" s="378">
        <f t="shared" si="51"/>
        <v>0</v>
      </c>
      <c r="BE75" s="381"/>
      <c r="BF75" s="378">
        <f t="shared" si="52"/>
        <v>100</v>
      </c>
    </row>
    <row r="76" spans="1:58" x14ac:dyDescent="0.35">
      <c r="A76" s="193" t="s">
        <v>894</v>
      </c>
      <c r="B76" s="35">
        <v>252610060</v>
      </c>
      <c r="C76" s="351" t="s">
        <v>1141</v>
      </c>
      <c r="D76" s="194" t="s">
        <v>6</v>
      </c>
      <c r="E76" s="215">
        <v>19</v>
      </c>
      <c r="F76" s="219"/>
      <c r="G76" s="352"/>
      <c r="H76" s="350"/>
      <c r="I76" s="326">
        <f t="shared" si="53"/>
        <v>0</v>
      </c>
      <c r="J76" s="326">
        <f t="shared" si="54"/>
        <v>19</v>
      </c>
      <c r="K76" s="327">
        <f t="shared" si="55"/>
        <v>1</v>
      </c>
      <c r="L76" s="221">
        <v>14</v>
      </c>
      <c r="M76" s="222"/>
      <c r="N76" s="223">
        <v>1</v>
      </c>
      <c r="O76" s="223"/>
      <c r="P76" s="328">
        <f t="shared" si="56"/>
        <v>1</v>
      </c>
      <c r="Q76" s="328">
        <f t="shared" si="57"/>
        <v>13</v>
      </c>
      <c r="R76" s="329">
        <f t="shared" si="58"/>
        <v>0.9285714285714286</v>
      </c>
      <c r="S76" s="225">
        <v>12</v>
      </c>
      <c r="T76" s="226"/>
      <c r="U76" s="226"/>
      <c r="V76" s="226"/>
      <c r="W76" s="330">
        <f t="shared" si="59"/>
        <v>0</v>
      </c>
      <c r="X76" s="330">
        <f t="shared" si="60"/>
        <v>12</v>
      </c>
      <c r="Y76" s="331">
        <f t="shared" si="61"/>
        <v>1</v>
      </c>
      <c r="Z76" s="228">
        <v>21</v>
      </c>
      <c r="AA76" s="256"/>
      <c r="AB76" s="256"/>
      <c r="AC76" s="256"/>
      <c r="AD76" s="280">
        <f t="shared" si="62"/>
        <v>0</v>
      </c>
      <c r="AE76" s="280">
        <f t="shared" si="63"/>
        <v>21</v>
      </c>
      <c r="AF76" s="281">
        <f t="shared" si="64"/>
        <v>1</v>
      </c>
      <c r="AG76" s="229">
        <v>18</v>
      </c>
      <c r="AH76" s="258"/>
      <c r="AI76" s="258"/>
      <c r="AJ76" s="258"/>
      <c r="AK76" s="305">
        <f t="shared" si="65"/>
        <v>0</v>
      </c>
      <c r="AL76" s="305">
        <f t="shared" si="66"/>
        <v>18</v>
      </c>
      <c r="AM76" s="306">
        <f t="shared" si="67"/>
        <v>1</v>
      </c>
      <c r="AN76" s="230">
        <v>14</v>
      </c>
      <c r="AO76" s="260"/>
      <c r="AP76" s="260"/>
      <c r="AQ76" s="260"/>
      <c r="AR76" s="307">
        <f t="shared" si="68"/>
        <v>0</v>
      </c>
      <c r="AS76" s="307">
        <f t="shared" si="69"/>
        <v>14</v>
      </c>
      <c r="AT76" s="308">
        <f t="shared" si="70"/>
        <v>1</v>
      </c>
      <c r="AU76" s="289">
        <f t="shared" si="71"/>
        <v>0</v>
      </c>
      <c r="AV76" s="289">
        <f t="shared" si="72"/>
        <v>1</v>
      </c>
      <c r="AW76" s="289">
        <f t="shared" si="73"/>
        <v>0</v>
      </c>
      <c r="AX76" s="290">
        <v>98</v>
      </c>
      <c r="AY76" s="289">
        <f t="shared" si="74"/>
        <v>97</v>
      </c>
      <c r="AZ76" s="291">
        <f t="shared" si="75"/>
        <v>0.98979591836734693</v>
      </c>
      <c r="BA76" s="344"/>
      <c r="BB76" s="379">
        <v>100</v>
      </c>
      <c r="BC76" s="379">
        <f t="shared" si="50"/>
        <v>0</v>
      </c>
      <c r="BD76" s="378">
        <f t="shared" si="51"/>
        <v>0</v>
      </c>
      <c r="BE76" s="381"/>
      <c r="BF76" s="378">
        <f>BB76-BC76-BD76-BE76</f>
        <v>100</v>
      </c>
    </row>
    <row r="77" spans="1:58" x14ac:dyDescent="0.35">
      <c r="A77" s="193"/>
      <c r="B77" s="35"/>
      <c r="C77" s="351"/>
      <c r="D77" s="194"/>
      <c r="E77" s="215"/>
      <c r="F77" s="219"/>
      <c r="G77" s="352"/>
      <c r="H77" s="350"/>
      <c r="I77" s="326"/>
      <c r="J77" s="326"/>
      <c r="K77" s="327"/>
      <c r="L77" s="221"/>
      <c r="M77" s="222"/>
      <c r="N77" s="223"/>
      <c r="O77" s="223"/>
      <c r="P77" s="328"/>
      <c r="Q77" s="328"/>
      <c r="R77" s="329"/>
      <c r="S77" s="225"/>
      <c r="T77" s="226"/>
      <c r="U77" s="226"/>
      <c r="V77" s="226"/>
      <c r="W77" s="330"/>
      <c r="X77" s="330"/>
      <c r="Y77" s="331"/>
      <c r="Z77" s="228"/>
      <c r="AA77" s="256"/>
      <c r="AB77" s="256"/>
      <c r="AC77" s="256"/>
      <c r="AD77" s="280"/>
      <c r="AE77" s="280"/>
      <c r="AF77" s="281"/>
      <c r="AG77" s="229"/>
      <c r="AH77" s="258"/>
      <c r="AI77" s="258"/>
      <c r="AJ77" s="258"/>
      <c r="AK77" s="305"/>
      <c r="AL77" s="305"/>
      <c r="AM77" s="306"/>
      <c r="AN77" s="230"/>
      <c r="AO77" s="260"/>
      <c r="AP77" s="260"/>
      <c r="AQ77" s="260"/>
      <c r="AR77" s="307"/>
      <c r="AS77" s="307"/>
      <c r="AT77" s="308"/>
      <c r="AU77" s="289"/>
      <c r="AV77" s="289"/>
      <c r="AW77" s="289"/>
      <c r="AX77" s="290"/>
      <c r="AY77" s="289"/>
      <c r="AZ77" s="291"/>
      <c r="BA77" s="344"/>
      <c r="BB77" s="379"/>
      <c r="BC77" s="379"/>
      <c r="BD77" s="378"/>
      <c r="BE77" s="381"/>
      <c r="BF77" s="378"/>
    </row>
    <row r="78" spans="1:58" x14ac:dyDescent="0.35">
      <c r="A78" s="193"/>
      <c r="B78" s="35"/>
      <c r="C78" s="36"/>
      <c r="D78" s="38"/>
      <c r="E78" s="215"/>
      <c r="F78" s="350"/>
      <c r="G78" s="352"/>
      <c r="H78" s="350"/>
      <c r="I78" s="326"/>
      <c r="J78" s="326"/>
      <c r="K78" s="327"/>
      <c r="L78" s="221"/>
      <c r="M78" s="222"/>
      <c r="N78" s="223"/>
      <c r="O78" s="223"/>
      <c r="P78" s="328"/>
      <c r="Q78" s="328"/>
      <c r="R78" s="329"/>
      <c r="S78" s="225"/>
      <c r="T78" s="226"/>
      <c r="U78" s="226"/>
      <c r="V78" s="226"/>
      <c r="W78" s="330"/>
      <c r="X78" s="330"/>
      <c r="Y78" s="331"/>
      <c r="Z78" s="228"/>
      <c r="AA78" s="256"/>
      <c r="AB78" s="256"/>
      <c r="AC78" s="256"/>
      <c r="AD78" s="280"/>
      <c r="AE78" s="280"/>
      <c r="AF78" s="281"/>
      <c r="AG78" s="229"/>
      <c r="AH78" s="258"/>
      <c r="AI78" s="258"/>
      <c r="AJ78" s="258"/>
      <c r="AK78" s="305"/>
      <c r="AL78" s="305"/>
      <c r="AM78" s="306"/>
      <c r="AN78" s="230"/>
      <c r="AO78" s="260"/>
      <c r="AP78" s="260"/>
      <c r="AQ78" s="260"/>
      <c r="AR78" s="307"/>
      <c r="AS78" s="307"/>
      <c r="AT78" s="308"/>
      <c r="AU78" s="289"/>
      <c r="AV78" s="289"/>
      <c r="AW78" s="289"/>
      <c r="AX78" s="290"/>
      <c r="AY78" s="289"/>
      <c r="AZ78" s="291"/>
      <c r="BA78" s="344"/>
      <c r="BB78" s="379"/>
      <c r="BC78" s="379"/>
      <c r="BD78" s="378"/>
      <c r="BE78" s="381"/>
      <c r="BF78" s="378"/>
    </row>
    <row r="79" spans="1:58" x14ac:dyDescent="0.35">
      <c r="A79" s="193"/>
      <c r="B79" s="33"/>
      <c r="C79" s="36"/>
      <c r="D79" s="38"/>
      <c r="E79" s="215"/>
      <c r="F79" s="350"/>
      <c r="G79" s="352"/>
      <c r="H79" s="350"/>
      <c r="I79" s="326"/>
      <c r="J79" s="326"/>
      <c r="K79" s="327"/>
      <c r="L79" s="221"/>
      <c r="M79" s="222"/>
      <c r="N79" s="223"/>
      <c r="O79" s="223"/>
      <c r="P79" s="328"/>
      <c r="Q79" s="328"/>
      <c r="R79" s="329"/>
      <c r="S79" s="225"/>
      <c r="T79" s="226"/>
      <c r="U79" s="226"/>
      <c r="V79" s="226"/>
      <c r="W79" s="330"/>
      <c r="X79" s="330"/>
      <c r="Y79" s="331"/>
      <c r="Z79" s="228"/>
      <c r="AA79" s="256"/>
      <c r="AB79" s="256"/>
      <c r="AC79" s="256"/>
      <c r="AD79" s="280"/>
      <c r="AE79" s="280"/>
      <c r="AF79" s="281"/>
      <c r="AG79" s="229"/>
      <c r="AH79" s="258"/>
      <c r="AI79" s="258"/>
      <c r="AJ79" s="258"/>
      <c r="AK79" s="305"/>
      <c r="AL79" s="305"/>
      <c r="AM79" s="306"/>
      <c r="AN79" s="230"/>
      <c r="AO79" s="260"/>
      <c r="AP79" s="260"/>
      <c r="AQ79" s="260"/>
      <c r="AR79" s="307"/>
      <c r="AS79" s="307"/>
      <c r="AT79" s="308"/>
      <c r="AU79" s="289"/>
      <c r="AV79" s="289"/>
      <c r="AW79" s="289"/>
      <c r="AX79" s="290"/>
      <c r="AY79" s="289"/>
      <c r="AZ79" s="291"/>
      <c r="BA79" s="344"/>
      <c r="BB79" s="379"/>
      <c r="BC79" s="379"/>
      <c r="BD79" s="378"/>
      <c r="BE79" s="381"/>
      <c r="BF79" s="378"/>
    </row>
    <row r="80" spans="1:58" x14ac:dyDescent="0.35">
      <c r="A80" s="193"/>
      <c r="B80" s="35"/>
      <c r="C80" s="44"/>
      <c r="D80" s="38"/>
      <c r="E80" s="215"/>
      <c r="F80" s="350"/>
      <c r="G80" s="352"/>
      <c r="H80" s="350"/>
      <c r="I80" s="326"/>
      <c r="J80" s="326"/>
      <c r="K80" s="327"/>
      <c r="L80" s="221"/>
      <c r="M80" s="222"/>
      <c r="N80" s="223"/>
      <c r="O80" s="223"/>
      <c r="P80" s="328"/>
      <c r="Q80" s="328"/>
      <c r="R80" s="329"/>
      <c r="S80" s="225"/>
      <c r="T80" s="226"/>
      <c r="U80" s="226"/>
      <c r="V80" s="226"/>
      <c r="W80" s="330"/>
      <c r="X80" s="330"/>
      <c r="Y80" s="331"/>
      <c r="Z80" s="228"/>
      <c r="AA80" s="256"/>
      <c r="AB80" s="256"/>
      <c r="AC80" s="256"/>
      <c r="AD80" s="280"/>
      <c r="AE80" s="280"/>
      <c r="AF80" s="281"/>
      <c r="AG80" s="229"/>
      <c r="AH80" s="258"/>
      <c r="AI80" s="258"/>
      <c r="AJ80" s="258"/>
      <c r="AK80" s="305"/>
      <c r="AL80" s="305"/>
      <c r="AM80" s="306"/>
      <c r="AN80" s="230"/>
      <c r="AO80" s="260"/>
      <c r="AP80" s="260"/>
      <c r="AQ80" s="260"/>
      <c r="AR80" s="307"/>
      <c r="AS80" s="307"/>
      <c r="AT80" s="308"/>
      <c r="AU80" s="289"/>
      <c r="AV80" s="289"/>
      <c r="AW80" s="289"/>
      <c r="AX80" s="290"/>
      <c r="AY80" s="289"/>
      <c r="AZ80" s="291"/>
      <c r="BA80" s="344"/>
      <c r="BB80" s="379"/>
      <c r="BC80" s="379"/>
      <c r="BD80" s="378"/>
      <c r="BE80" s="381"/>
      <c r="BF80" s="378"/>
    </row>
    <row r="81" spans="1:58" x14ac:dyDescent="0.35">
      <c r="A81" s="193"/>
      <c r="B81" s="35"/>
      <c r="C81" s="34"/>
      <c r="D81" s="40"/>
      <c r="E81" s="215"/>
      <c r="F81" s="350"/>
      <c r="G81" s="352"/>
      <c r="H81" s="350"/>
      <c r="I81" s="326"/>
      <c r="J81" s="326"/>
      <c r="K81" s="327"/>
      <c r="L81" s="221"/>
      <c r="M81" s="222"/>
      <c r="N81" s="223"/>
      <c r="O81" s="223"/>
      <c r="P81" s="328"/>
      <c r="Q81" s="328"/>
      <c r="R81" s="329"/>
      <c r="S81" s="225"/>
      <c r="T81" s="226"/>
      <c r="U81" s="226"/>
      <c r="V81" s="226"/>
      <c r="W81" s="330"/>
      <c r="X81" s="330"/>
      <c r="Y81" s="331"/>
      <c r="Z81" s="228"/>
      <c r="AA81" s="256"/>
      <c r="AB81" s="256"/>
      <c r="AC81" s="256"/>
      <c r="AD81" s="280"/>
      <c r="AE81" s="280"/>
      <c r="AF81" s="281"/>
      <c r="AG81" s="229"/>
      <c r="AH81" s="258"/>
      <c r="AI81" s="258"/>
      <c r="AJ81" s="258"/>
      <c r="AK81" s="305"/>
      <c r="AL81" s="305"/>
      <c r="AM81" s="306"/>
      <c r="AN81" s="230"/>
      <c r="AO81" s="260"/>
      <c r="AP81" s="260"/>
      <c r="AQ81" s="260"/>
      <c r="AR81" s="307"/>
      <c r="AS81" s="307"/>
      <c r="AT81" s="308"/>
      <c r="AU81" s="289"/>
      <c r="AV81" s="289"/>
      <c r="AW81" s="289"/>
      <c r="AX81" s="290"/>
      <c r="AY81" s="289"/>
      <c r="AZ81" s="291"/>
      <c r="BA81" s="344"/>
      <c r="BB81" s="379"/>
      <c r="BC81" s="379"/>
      <c r="BD81" s="378"/>
      <c r="BE81" s="381"/>
      <c r="BF81" s="378"/>
    </row>
    <row r="82" spans="1:58" s="341" customFormat="1" x14ac:dyDescent="0.35"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87"/>
      <c r="BF82" s="287"/>
    </row>
    <row r="83" spans="1:58" s="341" customFormat="1" x14ac:dyDescent="0.35"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87"/>
      <c r="BF83" s="287"/>
    </row>
    <row r="84" spans="1:58" s="341" customFormat="1" ht="16" thickBot="1" x14ac:dyDescent="0.4">
      <c r="A84" s="342" t="s">
        <v>1079</v>
      </c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87"/>
      <c r="BF84" s="287"/>
    </row>
    <row r="85" spans="1:58" ht="25" customHeight="1" thickBot="1" x14ac:dyDescent="0.4">
      <c r="A85" s="447" t="s">
        <v>1072</v>
      </c>
      <c r="B85" s="447" t="s">
        <v>2</v>
      </c>
      <c r="C85" s="448" t="s">
        <v>1606</v>
      </c>
      <c r="D85" s="448" t="s">
        <v>4</v>
      </c>
      <c r="E85" s="431" t="s">
        <v>1612</v>
      </c>
      <c r="F85" s="431"/>
      <c r="G85" s="431"/>
      <c r="H85" s="431"/>
      <c r="I85" s="431"/>
      <c r="J85" s="431"/>
      <c r="K85" s="431"/>
      <c r="L85" s="432" t="s">
        <v>1613</v>
      </c>
      <c r="M85" s="432"/>
      <c r="N85" s="432"/>
      <c r="O85" s="432"/>
      <c r="P85" s="432"/>
      <c r="Q85" s="432"/>
      <c r="R85" s="432"/>
      <c r="S85" s="433" t="s">
        <v>1614</v>
      </c>
      <c r="T85" s="433"/>
      <c r="U85" s="433"/>
      <c r="V85" s="433"/>
      <c r="W85" s="433"/>
      <c r="X85" s="433"/>
      <c r="Y85" s="433"/>
      <c r="Z85" s="434" t="s">
        <v>1615</v>
      </c>
      <c r="AA85" s="434"/>
      <c r="AB85" s="434"/>
      <c r="AC85" s="434"/>
      <c r="AD85" s="434"/>
      <c r="AE85" s="434"/>
      <c r="AF85" s="434"/>
      <c r="AG85" s="435" t="s">
        <v>1616</v>
      </c>
      <c r="AH85" s="435"/>
      <c r="AI85" s="435"/>
      <c r="AJ85" s="435"/>
      <c r="AK85" s="435"/>
      <c r="AL85" s="435"/>
      <c r="AM85" s="435"/>
      <c r="AN85" s="436" t="s">
        <v>1617</v>
      </c>
      <c r="AO85" s="436"/>
      <c r="AP85" s="436"/>
      <c r="AQ85" s="436"/>
      <c r="AR85" s="436"/>
      <c r="AS85" s="436"/>
      <c r="AT85" s="436"/>
      <c r="AU85" s="438" t="s">
        <v>224</v>
      </c>
      <c r="AV85" s="438"/>
      <c r="AW85" s="438"/>
      <c r="AX85" s="437" t="s">
        <v>1602</v>
      </c>
      <c r="AY85" s="437" t="s">
        <v>1603</v>
      </c>
      <c r="AZ85" s="437" t="s">
        <v>1604</v>
      </c>
      <c r="BA85" s="445" t="s">
        <v>1076</v>
      </c>
      <c r="BB85" s="428" t="s">
        <v>883</v>
      </c>
      <c r="BC85" s="428" t="s">
        <v>880</v>
      </c>
      <c r="BD85" s="428"/>
      <c r="BE85" s="428"/>
      <c r="BF85" s="454" t="s">
        <v>884</v>
      </c>
    </row>
    <row r="86" spans="1:58" ht="55" customHeight="1" thickBot="1" x14ac:dyDescent="0.4">
      <c r="A86" s="447"/>
      <c r="B86" s="447"/>
      <c r="C86" s="448"/>
      <c r="D86" s="448"/>
      <c r="E86" s="235" t="s">
        <v>1598</v>
      </c>
      <c r="F86" s="236" t="s">
        <v>20</v>
      </c>
      <c r="G86" s="236" t="s">
        <v>19</v>
      </c>
      <c r="H86" s="236" t="s">
        <v>52</v>
      </c>
      <c r="I86" s="237" t="s">
        <v>1599</v>
      </c>
      <c r="J86" s="237" t="s">
        <v>1600</v>
      </c>
      <c r="K86" s="237" t="s">
        <v>1601</v>
      </c>
      <c r="L86" s="202" t="s">
        <v>1598</v>
      </c>
      <c r="M86" s="206" t="s">
        <v>20</v>
      </c>
      <c r="N86" s="206" t="s">
        <v>19</v>
      </c>
      <c r="O86" s="206" t="s">
        <v>52</v>
      </c>
      <c r="P86" s="207" t="s">
        <v>1599</v>
      </c>
      <c r="Q86" s="207" t="s">
        <v>1600</v>
      </c>
      <c r="R86" s="207" t="s">
        <v>1601</v>
      </c>
      <c r="S86" s="238" t="s">
        <v>1598</v>
      </c>
      <c r="T86" s="239" t="s">
        <v>20</v>
      </c>
      <c r="U86" s="239" t="s">
        <v>19</v>
      </c>
      <c r="V86" s="239" t="s">
        <v>52</v>
      </c>
      <c r="W86" s="224" t="s">
        <v>1599</v>
      </c>
      <c r="X86" s="224" t="s">
        <v>1600</v>
      </c>
      <c r="Y86" s="224" t="s">
        <v>1601</v>
      </c>
      <c r="Z86" s="240" t="s">
        <v>1598</v>
      </c>
      <c r="AA86" s="241" t="s">
        <v>20</v>
      </c>
      <c r="AB86" s="241" t="s">
        <v>19</v>
      </c>
      <c r="AC86" s="241" t="s">
        <v>52</v>
      </c>
      <c r="AD86" s="208" t="s">
        <v>1599</v>
      </c>
      <c r="AE86" s="208" t="s">
        <v>1600</v>
      </c>
      <c r="AF86" s="208" t="s">
        <v>1601</v>
      </c>
      <c r="AG86" s="209" t="s">
        <v>1598</v>
      </c>
      <c r="AH86" s="210" t="s">
        <v>20</v>
      </c>
      <c r="AI86" s="210" t="s">
        <v>19</v>
      </c>
      <c r="AJ86" s="210" t="s">
        <v>52</v>
      </c>
      <c r="AK86" s="211" t="s">
        <v>1599</v>
      </c>
      <c r="AL86" s="211" t="s">
        <v>1600</v>
      </c>
      <c r="AM86" s="211" t="s">
        <v>1601</v>
      </c>
      <c r="AN86" s="212" t="s">
        <v>1598</v>
      </c>
      <c r="AO86" s="213" t="s">
        <v>20</v>
      </c>
      <c r="AP86" s="213" t="s">
        <v>19</v>
      </c>
      <c r="AQ86" s="213" t="s">
        <v>52</v>
      </c>
      <c r="AR86" s="214" t="s">
        <v>1599</v>
      </c>
      <c r="AS86" s="214" t="s">
        <v>1600</v>
      </c>
      <c r="AT86" s="214" t="s">
        <v>1601</v>
      </c>
      <c r="AU86" s="203" t="s">
        <v>20</v>
      </c>
      <c r="AV86" s="204" t="s">
        <v>19</v>
      </c>
      <c r="AW86" s="204" t="s">
        <v>52</v>
      </c>
      <c r="AX86" s="437"/>
      <c r="AY86" s="437"/>
      <c r="AZ86" s="437"/>
      <c r="BA86" s="446"/>
      <c r="BB86" s="428"/>
      <c r="BC86" s="375" t="s">
        <v>881</v>
      </c>
      <c r="BD86" s="377" t="s">
        <v>885</v>
      </c>
      <c r="BE86" s="376" t="s">
        <v>882</v>
      </c>
      <c r="BF86" s="454"/>
    </row>
    <row r="87" spans="1:58" x14ac:dyDescent="0.35">
      <c r="A87" s="193" t="s">
        <v>21</v>
      </c>
      <c r="B87" s="35">
        <v>252610061</v>
      </c>
      <c r="C87" s="36" t="s">
        <v>1142</v>
      </c>
      <c r="D87" s="194" t="s">
        <v>6</v>
      </c>
      <c r="E87" s="215">
        <v>19</v>
      </c>
      <c r="F87" s="346"/>
      <c r="G87" s="346"/>
      <c r="H87" s="346">
        <v>2</v>
      </c>
      <c r="I87" s="326">
        <f t="shared" ref="I87" si="76">SUM(F87:H87)</f>
        <v>2</v>
      </c>
      <c r="J87" s="326">
        <f t="shared" ref="J87" si="77">E87-I87</f>
        <v>17</v>
      </c>
      <c r="K87" s="327">
        <f t="shared" ref="K87" si="78">J87/E87</f>
        <v>0.89473684210526316</v>
      </c>
      <c r="L87" s="221">
        <v>14</v>
      </c>
      <c r="M87" s="252"/>
      <c r="N87" s="252">
        <v>1</v>
      </c>
      <c r="O87" s="221">
        <v>1</v>
      </c>
      <c r="P87" s="328">
        <f t="shared" ref="P87" si="79">SUM(M87:O87)</f>
        <v>2</v>
      </c>
      <c r="Q87" s="328">
        <f t="shared" ref="Q87" si="80">L87-P87</f>
        <v>12</v>
      </c>
      <c r="R87" s="329">
        <f t="shared" ref="R87" si="81">Q87/L87</f>
        <v>0.8571428571428571</v>
      </c>
      <c r="S87" s="225">
        <v>12</v>
      </c>
      <c r="T87" s="225"/>
      <c r="U87" s="253"/>
      <c r="V87" s="225">
        <v>1</v>
      </c>
      <c r="W87" s="330">
        <f t="shared" ref="W87" si="82">SUM(T87:V87)</f>
        <v>1</v>
      </c>
      <c r="X87" s="330">
        <f t="shared" ref="X87" si="83">S87-W87</f>
        <v>11</v>
      </c>
      <c r="Y87" s="331">
        <f t="shared" ref="Y87" si="84">X87/S87</f>
        <v>0.91666666666666663</v>
      </c>
      <c r="Z87" s="228">
        <v>21</v>
      </c>
      <c r="AA87" s="228"/>
      <c r="AB87" s="347"/>
      <c r="AC87" s="228"/>
      <c r="AD87" s="280">
        <f t="shared" ref="AD87" si="85">SUM(AA87:AC87)</f>
        <v>0</v>
      </c>
      <c r="AE87" s="280">
        <f t="shared" ref="AE87" si="86">Z87-AD87</f>
        <v>21</v>
      </c>
      <c r="AF87" s="281">
        <f t="shared" ref="AF87" si="87">AE87/Z87</f>
        <v>1</v>
      </c>
      <c r="AG87" s="229">
        <v>18</v>
      </c>
      <c r="AH87" s="229"/>
      <c r="AI87" s="348"/>
      <c r="AJ87" s="229"/>
      <c r="AK87" s="305">
        <f t="shared" ref="AK87" si="88">SUM(AH87:AJ87)</f>
        <v>0</v>
      </c>
      <c r="AL87" s="305">
        <f t="shared" ref="AL87" si="89">AG87-AK87</f>
        <v>18</v>
      </c>
      <c r="AM87" s="306">
        <f t="shared" ref="AM87" si="90">AL87/AG87</f>
        <v>1</v>
      </c>
      <c r="AN87" s="230">
        <v>14</v>
      </c>
      <c r="AO87" s="230"/>
      <c r="AP87" s="349"/>
      <c r="AQ87" s="230"/>
      <c r="AR87" s="307">
        <f t="shared" ref="AR87" si="91">SUM(AO87:AQ87)</f>
        <v>0</v>
      </c>
      <c r="AS87" s="307">
        <f t="shared" ref="AS87" si="92">AN87-AR87</f>
        <v>14</v>
      </c>
      <c r="AT87" s="308">
        <f t="shared" ref="AT87" si="93">AS87/AN87</f>
        <v>1</v>
      </c>
      <c r="AU87" s="289">
        <f t="shared" ref="AU87" si="94">F87+M87+T87+AA87+AH87+AO87</f>
        <v>0</v>
      </c>
      <c r="AV87" s="289">
        <f t="shared" ref="AV87" si="95">G87+N87+U87+AB87+AI87+AP87</f>
        <v>1</v>
      </c>
      <c r="AW87" s="289">
        <f t="shared" ref="AW87" si="96">H87+O87+V87+AC87+AJ87+AQ87</f>
        <v>4</v>
      </c>
      <c r="AX87" s="290">
        <v>98</v>
      </c>
      <c r="AY87" s="289">
        <f t="shared" ref="AY87" si="97">AX87-AU87-AV87-AW87</f>
        <v>93</v>
      </c>
      <c r="AZ87" s="291">
        <f t="shared" ref="AZ87" si="98">AY87/AX87</f>
        <v>0.94897959183673475</v>
      </c>
      <c r="BA87" s="343">
        <v>4</v>
      </c>
      <c r="BB87" s="382" cm="1">
        <f t="array" ref="BB87:BB125">[1]X!$BF$87:$BF$125</f>
        <v>48</v>
      </c>
      <c r="BC87" s="379">
        <f t="shared" ref="BC87:BC124" si="99">BA87*2</f>
        <v>8</v>
      </c>
      <c r="BD87" s="378">
        <f t="shared" ref="BD87:BD124" si="100">AW87*2</f>
        <v>8</v>
      </c>
      <c r="BE87" s="381"/>
      <c r="BF87" s="378">
        <f>BB87-BC87-BD87-BE87</f>
        <v>32</v>
      </c>
    </row>
    <row r="88" spans="1:58" x14ac:dyDescent="0.35">
      <c r="A88" s="193" t="s">
        <v>22</v>
      </c>
      <c r="B88" s="35">
        <v>252610062</v>
      </c>
      <c r="C88" s="351" t="s">
        <v>1143</v>
      </c>
      <c r="D88" s="194" t="s">
        <v>6</v>
      </c>
      <c r="E88" s="215">
        <v>19</v>
      </c>
      <c r="F88" s="350"/>
      <c r="G88" s="350"/>
      <c r="H88" s="350"/>
      <c r="I88" s="326">
        <f t="shared" ref="I88:I124" si="101">SUM(F88:H88)</f>
        <v>0</v>
      </c>
      <c r="J88" s="326">
        <f t="shared" ref="J88:J124" si="102">E88-I88</f>
        <v>19</v>
      </c>
      <c r="K88" s="327">
        <f t="shared" ref="K88:K124" si="103">J88/E88</f>
        <v>1</v>
      </c>
      <c r="L88" s="221">
        <v>14</v>
      </c>
      <c r="M88" s="222"/>
      <c r="N88" s="223"/>
      <c r="O88" s="222">
        <v>2</v>
      </c>
      <c r="P88" s="328">
        <f t="shared" ref="P88:P124" si="104">SUM(M88:O88)</f>
        <v>2</v>
      </c>
      <c r="Q88" s="328">
        <f t="shared" ref="Q88:Q124" si="105">L88-P88</f>
        <v>12</v>
      </c>
      <c r="R88" s="329">
        <f t="shared" ref="R88:R124" si="106">Q88/L88</f>
        <v>0.8571428571428571</v>
      </c>
      <c r="S88" s="225">
        <v>12</v>
      </c>
      <c r="T88" s="226">
        <v>1</v>
      </c>
      <c r="U88" s="226"/>
      <c r="V88" s="226"/>
      <c r="W88" s="330">
        <f t="shared" ref="W88:W124" si="107">SUM(T88:V88)</f>
        <v>1</v>
      </c>
      <c r="X88" s="330">
        <f t="shared" ref="X88:X124" si="108">S88-W88</f>
        <v>11</v>
      </c>
      <c r="Y88" s="331">
        <f t="shared" ref="Y88:Y124" si="109">X88/S88</f>
        <v>0.91666666666666663</v>
      </c>
      <c r="Z88" s="228">
        <v>21</v>
      </c>
      <c r="AA88" s="255"/>
      <c r="AB88" s="255"/>
      <c r="AC88" s="255"/>
      <c r="AD88" s="280">
        <f t="shared" ref="AD88:AD124" si="110">SUM(AA88:AC88)</f>
        <v>0</v>
      </c>
      <c r="AE88" s="280">
        <f t="shared" ref="AE88:AE124" si="111">Z88-AD88</f>
        <v>21</v>
      </c>
      <c r="AF88" s="281">
        <f t="shared" ref="AF88:AF124" si="112">AE88/Z88</f>
        <v>1</v>
      </c>
      <c r="AG88" s="229">
        <v>18</v>
      </c>
      <c r="AH88" s="257"/>
      <c r="AI88" s="257"/>
      <c r="AJ88" s="257"/>
      <c r="AK88" s="305">
        <f t="shared" ref="AK88:AK124" si="113">SUM(AH88:AJ88)</f>
        <v>0</v>
      </c>
      <c r="AL88" s="305">
        <f t="shared" ref="AL88:AL124" si="114">AG88-AK88</f>
        <v>18</v>
      </c>
      <c r="AM88" s="306">
        <f t="shared" ref="AM88:AM124" si="115">AL88/AG88</f>
        <v>1</v>
      </c>
      <c r="AN88" s="230">
        <v>14</v>
      </c>
      <c r="AO88" s="259"/>
      <c r="AP88" s="259"/>
      <c r="AQ88" s="259"/>
      <c r="AR88" s="307">
        <f t="shared" ref="AR88:AR124" si="116">SUM(AO88:AQ88)</f>
        <v>0</v>
      </c>
      <c r="AS88" s="307">
        <f t="shared" ref="AS88:AS124" si="117">AN88-AR88</f>
        <v>14</v>
      </c>
      <c r="AT88" s="308">
        <f t="shared" ref="AT88:AT124" si="118">AS88/AN88</f>
        <v>1</v>
      </c>
      <c r="AU88" s="289">
        <f t="shared" ref="AU88:AU124" si="119">F88+M88+T88+AA88+AH88+AO88</f>
        <v>1</v>
      </c>
      <c r="AV88" s="289">
        <f t="shared" ref="AV88:AV124" si="120">G88+N88+U88+AB88+AI88+AP88</f>
        <v>0</v>
      </c>
      <c r="AW88" s="289">
        <f t="shared" ref="AW88:AW124" si="121">H88+O88+V88+AC88+AJ88+AQ88</f>
        <v>2</v>
      </c>
      <c r="AX88" s="290">
        <v>98</v>
      </c>
      <c r="AY88" s="289">
        <f t="shared" ref="AY88:AY124" si="122">AX88-AU88-AV88-AW88</f>
        <v>95</v>
      </c>
      <c r="AZ88" s="291">
        <f t="shared" ref="AZ88:AZ124" si="123">AY88/AX88</f>
        <v>0.96938775510204078</v>
      </c>
      <c r="BA88" s="344">
        <v>2</v>
      </c>
      <c r="BB88" s="383">
        <v>98</v>
      </c>
      <c r="BC88" s="379">
        <f t="shared" si="99"/>
        <v>4</v>
      </c>
      <c r="BD88" s="378">
        <f t="shared" si="100"/>
        <v>4</v>
      </c>
      <c r="BE88" s="381"/>
      <c r="BF88" s="378">
        <f t="shared" ref="BF88:BF124" si="124">BB88-BC88-BD88-BE88</f>
        <v>90</v>
      </c>
    </row>
    <row r="89" spans="1:58" x14ac:dyDescent="0.35">
      <c r="A89" s="193" t="s">
        <v>23</v>
      </c>
      <c r="B89" s="35">
        <v>252610063</v>
      </c>
      <c r="C89" s="351" t="s">
        <v>1144</v>
      </c>
      <c r="D89" s="194" t="s">
        <v>6</v>
      </c>
      <c r="E89" s="215">
        <v>19</v>
      </c>
      <c r="F89" s="350"/>
      <c r="G89" s="350"/>
      <c r="H89" s="350"/>
      <c r="I89" s="326">
        <f t="shared" si="101"/>
        <v>0</v>
      </c>
      <c r="J89" s="326">
        <f t="shared" si="102"/>
        <v>19</v>
      </c>
      <c r="K89" s="327">
        <f t="shared" si="103"/>
        <v>1</v>
      </c>
      <c r="L89" s="221">
        <v>14</v>
      </c>
      <c r="M89" s="222"/>
      <c r="N89" s="223"/>
      <c r="O89" s="222"/>
      <c r="P89" s="328">
        <f t="shared" si="104"/>
        <v>0</v>
      </c>
      <c r="Q89" s="328">
        <f t="shared" si="105"/>
        <v>14</v>
      </c>
      <c r="R89" s="329">
        <f t="shared" si="106"/>
        <v>1</v>
      </c>
      <c r="S89" s="225">
        <v>12</v>
      </c>
      <c r="T89" s="226"/>
      <c r="U89" s="226">
        <v>1</v>
      </c>
      <c r="V89" s="226"/>
      <c r="W89" s="330">
        <f t="shared" si="107"/>
        <v>1</v>
      </c>
      <c r="X89" s="330">
        <f t="shared" si="108"/>
        <v>11</v>
      </c>
      <c r="Y89" s="331">
        <f t="shared" si="109"/>
        <v>0.91666666666666663</v>
      </c>
      <c r="Z89" s="228">
        <v>21</v>
      </c>
      <c r="AA89" s="255"/>
      <c r="AB89" s="255"/>
      <c r="AC89" s="255"/>
      <c r="AD89" s="280">
        <f t="shared" si="110"/>
        <v>0</v>
      </c>
      <c r="AE89" s="280">
        <f t="shared" si="111"/>
        <v>21</v>
      </c>
      <c r="AF89" s="281">
        <f t="shared" si="112"/>
        <v>1</v>
      </c>
      <c r="AG89" s="229">
        <v>18</v>
      </c>
      <c r="AH89" s="257"/>
      <c r="AI89" s="257"/>
      <c r="AJ89" s="257"/>
      <c r="AK89" s="305">
        <f t="shared" si="113"/>
        <v>0</v>
      </c>
      <c r="AL89" s="305">
        <f t="shared" si="114"/>
        <v>18</v>
      </c>
      <c r="AM89" s="306">
        <f t="shared" si="115"/>
        <v>1</v>
      </c>
      <c r="AN89" s="230">
        <v>14</v>
      </c>
      <c r="AO89" s="259"/>
      <c r="AP89" s="259"/>
      <c r="AQ89" s="259"/>
      <c r="AR89" s="307">
        <f t="shared" si="116"/>
        <v>0</v>
      </c>
      <c r="AS89" s="307">
        <f t="shared" si="117"/>
        <v>14</v>
      </c>
      <c r="AT89" s="308">
        <f t="shared" si="118"/>
        <v>1</v>
      </c>
      <c r="AU89" s="289">
        <f t="shared" si="119"/>
        <v>0</v>
      </c>
      <c r="AV89" s="289">
        <f t="shared" si="120"/>
        <v>1</v>
      </c>
      <c r="AW89" s="289">
        <f t="shared" si="121"/>
        <v>0</v>
      </c>
      <c r="AX89" s="290">
        <v>98</v>
      </c>
      <c r="AY89" s="289">
        <f t="shared" si="122"/>
        <v>97</v>
      </c>
      <c r="AZ89" s="291">
        <f t="shared" si="123"/>
        <v>0.98979591836734693</v>
      </c>
      <c r="BA89" s="344">
        <v>1</v>
      </c>
      <c r="BB89" s="383">
        <v>98</v>
      </c>
      <c r="BC89" s="379">
        <f t="shared" si="99"/>
        <v>2</v>
      </c>
      <c r="BD89" s="378">
        <f t="shared" si="100"/>
        <v>0</v>
      </c>
      <c r="BE89" s="381"/>
      <c r="BF89" s="378">
        <f t="shared" si="124"/>
        <v>96</v>
      </c>
    </row>
    <row r="90" spans="1:58" x14ac:dyDescent="0.35">
      <c r="A90" s="193" t="s">
        <v>24</v>
      </c>
      <c r="B90" s="35">
        <v>252610064</v>
      </c>
      <c r="C90" s="353" t="s">
        <v>1145</v>
      </c>
      <c r="D90" s="194" t="s">
        <v>6</v>
      </c>
      <c r="E90" s="215">
        <v>19</v>
      </c>
      <c r="F90" s="350"/>
      <c r="G90" s="350"/>
      <c r="H90" s="350"/>
      <c r="I90" s="326">
        <f t="shared" si="101"/>
        <v>0</v>
      </c>
      <c r="J90" s="326">
        <f t="shared" si="102"/>
        <v>19</v>
      </c>
      <c r="K90" s="327">
        <f t="shared" si="103"/>
        <v>1</v>
      </c>
      <c r="L90" s="221">
        <v>14</v>
      </c>
      <c r="M90" s="222"/>
      <c r="N90" s="223">
        <v>1</v>
      </c>
      <c r="O90" s="222"/>
      <c r="P90" s="328">
        <f t="shared" si="104"/>
        <v>1</v>
      </c>
      <c r="Q90" s="328">
        <f t="shared" si="105"/>
        <v>13</v>
      </c>
      <c r="R90" s="329">
        <f t="shared" si="106"/>
        <v>0.9285714285714286</v>
      </c>
      <c r="S90" s="225">
        <v>12</v>
      </c>
      <c r="T90" s="226"/>
      <c r="U90" s="226"/>
      <c r="V90" s="226"/>
      <c r="W90" s="330">
        <f t="shared" si="107"/>
        <v>0</v>
      </c>
      <c r="X90" s="330">
        <f t="shared" si="108"/>
        <v>12</v>
      </c>
      <c r="Y90" s="331">
        <f t="shared" si="109"/>
        <v>1</v>
      </c>
      <c r="Z90" s="228">
        <v>21</v>
      </c>
      <c r="AA90" s="255"/>
      <c r="AB90" s="255"/>
      <c r="AC90" s="255"/>
      <c r="AD90" s="280">
        <f t="shared" si="110"/>
        <v>0</v>
      </c>
      <c r="AE90" s="280">
        <f t="shared" si="111"/>
        <v>21</v>
      </c>
      <c r="AF90" s="281">
        <f t="shared" si="112"/>
        <v>1</v>
      </c>
      <c r="AG90" s="229">
        <v>18</v>
      </c>
      <c r="AH90" s="257"/>
      <c r="AI90" s="257"/>
      <c r="AJ90" s="257"/>
      <c r="AK90" s="305">
        <f t="shared" si="113"/>
        <v>0</v>
      </c>
      <c r="AL90" s="305">
        <f t="shared" si="114"/>
        <v>18</v>
      </c>
      <c r="AM90" s="306">
        <f t="shared" si="115"/>
        <v>1</v>
      </c>
      <c r="AN90" s="230">
        <v>14</v>
      </c>
      <c r="AO90" s="259"/>
      <c r="AP90" s="259"/>
      <c r="AQ90" s="259"/>
      <c r="AR90" s="307">
        <f t="shared" si="116"/>
        <v>0</v>
      </c>
      <c r="AS90" s="307">
        <f t="shared" si="117"/>
        <v>14</v>
      </c>
      <c r="AT90" s="308">
        <f t="shared" si="118"/>
        <v>1</v>
      </c>
      <c r="AU90" s="289">
        <f t="shared" si="119"/>
        <v>0</v>
      </c>
      <c r="AV90" s="289">
        <f t="shared" si="120"/>
        <v>1</v>
      </c>
      <c r="AW90" s="289">
        <f t="shared" si="121"/>
        <v>0</v>
      </c>
      <c r="AX90" s="290">
        <v>98</v>
      </c>
      <c r="AY90" s="289">
        <f t="shared" si="122"/>
        <v>97</v>
      </c>
      <c r="AZ90" s="291">
        <f t="shared" si="123"/>
        <v>0.98979591836734693</v>
      </c>
      <c r="BA90" s="344"/>
      <c r="BB90" s="383">
        <v>98</v>
      </c>
      <c r="BC90" s="379">
        <f t="shared" si="99"/>
        <v>0</v>
      </c>
      <c r="BD90" s="378">
        <f t="shared" si="100"/>
        <v>0</v>
      </c>
      <c r="BE90" s="381"/>
      <c r="BF90" s="378">
        <f t="shared" si="124"/>
        <v>98</v>
      </c>
    </row>
    <row r="91" spans="1:58" x14ac:dyDescent="0.35">
      <c r="A91" s="193" t="s">
        <v>25</v>
      </c>
      <c r="B91" s="35">
        <v>252610065</v>
      </c>
      <c r="C91" s="36" t="s">
        <v>1146</v>
      </c>
      <c r="D91" s="194" t="s">
        <v>6</v>
      </c>
      <c r="E91" s="215">
        <v>19</v>
      </c>
      <c r="F91" s="350">
        <v>1</v>
      </c>
      <c r="G91" s="350"/>
      <c r="H91" s="350">
        <v>2</v>
      </c>
      <c r="I91" s="326">
        <f t="shared" si="101"/>
        <v>3</v>
      </c>
      <c r="J91" s="326">
        <f t="shared" si="102"/>
        <v>16</v>
      </c>
      <c r="K91" s="327">
        <f t="shared" si="103"/>
        <v>0.84210526315789469</v>
      </c>
      <c r="L91" s="221">
        <v>14</v>
      </c>
      <c r="M91" s="222"/>
      <c r="N91" s="223"/>
      <c r="O91" s="222"/>
      <c r="P91" s="328">
        <f t="shared" si="104"/>
        <v>0</v>
      </c>
      <c r="Q91" s="328">
        <f t="shared" si="105"/>
        <v>14</v>
      </c>
      <c r="R91" s="329">
        <f t="shared" si="106"/>
        <v>1</v>
      </c>
      <c r="S91" s="225">
        <v>12</v>
      </c>
      <c r="T91" s="226">
        <v>1</v>
      </c>
      <c r="U91" s="226"/>
      <c r="V91" s="226">
        <v>1</v>
      </c>
      <c r="W91" s="330">
        <f t="shared" si="107"/>
        <v>2</v>
      </c>
      <c r="X91" s="330">
        <f t="shared" si="108"/>
        <v>10</v>
      </c>
      <c r="Y91" s="331">
        <f t="shared" si="109"/>
        <v>0.83333333333333337</v>
      </c>
      <c r="Z91" s="228">
        <v>21</v>
      </c>
      <c r="AA91" s="255"/>
      <c r="AB91" s="255"/>
      <c r="AC91" s="255"/>
      <c r="AD91" s="280">
        <f t="shared" si="110"/>
        <v>0</v>
      </c>
      <c r="AE91" s="280">
        <f t="shared" si="111"/>
        <v>21</v>
      </c>
      <c r="AF91" s="281">
        <f t="shared" si="112"/>
        <v>1</v>
      </c>
      <c r="AG91" s="229">
        <v>18</v>
      </c>
      <c r="AH91" s="257"/>
      <c r="AI91" s="257"/>
      <c r="AJ91" s="257"/>
      <c r="AK91" s="305">
        <f t="shared" si="113"/>
        <v>0</v>
      </c>
      <c r="AL91" s="305">
        <f t="shared" si="114"/>
        <v>18</v>
      </c>
      <c r="AM91" s="306">
        <f t="shared" si="115"/>
        <v>1</v>
      </c>
      <c r="AN91" s="230">
        <v>14</v>
      </c>
      <c r="AO91" s="259"/>
      <c r="AP91" s="259"/>
      <c r="AQ91" s="259"/>
      <c r="AR91" s="307">
        <f t="shared" si="116"/>
        <v>0</v>
      </c>
      <c r="AS91" s="307">
        <f t="shared" si="117"/>
        <v>14</v>
      </c>
      <c r="AT91" s="308">
        <f t="shared" si="118"/>
        <v>1</v>
      </c>
      <c r="AU91" s="289">
        <f t="shared" si="119"/>
        <v>2</v>
      </c>
      <c r="AV91" s="289">
        <f t="shared" si="120"/>
        <v>0</v>
      </c>
      <c r="AW91" s="289">
        <f t="shared" si="121"/>
        <v>3</v>
      </c>
      <c r="AX91" s="290">
        <v>98</v>
      </c>
      <c r="AY91" s="289">
        <f t="shared" si="122"/>
        <v>93</v>
      </c>
      <c r="AZ91" s="291">
        <f t="shared" si="123"/>
        <v>0.94897959183673475</v>
      </c>
      <c r="BA91" s="344">
        <v>2</v>
      </c>
      <c r="BB91" s="383">
        <v>86</v>
      </c>
      <c r="BC91" s="379">
        <f t="shared" si="99"/>
        <v>4</v>
      </c>
      <c r="BD91" s="378">
        <f t="shared" si="100"/>
        <v>6</v>
      </c>
      <c r="BE91" s="381"/>
      <c r="BF91" s="378">
        <f t="shared" si="124"/>
        <v>76</v>
      </c>
    </row>
    <row r="92" spans="1:58" x14ac:dyDescent="0.35">
      <c r="A92" s="193" t="s">
        <v>26</v>
      </c>
      <c r="B92" s="35">
        <v>252610066</v>
      </c>
      <c r="C92" s="351" t="s">
        <v>1147</v>
      </c>
      <c r="D92" s="194" t="s">
        <v>6</v>
      </c>
      <c r="E92" s="215">
        <v>19</v>
      </c>
      <c r="F92" s="350"/>
      <c r="G92" s="350"/>
      <c r="H92" s="350"/>
      <c r="I92" s="326">
        <f t="shared" si="101"/>
        <v>0</v>
      </c>
      <c r="J92" s="326">
        <f t="shared" si="102"/>
        <v>19</v>
      </c>
      <c r="K92" s="327">
        <f t="shared" si="103"/>
        <v>1</v>
      </c>
      <c r="L92" s="221">
        <v>14</v>
      </c>
      <c r="M92" s="222"/>
      <c r="N92" s="223"/>
      <c r="O92" s="222"/>
      <c r="P92" s="328">
        <f t="shared" si="104"/>
        <v>0</v>
      </c>
      <c r="Q92" s="328">
        <f t="shared" si="105"/>
        <v>14</v>
      </c>
      <c r="R92" s="329">
        <f t="shared" si="106"/>
        <v>1</v>
      </c>
      <c r="S92" s="225">
        <v>12</v>
      </c>
      <c r="T92" s="226"/>
      <c r="U92" s="226"/>
      <c r="V92" s="226"/>
      <c r="W92" s="330">
        <f t="shared" si="107"/>
        <v>0</v>
      </c>
      <c r="X92" s="330">
        <f t="shared" si="108"/>
        <v>12</v>
      </c>
      <c r="Y92" s="331">
        <f t="shared" si="109"/>
        <v>1</v>
      </c>
      <c r="Z92" s="228">
        <v>21</v>
      </c>
      <c r="AA92" s="255"/>
      <c r="AB92" s="255"/>
      <c r="AC92" s="255"/>
      <c r="AD92" s="280">
        <f t="shared" si="110"/>
        <v>0</v>
      </c>
      <c r="AE92" s="280">
        <f t="shared" si="111"/>
        <v>21</v>
      </c>
      <c r="AF92" s="281">
        <f t="shared" si="112"/>
        <v>1</v>
      </c>
      <c r="AG92" s="229">
        <v>18</v>
      </c>
      <c r="AH92" s="257"/>
      <c r="AI92" s="257"/>
      <c r="AJ92" s="257"/>
      <c r="AK92" s="305">
        <f t="shared" si="113"/>
        <v>0</v>
      </c>
      <c r="AL92" s="305">
        <f t="shared" si="114"/>
        <v>18</v>
      </c>
      <c r="AM92" s="306">
        <f t="shared" si="115"/>
        <v>1</v>
      </c>
      <c r="AN92" s="230">
        <v>14</v>
      </c>
      <c r="AO92" s="259"/>
      <c r="AP92" s="259"/>
      <c r="AQ92" s="259"/>
      <c r="AR92" s="307">
        <f t="shared" si="116"/>
        <v>0</v>
      </c>
      <c r="AS92" s="307">
        <f t="shared" si="117"/>
        <v>14</v>
      </c>
      <c r="AT92" s="308">
        <f t="shared" si="118"/>
        <v>1</v>
      </c>
      <c r="AU92" s="289">
        <f t="shared" si="119"/>
        <v>0</v>
      </c>
      <c r="AV92" s="289">
        <f t="shared" si="120"/>
        <v>0</v>
      </c>
      <c r="AW92" s="289">
        <f t="shared" si="121"/>
        <v>0</v>
      </c>
      <c r="AX92" s="290">
        <v>98</v>
      </c>
      <c r="AY92" s="289">
        <f t="shared" si="122"/>
        <v>98</v>
      </c>
      <c r="AZ92" s="291">
        <f t="shared" si="123"/>
        <v>1</v>
      </c>
      <c r="BA92" s="344"/>
      <c r="BB92" s="383">
        <v>94</v>
      </c>
      <c r="BC92" s="379">
        <f t="shared" si="99"/>
        <v>0</v>
      </c>
      <c r="BD92" s="378">
        <f t="shared" si="100"/>
        <v>0</v>
      </c>
      <c r="BE92" s="381"/>
      <c r="BF92" s="378">
        <f t="shared" si="124"/>
        <v>94</v>
      </c>
    </row>
    <row r="93" spans="1:58" x14ac:dyDescent="0.35">
      <c r="A93" s="193" t="s">
        <v>27</v>
      </c>
      <c r="B93" s="35">
        <v>252610067</v>
      </c>
      <c r="C93" s="351" t="s">
        <v>1148</v>
      </c>
      <c r="D93" s="194" t="s">
        <v>6</v>
      </c>
      <c r="E93" s="215">
        <v>19</v>
      </c>
      <c r="F93" s="350">
        <v>1</v>
      </c>
      <c r="G93" s="350"/>
      <c r="H93" s="350"/>
      <c r="I93" s="326">
        <f t="shared" si="101"/>
        <v>1</v>
      </c>
      <c r="J93" s="326">
        <f t="shared" si="102"/>
        <v>18</v>
      </c>
      <c r="K93" s="327">
        <f t="shared" si="103"/>
        <v>0.94736842105263153</v>
      </c>
      <c r="L93" s="221">
        <v>14</v>
      </c>
      <c r="M93" s="222"/>
      <c r="N93" s="223">
        <v>1</v>
      </c>
      <c r="O93" s="222"/>
      <c r="P93" s="328">
        <f t="shared" si="104"/>
        <v>1</v>
      </c>
      <c r="Q93" s="328">
        <f t="shared" si="105"/>
        <v>13</v>
      </c>
      <c r="R93" s="329">
        <f t="shared" si="106"/>
        <v>0.9285714285714286</v>
      </c>
      <c r="S93" s="225">
        <v>12</v>
      </c>
      <c r="T93" s="226"/>
      <c r="U93" s="226"/>
      <c r="V93" s="226"/>
      <c r="W93" s="330">
        <f t="shared" si="107"/>
        <v>0</v>
      </c>
      <c r="X93" s="330">
        <f t="shared" si="108"/>
        <v>12</v>
      </c>
      <c r="Y93" s="331">
        <f t="shared" si="109"/>
        <v>1</v>
      </c>
      <c r="Z93" s="228">
        <v>21</v>
      </c>
      <c r="AA93" s="255"/>
      <c r="AB93" s="255"/>
      <c r="AC93" s="255"/>
      <c r="AD93" s="280">
        <f t="shared" si="110"/>
        <v>0</v>
      </c>
      <c r="AE93" s="280">
        <f t="shared" si="111"/>
        <v>21</v>
      </c>
      <c r="AF93" s="281">
        <f t="shared" si="112"/>
        <v>1</v>
      </c>
      <c r="AG93" s="229">
        <v>18</v>
      </c>
      <c r="AH93" s="257"/>
      <c r="AI93" s="257"/>
      <c r="AJ93" s="257"/>
      <c r="AK93" s="305">
        <f t="shared" si="113"/>
        <v>0</v>
      </c>
      <c r="AL93" s="305">
        <f t="shared" si="114"/>
        <v>18</v>
      </c>
      <c r="AM93" s="306">
        <f t="shared" si="115"/>
        <v>1</v>
      </c>
      <c r="AN93" s="230">
        <v>14</v>
      </c>
      <c r="AO93" s="259"/>
      <c r="AP93" s="259"/>
      <c r="AQ93" s="259"/>
      <c r="AR93" s="307">
        <f t="shared" si="116"/>
        <v>0</v>
      </c>
      <c r="AS93" s="307">
        <f t="shared" si="117"/>
        <v>14</v>
      </c>
      <c r="AT93" s="308">
        <f t="shared" si="118"/>
        <v>1</v>
      </c>
      <c r="AU93" s="289">
        <f t="shared" si="119"/>
        <v>1</v>
      </c>
      <c r="AV93" s="289">
        <f t="shared" si="120"/>
        <v>1</v>
      </c>
      <c r="AW93" s="289">
        <f t="shared" si="121"/>
        <v>0</v>
      </c>
      <c r="AX93" s="290">
        <v>98</v>
      </c>
      <c r="AY93" s="289">
        <f t="shared" si="122"/>
        <v>96</v>
      </c>
      <c r="AZ93" s="291">
        <f t="shared" si="123"/>
        <v>0.97959183673469385</v>
      </c>
      <c r="BA93" s="344"/>
      <c r="BB93" s="383">
        <v>98</v>
      </c>
      <c r="BC93" s="379">
        <f t="shared" si="99"/>
        <v>0</v>
      </c>
      <c r="BD93" s="378">
        <f t="shared" si="100"/>
        <v>0</v>
      </c>
      <c r="BE93" s="381"/>
      <c r="BF93" s="378">
        <f t="shared" si="124"/>
        <v>98</v>
      </c>
    </row>
    <row r="94" spans="1:58" x14ac:dyDescent="0.35">
      <c r="A94" s="193" t="s">
        <v>28</v>
      </c>
      <c r="B94" s="35">
        <v>252610068</v>
      </c>
      <c r="C94" s="36" t="s">
        <v>1149</v>
      </c>
      <c r="D94" s="194" t="s">
        <v>6</v>
      </c>
      <c r="E94" s="215">
        <v>19</v>
      </c>
      <c r="F94" s="350"/>
      <c r="G94" s="350"/>
      <c r="H94" s="350">
        <v>2</v>
      </c>
      <c r="I94" s="326">
        <f t="shared" si="101"/>
        <v>2</v>
      </c>
      <c r="J94" s="326">
        <f t="shared" si="102"/>
        <v>17</v>
      </c>
      <c r="K94" s="327">
        <f t="shared" si="103"/>
        <v>0.89473684210526316</v>
      </c>
      <c r="L94" s="221">
        <v>14</v>
      </c>
      <c r="M94" s="222"/>
      <c r="N94" s="223">
        <v>3</v>
      </c>
      <c r="O94" s="222">
        <v>1</v>
      </c>
      <c r="P94" s="328">
        <f t="shared" si="104"/>
        <v>4</v>
      </c>
      <c r="Q94" s="328">
        <f t="shared" si="105"/>
        <v>10</v>
      </c>
      <c r="R94" s="329">
        <f t="shared" si="106"/>
        <v>0.7142857142857143</v>
      </c>
      <c r="S94" s="225">
        <v>12</v>
      </c>
      <c r="T94" s="226"/>
      <c r="U94" s="226"/>
      <c r="V94" s="226">
        <v>1</v>
      </c>
      <c r="W94" s="330">
        <f t="shared" si="107"/>
        <v>1</v>
      </c>
      <c r="X94" s="330">
        <f t="shared" si="108"/>
        <v>11</v>
      </c>
      <c r="Y94" s="331">
        <f t="shared" si="109"/>
        <v>0.91666666666666663</v>
      </c>
      <c r="Z94" s="228">
        <v>21</v>
      </c>
      <c r="AA94" s="255"/>
      <c r="AB94" s="255"/>
      <c r="AC94" s="255"/>
      <c r="AD94" s="280">
        <f t="shared" si="110"/>
        <v>0</v>
      </c>
      <c r="AE94" s="280">
        <f t="shared" si="111"/>
        <v>21</v>
      </c>
      <c r="AF94" s="281">
        <f t="shared" si="112"/>
        <v>1</v>
      </c>
      <c r="AG94" s="229">
        <v>18</v>
      </c>
      <c r="AH94" s="257"/>
      <c r="AI94" s="257"/>
      <c r="AJ94" s="257"/>
      <c r="AK94" s="305">
        <f t="shared" si="113"/>
        <v>0</v>
      </c>
      <c r="AL94" s="305">
        <f t="shared" si="114"/>
        <v>18</v>
      </c>
      <c r="AM94" s="306">
        <f t="shared" si="115"/>
        <v>1</v>
      </c>
      <c r="AN94" s="230">
        <v>14</v>
      </c>
      <c r="AO94" s="259"/>
      <c r="AP94" s="259"/>
      <c r="AQ94" s="259"/>
      <c r="AR94" s="307">
        <f t="shared" si="116"/>
        <v>0</v>
      </c>
      <c r="AS94" s="307">
        <f t="shared" si="117"/>
        <v>14</v>
      </c>
      <c r="AT94" s="308">
        <f t="shared" si="118"/>
        <v>1</v>
      </c>
      <c r="AU94" s="289">
        <f t="shared" si="119"/>
        <v>0</v>
      </c>
      <c r="AV94" s="289">
        <f t="shared" si="120"/>
        <v>3</v>
      </c>
      <c r="AW94" s="289">
        <f t="shared" si="121"/>
        <v>4</v>
      </c>
      <c r="AX94" s="290">
        <v>98</v>
      </c>
      <c r="AY94" s="289">
        <f t="shared" si="122"/>
        <v>91</v>
      </c>
      <c r="AZ94" s="291">
        <f t="shared" si="123"/>
        <v>0.9285714285714286</v>
      </c>
      <c r="BA94" s="344"/>
      <c r="BB94" s="383">
        <v>98</v>
      </c>
      <c r="BC94" s="379">
        <f t="shared" si="99"/>
        <v>0</v>
      </c>
      <c r="BD94" s="378">
        <f t="shared" si="100"/>
        <v>8</v>
      </c>
      <c r="BE94" s="381"/>
      <c r="BF94" s="378">
        <f t="shared" si="124"/>
        <v>90</v>
      </c>
    </row>
    <row r="95" spans="1:58" x14ac:dyDescent="0.35">
      <c r="A95" s="193" t="s">
        <v>29</v>
      </c>
      <c r="B95" s="35">
        <v>252610069</v>
      </c>
      <c r="C95" s="36" t="s">
        <v>1150</v>
      </c>
      <c r="D95" s="194" t="s">
        <v>6</v>
      </c>
      <c r="E95" s="215">
        <v>19</v>
      </c>
      <c r="F95" s="350"/>
      <c r="G95" s="350"/>
      <c r="H95" s="350"/>
      <c r="I95" s="326">
        <f t="shared" si="101"/>
        <v>0</v>
      </c>
      <c r="J95" s="326">
        <f t="shared" si="102"/>
        <v>19</v>
      </c>
      <c r="K95" s="327">
        <f t="shared" si="103"/>
        <v>1</v>
      </c>
      <c r="L95" s="221">
        <v>14</v>
      </c>
      <c r="M95" s="222"/>
      <c r="N95" s="223">
        <v>1</v>
      </c>
      <c r="O95" s="222"/>
      <c r="P95" s="328">
        <f t="shared" si="104"/>
        <v>1</v>
      </c>
      <c r="Q95" s="328">
        <f t="shared" si="105"/>
        <v>13</v>
      </c>
      <c r="R95" s="329">
        <f t="shared" si="106"/>
        <v>0.9285714285714286</v>
      </c>
      <c r="S95" s="225">
        <v>12</v>
      </c>
      <c r="T95" s="226"/>
      <c r="U95" s="226"/>
      <c r="V95" s="226"/>
      <c r="W95" s="330">
        <f t="shared" si="107"/>
        <v>0</v>
      </c>
      <c r="X95" s="330">
        <f t="shared" si="108"/>
        <v>12</v>
      </c>
      <c r="Y95" s="331">
        <f t="shared" si="109"/>
        <v>1</v>
      </c>
      <c r="Z95" s="228">
        <v>21</v>
      </c>
      <c r="AA95" s="255"/>
      <c r="AB95" s="255"/>
      <c r="AC95" s="255"/>
      <c r="AD95" s="280">
        <f t="shared" si="110"/>
        <v>0</v>
      </c>
      <c r="AE95" s="280">
        <f t="shared" si="111"/>
        <v>21</v>
      </c>
      <c r="AF95" s="281">
        <f t="shared" si="112"/>
        <v>1</v>
      </c>
      <c r="AG95" s="229">
        <v>18</v>
      </c>
      <c r="AH95" s="257"/>
      <c r="AI95" s="257"/>
      <c r="AJ95" s="257"/>
      <c r="AK95" s="305">
        <f t="shared" si="113"/>
        <v>0</v>
      </c>
      <c r="AL95" s="305">
        <f t="shared" si="114"/>
        <v>18</v>
      </c>
      <c r="AM95" s="306">
        <f t="shared" si="115"/>
        <v>1</v>
      </c>
      <c r="AN95" s="230">
        <v>14</v>
      </c>
      <c r="AO95" s="259"/>
      <c r="AP95" s="259"/>
      <c r="AQ95" s="259"/>
      <c r="AR95" s="307">
        <f t="shared" si="116"/>
        <v>0</v>
      </c>
      <c r="AS95" s="307">
        <f t="shared" si="117"/>
        <v>14</v>
      </c>
      <c r="AT95" s="308">
        <f t="shared" si="118"/>
        <v>1</v>
      </c>
      <c r="AU95" s="289">
        <f t="shared" si="119"/>
        <v>0</v>
      </c>
      <c r="AV95" s="289">
        <f t="shared" si="120"/>
        <v>1</v>
      </c>
      <c r="AW95" s="289">
        <f t="shared" si="121"/>
        <v>0</v>
      </c>
      <c r="AX95" s="290">
        <v>98</v>
      </c>
      <c r="AY95" s="289">
        <f t="shared" si="122"/>
        <v>97</v>
      </c>
      <c r="AZ95" s="291">
        <f t="shared" si="123"/>
        <v>0.98979591836734693</v>
      </c>
      <c r="BA95" s="344"/>
      <c r="BB95" s="383">
        <v>100</v>
      </c>
      <c r="BC95" s="379">
        <f t="shared" si="99"/>
        <v>0</v>
      </c>
      <c r="BD95" s="378">
        <f t="shared" si="100"/>
        <v>0</v>
      </c>
      <c r="BE95" s="381"/>
      <c r="BF95" s="378">
        <f t="shared" si="124"/>
        <v>100</v>
      </c>
    </row>
    <row r="96" spans="1:58" x14ac:dyDescent="0.35">
      <c r="A96" s="193" t="s">
        <v>30</v>
      </c>
      <c r="B96" s="35">
        <v>252610070</v>
      </c>
      <c r="C96" s="36" t="s">
        <v>1151</v>
      </c>
      <c r="D96" s="194" t="s">
        <v>6</v>
      </c>
      <c r="E96" s="215">
        <v>19</v>
      </c>
      <c r="F96" s="350">
        <v>2</v>
      </c>
      <c r="G96" s="350">
        <v>1</v>
      </c>
      <c r="H96" s="350">
        <v>1</v>
      </c>
      <c r="I96" s="326">
        <f t="shared" si="101"/>
        <v>4</v>
      </c>
      <c r="J96" s="326">
        <f t="shared" si="102"/>
        <v>15</v>
      </c>
      <c r="K96" s="327">
        <f t="shared" si="103"/>
        <v>0.78947368421052633</v>
      </c>
      <c r="L96" s="221">
        <v>14</v>
      </c>
      <c r="M96" s="222"/>
      <c r="N96" s="223">
        <v>2</v>
      </c>
      <c r="O96" s="222"/>
      <c r="P96" s="328">
        <f t="shared" si="104"/>
        <v>2</v>
      </c>
      <c r="Q96" s="328">
        <f t="shared" si="105"/>
        <v>12</v>
      </c>
      <c r="R96" s="329">
        <f t="shared" si="106"/>
        <v>0.8571428571428571</v>
      </c>
      <c r="S96" s="225">
        <v>12</v>
      </c>
      <c r="T96" s="226"/>
      <c r="U96" s="226">
        <v>1</v>
      </c>
      <c r="V96" s="226">
        <v>1</v>
      </c>
      <c r="W96" s="330">
        <f t="shared" si="107"/>
        <v>2</v>
      </c>
      <c r="X96" s="330">
        <f t="shared" si="108"/>
        <v>10</v>
      </c>
      <c r="Y96" s="331">
        <f t="shared" si="109"/>
        <v>0.83333333333333337</v>
      </c>
      <c r="Z96" s="228">
        <v>21</v>
      </c>
      <c r="AA96" s="255"/>
      <c r="AB96" s="255"/>
      <c r="AC96" s="255"/>
      <c r="AD96" s="280">
        <f t="shared" si="110"/>
        <v>0</v>
      </c>
      <c r="AE96" s="280">
        <f t="shared" si="111"/>
        <v>21</v>
      </c>
      <c r="AF96" s="281">
        <f t="shared" si="112"/>
        <v>1</v>
      </c>
      <c r="AG96" s="229">
        <v>18</v>
      </c>
      <c r="AH96" s="257"/>
      <c r="AI96" s="257"/>
      <c r="AJ96" s="257"/>
      <c r="AK96" s="305">
        <f t="shared" si="113"/>
        <v>0</v>
      </c>
      <c r="AL96" s="305">
        <f t="shared" si="114"/>
        <v>18</v>
      </c>
      <c r="AM96" s="306">
        <f t="shared" si="115"/>
        <v>1</v>
      </c>
      <c r="AN96" s="230">
        <v>14</v>
      </c>
      <c r="AO96" s="259"/>
      <c r="AP96" s="259"/>
      <c r="AQ96" s="259"/>
      <c r="AR96" s="307">
        <f t="shared" si="116"/>
        <v>0</v>
      </c>
      <c r="AS96" s="307">
        <f t="shared" si="117"/>
        <v>14</v>
      </c>
      <c r="AT96" s="308">
        <f t="shared" si="118"/>
        <v>1</v>
      </c>
      <c r="AU96" s="289">
        <f t="shared" si="119"/>
        <v>2</v>
      </c>
      <c r="AV96" s="289">
        <f t="shared" si="120"/>
        <v>4</v>
      </c>
      <c r="AW96" s="289">
        <f t="shared" si="121"/>
        <v>2</v>
      </c>
      <c r="AX96" s="290">
        <v>98</v>
      </c>
      <c r="AY96" s="289">
        <f t="shared" si="122"/>
        <v>90</v>
      </c>
      <c r="AZ96" s="291">
        <f t="shared" si="123"/>
        <v>0.91836734693877553</v>
      </c>
      <c r="BA96" s="344"/>
      <c r="BB96" s="383">
        <v>86</v>
      </c>
      <c r="BC96" s="379">
        <f t="shared" si="99"/>
        <v>0</v>
      </c>
      <c r="BD96" s="378">
        <f t="shared" si="100"/>
        <v>4</v>
      </c>
      <c r="BE96" s="381"/>
      <c r="BF96" s="378">
        <f t="shared" si="124"/>
        <v>82</v>
      </c>
    </row>
    <row r="97" spans="1:58" x14ac:dyDescent="0.35">
      <c r="A97" s="193" t="s">
        <v>31</v>
      </c>
      <c r="B97" s="35">
        <v>252610071</v>
      </c>
      <c r="C97" s="36" t="s">
        <v>1152</v>
      </c>
      <c r="D97" s="194" t="s">
        <v>6</v>
      </c>
      <c r="E97" s="215">
        <v>19</v>
      </c>
      <c r="F97" s="350"/>
      <c r="G97" s="350">
        <v>3</v>
      </c>
      <c r="H97" s="350"/>
      <c r="I97" s="326">
        <f t="shared" si="101"/>
        <v>3</v>
      </c>
      <c r="J97" s="326">
        <f t="shared" si="102"/>
        <v>16</v>
      </c>
      <c r="K97" s="327">
        <f t="shared" si="103"/>
        <v>0.84210526315789469</v>
      </c>
      <c r="L97" s="221">
        <v>14</v>
      </c>
      <c r="M97" s="222"/>
      <c r="N97" s="223"/>
      <c r="O97" s="222"/>
      <c r="P97" s="328">
        <f t="shared" si="104"/>
        <v>0</v>
      </c>
      <c r="Q97" s="328">
        <f t="shared" si="105"/>
        <v>14</v>
      </c>
      <c r="R97" s="329">
        <f t="shared" si="106"/>
        <v>1</v>
      </c>
      <c r="S97" s="225">
        <v>12</v>
      </c>
      <c r="T97" s="226"/>
      <c r="U97" s="226"/>
      <c r="V97" s="226"/>
      <c r="W97" s="330">
        <f t="shared" si="107"/>
        <v>0</v>
      </c>
      <c r="X97" s="330">
        <f t="shared" si="108"/>
        <v>12</v>
      </c>
      <c r="Y97" s="331">
        <f t="shared" si="109"/>
        <v>1</v>
      </c>
      <c r="Z97" s="228">
        <v>21</v>
      </c>
      <c r="AA97" s="255"/>
      <c r="AB97" s="255"/>
      <c r="AC97" s="255"/>
      <c r="AD97" s="280">
        <f t="shared" si="110"/>
        <v>0</v>
      </c>
      <c r="AE97" s="280">
        <f t="shared" si="111"/>
        <v>21</v>
      </c>
      <c r="AF97" s="281">
        <f t="shared" si="112"/>
        <v>1</v>
      </c>
      <c r="AG97" s="229">
        <v>18</v>
      </c>
      <c r="AH97" s="257"/>
      <c r="AI97" s="257"/>
      <c r="AJ97" s="257"/>
      <c r="AK97" s="305">
        <f t="shared" si="113"/>
        <v>0</v>
      </c>
      <c r="AL97" s="305">
        <f t="shared" si="114"/>
        <v>18</v>
      </c>
      <c r="AM97" s="306">
        <f t="shared" si="115"/>
        <v>1</v>
      </c>
      <c r="AN97" s="230">
        <v>14</v>
      </c>
      <c r="AO97" s="259"/>
      <c r="AP97" s="259"/>
      <c r="AQ97" s="259"/>
      <c r="AR97" s="307">
        <f t="shared" si="116"/>
        <v>0</v>
      </c>
      <c r="AS97" s="307">
        <f t="shared" si="117"/>
        <v>14</v>
      </c>
      <c r="AT97" s="308">
        <f t="shared" si="118"/>
        <v>1</v>
      </c>
      <c r="AU97" s="289">
        <f t="shared" si="119"/>
        <v>0</v>
      </c>
      <c r="AV97" s="289">
        <f t="shared" si="120"/>
        <v>3</v>
      </c>
      <c r="AW97" s="289">
        <f t="shared" si="121"/>
        <v>0</v>
      </c>
      <c r="AX97" s="290">
        <v>98</v>
      </c>
      <c r="AY97" s="289">
        <f t="shared" si="122"/>
        <v>95</v>
      </c>
      <c r="AZ97" s="291">
        <f t="shared" si="123"/>
        <v>0.96938775510204078</v>
      </c>
      <c r="BA97" s="344"/>
      <c r="BB97" s="383">
        <v>94</v>
      </c>
      <c r="BC97" s="379">
        <f t="shared" si="99"/>
        <v>0</v>
      </c>
      <c r="BD97" s="378">
        <f t="shared" si="100"/>
        <v>0</v>
      </c>
      <c r="BE97" s="381"/>
      <c r="BF97" s="378">
        <f t="shared" si="124"/>
        <v>94</v>
      </c>
    </row>
    <row r="98" spans="1:58" x14ac:dyDescent="0.35">
      <c r="A98" s="193" t="s">
        <v>32</v>
      </c>
      <c r="B98" s="35">
        <v>252610072</v>
      </c>
      <c r="C98" s="351" t="s">
        <v>1153</v>
      </c>
      <c r="D98" s="194" t="s">
        <v>6</v>
      </c>
      <c r="E98" s="215">
        <v>19</v>
      </c>
      <c r="F98" s="350"/>
      <c r="G98" s="350"/>
      <c r="H98" s="350"/>
      <c r="I98" s="326">
        <f t="shared" si="101"/>
        <v>0</v>
      </c>
      <c r="J98" s="326">
        <f t="shared" si="102"/>
        <v>19</v>
      </c>
      <c r="K98" s="327">
        <f t="shared" si="103"/>
        <v>1</v>
      </c>
      <c r="L98" s="221">
        <v>14</v>
      </c>
      <c r="M98" s="222"/>
      <c r="N98" s="223"/>
      <c r="O98" s="222"/>
      <c r="P98" s="328">
        <f t="shared" si="104"/>
        <v>0</v>
      </c>
      <c r="Q98" s="328">
        <f t="shared" si="105"/>
        <v>14</v>
      </c>
      <c r="R98" s="329">
        <f t="shared" si="106"/>
        <v>1</v>
      </c>
      <c r="S98" s="225">
        <v>12</v>
      </c>
      <c r="T98" s="226"/>
      <c r="U98" s="226"/>
      <c r="V98" s="226"/>
      <c r="W98" s="330">
        <f t="shared" si="107"/>
        <v>0</v>
      </c>
      <c r="X98" s="330">
        <f t="shared" si="108"/>
        <v>12</v>
      </c>
      <c r="Y98" s="331">
        <f t="shared" si="109"/>
        <v>1</v>
      </c>
      <c r="Z98" s="228">
        <v>21</v>
      </c>
      <c r="AA98" s="255"/>
      <c r="AB98" s="255"/>
      <c r="AC98" s="255"/>
      <c r="AD98" s="280">
        <f t="shared" si="110"/>
        <v>0</v>
      </c>
      <c r="AE98" s="280">
        <f t="shared" si="111"/>
        <v>21</v>
      </c>
      <c r="AF98" s="281">
        <f t="shared" si="112"/>
        <v>1</v>
      </c>
      <c r="AG98" s="229">
        <v>18</v>
      </c>
      <c r="AH98" s="257"/>
      <c r="AI98" s="257"/>
      <c r="AJ98" s="257"/>
      <c r="AK98" s="305">
        <f t="shared" si="113"/>
        <v>0</v>
      </c>
      <c r="AL98" s="305">
        <f t="shared" si="114"/>
        <v>18</v>
      </c>
      <c r="AM98" s="306">
        <f t="shared" si="115"/>
        <v>1</v>
      </c>
      <c r="AN98" s="230">
        <v>14</v>
      </c>
      <c r="AO98" s="259"/>
      <c r="AP98" s="259"/>
      <c r="AQ98" s="259"/>
      <c r="AR98" s="307">
        <f t="shared" si="116"/>
        <v>0</v>
      </c>
      <c r="AS98" s="307">
        <f t="shared" si="117"/>
        <v>14</v>
      </c>
      <c r="AT98" s="308">
        <f t="shared" si="118"/>
        <v>1</v>
      </c>
      <c r="AU98" s="289">
        <f t="shared" si="119"/>
        <v>0</v>
      </c>
      <c r="AV98" s="289">
        <f t="shared" si="120"/>
        <v>0</v>
      </c>
      <c r="AW98" s="289">
        <f t="shared" si="121"/>
        <v>0</v>
      </c>
      <c r="AX98" s="290">
        <v>98</v>
      </c>
      <c r="AY98" s="289">
        <f t="shared" si="122"/>
        <v>98</v>
      </c>
      <c r="AZ98" s="291">
        <f t="shared" si="123"/>
        <v>1</v>
      </c>
      <c r="BA98" s="344"/>
      <c r="BB98" s="383">
        <v>100</v>
      </c>
      <c r="BC98" s="379">
        <f t="shared" si="99"/>
        <v>0</v>
      </c>
      <c r="BD98" s="378">
        <f t="shared" si="100"/>
        <v>0</v>
      </c>
      <c r="BE98" s="381"/>
      <c r="BF98" s="378">
        <f t="shared" si="124"/>
        <v>100</v>
      </c>
    </row>
    <row r="99" spans="1:58" x14ac:dyDescent="0.35">
      <c r="A99" s="193" t="s">
        <v>33</v>
      </c>
      <c r="B99" s="35">
        <v>252610073</v>
      </c>
      <c r="C99" s="351" t="s">
        <v>1154</v>
      </c>
      <c r="D99" s="194" t="s">
        <v>6</v>
      </c>
      <c r="E99" s="215">
        <v>19</v>
      </c>
      <c r="F99" s="350"/>
      <c r="G99" s="350"/>
      <c r="H99" s="350"/>
      <c r="I99" s="326">
        <f t="shared" si="101"/>
        <v>0</v>
      </c>
      <c r="J99" s="326">
        <f t="shared" si="102"/>
        <v>19</v>
      </c>
      <c r="K99" s="327">
        <f t="shared" si="103"/>
        <v>1</v>
      </c>
      <c r="L99" s="221">
        <v>14</v>
      </c>
      <c r="M99" s="222"/>
      <c r="N99" s="223"/>
      <c r="O99" s="222"/>
      <c r="P99" s="328">
        <f t="shared" si="104"/>
        <v>0</v>
      </c>
      <c r="Q99" s="328">
        <f t="shared" si="105"/>
        <v>14</v>
      </c>
      <c r="R99" s="329">
        <f t="shared" si="106"/>
        <v>1</v>
      </c>
      <c r="S99" s="225">
        <v>12</v>
      </c>
      <c r="T99" s="226"/>
      <c r="U99" s="226"/>
      <c r="V99" s="226"/>
      <c r="W99" s="330">
        <f t="shared" si="107"/>
        <v>0</v>
      </c>
      <c r="X99" s="330">
        <f t="shared" si="108"/>
        <v>12</v>
      </c>
      <c r="Y99" s="331">
        <f t="shared" si="109"/>
        <v>1</v>
      </c>
      <c r="Z99" s="228">
        <v>21</v>
      </c>
      <c r="AA99" s="255"/>
      <c r="AB99" s="255"/>
      <c r="AC99" s="255"/>
      <c r="AD99" s="280">
        <f t="shared" si="110"/>
        <v>0</v>
      </c>
      <c r="AE99" s="280">
        <f t="shared" si="111"/>
        <v>21</v>
      </c>
      <c r="AF99" s="281">
        <f t="shared" si="112"/>
        <v>1</v>
      </c>
      <c r="AG99" s="229">
        <v>18</v>
      </c>
      <c r="AH99" s="257"/>
      <c r="AI99" s="257"/>
      <c r="AJ99" s="257"/>
      <c r="AK99" s="305">
        <f t="shared" si="113"/>
        <v>0</v>
      </c>
      <c r="AL99" s="305">
        <f t="shared" si="114"/>
        <v>18</v>
      </c>
      <c r="AM99" s="306">
        <f t="shared" si="115"/>
        <v>1</v>
      </c>
      <c r="AN99" s="230">
        <v>14</v>
      </c>
      <c r="AO99" s="259"/>
      <c r="AP99" s="259"/>
      <c r="AQ99" s="259"/>
      <c r="AR99" s="307">
        <f t="shared" si="116"/>
        <v>0</v>
      </c>
      <c r="AS99" s="307">
        <f t="shared" si="117"/>
        <v>14</v>
      </c>
      <c r="AT99" s="308">
        <f t="shared" si="118"/>
        <v>1</v>
      </c>
      <c r="AU99" s="289">
        <f t="shared" si="119"/>
        <v>0</v>
      </c>
      <c r="AV99" s="289">
        <f t="shared" si="120"/>
        <v>0</v>
      </c>
      <c r="AW99" s="289">
        <f t="shared" si="121"/>
        <v>0</v>
      </c>
      <c r="AX99" s="290">
        <v>98</v>
      </c>
      <c r="AY99" s="289">
        <f t="shared" si="122"/>
        <v>98</v>
      </c>
      <c r="AZ99" s="291">
        <f t="shared" si="123"/>
        <v>1</v>
      </c>
      <c r="BA99" s="344"/>
      <c r="BB99" s="383">
        <v>98</v>
      </c>
      <c r="BC99" s="379">
        <f t="shared" si="99"/>
        <v>0</v>
      </c>
      <c r="BD99" s="378">
        <f t="shared" si="100"/>
        <v>0</v>
      </c>
      <c r="BE99" s="381"/>
      <c r="BF99" s="378">
        <f t="shared" si="124"/>
        <v>98</v>
      </c>
    </row>
    <row r="100" spans="1:58" x14ac:dyDescent="0.35">
      <c r="A100" s="193" t="s">
        <v>34</v>
      </c>
      <c r="B100" s="35">
        <v>252610074</v>
      </c>
      <c r="C100" s="351" t="s">
        <v>1155</v>
      </c>
      <c r="D100" s="194" t="s">
        <v>6</v>
      </c>
      <c r="E100" s="215">
        <v>19</v>
      </c>
      <c r="F100" s="350"/>
      <c r="G100" s="350"/>
      <c r="H100" s="350"/>
      <c r="I100" s="326">
        <f t="shared" si="101"/>
        <v>0</v>
      </c>
      <c r="J100" s="326">
        <f t="shared" si="102"/>
        <v>19</v>
      </c>
      <c r="K100" s="327">
        <f t="shared" si="103"/>
        <v>1</v>
      </c>
      <c r="L100" s="221">
        <v>14</v>
      </c>
      <c r="M100" s="222"/>
      <c r="N100" s="223"/>
      <c r="O100" s="222"/>
      <c r="P100" s="328">
        <f t="shared" si="104"/>
        <v>0</v>
      </c>
      <c r="Q100" s="328">
        <f t="shared" si="105"/>
        <v>14</v>
      </c>
      <c r="R100" s="329">
        <f t="shared" si="106"/>
        <v>1</v>
      </c>
      <c r="S100" s="225">
        <v>12</v>
      </c>
      <c r="T100" s="226"/>
      <c r="U100" s="226"/>
      <c r="V100" s="226"/>
      <c r="W100" s="330">
        <f t="shared" si="107"/>
        <v>0</v>
      </c>
      <c r="X100" s="330">
        <f t="shared" si="108"/>
        <v>12</v>
      </c>
      <c r="Y100" s="331">
        <f t="shared" si="109"/>
        <v>1</v>
      </c>
      <c r="Z100" s="228">
        <v>21</v>
      </c>
      <c r="AA100" s="255"/>
      <c r="AB100" s="255"/>
      <c r="AC100" s="255"/>
      <c r="AD100" s="280">
        <f t="shared" si="110"/>
        <v>0</v>
      </c>
      <c r="AE100" s="280">
        <f t="shared" si="111"/>
        <v>21</v>
      </c>
      <c r="AF100" s="281">
        <f t="shared" si="112"/>
        <v>1</v>
      </c>
      <c r="AG100" s="229">
        <v>18</v>
      </c>
      <c r="AH100" s="257"/>
      <c r="AI100" s="257"/>
      <c r="AJ100" s="257"/>
      <c r="AK100" s="305">
        <f t="shared" si="113"/>
        <v>0</v>
      </c>
      <c r="AL100" s="305">
        <f t="shared" si="114"/>
        <v>18</v>
      </c>
      <c r="AM100" s="306">
        <f t="shared" si="115"/>
        <v>1</v>
      </c>
      <c r="AN100" s="230">
        <v>14</v>
      </c>
      <c r="AO100" s="259"/>
      <c r="AP100" s="259"/>
      <c r="AQ100" s="259"/>
      <c r="AR100" s="307">
        <f t="shared" si="116"/>
        <v>0</v>
      </c>
      <c r="AS100" s="307">
        <f t="shared" si="117"/>
        <v>14</v>
      </c>
      <c r="AT100" s="308">
        <f t="shared" si="118"/>
        <v>1</v>
      </c>
      <c r="AU100" s="289">
        <f t="shared" si="119"/>
        <v>0</v>
      </c>
      <c r="AV100" s="289">
        <f t="shared" si="120"/>
        <v>0</v>
      </c>
      <c r="AW100" s="289">
        <f t="shared" si="121"/>
        <v>0</v>
      </c>
      <c r="AX100" s="290">
        <v>98</v>
      </c>
      <c r="AY100" s="289">
        <f t="shared" si="122"/>
        <v>98</v>
      </c>
      <c r="AZ100" s="291">
        <f t="shared" si="123"/>
        <v>1</v>
      </c>
      <c r="BA100" s="344">
        <v>1</v>
      </c>
      <c r="BB100" s="383">
        <v>96</v>
      </c>
      <c r="BC100" s="379">
        <f t="shared" si="99"/>
        <v>2</v>
      </c>
      <c r="BD100" s="378">
        <f t="shared" si="100"/>
        <v>0</v>
      </c>
      <c r="BE100" s="381"/>
      <c r="BF100" s="378">
        <f t="shared" si="124"/>
        <v>94</v>
      </c>
    </row>
    <row r="101" spans="1:58" x14ac:dyDescent="0.35">
      <c r="A101" s="193" t="s">
        <v>35</v>
      </c>
      <c r="B101" s="35">
        <v>252610075</v>
      </c>
      <c r="C101" s="351" t="s">
        <v>1156</v>
      </c>
      <c r="D101" s="194" t="s">
        <v>6</v>
      </c>
      <c r="E101" s="215">
        <v>19</v>
      </c>
      <c r="F101" s="350"/>
      <c r="G101" s="350"/>
      <c r="H101" s="350">
        <v>2</v>
      </c>
      <c r="I101" s="326">
        <f t="shared" si="101"/>
        <v>2</v>
      </c>
      <c r="J101" s="326">
        <f t="shared" si="102"/>
        <v>17</v>
      </c>
      <c r="K101" s="327">
        <f t="shared" si="103"/>
        <v>0.89473684210526316</v>
      </c>
      <c r="L101" s="221">
        <v>14</v>
      </c>
      <c r="M101" s="222"/>
      <c r="N101" s="223">
        <v>1</v>
      </c>
      <c r="O101" s="222"/>
      <c r="P101" s="328">
        <f t="shared" si="104"/>
        <v>1</v>
      </c>
      <c r="Q101" s="328">
        <f t="shared" si="105"/>
        <v>13</v>
      </c>
      <c r="R101" s="329">
        <f t="shared" si="106"/>
        <v>0.9285714285714286</v>
      </c>
      <c r="S101" s="225">
        <v>12</v>
      </c>
      <c r="T101" s="226"/>
      <c r="U101" s="226">
        <v>1</v>
      </c>
      <c r="V101" s="226"/>
      <c r="W101" s="330">
        <f t="shared" si="107"/>
        <v>1</v>
      </c>
      <c r="X101" s="330">
        <f t="shared" si="108"/>
        <v>11</v>
      </c>
      <c r="Y101" s="331">
        <f t="shared" si="109"/>
        <v>0.91666666666666663</v>
      </c>
      <c r="Z101" s="228">
        <v>21</v>
      </c>
      <c r="AA101" s="255"/>
      <c r="AB101" s="255"/>
      <c r="AC101" s="255"/>
      <c r="AD101" s="280">
        <f t="shared" si="110"/>
        <v>0</v>
      </c>
      <c r="AE101" s="280">
        <f t="shared" si="111"/>
        <v>21</v>
      </c>
      <c r="AF101" s="281">
        <f t="shared" si="112"/>
        <v>1</v>
      </c>
      <c r="AG101" s="229">
        <v>18</v>
      </c>
      <c r="AH101" s="257"/>
      <c r="AI101" s="257"/>
      <c r="AJ101" s="257"/>
      <c r="AK101" s="305">
        <f t="shared" si="113"/>
        <v>0</v>
      </c>
      <c r="AL101" s="305">
        <f t="shared" si="114"/>
        <v>18</v>
      </c>
      <c r="AM101" s="306">
        <f t="shared" si="115"/>
        <v>1</v>
      </c>
      <c r="AN101" s="230">
        <v>14</v>
      </c>
      <c r="AO101" s="259"/>
      <c r="AP101" s="259"/>
      <c r="AQ101" s="259"/>
      <c r="AR101" s="307">
        <f t="shared" si="116"/>
        <v>0</v>
      </c>
      <c r="AS101" s="307">
        <f t="shared" si="117"/>
        <v>14</v>
      </c>
      <c r="AT101" s="308">
        <f t="shared" si="118"/>
        <v>1</v>
      </c>
      <c r="AU101" s="289">
        <f t="shared" si="119"/>
        <v>0</v>
      </c>
      <c r="AV101" s="289">
        <f t="shared" si="120"/>
        <v>2</v>
      </c>
      <c r="AW101" s="289">
        <f t="shared" si="121"/>
        <v>2</v>
      </c>
      <c r="AX101" s="290">
        <v>98</v>
      </c>
      <c r="AY101" s="289">
        <f t="shared" si="122"/>
        <v>94</v>
      </c>
      <c r="AZ101" s="291">
        <f t="shared" si="123"/>
        <v>0.95918367346938771</v>
      </c>
      <c r="BA101" s="344">
        <v>3</v>
      </c>
      <c r="BB101" s="383">
        <v>98</v>
      </c>
      <c r="BC101" s="379">
        <f t="shared" si="99"/>
        <v>6</v>
      </c>
      <c r="BD101" s="378">
        <f t="shared" si="100"/>
        <v>4</v>
      </c>
      <c r="BE101" s="381"/>
      <c r="BF101" s="378">
        <f t="shared" si="124"/>
        <v>88</v>
      </c>
    </row>
    <row r="102" spans="1:58" x14ac:dyDescent="0.35">
      <c r="A102" s="193" t="s">
        <v>36</v>
      </c>
      <c r="B102" s="35">
        <v>252610076</v>
      </c>
      <c r="C102" s="351" t="s">
        <v>1157</v>
      </c>
      <c r="D102" s="194" t="s">
        <v>6</v>
      </c>
      <c r="E102" s="215">
        <v>19</v>
      </c>
      <c r="F102" s="350"/>
      <c r="G102" s="350"/>
      <c r="H102" s="350">
        <v>2</v>
      </c>
      <c r="I102" s="326">
        <f t="shared" si="101"/>
        <v>2</v>
      </c>
      <c r="J102" s="326">
        <f t="shared" si="102"/>
        <v>17</v>
      </c>
      <c r="K102" s="327">
        <f t="shared" si="103"/>
        <v>0.89473684210526316</v>
      </c>
      <c r="L102" s="221">
        <v>14</v>
      </c>
      <c r="M102" s="222"/>
      <c r="N102" s="223"/>
      <c r="O102" s="222">
        <v>2</v>
      </c>
      <c r="P102" s="328">
        <f t="shared" si="104"/>
        <v>2</v>
      </c>
      <c r="Q102" s="328">
        <f t="shared" si="105"/>
        <v>12</v>
      </c>
      <c r="R102" s="329">
        <f t="shared" si="106"/>
        <v>0.8571428571428571</v>
      </c>
      <c r="S102" s="225">
        <v>12</v>
      </c>
      <c r="T102" s="226">
        <v>1</v>
      </c>
      <c r="U102" s="226"/>
      <c r="V102" s="226">
        <v>1</v>
      </c>
      <c r="W102" s="330">
        <f t="shared" si="107"/>
        <v>2</v>
      </c>
      <c r="X102" s="330">
        <f t="shared" si="108"/>
        <v>10</v>
      </c>
      <c r="Y102" s="331">
        <f t="shared" si="109"/>
        <v>0.83333333333333337</v>
      </c>
      <c r="Z102" s="228">
        <v>21</v>
      </c>
      <c r="AA102" s="255"/>
      <c r="AB102" s="255"/>
      <c r="AC102" s="255"/>
      <c r="AD102" s="280">
        <f t="shared" si="110"/>
        <v>0</v>
      </c>
      <c r="AE102" s="280">
        <f t="shared" si="111"/>
        <v>21</v>
      </c>
      <c r="AF102" s="281">
        <f t="shared" si="112"/>
        <v>1</v>
      </c>
      <c r="AG102" s="229">
        <v>18</v>
      </c>
      <c r="AH102" s="257"/>
      <c r="AI102" s="257"/>
      <c r="AJ102" s="257"/>
      <c r="AK102" s="305">
        <f t="shared" si="113"/>
        <v>0</v>
      </c>
      <c r="AL102" s="305">
        <f t="shared" si="114"/>
        <v>18</v>
      </c>
      <c r="AM102" s="306">
        <f t="shared" si="115"/>
        <v>1</v>
      </c>
      <c r="AN102" s="230">
        <v>14</v>
      </c>
      <c r="AO102" s="259"/>
      <c r="AP102" s="259"/>
      <c r="AQ102" s="259"/>
      <c r="AR102" s="307">
        <f t="shared" si="116"/>
        <v>0</v>
      </c>
      <c r="AS102" s="307">
        <f t="shared" si="117"/>
        <v>14</v>
      </c>
      <c r="AT102" s="308">
        <f t="shared" si="118"/>
        <v>1</v>
      </c>
      <c r="AU102" s="289">
        <f t="shared" si="119"/>
        <v>1</v>
      </c>
      <c r="AV102" s="289">
        <f t="shared" si="120"/>
        <v>0</v>
      </c>
      <c r="AW102" s="289">
        <f t="shared" si="121"/>
        <v>5</v>
      </c>
      <c r="AX102" s="290">
        <v>98</v>
      </c>
      <c r="AY102" s="289">
        <f t="shared" si="122"/>
        <v>92</v>
      </c>
      <c r="AZ102" s="291">
        <f t="shared" si="123"/>
        <v>0.93877551020408168</v>
      </c>
      <c r="BA102" s="344">
        <v>2</v>
      </c>
      <c r="BB102" s="383">
        <v>82</v>
      </c>
      <c r="BC102" s="379">
        <f t="shared" si="99"/>
        <v>4</v>
      </c>
      <c r="BD102" s="378">
        <f t="shared" si="100"/>
        <v>10</v>
      </c>
      <c r="BE102" s="381"/>
      <c r="BF102" s="378">
        <f t="shared" si="124"/>
        <v>68</v>
      </c>
    </row>
    <row r="103" spans="1:58" x14ac:dyDescent="0.35">
      <c r="A103" s="193" t="s">
        <v>37</v>
      </c>
      <c r="B103" s="35">
        <v>252610077</v>
      </c>
      <c r="C103" s="351" t="s">
        <v>1158</v>
      </c>
      <c r="D103" s="194" t="s">
        <v>6</v>
      </c>
      <c r="E103" s="215">
        <v>19</v>
      </c>
      <c r="F103" s="350">
        <v>1</v>
      </c>
      <c r="G103" s="350">
        <v>1</v>
      </c>
      <c r="H103" s="350"/>
      <c r="I103" s="326">
        <f t="shared" si="101"/>
        <v>2</v>
      </c>
      <c r="J103" s="326">
        <f t="shared" si="102"/>
        <v>17</v>
      </c>
      <c r="K103" s="327">
        <f t="shared" si="103"/>
        <v>0.89473684210526316</v>
      </c>
      <c r="L103" s="221">
        <v>14</v>
      </c>
      <c r="M103" s="222">
        <v>1</v>
      </c>
      <c r="N103" s="223">
        <v>5</v>
      </c>
      <c r="O103" s="222"/>
      <c r="P103" s="328">
        <f t="shared" si="104"/>
        <v>6</v>
      </c>
      <c r="Q103" s="328">
        <f t="shared" si="105"/>
        <v>8</v>
      </c>
      <c r="R103" s="329">
        <f t="shared" si="106"/>
        <v>0.5714285714285714</v>
      </c>
      <c r="S103" s="225">
        <v>12</v>
      </c>
      <c r="T103" s="226">
        <v>2</v>
      </c>
      <c r="U103" s="226">
        <v>3</v>
      </c>
      <c r="V103" s="226"/>
      <c r="W103" s="330">
        <f t="shared" si="107"/>
        <v>5</v>
      </c>
      <c r="X103" s="330">
        <f t="shared" si="108"/>
        <v>7</v>
      </c>
      <c r="Y103" s="331">
        <f t="shared" si="109"/>
        <v>0.58333333333333337</v>
      </c>
      <c r="Z103" s="228">
        <v>21</v>
      </c>
      <c r="AA103" s="255"/>
      <c r="AB103" s="255"/>
      <c r="AC103" s="255"/>
      <c r="AD103" s="280">
        <f t="shared" si="110"/>
        <v>0</v>
      </c>
      <c r="AE103" s="280">
        <f t="shared" si="111"/>
        <v>21</v>
      </c>
      <c r="AF103" s="281">
        <f t="shared" si="112"/>
        <v>1</v>
      </c>
      <c r="AG103" s="229">
        <v>18</v>
      </c>
      <c r="AH103" s="257"/>
      <c r="AI103" s="257"/>
      <c r="AJ103" s="257"/>
      <c r="AK103" s="305">
        <f t="shared" si="113"/>
        <v>0</v>
      </c>
      <c r="AL103" s="305">
        <f t="shared" si="114"/>
        <v>18</v>
      </c>
      <c r="AM103" s="306">
        <f t="shared" si="115"/>
        <v>1</v>
      </c>
      <c r="AN103" s="230">
        <v>14</v>
      </c>
      <c r="AO103" s="259"/>
      <c r="AP103" s="259"/>
      <c r="AQ103" s="259"/>
      <c r="AR103" s="307">
        <f t="shared" si="116"/>
        <v>0</v>
      </c>
      <c r="AS103" s="307">
        <f t="shared" si="117"/>
        <v>14</v>
      </c>
      <c r="AT103" s="308">
        <f t="shared" si="118"/>
        <v>1</v>
      </c>
      <c r="AU103" s="289">
        <f t="shared" si="119"/>
        <v>4</v>
      </c>
      <c r="AV103" s="289">
        <f t="shared" si="120"/>
        <v>9</v>
      </c>
      <c r="AW103" s="289">
        <f t="shared" si="121"/>
        <v>0</v>
      </c>
      <c r="AX103" s="290">
        <v>98</v>
      </c>
      <c r="AY103" s="289">
        <f t="shared" si="122"/>
        <v>85</v>
      </c>
      <c r="AZ103" s="291">
        <f t="shared" si="123"/>
        <v>0.86734693877551017</v>
      </c>
      <c r="BA103" s="344">
        <v>1</v>
      </c>
      <c r="BB103" s="383">
        <v>92</v>
      </c>
      <c r="BC103" s="379">
        <f t="shared" si="99"/>
        <v>2</v>
      </c>
      <c r="BD103" s="378">
        <f t="shared" si="100"/>
        <v>0</v>
      </c>
      <c r="BE103" s="381"/>
      <c r="BF103" s="378">
        <f t="shared" si="124"/>
        <v>90</v>
      </c>
    </row>
    <row r="104" spans="1:58" x14ac:dyDescent="0.35">
      <c r="A104" s="193" t="s">
        <v>38</v>
      </c>
      <c r="B104" s="35">
        <v>252610078</v>
      </c>
      <c r="C104" s="351" t="s">
        <v>1159</v>
      </c>
      <c r="D104" s="194" t="s">
        <v>6</v>
      </c>
      <c r="E104" s="215">
        <v>19</v>
      </c>
      <c r="F104" s="350"/>
      <c r="G104" s="350">
        <v>1</v>
      </c>
      <c r="H104" s="350"/>
      <c r="I104" s="326">
        <f t="shared" si="101"/>
        <v>1</v>
      </c>
      <c r="J104" s="326">
        <f t="shared" si="102"/>
        <v>18</v>
      </c>
      <c r="K104" s="327">
        <f t="shared" si="103"/>
        <v>0.94736842105263153</v>
      </c>
      <c r="L104" s="221">
        <v>14</v>
      </c>
      <c r="M104" s="222"/>
      <c r="N104" s="223">
        <v>2</v>
      </c>
      <c r="O104" s="222"/>
      <c r="P104" s="328">
        <f t="shared" si="104"/>
        <v>2</v>
      </c>
      <c r="Q104" s="328">
        <f t="shared" si="105"/>
        <v>12</v>
      </c>
      <c r="R104" s="329">
        <f t="shared" si="106"/>
        <v>0.8571428571428571</v>
      </c>
      <c r="S104" s="225">
        <v>12</v>
      </c>
      <c r="T104" s="226"/>
      <c r="U104" s="226"/>
      <c r="V104" s="226"/>
      <c r="W104" s="330">
        <f t="shared" si="107"/>
        <v>0</v>
      </c>
      <c r="X104" s="330">
        <f t="shared" si="108"/>
        <v>12</v>
      </c>
      <c r="Y104" s="331">
        <f t="shared" si="109"/>
        <v>1</v>
      </c>
      <c r="Z104" s="228">
        <v>21</v>
      </c>
      <c r="AA104" s="255"/>
      <c r="AB104" s="255"/>
      <c r="AC104" s="255"/>
      <c r="AD104" s="280">
        <f t="shared" si="110"/>
        <v>0</v>
      </c>
      <c r="AE104" s="280">
        <f t="shared" si="111"/>
        <v>21</v>
      </c>
      <c r="AF104" s="281">
        <f t="shared" si="112"/>
        <v>1</v>
      </c>
      <c r="AG104" s="229">
        <v>18</v>
      </c>
      <c r="AH104" s="257"/>
      <c r="AI104" s="257"/>
      <c r="AJ104" s="257"/>
      <c r="AK104" s="305">
        <f t="shared" si="113"/>
        <v>0</v>
      </c>
      <c r="AL104" s="305">
        <f t="shared" si="114"/>
        <v>18</v>
      </c>
      <c r="AM104" s="306">
        <f t="shared" si="115"/>
        <v>1</v>
      </c>
      <c r="AN104" s="230">
        <v>14</v>
      </c>
      <c r="AO104" s="259"/>
      <c r="AP104" s="259"/>
      <c r="AQ104" s="259"/>
      <c r="AR104" s="307">
        <f t="shared" si="116"/>
        <v>0</v>
      </c>
      <c r="AS104" s="307">
        <f t="shared" si="117"/>
        <v>14</v>
      </c>
      <c r="AT104" s="308">
        <f t="shared" si="118"/>
        <v>1</v>
      </c>
      <c r="AU104" s="289">
        <f t="shared" si="119"/>
        <v>0</v>
      </c>
      <c r="AV104" s="289">
        <f t="shared" si="120"/>
        <v>3</v>
      </c>
      <c r="AW104" s="289">
        <f t="shared" si="121"/>
        <v>0</v>
      </c>
      <c r="AX104" s="290">
        <v>98</v>
      </c>
      <c r="AY104" s="289">
        <f t="shared" si="122"/>
        <v>95</v>
      </c>
      <c r="AZ104" s="291">
        <f t="shared" si="123"/>
        <v>0.96938775510204078</v>
      </c>
      <c r="BA104" s="344">
        <v>1</v>
      </c>
      <c r="BB104" s="383">
        <v>98</v>
      </c>
      <c r="BC104" s="379">
        <f t="shared" si="99"/>
        <v>2</v>
      </c>
      <c r="BD104" s="378">
        <f t="shared" si="100"/>
        <v>0</v>
      </c>
      <c r="BE104" s="381"/>
      <c r="BF104" s="378">
        <f t="shared" si="124"/>
        <v>96</v>
      </c>
    </row>
    <row r="105" spans="1:58" x14ac:dyDescent="0.35">
      <c r="A105" s="193" t="s">
        <v>39</v>
      </c>
      <c r="B105" s="35">
        <v>252610079</v>
      </c>
      <c r="C105" s="351" t="s">
        <v>1160</v>
      </c>
      <c r="D105" s="194" t="s">
        <v>6</v>
      </c>
      <c r="E105" s="215">
        <v>19</v>
      </c>
      <c r="F105" s="350"/>
      <c r="G105" s="350"/>
      <c r="H105" s="350"/>
      <c r="I105" s="326">
        <f t="shared" si="101"/>
        <v>0</v>
      </c>
      <c r="J105" s="326">
        <f t="shared" si="102"/>
        <v>19</v>
      </c>
      <c r="K105" s="327">
        <f t="shared" si="103"/>
        <v>1</v>
      </c>
      <c r="L105" s="221">
        <v>14</v>
      </c>
      <c r="M105" s="222"/>
      <c r="N105" s="223"/>
      <c r="O105" s="222">
        <v>1</v>
      </c>
      <c r="P105" s="328">
        <f t="shared" si="104"/>
        <v>1</v>
      </c>
      <c r="Q105" s="328">
        <f t="shared" si="105"/>
        <v>13</v>
      </c>
      <c r="R105" s="329">
        <f t="shared" si="106"/>
        <v>0.9285714285714286</v>
      </c>
      <c r="S105" s="225">
        <v>12</v>
      </c>
      <c r="T105" s="226"/>
      <c r="U105" s="226"/>
      <c r="V105" s="226"/>
      <c r="W105" s="330">
        <f t="shared" si="107"/>
        <v>0</v>
      </c>
      <c r="X105" s="330">
        <f t="shared" si="108"/>
        <v>12</v>
      </c>
      <c r="Y105" s="331">
        <f t="shared" si="109"/>
        <v>1</v>
      </c>
      <c r="Z105" s="228">
        <v>21</v>
      </c>
      <c r="AA105" s="255"/>
      <c r="AB105" s="255"/>
      <c r="AC105" s="255"/>
      <c r="AD105" s="280">
        <f t="shared" si="110"/>
        <v>0</v>
      </c>
      <c r="AE105" s="280">
        <f t="shared" si="111"/>
        <v>21</v>
      </c>
      <c r="AF105" s="281">
        <f t="shared" si="112"/>
        <v>1</v>
      </c>
      <c r="AG105" s="229">
        <v>18</v>
      </c>
      <c r="AH105" s="257"/>
      <c r="AI105" s="257"/>
      <c r="AJ105" s="257"/>
      <c r="AK105" s="305">
        <f t="shared" si="113"/>
        <v>0</v>
      </c>
      <c r="AL105" s="305">
        <f t="shared" si="114"/>
        <v>18</v>
      </c>
      <c r="AM105" s="306">
        <f t="shared" si="115"/>
        <v>1</v>
      </c>
      <c r="AN105" s="230">
        <v>14</v>
      </c>
      <c r="AO105" s="259"/>
      <c r="AP105" s="259"/>
      <c r="AQ105" s="259"/>
      <c r="AR105" s="307">
        <f t="shared" si="116"/>
        <v>0</v>
      </c>
      <c r="AS105" s="307">
        <f t="shared" si="117"/>
        <v>14</v>
      </c>
      <c r="AT105" s="308">
        <f t="shared" si="118"/>
        <v>1</v>
      </c>
      <c r="AU105" s="289">
        <f t="shared" si="119"/>
        <v>0</v>
      </c>
      <c r="AV105" s="289">
        <f t="shared" si="120"/>
        <v>0</v>
      </c>
      <c r="AW105" s="289">
        <f t="shared" si="121"/>
        <v>1</v>
      </c>
      <c r="AX105" s="290">
        <v>98</v>
      </c>
      <c r="AY105" s="289">
        <f t="shared" si="122"/>
        <v>97</v>
      </c>
      <c r="AZ105" s="291">
        <f t="shared" si="123"/>
        <v>0.98979591836734693</v>
      </c>
      <c r="BA105" s="344">
        <v>8</v>
      </c>
      <c r="BB105" s="383">
        <v>94</v>
      </c>
      <c r="BC105" s="379">
        <f t="shared" si="99"/>
        <v>16</v>
      </c>
      <c r="BD105" s="378">
        <f t="shared" si="100"/>
        <v>2</v>
      </c>
      <c r="BE105" s="381"/>
      <c r="BF105" s="378">
        <f t="shared" si="124"/>
        <v>76</v>
      </c>
    </row>
    <row r="106" spans="1:58" x14ac:dyDescent="0.35">
      <c r="A106" s="193" t="s">
        <v>40</v>
      </c>
      <c r="B106" s="35">
        <v>252610080</v>
      </c>
      <c r="C106" s="351" t="s">
        <v>1161</v>
      </c>
      <c r="D106" s="194" t="s">
        <v>6</v>
      </c>
      <c r="E106" s="215">
        <v>19</v>
      </c>
      <c r="F106" s="350"/>
      <c r="G106" s="350"/>
      <c r="H106" s="350"/>
      <c r="I106" s="326">
        <f t="shared" si="101"/>
        <v>0</v>
      </c>
      <c r="J106" s="326">
        <f t="shared" si="102"/>
        <v>19</v>
      </c>
      <c r="K106" s="327">
        <f t="shared" si="103"/>
        <v>1</v>
      </c>
      <c r="L106" s="221">
        <v>14</v>
      </c>
      <c r="M106" s="222"/>
      <c r="N106" s="223"/>
      <c r="O106" s="222"/>
      <c r="P106" s="328">
        <f t="shared" si="104"/>
        <v>0</v>
      </c>
      <c r="Q106" s="328">
        <f t="shared" si="105"/>
        <v>14</v>
      </c>
      <c r="R106" s="329">
        <f t="shared" si="106"/>
        <v>1</v>
      </c>
      <c r="S106" s="225">
        <v>12</v>
      </c>
      <c r="T106" s="226"/>
      <c r="U106" s="226">
        <v>1</v>
      </c>
      <c r="V106" s="226"/>
      <c r="W106" s="330">
        <f t="shared" si="107"/>
        <v>1</v>
      </c>
      <c r="X106" s="330">
        <f t="shared" si="108"/>
        <v>11</v>
      </c>
      <c r="Y106" s="331">
        <f t="shared" si="109"/>
        <v>0.91666666666666663</v>
      </c>
      <c r="Z106" s="228">
        <v>21</v>
      </c>
      <c r="AA106" s="255"/>
      <c r="AB106" s="255"/>
      <c r="AC106" s="255"/>
      <c r="AD106" s="280">
        <f t="shared" si="110"/>
        <v>0</v>
      </c>
      <c r="AE106" s="280">
        <f t="shared" si="111"/>
        <v>21</v>
      </c>
      <c r="AF106" s="281">
        <f t="shared" si="112"/>
        <v>1</v>
      </c>
      <c r="AG106" s="229">
        <v>18</v>
      </c>
      <c r="AH106" s="257"/>
      <c r="AI106" s="257"/>
      <c r="AJ106" s="257"/>
      <c r="AK106" s="305">
        <f t="shared" si="113"/>
        <v>0</v>
      </c>
      <c r="AL106" s="305">
        <f t="shared" si="114"/>
        <v>18</v>
      </c>
      <c r="AM106" s="306">
        <f t="shared" si="115"/>
        <v>1</v>
      </c>
      <c r="AN106" s="230">
        <v>14</v>
      </c>
      <c r="AO106" s="259"/>
      <c r="AP106" s="259"/>
      <c r="AQ106" s="259"/>
      <c r="AR106" s="307">
        <f t="shared" si="116"/>
        <v>0</v>
      </c>
      <c r="AS106" s="307">
        <f t="shared" si="117"/>
        <v>14</v>
      </c>
      <c r="AT106" s="308">
        <f t="shared" si="118"/>
        <v>1</v>
      </c>
      <c r="AU106" s="289">
        <f t="shared" si="119"/>
        <v>0</v>
      </c>
      <c r="AV106" s="289">
        <f t="shared" si="120"/>
        <v>1</v>
      </c>
      <c r="AW106" s="289">
        <f t="shared" si="121"/>
        <v>0</v>
      </c>
      <c r="AX106" s="290">
        <v>98</v>
      </c>
      <c r="AY106" s="289">
        <f t="shared" si="122"/>
        <v>97</v>
      </c>
      <c r="AZ106" s="291">
        <f t="shared" si="123"/>
        <v>0.98979591836734693</v>
      </c>
      <c r="BA106" s="344"/>
      <c r="BB106" s="383">
        <v>100</v>
      </c>
      <c r="BC106" s="379">
        <f t="shared" si="99"/>
        <v>0</v>
      </c>
      <c r="BD106" s="378">
        <f t="shared" si="100"/>
        <v>0</v>
      </c>
      <c r="BE106" s="381"/>
      <c r="BF106" s="378">
        <f t="shared" si="124"/>
        <v>100</v>
      </c>
    </row>
    <row r="107" spans="1:58" x14ac:dyDescent="0.35">
      <c r="A107" s="193" t="s">
        <v>41</v>
      </c>
      <c r="B107" s="35">
        <v>252610088</v>
      </c>
      <c r="C107" s="351" t="s">
        <v>1162</v>
      </c>
      <c r="D107" s="194" t="s">
        <v>6</v>
      </c>
      <c r="E107" s="215">
        <v>19</v>
      </c>
      <c r="F107" s="350"/>
      <c r="G107" s="350"/>
      <c r="H107" s="350">
        <v>4</v>
      </c>
      <c r="I107" s="326">
        <f t="shared" si="101"/>
        <v>4</v>
      </c>
      <c r="J107" s="326">
        <f t="shared" si="102"/>
        <v>15</v>
      </c>
      <c r="K107" s="327">
        <f t="shared" si="103"/>
        <v>0.78947368421052633</v>
      </c>
      <c r="L107" s="221">
        <v>14</v>
      </c>
      <c r="M107" s="222">
        <v>1</v>
      </c>
      <c r="N107" s="223"/>
      <c r="O107" s="222">
        <v>6</v>
      </c>
      <c r="P107" s="328">
        <f t="shared" si="104"/>
        <v>7</v>
      </c>
      <c r="Q107" s="328">
        <f t="shared" si="105"/>
        <v>7</v>
      </c>
      <c r="R107" s="329">
        <f t="shared" si="106"/>
        <v>0.5</v>
      </c>
      <c r="S107" s="225">
        <v>12</v>
      </c>
      <c r="T107" s="226"/>
      <c r="U107" s="226">
        <v>1</v>
      </c>
      <c r="V107" s="226">
        <v>3</v>
      </c>
      <c r="W107" s="330">
        <f t="shared" si="107"/>
        <v>4</v>
      </c>
      <c r="X107" s="330">
        <f t="shared" si="108"/>
        <v>8</v>
      </c>
      <c r="Y107" s="331">
        <f t="shared" si="109"/>
        <v>0.66666666666666663</v>
      </c>
      <c r="Z107" s="228">
        <v>21</v>
      </c>
      <c r="AA107" s="255"/>
      <c r="AB107" s="255"/>
      <c r="AC107" s="255"/>
      <c r="AD107" s="280">
        <f t="shared" si="110"/>
        <v>0</v>
      </c>
      <c r="AE107" s="280">
        <f t="shared" si="111"/>
        <v>21</v>
      </c>
      <c r="AF107" s="281">
        <f t="shared" si="112"/>
        <v>1</v>
      </c>
      <c r="AG107" s="229">
        <v>18</v>
      </c>
      <c r="AH107" s="257"/>
      <c r="AI107" s="257"/>
      <c r="AJ107" s="257"/>
      <c r="AK107" s="305">
        <f t="shared" si="113"/>
        <v>0</v>
      </c>
      <c r="AL107" s="305">
        <f t="shared" si="114"/>
        <v>18</v>
      </c>
      <c r="AM107" s="306">
        <f t="shared" si="115"/>
        <v>1</v>
      </c>
      <c r="AN107" s="230">
        <v>14</v>
      </c>
      <c r="AO107" s="259"/>
      <c r="AP107" s="259"/>
      <c r="AQ107" s="259"/>
      <c r="AR107" s="307">
        <f t="shared" si="116"/>
        <v>0</v>
      </c>
      <c r="AS107" s="307">
        <f t="shared" si="117"/>
        <v>14</v>
      </c>
      <c r="AT107" s="308">
        <f t="shared" si="118"/>
        <v>1</v>
      </c>
      <c r="AU107" s="289">
        <f t="shared" si="119"/>
        <v>1</v>
      </c>
      <c r="AV107" s="289">
        <f t="shared" si="120"/>
        <v>1</v>
      </c>
      <c r="AW107" s="289">
        <f t="shared" si="121"/>
        <v>13</v>
      </c>
      <c r="AX107" s="290">
        <v>98</v>
      </c>
      <c r="AY107" s="289">
        <f t="shared" si="122"/>
        <v>83</v>
      </c>
      <c r="AZ107" s="291">
        <f t="shared" si="123"/>
        <v>0.84693877551020413</v>
      </c>
      <c r="BA107" s="344"/>
      <c r="BB107" s="383">
        <v>62</v>
      </c>
      <c r="BC107" s="379">
        <f t="shared" si="99"/>
        <v>0</v>
      </c>
      <c r="BD107" s="378">
        <f t="shared" si="100"/>
        <v>26</v>
      </c>
      <c r="BE107" s="381"/>
      <c r="BF107" s="378">
        <f t="shared" si="124"/>
        <v>36</v>
      </c>
    </row>
    <row r="108" spans="1:58" x14ac:dyDescent="0.35">
      <c r="A108" s="193" t="s">
        <v>42</v>
      </c>
      <c r="B108" s="35">
        <v>252610081</v>
      </c>
      <c r="C108" s="351" t="s">
        <v>1163</v>
      </c>
      <c r="D108" s="194" t="s">
        <v>6</v>
      </c>
      <c r="E108" s="215">
        <v>19</v>
      </c>
      <c r="F108" s="350"/>
      <c r="G108" s="350"/>
      <c r="H108" s="350"/>
      <c r="I108" s="326">
        <f t="shared" si="101"/>
        <v>0</v>
      </c>
      <c r="J108" s="326">
        <f t="shared" si="102"/>
        <v>19</v>
      </c>
      <c r="K108" s="327">
        <f t="shared" si="103"/>
        <v>1</v>
      </c>
      <c r="L108" s="221">
        <v>14</v>
      </c>
      <c r="M108" s="222"/>
      <c r="N108" s="223">
        <v>1</v>
      </c>
      <c r="O108" s="222">
        <v>1</v>
      </c>
      <c r="P108" s="328">
        <f t="shared" si="104"/>
        <v>2</v>
      </c>
      <c r="Q108" s="328">
        <f t="shared" si="105"/>
        <v>12</v>
      </c>
      <c r="R108" s="329">
        <f t="shared" si="106"/>
        <v>0.8571428571428571</v>
      </c>
      <c r="S108" s="225">
        <v>12</v>
      </c>
      <c r="T108" s="226">
        <v>1</v>
      </c>
      <c r="U108" s="226">
        <v>1</v>
      </c>
      <c r="V108" s="226"/>
      <c r="W108" s="330">
        <f t="shared" si="107"/>
        <v>2</v>
      </c>
      <c r="X108" s="330">
        <f t="shared" si="108"/>
        <v>10</v>
      </c>
      <c r="Y108" s="331">
        <f t="shared" si="109"/>
        <v>0.83333333333333337</v>
      </c>
      <c r="Z108" s="228">
        <v>21</v>
      </c>
      <c r="AA108" s="255"/>
      <c r="AB108" s="255"/>
      <c r="AC108" s="255"/>
      <c r="AD108" s="280">
        <f t="shared" si="110"/>
        <v>0</v>
      </c>
      <c r="AE108" s="280">
        <f t="shared" si="111"/>
        <v>21</v>
      </c>
      <c r="AF108" s="281">
        <f t="shared" si="112"/>
        <v>1</v>
      </c>
      <c r="AG108" s="229">
        <v>18</v>
      </c>
      <c r="AH108" s="257"/>
      <c r="AI108" s="257"/>
      <c r="AJ108" s="257"/>
      <c r="AK108" s="305">
        <f t="shared" si="113"/>
        <v>0</v>
      </c>
      <c r="AL108" s="305">
        <f t="shared" si="114"/>
        <v>18</v>
      </c>
      <c r="AM108" s="306">
        <f t="shared" si="115"/>
        <v>1</v>
      </c>
      <c r="AN108" s="230">
        <v>14</v>
      </c>
      <c r="AO108" s="259"/>
      <c r="AP108" s="259"/>
      <c r="AQ108" s="259"/>
      <c r="AR108" s="307">
        <f t="shared" si="116"/>
        <v>0</v>
      </c>
      <c r="AS108" s="307">
        <f t="shared" si="117"/>
        <v>14</v>
      </c>
      <c r="AT108" s="308">
        <f t="shared" si="118"/>
        <v>1</v>
      </c>
      <c r="AU108" s="289">
        <f t="shared" si="119"/>
        <v>1</v>
      </c>
      <c r="AV108" s="289">
        <f t="shared" si="120"/>
        <v>2</v>
      </c>
      <c r="AW108" s="289">
        <f t="shared" si="121"/>
        <v>1</v>
      </c>
      <c r="AX108" s="290">
        <v>98</v>
      </c>
      <c r="AY108" s="289">
        <f t="shared" si="122"/>
        <v>94</v>
      </c>
      <c r="AZ108" s="291">
        <f t="shared" si="123"/>
        <v>0.95918367346938771</v>
      </c>
      <c r="BA108" s="344"/>
      <c r="BB108" s="383">
        <v>100</v>
      </c>
      <c r="BC108" s="379">
        <f t="shared" si="99"/>
        <v>0</v>
      </c>
      <c r="BD108" s="378">
        <f t="shared" si="100"/>
        <v>2</v>
      </c>
      <c r="BE108" s="381"/>
      <c r="BF108" s="378">
        <f t="shared" si="124"/>
        <v>98</v>
      </c>
    </row>
    <row r="109" spans="1:58" x14ac:dyDescent="0.35">
      <c r="A109" s="193" t="s">
        <v>43</v>
      </c>
      <c r="B109" s="35">
        <v>252610082</v>
      </c>
      <c r="C109" s="351" t="s">
        <v>1164</v>
      </c>
      <c r="D109" s="194" t="s">
        <v>6</v>
      </c>
      <c r="E109" s="215">
        <v>19</v>
      </c>
      <c r="F109" s="350"/>
      <c r="G109" s="350"/>
      <c r="H109" s="350"/>
      <c r="I109" s="326">
        <f t="shared" si="101"/>
        <v>0</v>
      </c>
      <c r="J109" s="326">
        <f t="shared" si="102"/>
        <v>19</v>
      </c>
      <c r="K109" s="327">
        <f t="shared" si="103"/>
        <v>1</v>
      </c>
      <c r="L109" s="221">
        <v>14</v>
      </c>
      <c r="M109" s="222"/>
      <c r="N109" s="223"/>
      <c r="O109" s="222">
        <v>1</v>
      </c>
      <c r="P109" s="328">
        <f t="shared" si="104"/>
        <v>1</v>
      </c>
      <c r="Q109" s="328">
        <f t="shared" si="105"/>
        <v>13</v>
      </c>
      <c r="R109" s="329">
        <f t="shared" si="106"/>
        <v>0.9285714285714286</v>
      </c>
      <c r="S109" s="225">
        <v>12</v>
      </c>
      <c r="T109" s="226"/>
      <c r="U109" s="226"/>
      <c r="V109" s="226"/>
      <c r="W109" s="330">
        <f t="shared" si="107"/>
        <v>0</v>
      </c>
      <c r="X109" s="330">
        <f t="shared" si="108"/>
        <v>12</v>
      </c>
      <c r="Y109" s="331">
        <f t="shared" si="109"/>
        <v>1</v>
      </c>
      <c r="Z109" s="228">
        <v>21</v>
      </c>
      <c r="AA109" s="255"/>
      <c r="AB109" s="255"/>
      <c r="AC109" s="255"/>
      <c r="AD109" s="280">
        <f t="shared" si="110"/>
        <v>0</v>
      </c>
      <c r="AE109" s="280">
        <f t="shared" si="111"/>
        <v>21</v>
      </c>
      <c r="AF109" s="281">
        <f t="shared" si="112"/>
        <v>1</v>
      </c>
      <c r="AG109" s="229">
        <v>18</v>
      </c>
      <c r="AH109" s="257"/>
      <c r="AI109" s="257"/>
      <c r="AJ109" s="257"/>
      <c r="AK109" s="305">
        <f t="shared" si="113"/>
        <v>0</v>
      </c>
      <c r="AL109" s="305">
        <f t="shared" si="114"/>
        <v>18</v>
      </c>
      <c r="AM109" s="306">
        <f t="shared" si="115"/>
        <v>1</v>
      </c>
      <c r="AN109" s="230">
        <v>14</v>
      </c>
      <c r="AO109" s="259"/>
      <c r="AP109" s="259"/>
      <c r="AQ109" s="259"/>
      <c r="AR109" s="307">
        <f t="shared" si="116"/>
        <v>0</v>
      </c>
      <c r="AS109" s="307">
        <f t="shared" si="117"/>
        <v>14</v>
      </c>
      <c r="AT109" s="308">
        <f t="shared" si="118"/>
        <v>1</v>
      </c>
      <c r="AU109" s="289">
        <f t="shared" si="119"/>
        <v>0</v>
      </c>
      <c r="AV109" s="289">
        <f t="shared" si="120"/>
        <v>0</v>
      </c>
      <c r="AW109" s="289">
        <f t="shared" si="121"/>
        <v>1</v>
      </c>
      <c r="AX109" s="290">
        <v>98</v>
      </c>
      <c r="AY109" s="289">
        <f t="shared" si="122"/>
        <v>97</v>
      </c>
      <c r="AZ109" s="291">
        <f t="shared" si="123"/>
        <v>0.98979591836734693</v>
      </c>
      <c r="BA109" s="344"/>
      <c r="BB109" s="383">
        <v>100</v>
      </c>
      <c r="BC109" s="379">
        <f t="shared" si="99"/>
        <v>0</v>
      </c>
      <c r="BD109" s="378">
        <f t="shared" si="100"/>
        <v>2</v>
      </c>
      <c r="BE109" s="381"/>
      <c r="BF109" s="378">
        <f t="shared" si="124"/>
        <v>98</v>
      </c>
    </row>
    <row r="110" spans="1:58" x14ac:dyDescent="0.35">
      <c r="A110" s="423" t="s">
        <v>44</v>
      </c>
      <c r="B110" s="38">
        <v>252610083</v>
      </c>
      <c r="C110" s="333" t="s">
        <v>1179</v>
      </c>
      <c r="D110" s="194" t="s">
        <v>6</v>
      </c>
      <c r="E110" s="215">
        <v>19</v>
      </c>
      <c r="F110" s="350">
        <v>1</v>
      </c>
      <c r="G110" s="350">
        <v>1</v>
      </c>
      <c r="H110" s="350">
        <v>1</v>
      </c>
      <c r="I110" s="326">
        <f t="shared" si="101"/>
        <v>3</v>
      </c>
      <c r="J110" s="326">
        <f t="shared" si="102"/>
        <v>16</v>
      </c>
      <c r="K110" s="327">
        <f t="shared" si="103"/>
        <v>0.84210526315789469</v>
      </c>
      <c r="L110" s="221">
        <v>14</v>
      </c>
      <c r="M110" s="222"/>
      <c r="N110" s="223">
        <v>2</v>
      </c>
      <c r="O110" s="222"/>
      <c r="P110" s="328">
        <f t="shared" si="104"/>
        <v>2</v>
      </c>
      <c r="Q110" s="328">
        <f t="shared" si="105"/>
        <v>12</v>
      </c>
      <c r="R110" s="329">
        <f t="shared" si="106"/>
        <v>0.8571428571428571</v>
      </c>
      <c r="S110" s="225">
        <v>12</v>
      </c>
      <c r="T110" s="226"/>
      <c r="U110" s="226">
        <v>2</v>
      </c>
      <c r="V110" s="226"/>
      <c r="W110" s="330">
        <f t="shared" si="107"/>
        <v>2</v>
      </c>
      <c r="X110" s="330">
        <f t="shared" si="108"/>
        <v>10</v>
      </c>
      <c r="Y110" s="331">
        <f t="shared" si="109"/>
        <v>0.83333333333333337</v>
      </c>
      <c r="Z110" s="228">
        <v>21</v>
      </c>
      <c r="AA110" s="255"/>
      <c r="AB110" s="255"/>
      <c r="AC110" s="255"/>
      <c r="AD110" s="280">
        <f t="shared" si="110"/>
        <v>0</v>
      </c>
      <c r="AE110" s="280">
        <f t="shared" si="111"/>
        <v>21</v>
      </c>
      <c r="AF110" s="281">
        <f t="shared" si="112"/>
        <v>1</v>
      </c>
      <c r="AG110" s="229">
        <v>18</v>
      </c>
      <c r="AH110" s="257"/>
      <c r="AI110" s="257"/>
      <c r="AJ110" s="257"/>
      <c r="AK110" s="305">
        <f t="shared" si="113"/>
        <v>0</v>
      </c>
      <c r="AL110" s="305">
        <f t="shared" si="114"/>
        <v>18</v>
      </c>
      <c r="AM110" s="306">
        <f t="shared" si="115"/>
        <v>1</v>
      </c>
      <c r="AN110" s="230">
        <v>14</v>
      </c>
      <c r="AO110" s="259"/>
      <c r="AP110" s="259"/>
      <c r="AQ110" s="259"/>
      <c r="AR110" s="307">
        <f t="shared" si="116"/>
        <v>0</v>
      </c>
      <c r="AS110" s="307">
        <f t="shared" si="117"/>
        <v>14</v>
      </c>
      <c r="AT110" s="308">
        <f t="shared" si="118"/>
        <v>1</v>
      </c>
      <c r="AU110" s="344">
        <f t="shared" si="119"/>
        <v>1</v>
      </c>
      <c r="AV110" s="344">
        <f t="shared" si="120"/>
        <v>5</v>
      </c>
      <c r="AW110" s="344">
        <f t="shared" si="121"/>
        <v>1</v>
      </c>
      <c r="AX110" s="290">
        <v>98</v>
      </c>
      <c r="AY110" s="344">
        <f t="shared" si="122"/>
        <v>91</v>
      </c>
      <c r="AZ110" s="424">
        <f t="shared" si="123"/>
        <v>0.9285714285714286</v>
      </c>
      <c r="BA110" s="344">
        <v>2</v>
      </c>
      <c r="BB110" s="383">
        <v>90</v>
      </c>
      <c r="BC110" s="379">
        <f t="shared" si="99"/>
        <v>4</v>
      </c>
      <c r="BD110" s="378">
        <f t="shared" si="100"/>
        <v>2</v>
      </c>
      <c r="BE110" s="381"/>
      <c r="BF110" s="378">
        <f t="shared" si="124"/>
        <v>84</v>
      </c>
    </row>
    <row r="111" spans="1:58" x14ac:dyDescent="0.35">
      <c r="A111" s="423" t="s">
        <v>45</v>
      </c>
      <c r="B111" s="38">
        <v>252610084</v>
      </c>
      <c r="C111" s="333" t="s">
        <v>1165</v>
      </c>
      <c r="D111" s="194" t="s">
        <v>6</v>
      </c>
      <c r="E111" s="215">
        <v>19</v>
      </c>
      <c r="F111" s="350"/>
      <c r="G111" s="350">
        <v>6</v>
      </c>
      <c r="H111" s="350">
        <v>2</v>
      </c>
      <c r="I111" s="326">
        <f t="shared" si="101"/>
        <v>8</v>
      </c>
      <c r="J111" s="326">
        <f t="shared" si="102"/>
        <v>11</v>
      </c>
      <c r="K111" s="327">
        <f t="shared" si="103"/>
        <v>0.57894736842105265</v>
      </c>
      <c r="L111" s="221">
        <v>14</v>
      </c>
      <c r="M111" s="222">
        <v>1</v>
      </c>
      <c r="N111" s="223"/>
      <c r="O111" s="222">
        <v>4</v>
      </c>
      <c r="P111" s="328">
        <f t="shared" si="104"/>
        <v>5</v>
      </c>
      <c r="Q111" s="328">
        <f t="shared" si="105"/>
        <v>9</v>
      </c>
      <c r="R111" s="329">
        <f t="shared" si="106"/>
        <v>0.6428571428571429</v>
      </c>
      <c r="S111" s="225">
        <v>12</v>
      </c>
      <c r="T111" s="226"/>
      <c r="U111" s="226">
        <v>2</v>
      </c>
      <c r="V111" s="226">
        <v>3</v>
      </c>
      <c r="W111" s="330">
        <f t="shared" si="107"/>
        <v>5</v>
      </c>
      <c r="X111" s="330">
        <f t="shared" si="108"/>
        <v>7</v>
      </c>
      <c r="Y111" s="331">
        <f t="shared" si="109"/>
        <v>0.58333333333333337</v>
      </c>
      <c r="Z111" s="228">
        <v>21</v>
      </c>
      <c r="AA111" s="255"/>
      <c r="AB111" s="255"/>
      <c r="AC111" s="255"/>
      <c r="AD111" s="280">
        <f t="shared" si="110"/>
        <v>0</v>
      </c>
      <c r="AE111" s="280">
        <f t="shared" si="111"/>
        <v>21</v>
      </c>
      <c r="AF111" s="281">
        <f t="shared" si="112"/>
        <v>1</v>
      </c>
      <c r="AG111" s="229">
        <v>18</v>
      </c>
      <c r="AH111" s="257"/>
      <c r="AI111" s="257"/>
      <c r="AJ111" s="257"/>
      <c r="AK111" s="305">
        <f t="shared" si="113"/>
        <v>0</v>
      </c>
      <c r="AL111" s="305">
        <f t="shared" si="114"/>
        <v>18</v>
      </c>
      <c r="AM111" s="306">
        <f t="shared" si="115"/>
        <v>1</v>
      </c>
      <c r="AN111" s="230">
        <v>14</v>
      </c>
      <c r="AO111" s="259"/>
      <c r="AP111" s="259"/>
      <c r="AQ111" s="259"/>
      <c r="AR111" s="307">
        <f t="shared" si="116"/>
        <v>0</v>
      </c>
      <c r="AS111" s="307">
        <f t="shared" si="117"/>
        <v>14</v>
      </c>
      <c r="AT111" s="308">
        <f t="shared" si="118"/>
        <v>1</v>
      </c>
      <c r="AU111" s="344">
        <f t="shared" si="119"/>
        <v>1</v>
      </c>
      <c r="AV111" s="344">
        <f t="shared" si="120"/>
        <v>8</v>
      </c>
      <c r="AW111" s="344">
        <f t="shared" si="121"/>
        <v>9</v>
      </c>
      <c r="AX111" s="290">
        <v>98</v>
      </c>
      <c r="AY111" s="344">
        <f t="shared" si="122"/>
        <v>80</v>
      </c>
      <c r="AZ111" s="424">
        <f t="shared" si="123"/>
        <v>0.81632653061224492</v>
      </c>
      <c r="BA111" s="344">
        <v>2</v>
      </c>
      <c r="BB111" s="383">
        <v>72</v>
      </c>
      <c r="BC111" s="379">
        <f t="shared" si="99"/>
        <v>4</v>
      </c>
      <c r="BD111" s="378">
        <f t="shared" si="100"/>
        <v>18</v>
      </c>
      <c r="BE111" s="381"/>
      <c r="BF111" s="378">
        <f t="shared" si="124"/>
        <v>50</v>
      </c>
    </row>
    <row r="112" spans="1:58" x14ac:dyDescent="0.35">
      <c r="A112" s="423" t="s">
        <v>46</v>
      </c>
      <c r="B112" s="38">
        <v>252610085</v>
      </c>
      <c r="C112" s="334" t="s">
        <v>1166</v>
      </c>
      <c r="D112" s="194" t="s">
        <v>6</v>
      </c>
      <c r="E112" s="215">
        <v>19</v>
      </c>
      <c r="F112" s="350"/>
      <c r="G112" s="350"/>
      <c r="H112" s="350"/>
      <c r="I112" s="326">
        <f t="shared" si="101"/>
        <v>0</v>
      </c>
      <c r="J112" s="326">
        <f t="shared" si="102"/>
        <v>19</v>
      </c>
      <c r="K112" s="327">
        <f t="shared" si="103"/>
        <v>1</v>
      </c>
      <c r="L112" s="221">
        <v>14</v>
      </c>
      <c r="M112" s="222"/>
      <c r="N112" s="223"/>
      <c r="O112" s="222"/>
      <c r="P112" s="328">
        <f t="shared" si="104"/>
        <v>0</v>
      </c>
      <c r="Q112" s="328">
        <f t="shared" si="105"/>
        <v>14</v>
      </c>
      <c r="R112" s="329">
        <f t="shared" si="106"/>
        <v>1</v>
      </c>
      <c r="S112" s="225">
        <v>12</v>
      </c>
      <c r="T112" s="226"/>
      <c r="U112" s="226"/>
      <c r="V112" s="226">
        <v>3</v>
      </c>
      <c r="W112" s="330">
        <f t="shared" si="107"/>
        <v>3</v>
      </c>
      <c r="X112" s="330">
        <f t="shared" si="108"/>
        <v>9</v>
      </c>
      <c r="Y112" s="331">
        <f t="shared" si="109"/>
        <v>0.75</v>
      </c>
      <c r="Z112" s="228">
        <v>21</v>
      </c>
      <c r="AA112" s="255"/>
      <c r="AB112" s="255"/>
      <c r="AC112" s="255"/>
      <c r="AD112" s="280">
        <f t="shared" si="110"/>
        <v>0</v>
      </c>
      <c r="AE112" s="280">
        <f t="shared" si="111"/>
        <v>21</v>
      </c>
      <c r="AF112" s="281">
        <f t="shared" si="112"/>
        <v>1</v>
      </c>
      <c r="AG112" s="229">
        <v>18</v>
      </c>
      <c r="AH112" s="257"/>
      <c r="AI112" s="257"/>
      <c r="AJ112" s="257"/>
      <c r="AK112" s="305">
        <f t="shared" si="113"/>
        <v>0</v>
      </c>
      <c r="AL112" s="305">
        <f t="shared" si="114"/>
        <v>18</v>
      </c>
      <c r="AM112" s="306">
        <f t="shared" si="115"/>
        <v>1</v>
      </c>
      <c r="AN112" s="230">
        <v>14</v>
      </c>
      <c r="AO112" s="259"/>
      <c r="AP112" s="259"/>
      <c r="AQ112" s="259"/>
      <c r="AR112" s="307">
        <f t="shared" si="116"/>
        <v>0</v>
      </c>
      <c r="AS112" s="307">
        <f t="shared" si="117"/>
        <v>14</v>
      </c>
      <c r="AT112" s="308">
        <f t="shared" si="118"/>
        <v>1</v>
      </c>
      <c r="AU112" s="344">
        <f t="shared" si="119"/>
        <v>0</v>
      </c>
      <c r="AV112" s="344">
        <f t="shared" si="120"/>
        <v>0</v>
      </c>
      <c r="AW112" s="344">
        <f t="shared" si="121"/>
        <v>3</v>
      </c>
      <c r="AX112" s="290">
        <v>98</v>
      </c>
      <c r="AY112" s="344">
        <f t="shared" si="122"/>
        <v>95</v>
      </c>
      <c r="AZ112" s="424">
        <f t="shared" si="123"/>
        <v>0.96938775510204078</v>
      </c>
      <c r="BA112" s="344"/>
      <c r="BB112" s="383">
        <v>92</v>
      </c>
      <c r="BC112" s="379">
        <f t="shared" si="99"/>
        <v>0</v>
      </c>
      <c r="BD112" s="378">
        <f t="shared" si="100"/>
        <v>6</v>
      </c>
      <c r="BE112" s="381"/>
      <c r="BF112" s="378">
        <f t="shared" si="124"/>
        <v>86</v>
      </c>
    </row>
    <row r="113" spans="1:58" x14ac:dyDescent="0.35">
      <c r="A113" s="423" t="s">
        <v>47</v>
      </c>
      <c r="B113" s="38">
        <v>252610086</v>
      </c>
      <c r="C113" s="333" t="s">
        <v>1167</v>
      </c>
      <c r="D113" s="194" t="s">
        <v>6</v>
      </c>
      <c r="E113" s="215">
        <v>19</v>
      </c>
      <c r="F113" s="350"/>
      <c r="G113" s="350"/>
      <c r="H113" s="350"/>
      <c r="I113" s="326">
        <f t="shared" si="101"/>
        <v>0</v>
      </c>
      <c r="J113" s="326">
        <f t="shared" si="102"/>
        <v>19</v>
      </c>
      <c r="K113" s="327">
        <f t="shared" si="103"/>
        <v>1</v>
      </c>
      <c r="L113" s="221">
        <v>14</v>
      </c>
      <c r="M113" s="222"/>
      <c r="N113" s="223">
        <v>1</v>
      </c>
      <c r="O113" s="222"/>
      <c r="P113" s="328">
        <f t="shared" si="104"/>
        <v>1</v>
      </c>
      <c r="Q113" s="328">
        <f t="shared" si="105"/>
        <v>13</v>
      </c>
      <c r="R113" s="329">
        <f t="shared" si="106"/>
        <v>0.9285714285714286</v>
      </c>
      <c r="S113" s="225">
        <v>12</v>
      </c>
      <c r="T113" s="226"/>
      <c r="U113" s="226">
        <v>3</v>
      </c>
      <c r="V113" s="226"/>
      <c r="W113" s="330">
        <f t="shared" si="107"/>
        <v>3</v>
      </c>
      <c r="X113" s="330">
        <f t="shared" si="108"/>
        <v>9</v>
      </c>
      <c r="Y113" s="331">
        <f t="shared" si="109"/>
        <v>0.75</v>
      </c>
      <c r="Z113" s="228">
        <v>21</v>
      </c>
      <c r="AA113" s="255"/>
      <c r="AB113" s="255"/>
      <c r="AC113" s="255"/>
      <c r="AD113" s="280">
        <f t="shared" si="110"/>
        <v>0</v>
      </c>
      <c r="AE113" s="280">
        <f t="shared" si="111"/>
        <v>21</v>
      </c>
      <c r="AF113" s="281">
        <f t="shared" si="112"/>
        <v>1</v>
      </c>
      <c r="AG113" s="229">
        <v>18</v>
      </c>
      <c r="AH113" s="257"/>
      <c r="AI113" s="257"/>
      <c r="AJ113" s="257"/>
      <c r="AK113" s="305">
        <f t="shared" si="113"/>
        <v>0</v>
      </c>
      <c r="AL113" s="305">
        <f t="shared" si="114"/>
        <v>18</v>
      </c>
      <c r="AM113" s="306">
        <f t="shared" si="115"/>
        <v>1</v>
      </c>
      <c r="AN113" s="230">
        <v>14</v>
      </c>
      <c r="AO113" s="259"/>
      <c r="AP113" s="259"/>
      <c r="AQ113" s="259"/>
      <c r="AR113" s="307">
        <f t="shared" si="116"/>
        <v>0</v>
      </c>
      <c r="AS113" s="307">
        <f t="shared" si="117"/>
        <v>14</v>
      </c>
      <c r="AT113" s="308">
        <f t="shared" si="118"/>
        <v>1</v>
      </c>
      <c r="AU113" s="344">
        <f t="shared" si="119"/>
        <v>0</v>
      </c>
      <c r="AV113" s="344">
        <f t="shared" si="120"/>
        <v>4</v>
      </c>
      <c r="AW113" s="344">
        <f t="shared" si="121"/>
        <v>0</v>
      </c>
      <c r="AX113" s="290">
        <v>98</v>
      </c>
      <c r="AY113" s="344">
        <f t="shared" si="122"/>
        <v>94</v>
      </c>
      <c r="AZ113" s="424">
        <f t="shared" si="123"/>
        <v>0.95918367346938771</v>
      </c>
      <c r="BA113" s="344">
        <v>1</v>
      </c>
      <c r="BB113" s="383">
        <v>96</v>
      </c>
      <c r="BC113" s="379">
        <f t="shared" si="99"/>
        <v>2</v>
      </c>
      <c r="BD113" s="378">
        <f t="shared" si="100"/>
        <v>0</v>
      </c>
      <c r="BE113" s="381"/>
      <c r="BF113" s="378">
        <f t="shared" si="124"/>
        <v>94</v>
      </c>
    </row>
    <row r="114" spans="1:58" x14ac:dyDescent="0.35">
      <c r="A114" s="423" t="s">
        <v>48</v>
      </c>
      <c r="B114" s="38">
        <v>252610087</v>
      </c>
      <c r="C114" s="46" t="s">
        <v>1168</v>
      </c>
      <c r="D114" s="194" t="s">
        <v>6</v>
      </c>
      <c r="E114" s="215">
        <v>19</v>
      </c>
      <c r="F114" s="350"/>
      <c r="G114" s="350"/>
      <c r="H114" s="350"/>
      <c r="I114" s="326">
        <f t="shared" si="101"/>
        <v>0</v>
      </c>
      <c r="J114" s="326">
        <f t="shared" si="102"/>
        <v>19</v>
      </c>
      <c r="K114" s="327">
        <f t="shared" si="103"/>
        <v>1</v>
      </c>
      <c r="L114" s="221">
        <v>14</v>
      </c>
      <c r="M114" s="222"/>
      <c r="N114" s="223"/>
      <c r="O114" s="222"/>
      <c r="P114" s="328">
        <f t="shared" si="104"/>
        <v>0</v>
      </c>
      <c r="Q114" s="328">
        <f t="shared" si="105"/>
        <v>14</v>
      </c>
      <c r="R114" s="329">
        <f t="shared" si="106"/>
        <v>1</v>
      </c>
      <c r="S114" s="225">
        <v>12</v>
      </c>
      <c r="T114" s="226"/>
      <c r="U114" s="226"/>
      <c r="V114" s="226"/>
      <c r="W114" s="330">
        <f t="shared" si="107"/>
        <v>0</v>
      </c>
      <c r="X114" s="330">
        <f t="shared" si="108"/>
        <v>12</v>
      </c>
      <c r="Y114" s="331">
        <f t="shared" si="109"/>
        <v>1</v>
      </c>
      <c r="Z114" s="228">
        <v>21</v>
      </c>
      <c r="AA114" s="255"/>
      <c r="AB114" s="255"/>
      <c r="AC114" s="255"/>
      <c r="AD114" s="280">
        <f t="shared" si="110"/>
        <v>0</v>
      </c>
      <c r="AE114" s="280">
        <f t="shared" si="111"/>
        <v>21</v>
      </c>
      <c r="AF114" s="281">
        <f t="shared" si="112"/>
        <v>1</v>
      </c>
      <c r="AG114" s="229">
        <v>18</v>
      </c>
      <c r="AH114" s="257"/>
      <c r="AI114" s="257"/>
      <c r="AJ114" s="257"/>
      <c r="AK114" s="305">
        <f t="shared" si="113"/>
        <v>0</v>
      </c>
      <c r="AL114" s="305">
        <f t="shared" si="114"/>
        <v>18</v>
      </c>
      <c r="AM114" s="306">
        <f t="shared" si="115"/>
        <v>1</v>
      </c>
      <c r="AN114" s="230">
        <v>14</v>
      </c>
      <c r="AO114" s="259"/>
      <c r="AP114" s="259"/>
      <c r="AQ114" s="259"/>
      <c r="AR114" s="307">
        <f t="shared" si="116"/>
        <v>0</v>
      </c>
      <c r="AS114" s="307">
        <f t="shared" si="117"/>
        <v>14</v>
      </c>
      <c r="AT114" s="308">
        <f t="shared" si="118"/>
        <v>1</v>
      </c>
      <c r="AU114" s="344">
        <f t="shared" si="119"/>
        <v>0</v>
      </c>
      <c r="AV114" s="344">
        <f t="shared" si="120"/>
        <v>0</v>
      </c>
      <c r="AW114" s="344">
        <f t="shared" si="121"/>
        <v>0</v>
      </c>
      <c r="AX114" s="290">
        <v>98</v>
      </c>
      <c r="AY114" s="344">
        <f t="shared" si="122"/>
        <v>98</v>
      </c>
      <c r="AZ114" s="424">
        <f t="shared" si="123"/>
        <v>1</v>
      </c>
      <c r="BA114" s="344"/>
      <c r="BB114" s="383">
        <v>98</v>
      </c>
      <c r="BC114" s="379">
        <f t="shared" si="99"/>
        <v>0</v>
      </c>
      <c r="BD114" s="378">
        <f t="shared" si="100"/>
        <v>0</v>
      </c>
      <c r="BE114" s="381"/>
      <c r="BF114" s="378">
        <f t="shared" si="124"/>
        <v>98</v>
      </c>
    </row>
    <row r="115" spans="1:58" x14ac:dyDescent="0.35">
      <c r="A115" s="423" t="s">
        <v>49</v>
      </c>
      <c r="B115" s="38">
        <v>252610089</v>
      </c>
      <c r="C115" s="333" t="s">
        <v>1169</v>
      </c>
      <c r="D115" s="194" t="s">
        <v>6</v>
      </c>
      <c r="E115" s="215">
        <v>19</v>
      </c>
      <c r="F115" s="350"/>
      <c r="G115" s="350">
        <v>2</v>
      </c>
      <c r="H115" s="350"/>
      <c r="I115" s="326">
        <f t="shared" si="101"/>
        <v>2</v>
      </c>
      <c r="J115" s="326">
        <f t="shared" si="102"/>
        <v>17</v>
      </c>
      <c r="K115" s="327">
        <f t="shared" si="103"/>
        <v>0.89473684210526316</v>
      </c>
      <c r="L115" s="221">
        <v>14</v>
      </c>
      <c r="M115" s="222"/>
      <c r="N115" s="223"/>
      <c r="O115" s="222"/>
      <c r="P115" s="328">
        <f t="shared" si="104"/>
        <v>0</v>
      </c>
      <c r="Q115" s="328">
        <f t="shared" si="105"/>
        <v>14</v>
      </c>
      <c r="R115" s="329">
        <f t="shared" si="106"/>
        <v>1</v>
      </c>
      <c r="S115" s="225">
        <v>12</v>
      </c>
      <c r="T115" s="226"/>
      <c r="U115" s="226"/>
      <c r="V115" s="226"/>
      <c r="W115" s="330">
        <f t="shared" si="107"/>
        <v>0</v>
      </c>
      <c r="X115" s="330">
        <f t="shared" si="108"/>
        <v>12</v>
      </c>
      <c r="Y115" s="331">
        <f t="shared" si="109"/>
        <v>1</v>
      </c>
      <c r="Z115" s="228">
        <v>21</v>
      </c>
      <c r="AA115" s="255"/>
      <c r="AB115" s="255"/>
      <c r="AC115" s="255"/>
      <c r="AD115" s="280">
        <f t="shared" si="110"/>
        <v>0</v>
      </c>
      <c r="AE115" s="280">
        <f t="shared" si="111"/>
        <v>21</v>
      </c>
      <c r="AF115" s="281">
        <f t="shared" si="112"/>
        <v>1</v>
      </c>
      <c r="AG115" s="229">
        <v>18</v>
      </c>
      <c r="AH115" s="257"/>
      <c r="AI115" s="257"/>
      <c r="AJ115" s="257"/>
      <c r="AK115" s="305">
        <f t="shared" si="113"/>
        <v>0</v>
      </c>
      <c r="AL115" s="305">
        <f t="shared" si="114"/>
        <v>18</v>
      </c>
      <c r="AM115" s="306">
        <f t="shared" si="115"/>
        <v>1</v>
      </c>
      <c r="AN115" s="230">
        <v>14</v>
      </c>
      <c r="AO115" s="259"/>
      <c r="AP115" s="259"/>
      <c r="AQ115" s="259"/>
      <c r="AR115" s="307">
        <f t="shared" si="116"/>
        <v>0</v>
      </c>
      <c r="AS115" s="307">
        <f t="shared" si="117"/>
        <v>14</v>
      </c>
      <c r="AT115" s="308">
        <f t="shared" si="118"/>
        <v>1</v>
      </c>
      <c r="AU115" s="344">
        <f t="shared" si="119"/>
        <v>0</v>
      </c>
      <c r="AV115" s="344">
        <f t="shared" si="120"/>
        <v>2</v>
      </c>
      <c r="AW115" s="344">
        <f t="shared" si="121"/>
        <v>0</v>
      </c>
      <c r="AX115" s="290">
        <v>98</v>
      </c>
      <c r="AY115" s="344">
        <f t="shared" si="122"/>
        <v>96</v>
      </c>
      <c r="AZ115" s="424">
        <f t="shared" si="123"/>
        <v>0.97959183673469385</v>
      </c>
      <c r="BA115" s="344"/>
      <c r="BB115" s="383">
        <v>100</v>
      </c>
      <c r="BC115" s="379">
        <f t="shared" si="99"/>
        <v>0</v>
      </c>
      <c r="BD115" s="378">
        <f t="shared" si="100"/>
        <v>0</v>
      </c>
      <c r="BE115" s="381"/>
      <c r="BF115" s="378">
        <f t="shared" si="124"/>
        <v>100</v>
      </c>
    </row>
    <row r="116" spans="1:58" x14ac:dyDescent="0.35">
      <c r="A116" s="423" t="s">
        <v>50</v>
      </c>
      <c r="B116" s="38">
        <v>252610090</v>
      </c>
      <c r="C116" s="34" t="s">
        <v>1178</v>
      </c>
      <c r="D116" s="194" t="s">
        <v>6</v>
      </c>
      <c r="E116" s="215">
        <v>19</v>
      </c>
      <c r="F116" s="350"/>
      <c r="G116" s="350">
        <v>1</v>
      </c>
      <c r="H116" s="350">
        <v>2</v>
      </c>
      <c r="I116" s="326">
        <f t="shared" si="101"/>
        <v>3</v>
      </c>
      <c r="J116" s="326">
        <f t="shared" si="102"/>
        <v>16</v>
      </c>
      <c r="K116" s="327">
        <f t="shared" si="103"/>
        <v>0.84210526315789469</v>
      </c>
      <c r="L116" s="221">
        <v>14</v>
      </c>
      <c r="M116" s="222"/>
      <c r="N116" s="223"/>
      <c r="O116" s="222">
        <v>3</v>
      </c>
      <c r="P116" s="328">
        <f t="shared" si="104"/>
        <v>3</v>
      </c>
      <c r="Q116" s="328">
        <f t="shared" si="105"/>
        <v>11</v>
      </c>
      <c r="R116" s="329">
        <f t="shared" si="106"/>
        <v>0.7857142857142857</v>
      </c>
      <c r="S116" s="225">
        <v>12</v>
      </c>
      <c r="T116" s="226"/>
      <c r="U116" s="226"/>
      <c r="V116" s="226">
        <v>2</v>
      </c>
      <c r="W116" s="330">
        <f t="shared" si="107"/>
        <v>2</v>
      </c>
      <c r="X116" s="330">
        <f t="shared" si="108"/>
        <v>10</v>
      </c>
      <c r="Y116" s="331">
        <f t="shared" si="109"/>
        <v>0.83333333333333337</v>
      </c>
      <c r="Z116" s="228">
        <v>21</v>
      </c>
      <c r="AA116" s="255"/>
      <c r="AB116" s="255"/>
      <c r="AC116" s="255"/>
      <c r="AD116" s="280">
        <f t="shared" si="110"/>
        <v>0</v>
      </c>
      <c r="AE116" s="280">
        <f t="shared" si="111"/>
        <v>21</v>
      </c>
      <c r="AF116" s="281">
        <f t="shared" si="112"/>
        <v>1</v>
      </c>
      <c r="AG116" s="229">
        <v>18</v>
      </c>
      <c r="AH116" s="257"/>
      <c r="AI116" s="257"/>
      <c r="AJ116" s="257"/>
      <c r="AK116" s="305">
        <f t="shared" si="113"/>
        <v>0</v>
      </c>
      <c r="AL116" s="305">
        <f t="shared" si="114"/>
        <v>18</v>
      </c>
      <c r="AM116" s="306">
        <f t="shared" si="115"/>
        <v>1</v>
      </c>
      <c r="AN116" s="230">
        <v>14</v>
      </c>
      <c r="AO116" s="259"/>
      <c r="AP116" s="259"/>
      <c r="AQ116" s="259"/>
      <c r="AR116" s="307">
        <f t="shared" si="116"/>
        <v>0</v>
      </c>
      <c r="AS116" s="307">
        <f t="shared" si="117"/>
        <v>14</v>
      </c>
      <c r="AT116" s="308">
        <f t="shared" si="118"/>
        <v>1</v>
      </c>
      <c r="AU116" s="344">
        <f t="shared" si="119"/>
        <v>0</v>
      </c>
      <c r="AV116" s="344">
        <f t="shared" si="120"/>
        <v>1</v>
      </c>
      <c r="AW116" s="344">
        <f t="shared" si="121"/>
        <v>7</v>
      </c>
      <c r="AX116" s="290">
        <v>98</v>
      </c>
      <c r="AY116" s="344">
        <f t="shared" si="122"/>
        <v>90</v>
      </c>
      <c r="AZ116" s="424">
        <f t="shared" si="123"/>
        <v>0.91836734693877553</v>
      </c>
      <c r="BA116" s="344">
        <v>3</v>
      </c>
      <c r="BB116" s="383">
        <v>38</v>
      </c>
      <c r="BC116" s="379">
        <f t="shared" si="99"/>
        <v>6</v>
      </c>
      <c r="BD116" s="378">
        <f t="shared" si="100"/>
        <v>14</v>
      </c>
      <c r="BE116" s="381"/>
      <c r="BF116" s="378">
        <f t="shared" si="124"/>
        <v>18</v>
      </c>
    </row>
    <row r="117" spans="1:58" x14ac:dyDescent="0.35">
      <c r="A117" s="423" t="s">
        <v>51</v>
      </c>
      <c r="B117" s="38">
        <v>252610091</v>
      </c>
      <c r="C117" s="333" t="s">
        <v>1170</v>
      </c>
      <c r="D117" s="194" t="s">
        <v>6</v>
      </c>
      <c r="E117" s="215">
        <v>19</v>
      </c>
      <c r="F117" s="350"/>
      <c r="G117" s="350">
        <v>1</v>
      </c>
      <c r="H117" s="350">
        <v>2</v>
      </c>
      <c r="I117" s="326">
        <f t="shared" si="101"/>
        <v>3</v>
      </c>
      <c r="J117" s="326">
        <f t="shared" si="102"/>
        <v>16</v>
      </c>
      <c r="K117" s="327">
        <f t="shared" si="103"/>
        <v>0.84210526315789469</v>
      </c>
      <c r="L117" s="221">
        <v>14</v>
      </c>
      <c r="M117" s="222"/>
      <c r="N117" s="223"/>
      <c r="O117" s="222">
        <v>1</v>
      </c>
      <c r="P117" s="328">
        <f t="shared" si="104"/>
        <v>1</v>
      </c>
      <c r="Q117" s="328">
        <f t="shared" si="105"/>
        <v>13</v>
      </c>
      <c r="R117" s="329">
        <f t="shared" si="106"/>
        <v>0.9285714285714286</v>
      </c>
      <c r="S117" s="225">
        <v>12</v>
      </c>
      <c r="T117" s="226">
        <v>1</v>
      </c>
      <c r="U117" s="226"/>
      <c r="V117" s="226"/>
      <c r="W117" s="330">
        <f t="shared" si="107"/>
        <v>1</v>
      </c>
      <c r="X117" s="330">
        <f t="shared" si="108"/>
        <v>11</v>
      </c>
      <c r="Y117" s="331">
        <f t="shared" si="109"/>
        <v>0.91666666666666663</v>
      </c>
      <c r="Z117" s="228">
        <v>21</v>
      </c>
      <c r="AA117" s="255"/>
      <c r="AB117" s="255"/>
      <c r="AC117" s="255"/>
      <c r="AD117" s="280">
        <f t="shared" si="110"/>
        <v>0</v>
      </c>
      <c r="AE117" s="280">
        <f t="shared" si="111"/>
        <v>21</v>
      </c>
      <c r="AF117" s="281">
        <f t="shared" si="112"/>
        <v>1</v>
      </c>
      <c r="AG117" s="229">
        <v>18</v>
      </c>
      <c r="AH117" s="257"/>
      <c r="AI117" s="257"/>
      <c r="AJ117" s="257"/>
      <c r="AK117" s="305">
        <f t="shared" si="113"/>
        <v>0</v>
      </c>
      <c r="AL117" s="305">
        <f t="shared" si="114"/>
        <v>18</v>
      </c>
      <c r="AM117" s="306">
        <f t="shared" si="115"/>
        <v>1</v>
      </c>
      <c r="AN117" s="230">
        <v>14</v>
      </c>
      <c r="AO117" s="259"/>
      <c r="AP117" s="259"/>
      <c r="AQ117" s="259"/>
      <c r="AR117" s="307">
        <f t="shared" si="116"/>
        <v>0</v>
      </c>
      <c r="AS117" s="307">
        <f t="shared" si="117"/>
        <v>14</v>
      </c>
      <c r="AT117" s="308">
        <f t="shared" si="118"/>
        <v>1</v>
      </c>
      <c r="AU117" s="344">
        <f t="shared" si="119"/>
        <v>1</v>
      </c>
      <c r="AV117" s="344">
        <f t="shared" si="120"/>
        <v>1</v>
      </c>
      <c r="AW117" s="344">
        <f t="shared" si="121"/>
        <v>3</v>
      </c>
      <c r="AX117" s="290">
        <v>98</v>
      </c>
      <c r="AY117" s="344">
        <f t="shared" si="122"/>
        <v>93</v>
      </c>
      <c r="AZ117" s="424">
        <f t="shared" si="123"/>
        <v>0.94897959183673475</v>
      </c>
      <c r="BA117" s="344">
        <v>1</v>
      </c>
      <c r="BB117" s="383">
        <v>92</v>
      </c>
      <c r="BC117" s="379">
        <f t="shared" si="99"/>
        <v>2</v>
      </c>
      <c r="BD117" s="378">
        <f t="shared" si="100"/>
        <v>6</v>
      </c>
      <c r="BE117" s="381"/>
      <c r="BF117" s="378">
        <f t="shared" si="124"/>
        <v>84</v>
      </c>
    </row>
    <row r="118" spans="1:58" x14ac:dyDescent="0.35">
      <c r="A118" s="423" t="s">
        <v>122</v>
      </c>
      <c r="B118" s="38">
        <v>252610092</v>
      </c>
      <c r="C118" s="34" t="s">
        <v>1171</v>
      </c>
      <c r="D118" s="194" t="s">
        <v>6</v>
      </c>
      <c r="E118" s="215">
        <v>19</v>
      </c>
      <c r="F118" s="350"/>
      <c r="G118" s="350">
        <v>4</v>
      </c>
      <c r="H118" s="350">
        <v>1</v>
      </c>
      <c r="I118" s="326">
        <f t="shared" si="101"/>
        <v>5</v>
      </c>
      <c r="J118" s="326">
        <f t="shared" si="102"/>
        <v>14</v>
      </c>
      <c r="K118" s="327">
        <f t="shared" si="103"/>
        <v>0.73684210526315785</v>
      </c>
      <c r="L118" s="221">
        <v>14</v>
      </c>
      <c r="M118" s="222"/>
      <c r="N118" s="223"/>
      <c r="O118" s="222"/>
      <c r="P118" s="328">
        <f t="shared" si="104"/>
        <v>0</v>
      </c>
      <c r="Q118" s="328">
        <f t="shared" si="105"/>
        <v>14</v>
      </c>
      <c r="R118" s="329">
        <f t="shared" si="106"/>
        <v>1</v>
      </c>
      <c r="S118" s="225">
        <v>12</v>
      </c>
      <c r="T118" s="226"/>
      <c r="U118" s="226"/>
      <c r="V118" s="226"/>
      <c r="W118" s="330">
        <f t="shared" si="107"/>
        <v>0</v>
      </c>
      <c r="X118" s="330">
        <f t="shared" si="108"/>
        <v>12</v>
      </c>
      <c r="Y118" s="331">
        <f t="shared" si="109"/>
        <v>1</v>
      </c>
      <c r="Z118" s="228">
        <v>21</v>
      </c>
      <c r="AA118" s="255"/>
      <c r="AB118" s="255"/>
      <c r="AC118" s="255"/>
      <c r="AD118" s="280">
        <f t="shared" si="110"/>
        <v>0</v>
      </c>
      <c r="AE118" s="280">
        <f t="shared" si="111"/>
        <v>21</v>
      </c>
      <c r="AF118" s="281">
        <f t="shared" si="112"/>
        <v>1</v>
      </c>
      <c r="AG118" s="229">
        <v>18</v>
      </c>
      <c r="AH118" s="257"/>
      <c r="AI118" s="257"/>
      <c r="AJ118" s="257"/>
      <c r="AK118" s="305">
        <f t="shared" si="113"/>
        <v>0</v>
      </c>
      <c r="AL118" s="305">
        <f t="shared" si="114"/>
        <v>18</v>
      </c>
      <c r="AM118" s="306">
        <f t="shared" si="115"/>
        <v>1</v>
      </c>
      <c r="AN118" s="230">
        <v>14</v>
      </c>
      <c r="AO118" s="259"/>
      <c r="AP118" s="259"/>
      <c r="AQ118" s="259"/>
      <c r="AR118" s="307">
        <f t="shared" si="116"/>
        <v>0</v>
      </c>
      <c r="AS118" s="307">
        <f t="shared" si="117"/>
        <v>14</v>
      </c>
      <c r="AT118" s="308">
        <f t="shared" si="118"/>
        <v>1</v>
      </c>
      <c r="AU118" s="344">
        <f t="shared" si="119"/>
        <v>0</v>
      </c>
      <c r="AV118" s="344">
        <f t="shared" si="120"/>
        <v>4</v>
      </c>
      <c r="AW118" s="344">
        <f t="shared" si="121"/>
        <v>1</v>
      </c>
      <c r="AX118" s="290">
        <v>98</v>
      </c>
      <c r="AY118" s="344">
        <f t="shared" si="122"/>
        <v>93</v>
      </c>
      <c r="AZ118" s="424">
        <f t="shared" si="123"/>
        <v>0.94897959183673475</v>
      </c>
      <c r="BA118" s="344"/>
      <c r="BB118" s="383">
        <v>84</v>
      </c>
      <c r="BC118" s="379">
        <f t="shared" si="99"/>
        <v>0</v>
      </c>
      <c r="BD118" s="378">
        <f t="shared" si="100"/>
        <v>2</v>
      </c>
      <c r="BE118" s="381"/>
      <c r="BF118" s="378">
        <f t="shared" si="124"/>
        <v>82</v>
      </c>
    </row>
    <row r="119" spans="1:58" x14ac:dyDescent="0.35">
      <c r="A119" s="423" t="s">
        <v>123</v>
      </c>
      <c r="B119" s="38">
        <v>252610093</v>
      </c>
      <c r="C119" s="34" t="s">
        <v>1172</v>
      </c>
      <c r="D119" s="194" t="s">
        <v>6</v>
      </c>
      <c r="E119" s="215">
        <v>19</v>
      </c>
      <c r="F119" s="350"/>
      <c r="G119" s="350"/>
      <c r="H119" s="350"/>
      <c r="I119" s="326">
        <f t="shared" si="101"/>
        <v>0</v>
      </c>
      <c r="J119" s="326">
        <f t="shared" si="102"/>
        <v>19</v>
      </c>
      <c r="K119" s="327">
        <f t="shared" si="103"/>
        <v>1</v>
      </c>
      <c r="L119" s="221">
        <v>14</v>
      </c>
      <c r="M119" s="222"/>
      <c r="N119" s="223"/>
      <c r="O119" s="222">
        <v>9</v>
      </c>
      <c r="P119" s="328">
        <f t="shared" si="104"/>
        <v>9</v>
      </c>
      <c r="Q119" s="328">
        <f t="shared" si="105"/>
        <v>5</v>
      </c>
      <c r="R119" s="329">
        <f t="shared" si="106"/>
        <v>0.35714285714285715</v>
      </c>
      <c r="S119" s="225">
        <v>12</v>
      </c>
      <c r="T119" s="226"/>
      <c r="U119" s="226"/>
      <c r="V119" s="226"/>
      <c r="W119" s="330">
        <f t="shared" si="107"/>
        <v>0</v>
      </c>
      <c r="X119" s="330">
        <f t="shared" si="108"/>
        <v>12</v>
      </c>
      <c r="Y119" s="331">
        <f t="shared" si="109"/>
        <v>1</v>
      </c>
      <c r="Z119" s="228">
        <v>21</v>
      </c>
      <c r="AA119" s="255"/>
      <c r="AB119" s="255"/>
      <c r="AC119" s="255"/>
      <c r="AD119" s="280">
        <f t="shared" si="110"/>
        <v>0</v>
      </c>
      <c r="AE119" s="280">
        <f t="shared" si="111"/>
        <v>21</v>
      </c>
      <c r="AF119" s="281">
        <f t="shared" si="112"/>
        <v>1</v>
      </c>
      <c r="AG119" s="229">
        <v>18</v>
      </c>
      <c r="AH119" s="257"/>
      <c r="AI119" s="257"/>
      <c r="AJ119" s="257"/>
      <c r="AK119" s="305">
        <f t="shared" si="113"/>
        <v>0</v>
      </c>
      <c r="AL119" s="305">
        <f t="shared" si="114"/>
        <v>18</v>
      </c>
      <c r="AM119" s="306">
        <f t="shared" si="115"/>
        <v>1</v>
      </c>
      <c r="AN119" s="230">
        <v>14</v>
      </c>
      <c r="AO119" s="259"/>
      <c r="AP119" s="259"/>
      <c r="AQ119" s="259"/>
      <c r="AR119" s="307">
        <f t="shared" si="116"/>
        <v>0</v>
      </c>
      <c r="AS119" s="307">
        <f t="shared" si="117"/>
        <v>14</v>
      </c>
      <c r="AT119" s="308">
        <f t="shared" si="118"/>
        <v>1</v>
      </c>
      <c r="AU119" s="344">
        <f t="shared" si="119"/>
        <v>0</v>
      </c>
      <c r="AV119" s="344">
        <f t="shared" si="120"/>
        <v>0</v>
      </c>
      <c r="AW119" s="344">
        <f t="shared" si="121"/>
        <v>9</v>
      </c>
      <c r="AX119" s="290">
        <v>98</v>
      </c>
      <c r="AY119" s="344">
        <f t="shared" si="122"/>
        <v>89</v>
      </c>
      <c r="AZ119" s="424">
        <f t="shared" si="123"/>
        <v>0.90816326530612246</v>
      </c>
      <c r="BA119" s="344"/>
      <c r="BB119" s="383">
        <v>100</v>
      </c>
      <c r="BC119" s="379">
        <f t="shared" si="99"/>
        <v>0</v>
      </c>
      <c r="BD119" s="378">
        <f t="shared" si="100"/>
        <v>18</v>
      </c>
      <c r="BE119" s="381"/>
      <c r="BF119" s="378">
        <f t="shared" si="124"/>
        <v>82</v>
      </c>
    </row>
    <row r="120" spans="1:58" x14ac:dyDescent="0.35">
      <c r="A120" s="423" t="s">
        <v>124</v>
      </c>
      <c r="B120" s="38">
        <v>252610094</v>
      </c>
      <c r="C120" s="34" t="s">
        <v>1173</v>
      </c>
      <c r="D120" s="194" t="s">
        <v>6</v>
      </c>
      <c r="E120" s="215">
        <v>19</v>
      </c>
      <c r="F120" s="350"/>
      <c r="G120" s="350"/>
      <c r="H120" s="350">
        <v>4</v>
      </c>
      <c r="I120" s="326">
        <f t="shared" si="101"/>
        <v>4</v>
      </c>
      <c r="J120" s="326">
        <f t="shared" si="102"/>
        <v>15</v>
      </c>
      <c r="K120" s="327">
        <f t="shared" si="103"/>
        <v>0.78947368421052633</v>
      </c>
      <c r="L120" s="221">
        <v>14</v>
      </c>
      <c r="M120" s="222">
        <v>1</v>
      </c>
      <c r="N120" s="223"/>
      <c r="O120" s="222">
        <v>5</v>
      </c>
      <c r="P120" s="328">
        <f t="shared" si="104"/>
        <v>6</v>
      </c>
      <c r="Q120" s="328">
        <f t="shared" si="105"/>
        <v>8</v>
      </c>
      <c r="R120" s="329">
        <f t="shared" si="106"/>
        <v>0.5714285714285714</v>
      </c>
      <c r="S120" s="225">
        <v>12</v>
      </c>
      <c r="T120" s="226"/>
      <c r="U120" s="227"/>
      <c r="V120" s="226">
        <v>6</v>
      </c>
      <c r="W120" s="330">
        <f t="shared" si="107"/>
        <v>6</v>
      </c>
      <c r="X120" s="330">
        <f t="shared" si="108"/>
        <v>6</v>
      </c>
      <c r="Y120" s="331">
        <f t="shared" si="109"/>
        <v>0.5</v>
      </c>
      <c r="Z120" s="228">
        <v>21</v>
      </c>
      <c r="AA120" s="255"/>
      <c r="AB120" s="256"/>
      <c r="AC120" s="255"/>
      <c r="AD120" s="280">
        <f t="shared" si="110"/>
        <v>0</v>
      </c>
      <c r="AE120" s="280">
        <f t="shared" si="111"/>
        <v>21</v>
      </c>
      <c r="AF120" s="281">
        <f t="shared" si="112"/>
        <v>1</v>
      </c>
      <c r="AG120" s="229">
        <v>18</v>
      </c>
      <c r="AH120" s="257"/>
      <c r="AI120" s="258"/>
      <c r="AJ120" s="257"/>
      <c r="AK120" s="305">
        <f t="shared" si="113"/>
        <v>0</v>
      </c>
      <c r="AL120" s="305">
        <f t="shared" si="114"/>
        <v>18</v>
      </c>
      <c r="AM120" s="306">
        <f t="shared" si="115"/>
        <v>1</v>
      </c>
      <c r="AN120" s="230">
        <v>14</v>
      </c>
      <c r="AO120" s="259"/>
      <c r="AP120" s="260"/>
      <c r="AQ120" s="259"/>
      <c r="AR120" s="307">
        <f t="shared" si="116"/>
        <v>0</v>
      </c>
      <c r="AS120" s="307">
        <f t="shared" si="117"/>
        <v>14</v>
      </c>
      <c r="AT120" s="308">
        <f t="shared" si="118"/>
        <v>1</v>
      </c>
      <c r="AU120" s="344">
        <f t="shared" si="119"/>
        <v>1</v>
      </c>
      <c r="AV120" s="344">
        <f t="shared" si="120"/>
        <v>0</v>
      </c>
      <c r="AW120" s="344">
        <f t="shared" si="121"/>
        <v>15</v>
      </c>
      <c r="AX120" s="290">
        <v>98</v>
      </c>
      <c r="AY120" s="344">
        <f t="shared" si="122"/>
        <v>82</v>
      </c>
      <c r="AZ120" s="424">
        <f t="shared" si="123"/>
        <v>0.83673469387755106</v>
      </c>
      <c r="BA120" s="344"/>
      <c r="BB120" s="383">
        <v>36</v>
      </c>
      <c r="BC120" s="379">
        <f t="shared" si="99"/>
        <v>0</v>
      </c>
      <c r="BD120" s="378">
        <f t="shared" si="100"/>
        <v>30</v>
      </c>
      <c r="BE120" s="381"/>
      <c r="BF120" s="378">
        <f t="shared" si="124"/>
        <v>6</v>
      </c>
    </row>
    <row r="121" spans="1:58" x14ac:dyDescent="0.35">
      <c r="A121" s="423" t="s">
        <v>125</v>
      </c>
      <c r="B121" s="38">
        <v>252610095</v>
      </c>
      <c r="C121" s="34" t="s">
        <v>1174</v>
      </c>
      <c r="D121" s="194" t="s">
        <v>6</v>
      </c>
      <c r="E121" s="215">
        <v>19</v>
      </c>
      <c r="F121" s="350"/>
      <c r="G121" s="350"/>
      <c r="H121" s="350"/>
      <c r="I121" s="326">
        <f t="shared" si="101"/>
        <v>0</v>
      </c>
      <c r="J121" s="326">
        <f t="shared" si="102"/>
        <v>19</v>
      </c>
      <c r="K121" s="327">
        <f t="shared" si="103"/>
        <v>1</v>
      </c>
      <c r="L121" s="221">
        <v>14</v>
      </c>
      <c r="M121" s="222"/>
      <c r="N121" s="223"/>
      <c r="O121" s="222"/>
      <c r="P121" s="328">
        <f t="shared" si="104"/>
        <v>0</v>
      </c>
      <c r="Q121" s="328">
        <f t="shared" si="105"/>
        <v>14</v>
      </c>
      <c r="R121" s="329">
        <f t="shared" si="106"/>
        <v>1</v>
      </c>
      <c r="S121" s="225">
        <v>12</v>
      </c>
      <c r="T121" s="226"/>
      <c r="U121" s="227"/>
      <c r="V121" s="226"/>
      <c r="W121" s="330">
        <f t="shared" si="107"/>
        <v>0</v>
      </c>
      <c r="X121" s="330">
        <f t="shared" si="108"/>
        <v>12</v>
      </c>
      <c r="Y121" s="331">
        <f t="shared" si="109"/>
        <v>1</v>
      </c>
      <c r="Z121" s="228">
        <v>21</v>
      </c>
      <c r="AA121" s="255"/>
      <c r="AB121" s="256"/>
      <c r="AC121" s="255"/>
      <c r="AD121" s="280">
        <f t="shared" si="110"/>
        <v>0</v>
      </c>
      <c r="AE121" s="280">
        <f t="shared" si="111"/>
        <v>21</v>
      </c>
      <c r="AF121" s="281">
        <f t="shared" si="112"/>
        <v>1</v>
      </c>
      <c r="AG121" s="229">
        <v>18</v>
      </c>
      <c r="AH121" s="257"/>
      <c r="AI121" s="258"/>
      <c r="AJ121" s="257"/>
      <c r="AK121" s="305">
        <f t="shared" si="113"/>
        <v>0</v>
      </c>
      <c r="AL121" s="305">
        <f t="shared" si="114"/>
        <v>18</v>
      </c>
      <c r="AM121" s="306">
        <f t="shared" si="115"/>
        <v>1</v>
      </c>
      <c r="AN121" s="230">
        <v>14</v>
      </c>
      <c r="AO121" s="259"/>
      <c r="AP121" s="260"/>
      <c r="AQ121" s="259"/>
      <c r="AR121" s="307">
        <f t="shared" si="116"/>
        <v>0</v>
      </c>
      <c r="AS121" s="307">
        <f t="shared" si="117"/>
        <v>14</v>
      </c>
      <c r="AT121" s="308">
        <f t="shared" si="118"/>
        <v>1</v>
      </c>
      <c r="AU121" s="344">
        <f t="shared" si="119"/>
        <v>0</v>
      </c>
      <c r="AV121" s="344">
        <f t="shared" si="120"/>
        <v>0</v>
      </c>
      <c r="AW121" s="344">
        <f t="shared" si="121"/>
        <v>0</v>
      </c>
      <c r="AX121" s="290">
        <v>98</v>
      </c>
      <c r="AY121" s="344">
        <f t="shared" si="122"/>
        <v>98</v>
      </c>
      <c r="AZ121" s="424">
        <f t="shared" si="123"/>
        <v>1</v>
      </c>
      <c r="BA121" s="344"/>
      <c r="BB121" s="383">
        <v>100</v>
      </c>
      <c r="BC121" s="379">
        <f t="shared" si="99"/>
        <v>0</v>
      </c>
      <c r="BD121" s="378">
        <f t="shared" si="100"/>
        <v>0</v>
      </c>
      <c r="BE121" s="381"/>
      <c r="BF121" s="378">
        <f t="shared" si="124"/>
        <v>100</v>
      </c>
    </row>
    <row r="122" spans="1:58" x14ac:dyDescent="0.35">
      <c r="A122" s="193" t="s">
        <v>126</v>
      </c>
      <c r="B122" s="35">
        <v>252610096</v>
      </c>
      <c r="C122" s="36" t="s">
        <v>1175</v>
      </c>
      <c r="D122" s="194" t="s">
        <v>6</v>
      </c>
      <c r="E122" s="215">
        <v>19</v>
      </c>
      <c r="F122" s="350"/>
      <c r="G122" s="350"/>
      <c r="H122" s="350"/>
      <c r="I122" s="326">
        <f t="shared" si="101"/>
        <v>0</v>
      </c>
      <c r="J122" s="326">
        <f t="shared" si="102"/>
        <v>19</v>
      </c>
      <c r="K122" s="327">
        <f t="shared" si="103"/>
        <v>1</v>
      </c>
      <c r="L122" s="221">
        <v>14</v>
      </c>
      <c r="M122" s="222"/>
      <c r="N122" s="223"/>
      <c r="O122" s="222"/>
      <c r="P122" s="328">
        <f t="shared" si="104"/>
        <v>0</v>
      </c>
      <c r="Q122" s="328">
        <f t="shared" si="105"/>
        <v>14</v>
      </c>
      <c r="R122" s="329">
        <f t="shared" si="106"/>
        <v>1</v>
      </c>
      <c r="S122" s="225">
        <v>12</v>
      </c>
      <c r="T122" s="226"/>
      <c r="U122" s="227"/>
      <c r="V122" s="226"/>
      <c r="W122" s="330">
        <f t="shared" si="107"/>
        <v>0</v>
      </c>
      <c r="X122" s="330">
        <f t="shared" si="108"/>
        <v>12</v>
      </c>
      <c r="Y122" s="331">
        <f t="shared" si="109"/>
        <v>1</v>
      </c>
      <c r="Z122" s="228">
        <v>21</v>
      </c>
      <c r="AA122" s="255"/>
      <c r="AB122" s="256"/>
      <c r="AC122" s="255"/>
      <c r="AD122" s="280">
        <f t="shared" si="110"/>
        <v>0</v>
      </c>
      <c r="AE122" s="280">
        <f t="shared" si="111"/>
        <v>21</v>
      </c>
      <c r="AF122" s="281">
        <f t="shared" si="112"/>
        <v>1</v>
      </c>
      <c r="AG122" s="229">
        <v>18</v>
      </c>
      <c r="AH122" s="257"/>
      <c r="AI122" s="258"/>
      <c r="AJ122" s="257"/>
      <c r="AK122" s="305">
        <f t="shared" si="113"/>
        <v>0</v>
      </c>
      <c r="AL122" s="305">
        <f t="shared" si="114"/>
        <v>18</v>
      </c>
      <c r="AM122" s="306">
        <f t="shared" si="115"/>
        <v>1</v>
      </c>
      <c r="AN122" s="230">
        <v>14</v>
      </c>
      <c r="AO122" s="259"/>
      <c r="AP122" s="260"/>
      <c r="AQ122" s="259"/>
      <c r="AR122" s="307">
        <f t="shared" si="116"/>
        <v>0</v>
      </c>
      <c r="AS122" s="307">
        <f t="shared" si="117"/>
        <v>14</v>
      </c>
      <c r="AT122" s="308">
        <f t="shared" si="118"/>
        <v>1</v>
      </c>
      <c r="AU122" s="289">
        <f t="shared" si="119"/>
        <v>0</v>
      </c>
      <c r="AV122" s="289">
        <f t="shared" si="120"/>
        <v>0</v>
      </c>
      <c r="AW122" s="289">
        <f t="shared" si="121"/>
        <v>0</v>
      </c>
      <c r="AX122" s="290">
        <v>98</v>
      </c>
      <c r="AY122" s="289">
        <f t="shared" si="122"/>
        <v>98</v>
      </c>
      <c r="AZ122" s="291">
        <f t="shared" si="123"/>
        <v>1</v>
      </c>
      <c r="BA122" s="344"/>
      <c r="BB122" s="383">
        <v>96</v>
      </c>
      <c r="BC122" s="379">
        <f t="shared" si="99"/>
        <v>0</v>
      </c>
      <c r="BD122" s="378">
        <f t="shared" si="100"/>
        <v>0</v>
      </c>
      <c r="BE122" s="381"/>
      <c r="BF122" s="378">
        <f t="shared" si="124"/>
        <v>96</v>
      </c>
    </row>
    <row r="123" spans="1:58" x14ac:dyDescent="0.35">
      <c r="A123" s="193" t="s">
        <v>127</v>
      </c>
      <c r="B123" s="35">
        <v>252610097</v>
      </c>
      <c r="C123" s="351" t="s">
        <v>1176</v>
      </c>
      <c r="D123" s="194" t="s">
        <v>6</v>
      </c>
      <c r="E123" s="215">
        <v>19</v>
      </c>
      <c r="F123" s="350"/>
      <c r="G123" s="350"/>
      <c r="H123" s="350"/>
      <c r="I123" s="326">
        <f t="shared" si="101"/>
        <v>0</v>
      </c>
      <c r="J123" s="326">
        <f t="shared" si="102"/>
        <v>19</v>
      </c>
      <c r="K123" s="327">
        <f t="shared" si="103"/>
        <v>1</v>
      </c>
      <c r="L123" s="221">
        <v>14</v>
      </c>
      <c r="M123" s="222"/>
      <c r="N123" s="223"/>
      <c r="O123" s="222"/>
      <c r="P123" s="328">
        <f t="shared" si="104"/>
        <v>0</v>
      </c>
      <c r="Q123" s="328">
        <f t="shared" si="105"/>
        <v>14</v>
      </c>
      <c r="R123" s="329">
        <f t="shared" si="106"/>
        <v>1</v>
      </c>
      <c r="S123" s="225">
        <v>12</v>
      </c>
      <c r="T123" s="226"/>
      <c r="U123" s="227"/>
      <c r="V123" s="226">
        <v>1</v>
      </c>
      <c r="W123" s="330">
        <f t="shared" si="107"/>
        <v>1</v>
      </c>
      <c r="X123" s="330">
        <f t="shared" si="108"/>
        <v>11</v>
      </c>
      <c r="Y123" s="331">
        <f t="shared" si="109"/>
        <v>0.91666666666666663</v>
      </c>
      <c r="Z123" s="228">
        <v>21</v>
      </c>
      <c r="AA123" s="255"/>
      <c r="AB123" s="256"/>
      <c r="AC123" s="255"/>
      <c r="AD123" s="280">
        <f t="shared" si="110"/>
        <v>0</v>
      </c>
      <c r="AE123" s="280">
        <f t="shared" si="111"/>
        <v>21</v>
      </c>
      <c r="AF123" s="281">
        <f t="shared" si="112"/>
        <v>1</v>
      </c>
      <c r="AG123" s="229">
        <v>18</v>
      </c>
      <c r="AH123" s="257"/>
      <c r="AI123" s="258"/>
      <c r="AJ123" s="257"/>
      <c r="AK123" s="305">
        <f t="shared" si="113"/>
        <v>0</v>
      </c>
      <c r="AL123" s="305">
        <f t="shared" si="114"/>
        <v>18</v>
      </c>
      <c r="AM123" s="306">
        <f t="shared" si="115"/>
        <v>1</v>
      </c>
      <c r="AN123" s="230">
        <v>14</v>
      </c>
      <c r="AO123" s="259"/>
      <c r="AP123" s="260"/>
      <c r="AQ123" s="259"/>
      <c r="AR123" s="307">
        <f t="shared" si="116"/>
        <v>0</v>
      </c>
      <c r="AS123" s="307">
        <f t="shared" si="117"/>
        <v>14</v>
      </c>
      <c r="AT123" s="308">
        <f t="shared" si="118"/>
        <v>1</v>
      </c>
      <c r="AU123" s="289">
        <f t="shared" si="119"/>
        <v>0</v>
      </c>
      <c r="AV123" s="289">
        <f t="shared" si="120"/>
        <v>0</v>
      </c>
      <c r="AW123" s="289">
        <f t="shared" si="121"/>
        <v>1</v>
      </c>
      <c r="AX123" s="290">
        <v>98</v>
      </c>
      <c r="AY123" s="289">
        <f t="shared" si="122"/>
        <v>97</v>
      </c>
      <c r="AZ123" s="291">
        <f t="shared" si="123"/>
        <v>0.98979591836734693</v>
      </c>
      <c r="BA123" s="344"/>
      <c r="BB123" s="383">
        <v>100</v>
      </c>
      <c r="BC123" s="379">
        <f t="shared" si="99"/>
        <v>0</v>
      </c>
      <c r="BD123" s="378">
        <f t="shared" si="100"/>
        <v>2</v>
      </c>
      <c r="BE123" s="381"/>
      <c r="BF123" s="378">
        <f t="shared" si="124"/>
        <v>98</v>
      </c>
    </row>
    <row r="124" spans="1:58" x14ac:dyDescent="0.35">
      <c r="A124" s="193" t="s">
        <v>893</v>
      </c>
      <c r="B124" s="35">
        <v>252610098</v>
      </c>
      <c r="C124" s="51" t="s">
        <v>1177</v>
      </c>
      <c r="D124" s="194" t="s">
        <v>6</v>
      </c>
      <c r="E124" s="215">
        <v>19</v>
      </c>
      <c r="F124" s="350"/>
      <c r="G124" s="350"/>
      <c r="H124" s="350"/>
      <c r="I124" s="326">
        <f t="shared" si="101"/>
        <v>0</v>
      </c>
      <c r="J124" s="326">
        <f t="shared" si="102"/>
        <v>19</v>
      </c>
      <c r="K124" s="327">
        <f t="shared" si="103"/>
        <v>1</v>
      </c>
      <c r="L124" s="221">
        <v>14</v>
      </c>
      <c r="M124" s="222"/>
      <c r="N124" s="223"/>
      <c r="O124" s="222"/>
      <c r="P124" s="328">
        <f t="shared" si="104"/>
        <v>0</v>
      </c>
      <c r="Q124" s="328">
        <f t="shared" si="105"/>
        <v>14</v>
      </c>
      <c r="R124" s="329">
        <f t="shared" si="106"/>
        <v>1</v>
      </c>
      <c r="S124" s="225">
        <v>12</v>
      </c>
      <c r="T124" s="226"/>
      <c r="U124" s="227"/>
      <c r="V124" s="226"/>
      <c r="W124" s="330">
        <f t="shared" si="107"/>
        <v>0</v>
      </c>
      <c r="X124" s="330">
        <f t="shared" si="108"/>
        <v>12</v>
      </c>
      <c r="Y124" s="331">
        <f t="shared" si="109"/>
        <v>1</v>
      </c>
      <c r="Z124" s="228">
        <v>21</v>
      </c>
      <c r="AA124" s="255"/>
      <c r="AB124" s="256"/>
      <c r="AC124" s="255"/>
      <c r="AD124" s="280">
        <f t="shared" si="110"/>
        <v>0</v>
      </c>
      <c r="AE124" s="280">
        <f t="shared" si="111"/>
        <v>21</v>
      </c>
      <c r="AF124" s="281">
        <f t="shared" si="112"/>
        <v>1</v>
      </c>
      <c r="AG124" s="229">
        <v>18</v>
      </c>
      <c r="AH124" s="257"/>
      <c r="AI124" s="258"/>
      <c r="AJ124" s="257"/>
      <c r="AK124" s="305">
        <f t="shared" si="113"/>
        <v>0</v>
      </c>
      <c r="AL124" s="305">
        <f t="shared" si="114"/>
        <v>18</v>
      </c>
      <c r="AM124" s="306">
        <f t="shared" si="115"/>
        <v>1</v>
      </c>
      <c r="AN124" s="230">
        <v>14</v>
      </c>
      <c r="AO124" s="259"/>
      <c r="AP124" s="260"/>
      <c r="AQ124" s="259"/>
      <c r="AR124" s="307">
        <f t="shared" si="116"/>
        <v>0</v>
      </c>
      <c r="AS124" s="307">
        <f t="shared" si="117"/>
        <v>14</v>
      </c>
      <c r="AT124" s="308">
        <f t="shared" si="118"/>
        <v>1</v>
      </c>
      <c r="AU124" s="289">
        <f t="shared" si="119"/>
        <v>0</v>
      </c>
      <c r="AV124" s="289">
        <f t="shared" si="120"/>
        <v>0</v>
      </c>
      <c r="AW124" s="289">
        <f t="shared" si="121"/>
        <v>0</v>
      </c>
      <c r="AX124" s="290">
        <v>98</v>
      </c>
      <c r="AY124" s="289">
        <f t="shared" si="122"/>
        <v>98</v>
      </c>
      <c r="AZ124" s="291">
        <f t="shared" si="123"/>
        <v>1</v>
      </c>
      <c r="BA124" s="344"/>
      <c r="BB124" s="383">
        <v>100</v>
      </c>
      <c r="BC124" s="379">
        <f t="shared" si="99"/>
        <v>0</v>
      </c>
      <c r="BD124" s="378">
        <f t="shared" si="100"/>
        <v>0</v>
      </c>
      <c r="BE124" s="381"/>
      <c r="BF124" s="378">
        <f t="shared" si="124"/>
        <v>100</v>
      </c>
    </row>
    <row r="125" spans="1:58" x14ac:dyDescent="0.35">
      <c r="A125" s="193">
        <v>39</v>
      </c>
      <c r="B125" s="35"/>
      <c r="C125" s="36" t="s">
        <v>1607</v>
      </c>
      <c r="D125" s="35" t="s">
        <v>6</v>
      </c>
      <c r="E125" s="215">
        <v>19</v>
      </c>
      <c r="F125" s="350"/>
      <c r="G125" s="350"/>
      <c r="H125" s="350"/>
      <c r="I125" s="326">
        <f t="shared" ref="I125" si="125">SUM(F125:H125)</f>
        <v>0</v>
      </c>
      <c r="J125" s="326">
        <f t="shared" ref="J125" si="126">E125-I125</f>
        <v>19</v>
      </c>
      <c r="K125" s="327">
        <f t="shared" ref="K125" si="127">J125/E125</f>
        <v>1</v>
      </c>
      <c r="L125" s="221">
        <v>14</v>
      </c>
      <c r="M125" s="222"/>
      <c r="N125" s="223"/>
      <c r="O125" s="222"/>
      <c r="P125" s="328">
        <f t="shared" ref="P125" si="128">SUM(M125:O125)</f>
        <v>0</v>
      </c>
      <c r="Q125" s="328">
        <f t="shared" ref="Q125" si="129">L125-P125</f>
        <v>14</v>
      </c>
      <c r="R125" s="329">
        <f t="shared" ref="R125" si="130">Q125/L125</f>
        <v>1</v>
      </c>
      <c r="S125" s="225">
        <v>12</v>
      </c>
      <c r="T125" s="226"/>
      <c r="U125" s="227">
        <v>1</v>
      </c>
      <c r="V125" s="226"/>
      <c r="W125" s="330">
        <f t="shared" ref="W125" si="131">SUM(T125:V125)</f>
        <v>1</v>
      </c>
      <c r="X125" s="330">
        <f t="shared" ref="X125" si="132">S125-W125</f>
        <v>11</v>
      </c>
      <c r="Y125" s="331">
        <f t="shared" ref="Y125" si="133">X125/S125</f>
        <v>0.91666666666666663</v>
      </c>
      <c r="Z125" s="228">
        <v>21</v>
      </c>
      <c r="AA125" s="255"/>
      <c r="AB125" s="256"/>
      <c r="AC125" s="255"/>
      <c r="AD125" s="280">
        <f t="shared" ref="AD125" si="134">SUM(AA125:AC125)</f>
        <v>0</v>
      </c>
      <c r="AE125" s="280">
        <f t="shared" ref="AE125" si="135">Z125-AD125</f>
        <v>21</v>
      </c>
      <c r="AF125" s="281">
        <f t="shared" ref="AF125" si="136">AE125/Z125</f>
        <v>1</v>
      </c>
      <c r="AG125" s="229">
        <v>18</v>
      </c>
      <c r="AH125" s="257"/>
      <c r="AI125" s="258"/>
      <c r="AJ125" s="257"/>
      <c r="AK125" s="305">
        <f t="shared" ref="AK125" si="137">SUM(AH125:AJ125)</f>
        <v>0</v>
      </c>
      <c r="AL125" s="305">
        <f t="shared" ref="AL125" si="138">AG125-AK125</f>
        <v>18</v>
      </c>
      <c r="AM125" s="306">
        <f t="shared" ref="AM125" si="139">AL125/AG125</f>
        <v>1</v>
      </c>
      <c r="AN125" s="230">
        <v>14</v>
      </c>
      <c r="AO125" s="259"/>
      <c r="AP125" s="260"/>
      <c r="AQ125" s="259"/>
      <c r="AR125" s="307">
        <f t="shared" ref="AR125" si="140">SUM(AO125:AQ125)</f>
        <v>0</v>
      </c>
      <c r="AS125" s="307">
        <f t="shared" ref="AS125" si="141">AN125-AR125</f>
        <v>14</v>
      </c>
      <c r="AT125" s="308">
        <f t="shared" ref="AT125" si="142">AS125/AN125</f>
        <v>1</v>
      </c>
      <c r="AU125" s="289">
        <f t="shared" ref="AU125" si="143">F125+M125+T125+AA125+AH125+AO125</f>
        <v>0</v>
      </c>
      <c r="AV125" s="289">
        <f t="shared" ref="AV125" si="144">G125+N125+U125+AB125+AI125+AP125</f>
        <v>1</v>
      </c>
      <c r="AW125" s="289">
        <f t="shared" ref="AW125" si="145">H125+O125+V125+AC125+AJ125+AQ125</f>
        <v>0</v>
      </c>
      <c r="AX125" s="290">
        <v>98</v>
      </c>
      <c r="AY125" s="289">
        <f t="shared" ref="AY125" si="146">AX125-AU125-AV125-AW125</f>
        <v>97</v>
      </c>
      <c r="AZ125" s="291">
        <f t="shared" ref="AZ125" si="147">AY125/AX125</f>
        <v>0.98979591836734693</v>
      </c>
      <c r="BA125" s="344"/>
      <c r="BB125" s="383">
        <v>100</v>
      </c>
      <c r="BC125" s="379">
        <f t="shared" ref="BC125" si="148">BA125*2</f>
        <v>0</v>
      </c>
      <c r="BD125" s="378">
        <f t="shared" ref="BD125" si="149">AW125*2</f>
        <v>0</v>
      </c>
      <c r="BE125" s="381"/>
      <c r="BF125" s="378">
        <f t="shared" ref="BF125" si="150">BB125-BC125-BD125-BE125</f>
        <v>100</v>
      </c>
    </row>
    <row r="126" spans="1:58" x14ac:dyDescent="0.35">
      <c r="A126" s="193"/>
      <c r="B126" s="35"/>
      <c r="C126" s="36"/>
      <c r="D126" s="35"/>
      <c r="E126" s="215"/>
      <c r="F126" s="350"/>
      <c r="G126" s="350"/>
      <c r="H126" s="350"/>
      <c r="I126" s="326"/>
      <c r="J126" s="326"/>
      <c r="K126" s="327"/>
      <c r="L126" s="221"/>
      <c r="M126" s="222"/>
      <c r="N126" s="223"/>
      <c r="O126" s="222"/>
      <c r="P126" s="328"/>
      <c r="Q126" s="328"/>
      <c r="R126" s="329"/>
      <c r="S126" s="225"/>
      <c r="T126" s="226"/>
      <c r="U126" s="227"/>
      <c r="V126" s="226"/>
      <c r="W126" s="330"/>
      <c r="X126" s="330"/>
      <c r="Y126" s="331"/>
      <c r="Z126" s="228"/>
      <c r="AA126" s="255"/>
      <c r="AB126" s="256"/>
      <c r="AC126" s="255"/>
      <c r="AD126" s="280"/>
      <c r="AE126" s="280"/>
      <c r="AF126" s="281"/>
      <c r="AG126" s="229"/>
      <c r="AH126" s="257"/>
      <c r="AI126" s="258"/>
      <c r="AJ126" s="257"/>
      <c r="AK126" s="305"/>
      <c r="AL126" s="305"/>
      <c r="AM126" s="306"/>
      <c r="AN126" s="230"/>
      <c r="AO126" s="259"/>
      <c r="AP126" s="260"/>
      <c r="AQ126" s="259"/>
      <c r="AR126" s="307"/>
      <c r="AS126" s="307"/>
      <c r="AT126" s="308"/>
      <c r="AU126" s="289"/>
      <c r="AV126" s="289"/>
      <c r="AW126" s="289"/>
      <c r="AX126" s="290"/>
      <c r="AY126" s="289"/>
      <c r="AZ126" s="291"/>
      <c r="BA126" s="344"/>
      <c r="BB126" s="383"/>
      <c r="BC126" s="379"/>
      <c r="BD126" s="378"/>
      <c r="BE126" s="381"/>
      <c r="BF126" s="378"/>
    </row>
    <row r="127" spans="1:58" x14ac:dyDescent="0.35">
      <c r="A127" s="193"/>
      <c r="B127" s="35"/>
      <c r="C127" s="34"/>
      <c r="D127" s="35"/>
      <c r="E127" s="215"/>
      <c r="F127" s="350"/>
      <c r="G127" s="350"/>
      <c r="H127" s="350"/>
      <c r="I127" s="326"/>
      <c r="J127" s="326"/>
      <c r="K127" s="327"/>
      <c r="L127" s="221"/>
      <c r="M127" s="222"/>
      <c r="N127" s="223"/>
      <c r="O127" s="223"/>
      <c r="P127" s="328"/>
      <c r="Q127" s="328"/>
      <c r="R127" s="329"/>
      <c r="S127" s="225"/>
      <c r="T127" s="226"/>
      <c r="U127" s="227"/>
      <c r="V127" s="227"/>
      <c r="W127" s="330"/>
      <c r="X127" s="330"/>
      <c r="Y127" s="331"/>
      <c r="Z127" s="228"/>
      <c r="AA127" s="255"/>
      <c r="AB127" s="256"/>
      <c r="AC127" s="256"/>
      <c r="AD127" s="280"/>
      <c r="AE127" s="280"/>
      <c r="AF127" s="281"/>
      <c r="AG127" s="229"/>
      <c r="AH127" s="257"/>
      <c r="AI127" s="258"/>
      <c r="AJ127" s="258"/>
      <c r="AK127" s="305"/>
      <c r="AL127" s="305"/>
      <c r="AM127" s="306"/>
      <c r="AN127" s="230"/>
      <c r="AO127" s="259"/>
      <c r="AP127" s="260"/>
      <c r="AQ127" s="260"/>
      <c r="AR127" s="307"/>
      <c r="AS127" s="307"/>
      <c r="AT127" s="308"/>
      <c r="AU127" s="289"/>
      <c r="AV127" s="289"/>
      <c r="AW127" s="289"/>
      <c r="AX127" s="290"/>
      <c r="AY127" s="289"/>
      <c r="AZ127" s="291"/>
      <c r="BA127" s="344"/>
      <c r="BB127" s="383"/>
      <c r="BC127" s="379"/>
      <c r="BD127" s="378"/>
      <c r="BE127" s="381"/>
      <c r="BF127" s="378"/>
    </row>
    <row r="128" spans="1:58" x14ac:dyDescent="0.35">
      <c r="A128" s="193"/>
      <c r="B128" s="35"/>
      <c r="C128" s="34"/>
      <c r="D128" s="35"/>
      <c r="E128" s="215"/>
      <c r="F128" s="350"/>
      <c r="G128" s="350"/>
      <c r="H128" s="350"/>
      <c r="I128" s="326"/>
      <c r="J128" s="326"/>
      <c r="K128" s="327"/>
      <c r="L128" s="221"/>
      <c r="M128" s="222"/>
      <c r="N128" s="223"/>
      <c r="O128" s="223"/>
      <c r="P128" s="328"/>
      <c r="Q128" s="328"/>
      <c r="R128" s="329"/>
      <c r="S128" s="225"/>
      <c r="T128" s="226"/>
      <c r="U128" s="227"/>
      <c r="V128" s="227"/>
      <c r="W128" s="330"/>
      <c r="X128" s="330"/>
      <c r="Y128" s="331"/>
      <c r="Z128" s="228"/>
      <c r="AA128" s="255"/>
      <c r="AB128" s="256"/>
      <c r="AC128" s="256"/>
      <c r="AD128" s="280"/>
      <c r="AE128" s="280"/>
      <c r="AF128" s="281"/>
      <c r="AG128" s="229"/>
      <c r="AH128" s="257"/>
      <c r="AI128" s="258"/>
      <c r="AJ128" s="258"/>
      <c r="AK128" s="305"/>
      <c r="AL128" s="305"/>
      <c r="AM128" s="306"/>
      <c r="AN128" s="230"/>
      <c r="AO128" s="259"/>
      <c r="AP128" s="260"/>
      <c r="AQ128" s="260"/>
      <c r="AR128" s="307"/>
      <c r="AS128" s="307"/>
      <c r="AT128" s="308"/>
      <c r="AU128" s="289"/>
      <c r="AV128" s="289"/>
      <c r="AW128" s="289"/>
      <c r="AX128" s="290"/>
      <c r="AY128" s="289"/>
      <c r="AZ128" s="291"/>
      <c r="BA128" s="344"/>
      <c r="BB128" s="383"/>
      <c r="BC128" s="379"/>
      <c r="BD128" s="378"/>
      <c r="BE128" s="381"/>
      <c r="BF128" s="378"/>
    </row>
    <row r="129" spans="1:58" x14ac:dyDescent="0.35">
      <c r="A129" s="193"/>
      <c r="B129" s="35"/>
      <c r="C129" s="36"/>
      <c r="D129" s="35"/>
      <c r="E129" s="215"/>
      <c r="F129" s="350"/>
      <c r="G129" s="352"/>
      <c r="H129" s="352"/>
      <c r="I129" s="326"/>
      <c r="J129" s="326"/>
      <c r="K129" s="327"/>
      <c r="L129" s="221"/>
      <c r="M129" s="222"/>
      <c r="N129" s="223"/>
      <c r="O129" s="223"/>
      <c r="P129" s="328"/>
      <c r="Q129" s="328"/>
      <c r="R129" s="329"/>
      <c r="S129" s="225"/>
      <c r="T129" s="226"/>
      <c r="U129" s="227"/>
      <c r="V129" s="227"/>
      <c r="W129" s="330"/>
      <c r="X129" s="330"/>
      <c r="Y129" s="331"/>
      <c r="Z129" s="228"/>
      <c r="AA129" s="255"/>
      <c r="AB129" s="256"/>
      <c r="AC129" s="256"/>
      <c r="AD129" s="280"/>
      <c r="AE129" s="280"/>
      <c r="AF129" s="281"/>
      <c r="AG129" s="229"/>
      <c r="AH129" s="257"/>
      <c r="AI129" s="258"/>
      <c r="AJ129" s="258"/>
      <c r="AK129" s="305"/>
      <c r="AL129" s="305"/>
      <c r="AM129" s="306"/>
      <c r="AN129" s="230"/>
      <c r="AO129" s="259"/>
      <c r="AP129" s="260"/>
      <c r="AQ129" s="260"/>
      <c r="AR129" s="307"/>
      <c r="AS129" s="307"/>
      <c r="AT129" s="308"/>
      <c r="AU129" s="289"/>
      <c r="AV129" s="289"/>
      <c r="AW129" s="289"/>
      <c r="AX129" s="290"/>
      <c r="AY129" s="289"/>
      <c r="AZ129" s="291"/>
      <c r="BA129" s="344"/>
      <c r="BB129" s="383"/>
      <c r="BC129" s="379"/>
      <c r="BD129" s="378"/>
      <c r="BE129" s="381"/>
      <c r="BF129" s="378"/>
    </row>
    <row r="130" spans="1:58" x14ac:dyDescent="0.35">
      <c r="A130" s="193"/>
      <c r="B130" s="35"/>
      <c r="C130" s="43"/>
      <c r="D130" s="35"/>
      <c r="E130" s="215"/>
      <c r="F130" s="350"/>
      <c r="G130" s="350"/>
      <c r="H130" s="352"/>
      <c r="I130" s="326"/>
      <c r="J130" s="326"/>
      <c r="K130" s="327"/>
      <c r="L130" s="221"/>
      <c r="M130" s="223"/>
      <c r="N130" s="223"/>
      <c r="O130" s="223"/>
      <c r="P130" s="328"/>
      <c r="Q130" s="328"/>
      <c r="R130" s="329"/>
      <c r="S130" s="225"/>
      <c r="T130" s="226"/>
      <c r="U130" s="227"/>
      <c r="V130" s="226"/>
      <c r="W130" s="330"/>
      <c r="X130" s="330"/>
      <c r="Y130" s="331"/>
      <c r="Z130" s="228"/>
      <c r="AA130" s="255"/>
      <c r="AB130" s="256"/>
      <c r="AC130" s="255"/>
      <c r="AD130" s="280"/>
      <c r="AE130" s="280"/>
      <c r="AF130" s="281"/>
      <c r="AG130" s="229"/>
      <c r="AH130" s="257"/>
      <c r="AI130" s="258"/>
      <c r="AJ130" s="257"/>
      <c r="AK130" s="305"/>
      <c r="AL130" s="305"/>
      <c r="AM130" s="306"/>
      <c r="AN130" s="230"/>
      <c r="AO130" s="259"/>
      <c r="AP130" s="260"/>
      <c r="AQ130" s="259"/>
      <c r="AR130" s="307"/>
      <c r="AS130" s="307"/>
      <c r="AT130" s="308"/>
      <c r="AU130" s="289"/>
      <c r="AV130" s="289"/>
      <c r="AW130" s="289"/>
      <c r="AX130" s="290"/>
      <c r="AY130" s="289"/>
      <c r="AZ130" s="291"/>
      <c r="BA130" s="344"/>
      <c r="BB130" s="383"/>
      <c r="BC130" s="379"/>
      <c r="BD130" s="378"/>
      <c r="BE130" s="381"/>
      <c r="BF130" s="378"/>
    </row>
    <row r="131" spans="1:58" x14ac:dyDescent="0.35">
      <c r="A131" s="193"/>
      <c r="B131" s="35"/>
      <c r="C131" s="51"/>
      <c r="D131" s="42"/>
      <c r="E131" s="215"/>
      <c r="F131" s="350"/>
      <c r="G131" s="350"/>
      <c r="H131" s="350"/>
      <c r="I131" s="326"/>
      <c r="J131" s="326"/>
      <c r="K131" s="327"/>
      <c r="L131" s="221"/>
      <c r="M131" s="222"/>
      <c r="N131" s="223"/>
      <c r="O131" s="222"/>
      <c r="P131" s="328"/>
      <c r="Q131" s="328"/>
      <c r="R131" s="329"/>
      <c r="S131" s="225"/>
      <c r="T131" s="226"/>
      <c r="U131" s="226"/>
      <c r="V131" s="226"/>
      <c r="W131" s="330"/>
      <c r="X131" s="330"/>
      <c r="Y131" s="331"/>
      <c r="Z131" s="228"/>
      <c r="AA131" s="255"/>
      <c r="AB131" s="255"/>
      <c r="AC131" s="255"/>
      <c r="AD131" s="280"/>
      <c r="AE131" s="280"/>
      <c r="AF131" s="281"/>
      <c r="AG131" s="229"/>
      <c r="AH131" s="257"/>
      <c r="AI131" s="257"/>
      <c r="AJ131" s="257"/>
      <c r="AK131" s="305"/>
      <c r="AL131" s="305"/>
      <c r="AM131" s="306"/>
      <c r="AN131" s="230"/>
      <c r="AO131" s="259"/>
      <c r="AP131" s="259"/>
      <c r="AQ131" s="259"/>
      <c r="AR131" s="307"/>
      <c r="AS131" s="307"/>
      <c r="AT131" s="308"/>
      <c r="AU131" s="289"/>
      <c r="AV131" s="289"/>
      <c r="AW131" s="289"/>
      <c r="AX131" s="290"/>
      <c r="AY131" s="289"/>
      <c r="AZ131" s="291"/>
      <c r="BA131" s="344"/>
      <c r="BB131" s="383"/>
      <c r="BC131" s="379"/>
      <c r="BD131" s="378"/>
      <c r="BE131" s="381"/>
      <c r="BF131" s="378"/>
    </row>
    <row r="132" spans="1:58" s="341" customFormat="1" x14ac:dyDescent="0.35">
      <c r="A132" s="231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315"/>
      <c r="AV132" s="315"/>
      <c r="AW132" s="354"/>
      <c r="AX132" s="354"/>
      <c r="AY132" s="354"/>
      <c r="AZ132" s="354"/>
      <c r="BA132" s="355"/>
      <c r="BB132" s="354"/>
      <c r="BC132" s="205"/>
      <c r="BD132" s="205"/>
      <c r="BE132" s="287"/>
      <c r="BF132" s="287"/>
    </row>
    <row r="133" spans="1:58" s="341" customFormat="1" x14ac:dyDescent="0.35">
      <c r="A133" s="231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315"/>
      <c r="AV133" s="315"/>
      <c r="AW133" s="354"/>
      <c r="AX133" s="354"/>
      <c r="AY133" s="354"/>
      <c r="AZ133" s="354"/>
      <c r="BA133" s="355"/>
      <c r="BB133" s="354"/>
      <c r="BC133" s="205"/>
      <c r="BD133" s="205"/>
      <c r="BE133" s="287"/>
      <c r="BF133" s="287"/>
    </row>
    <row r="134" spans="1:58" s="341" customFormat="1" ht="16" thickBot="1" x14ac:dyDescent="0.4">
      <c r="A134" s="342" t="s">
        <v>1080</v>
      </c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87"/>
      <c r="BF134" s="287"/>
    </row>
    <row r="135" spans="1:58" ht="25" customHeight="1" thickBot="1" x14ac:dyDescent="0.4">
      <c r="A135" s="447" t="s">
        <v>1072</v>
      </c>
      <c r="B135" s="447" t="s">
        <v>2</v>
      </c>
      <c r="C135" s="448" t="s">
        <v>1606</v>
      </c>
      <c r="D135" s="448" t="s">
        <v>4</v>
      </c>
      <c r="E135" s="431" t="s">
        <v>1612</v>
      </c>
      <c r="F135" s="431"/>
      <c r="G135" s="431"/>
      <c r="H135" s="431"/>
      <c r="I135" s="431"/>
      <c r="J135" s="431"/>
      <c r="K135" s="431"/>
      <c r="L135" s="432" t="s">
        <v>1613</v>
      </c>
      <c r="M135" s="432"/>
      <c r="N135" s="432"/>
      <c r="O135" s="432"/>
      <c r="P135" s="432"/>
      <c r="Q135" s="432"/>
      <c r="R135" s="432"/>
      <c r="S135" s="433" t="s">
        <v>1614</v>
      </c>
      <c r="T135" s="433"/>
      <c r="U135" s="433"/>
      <c r="V135" s="433"/>
      <c r="W135" s="433"/>
      <c r="X135" s="433"/>
      <c r="Y135" s="433"/>
      <c r="Z135" s="434" t="s">
        <v>1615</v>
      </c>
      <c r="AA135" s="434"/>
      <c r="AB135" s="434"/>
      <c r="AC135" s="434"/>
      <c r="AD135" s="434"/>
      <c r="AE135" s="434"/>
      <c r="AF135" s="434"/>
      <c r="AG135" s="435" t="s">
        <v>1616</v>
      </c>
      <c r="AH135" s="435"/>
      <c r="AI135" s="435"/>
      <c r="AJ135" s="435"/>
      <c r="AK135" s="435"/>
      <c r="AL135" s="435"/>
      <c r="AM135" s="435"/>
      <c r="AN135" s="436" t="s">
        <v>1617</v>
      </c>
      <c r="AO135" s="436"/>
      <c r="AP135" s="436"/>
      <c r="AQ135" s="436"/>
      <c r="AR135" s="436"/>
      <c r="AS135" s="436"/>
      <c r="AT135" s="436"/>
      <c r="AU135" s="438" t="s">
        <v>224</v>
      </c>
      <c r="AV135" s="438"/>
      <c r="AW135" s="438"/>
      <c r="AX135" s="437" t="s">
        <v>1602</v>
      </c>
      <c r="AY135" s="437" t="s">
        <v>1603</v>
      </c>
      <c r="AZ135" s="437" t="s">
        <v>1604</v>
      </c>
      <c r="BA135" s="445" t="s">
        <v>881</v>
      </c>
      <c r="BB135" s="428" t="s">
        <v>883</v>
      </c>
      <c r="BC135" s="428" t="s">
        <v>880</v>
      </c>
      <c r="BD135" s="428"/>
      <c r="BE135" s="428"/>
      <c r="BF135" s="454" t="s">
        <v>884</v>
      </c>
    </row>
    <row r="136" spans="1:58" ht="55" customHeight="1" thickBot="1" x14ac:dyDescent="0.4">
      <c r="A136" s="447"/>
      <c r="B136" s="447"/>
      <c r="C136" s="448"/>
      <c r="D136" s="448"/>
      <c r="E136" s="235" t="s">
        <v>1598</v>
      </c>
      <c r="F136" s="236" t="s">
        <v>20</v>
      </c>
      <c r="G136" s="236" t="s">
        <v>19</v>
      </c>
      <c r="H136" s="236" t="s">
        <v>52</v>
      </c>
      <c r="I136" s="237" t="s">
        <v>1599</v>
      </c>
      <c r="J136" s="237" t="s">
        <v>1600</v>
      </c>
      <c r="K136" s="237" t="s">
        <v>1601</v>
      </c>
      <c r="L136" s="202" t="s">
        <v>1598</v>
      </c>
      <c r="M136" s="206" t="s">
        <v>20</v>
      </c>
      <c r="N136" s="206" t="s">
        <v>19</v>
      </c>
      <c r="O136" s="206" t="s">
        <v>52</v>
      </c>
      <c r="P136" s="207" t="s">
        <v>1599</v>
      </c>
      <c r="Q136" s="207" t="s">
        <v>1600</v>
      </c>
      <c r="R136" s="207" t="s">
        <v>1601</v>
      </c>
      <c r="S136" s="238" t="s">
        <v>1598</v>
      </c>
      <c r="T136" s="239" t="s">
        <v>20</v>
      </c>
      <c r="U136" s="239" t="s">
        <v>19</v>
      </c>
      <c r="V136" s="239" t="s">
        <v>52</v>
      </c>
      <c r="W136" s="224" t="s">
        <v>1599</v>
      </c>
      <c r="X136" s="224" t="s">
        <v>1600</v>
      </c>
      <c r="Y136" s="224" t="s">
        <v>1601</v>
      </c>
      <c r="Z136" s="240" t="s">
        <v>1598</v>
      </c>
      <c r="AA136" s="241" t="s">
        <v>20</v>
      </c>
      <c r="AB136" s="241" t="s">
        <v>19</v>
      </c>
      <c r="AC136" s="241" t="s">
        <v>52</v>
      </c>
      <c r="AD136" s="208" t="s">
        <v>1599</v>
      </c>
      <c r="AE136" s="208" t="s">
        <v>1600</v>
      </c>
      <c r="AF136" s="208" t="s">
        <v>1601</v>
      </c>
      <c r="AG136" s="209" t="s">
        <v>1598</v>
      </c>
      <c r="AH136" s="210" t="s">
        <v>20</v>
      </c>
      <c r="AI136" s="210" t="s">
        <v>19</v>
      </c>
      <c r="AJ136" s="210" t="s">
        <v>52</v>
      </c>
      <c r="AK136" s="211" t="s">
        <v>1599</v>
      </c>
      <c r="AL136" s="211" t="s">
        <v>1600</v>
      </c>
      <c r="AM136" s="211" t="s">
        <v>1601</v>
      </c>
      <c r="AN136" s="212" t="s">
        <v>1598</v>
      </c>
      <c r="AO136" s="213" t="s">
        <v>20</v>
      </c>
      <c r="AP136" s="213" t="s">
        <v>19</v>
      </c>
      <c r="AQ136" s="213" t="s">
        <v>52</v>
      </c>
      <c r="AR136" s="214" t="s">
        <v>1599</v>
      </c>
      <c r="AS136" s="214" t="s">
        <v>1600</v>
      </c>
      <c r="AT136" s="214" t="s">
        <v>1601</v>
      </c>
      <c r="AU136" s="203" t="s">
        <v>20</v>
      </c>
      <c r="AV136" s="204" t="s">
        <v>19</v>
      </c>
      <c r="AW136" s="204" t="s">
        <v>52</v>
      </c>
      <c r="AX136" s="437"/>
      <c r="AY136" s="437"/>
      <c r="AZ136" s="437"/>
      <c r="BA136" s="446"/>
      <c r="BB136" s="428"/>
      <c r="BC136" s="375" t="s">
        <v>881</v>
      </c>
      <c r="BD136" s="377" t="s">
        <v>885</v>
      </c>
      <c r="BE136" s="376" t="s">
        <v>882</v>
      </c>
      <c r="BF136" s="454"/>
    </row>
    <row r="137" spans="1:58" x14ac:dyDescent="0.35">
      <c r="A137" s="196" t="s">
        <v>21</v>
      </c>
      <c r="B137" s="35">
        <v>252610099</v>
      </c>
      <c r="C137" s="36" t="s">
        <v>1180</v>
      </c>
      <c r="D137" s="194" t="s">
        <v>6</v>
      </c>
      <c r="E137" s="215">
        <v>19</v>
      </c>
      <c r="F137" s="350"/>
      <c r="G137" s="350">
        <v>1</v>
      </c>
      <c r="H137" s="350"/>
      <c r="I137" s="326">
        <f t="shared" ref="I137" si="151">SUM(F137:H137)</f>
        <v>1</v>
      </c>
      <c r="J137" s="326">
        <f t="shared" ref="J137" si="152">E137-I137</f>
        <v>18</v>
      </c>
      <c r="K137" s="327">
        <f t="shared" ref="K137" si="153">J137/E137</f>
        <v>0.94736842105263153</v>
      </c>
      <c r="L137" s="221">
        <v>14</v>
      </c>
      <c r="M137" s="222"/>
      <c r="N137" s="223"/>
      <c r="O137" s="222">
        <v>1</v>
      </c>
      <c r="P137" s="328">
        <f t="shared" ref="P137" si="154">SUM(M137:O137)</f>
        <v>1</v>
      </c>
      <c r="Q137" s="328">
        <f t="shared" ref="Q137" si="155">L137-P137</f>
        <v>13</v>
      </c>
      <c r="R137" s="329">
        <f t="shared" ref="R137" si="156">Q137/L137</f>
        <v>0.9285714285714286</v>
      </c>
      <c r="S137" s="225">
        <v>12</v>
      </c>
      <c r="T137" s="226"/>
      <c r="U137" s="227"/>
      <c r="V137" s="226"/>
      <c r="W137" s="330">
        <f t="shared" ref="W137" si="157">SUM(T137:V137)</f>
        <v>0</v>
      </c>
      <c r="X137" s="330">
        <f t="shared" ref="X137" si="158">S137-W137</f>
        <v>12</v>
      </c>
      <c r="Y137" s="331">
        <f t="shared" ref="Y137" si="159">X137/S137</f>
        <v>1</v>
      </c>
      <c r="Z137" s="228">
        <v>21</v>
      </c>
      <c r="AA137" s="255"/>
      <c r="AB137" s="256"/>
      <c r="AC137" s="255"/>
      <c r="AD137" s="280">
        <f t="shared" ref="AD137" si="160">SUM(AA137:AC137)</f>
        <v>0</v>
      </c>
      <c r="AE137" s="280">
        <f t="shared" ref="AE137" si="161">Z137-AD137</f>
        <v>21</v>
      </c>
      <c r="AF137" s="281">
        <f t="shared" ref="AF137" si="162">AE137/Z137</f>
        <v>1</v>
      </c>
      <c r="AG137" s="229">
        <v>18</v>
      </c>
      <c r="AH137" s="257"/>
      <c r="AI137" s="258"/>
      <c r="AJ137" s="257"/>
      <c r="AK137" s="305">
        <f t="shared" ref="AK137" si="163">SUM(AH137:AJ137)</f>
        <v>0</v>
      </c>
      <c r="AL137" s="305">
        <f t="shared" ref="AL137" si="164">AG137-AK137</f>
        <v>18</v>
      </c>
      <c r="AM137" s="306">
        <f t="shared" ref="AM137" si="165">AL137/AG137</f>
        <v>1</v>
      </c>
      <c r="AN137" s="230">
        <v>14</v>
      </c>
      <c r="AO137" s="259"/>
      <c r="AP137" s="260"/>
      <c r="AQ137" s="259"/>
      <c r="AR137" s="307">
        <f t="shared" ref="AR137" si="166">SUM(AO137:AQ137)</f>
        <v>0</v>
      </c>
      <c r="AS137" s="307">
        <f t="shared" ref="AS137" si="167">AN137-AR137</f>
        <v>14</v>
      </c>
      <c r="AT137" s="308">
        <f t="shared" ref="AT137" si="168">AS137/AN137</f>
        <v>1</v>
      </c>
      <c r="AU137" s="289">
        <f t="shared" ref="AU137" si="169">F137+M137+T137+AA137+AH137+AO137</f>
        <v>0</v>
      </c>
      <c r="AV137" s="289">
        <f t="shared" ref="AV137" si="170">G137+N137+U137+AB137+AI137+AP137</f>
        <v>1</v>
      </c>
      <c r="AW137" s="289">
        <f t="shared" ref="AW137" si="171">H137+O137+V137+AC137+AJ137+AQ137</f>
        <v>1</v>
      </c>
      <c r="AX137" s="290">
        <v>98</v>
      </c>
      <c r="AY137" s="289">
        <f t="shared" ref="AY137" si="172">AX137-AU137-AV137-AW137</f>
        <v>96</v>
      </c>
      <c r="AZ137" s="291">
        <f t="shared" ref="AZ137" si="173">AY137/AX137</f>
        <v>0.97959183673469385</v>
      </c>
      <c r="BA137" s="343"/>
      <c r="BB137" s="382" cm="1">
        <f t="array" ref="BB137:BB162">[1]X!$BF$137:$BF$162</f>
        <v>90</v>
      </c>
      <c r="BC137" s="379">
        <f t="shared" ref="BC137:BC162" si="174">BA137*2</f>
        <v>0</v>
      </c>
      <c r="BD137" s="378">
        <f t="shared" ref="BD137:BD162" si="175">AW137*2</f>
        <v>2</v>
      </c>
      <c r="BE137" s="380"/>
      <c r="BF137" s="378">
        <f>BB137-BC137-BD137-BE137</f>
        <v>88</v>
      </c>
    </row>
    <row r="138" spans="1:58" x14ac:dyDescent="0.35">
      <c r="A138" s="196" t="s">
        <v>22</v>
      </c>
      <c r="B138" s="35">
        <v>252610100</v>
      </c>
      <c r="C138" s="351" t="s">
        <v>1181</v>
      </c>
      <c r="D138" s="194" t="s">
        <v>6</v>
      </c>
      <c r="E138" s="215">
        <v>19</v>
      </c>
      <c r="F138" s="350"/>
      <c r="G138" s="350">
        <v>2</v>
      </c>
      <c r="H138" s="350">
        <v>3</v>
      </c>
      <c r="I138" s="326">
        <f t="shared" ref="I138:I162" si="176">SUM(F138:H138)</f>
        <v>5</v>
      </c>
      <c r="J138" s="326">
        <f t="shared" ref="J138:J162" si="177">E138-I138</f>
        <v>14</v>
      </c>
      <c r="K138" s="327">
        <f t="shared" ref="K138:K162" si="178">J138/E138</f>
        <v>0.73684210526315785</v>
      </c>
      <c r="L138" s="221">
        <v>14</v>
      </c>
      <c r="M138" s="222"/>
      <c r="N138" s="222"/>
      <c r="O138" s="222">
        <v>2</v>
      </c>
      <c r="P138" s="328">
        <f t="shared" ref="P138:P162" si="179">SUM(M138:O138)</f>
        <v>2</v>
      </c>
      <c r="Q138" s="328">
        <f t="shared" ref="Q138:Q162" si="180">L138-P138</f>
        <v>12</v>
      </c>
      <c r="R138" s="329">
        <f t="shared" ref="R138:R162" si="181">Q138/L138</f>
        <v>0.8571428571428571</v>
      </c>
      <c r="S138" s="225">
        <v>12</v>
      </c>
      <c r="T138" s="226"/>
      <c r="U138" s="226"/>
      <c r="V138" s="226"/>
      <c r="W138" s="330">
        <f t="shared" ref="W138:W162" si="182">SUM(T138:V138)</f>
        <v>0</v>
      </c>
      <c r="X138" s="330">
        <f t="shared" ref="X138:X162" si="183">S138-W138</f>
        <v>12</v>
      </c>
      <c r="Y138" s="331">
        <f t="shared" ref="Y138:Y162" si="184">X138/S138</f>
        <v>1</v>
      </c>
      <c r="Z138" s="228">
        <v>21</v>
      </c>
      <c r="AA138" s="255"/>
      <c r="AB138" s="255"/>
      <c r="AC138" s="255"/>
      <c r="AD138" s="280">
        <f t="shared" ref="AD138:AD162" si="185">SUM(AA138:AC138)</f>
        <v>0</v>
      </c>
      <c r="AE138" s="280">
        <f t="shared" ref="AE138:AE162" si="186">Z138-AD138</f>
        <v>21</v>
      </c>
      <c r="AF138" s="281">
        <f t="shared" ref="AF138:AF162" si="187">AE138/Z138</f>
        <v>1</v>
      </c>
      <c r="AG138" s="229">
        <v>18</v>
      </c>
      <c r="AH138" s="257"/>
      <c r="AI138" s="257"/>
      <c r="AJ138" s="257"/>
      <c r="AK138" s="305">
        <f t="shared" ref="AK138:AK162" si="188">SUM(AH138:AJ138)</f>
        <v>0</v>
      </c>
      <c r="AL138" s="305">
        <f t="shared" ref="AL138:AL162" si="189">AG138-AK138</f>
        <v>18</v>
      </c>
      <c r="AM138" s="306">
        <f t="shared" ref="AM138:AM162" si="190">AL138/AG138</f>
        <v>1</v>
      </c>
      <c r="AN138" s="230">
        <v>14</v>
      </c>
      <c r="AO138" s="259"/>
      <c r="AP138" s="259"/>
      <c r="AQ138" s="259"/>
      <c r="AR138" s="307">
        <f t="shared" ref="AR138:AR162" si="191">SUM(AO138:AQ138)</f>
        <v>0</v>
      </c>
      <c r="AS138" s="307">
        <f t="shared" ref="AS138:AS162" si="192">AN138-AR138</f>
        <v>14</v>
      </c>
      <c r="AT138" s="308">
        <f t="shared" ref="AT138:AT162" si="193">AS138/AN138</f>
        <v>1</v>
      </c>
      <c r="AU138" s="289">
        <f t="shared" ref="AU138:AU162" si="194">F138+M138+T138+AA138+AH138+AO138</f>
        <v>0</v>
      </c>
      <c r="AV138" s="289">
        <f t="shared" ref="AV138:AV162" si="195">G138+N138+U138+AB138+AI138+AP138</f>
        <v>2</v>
      </c>
      <c r="AW138" s="289">
        <f t="shared" ref="AW138:AW162" si="196">H138+O138+V138+AC138+AJ138+AQ138</f>
        <v>5</v>
      </c>
      <c r="AX138" s="290">
        <v>98</v>
      </c>
      <c r="AY138" s="289">
        <f t="shared" ref="AY138:AY162" si="197">AX138-AU138-AV138-AW138</f>
        <v>91</v>
      </c>
      <c r="AZ138" s="291">
        <f t="shared" ref="AZ138:AZ162" si="198">AY138/AX138</f>
        <v>0.9285714285714286</v>
      </c>
      <c r="BA138" s="344">
        <v>3</v>
      </c>
      <c r="BB138" s="383">
        <v>12</v>
      </c>
      <c r="BC138" s="379">
        <f t="shared" si="174"/>
        <v>6</v>
      </c>
      <c r="BD138" s="378">
        <f t="shared" si="175"/>
        <v>10</v>
      </c>
      <c r="BE138" s="381"/>
      <c r="BF138" s="378">
        <f t="shared" ref="BF138:BF162" si="199">BB138-BC138-BD138-BE138</f>
        <v>-4</v>
      </c>
    </row>
    <row r="139" spans="1:58" x14ac:dyDescent="0.35">
      <c r="A139" s="196" t="s">
        <v>23</v>
      </c>
      <c r="B139" s="35">
        <v>252610101</v>
      </c>
      <c r="C139" s="353" t="s">
        <v>1182</v>
      </c>
      <c r="D139" s="194" t="s">
        <v>6</v>
      </c>
      <c r="E139" s="215">
        <v>19</v>
      </c>
      <c r="F139" s="350"/>
      <c r="G139" s="352"/>
      <c r="H139" s="350"/>
      <c r="I139" s="326">
        <f t="shared" si="176"/>
        <v>0</v>
      </c>
      <c r="J139" s="326">
        <f t="shared" si="177"/>
        <v>19</v>
      </c>
      <c r="K139" s="327">
        <f t="shared" si="178"/>
        <v>1</v>
      </c>
      <c r="L139" s="221">
        <v>14</v>
      </c>
      <c r="M139" s="222"/>
      <c r="N139" s="223"/>
      <c r="O139" s="222"/>
      <c r="P139" s="328">
        <f t="shared" si="179"/>
        <v>0</v>
      </c>
      <c r="Q139" s="328">
        <f t="shared" si="180"/>
        <v>14</v>
      </c>
      <c r="R139" s="329">
        <f t="shared" si="181"/>
        <v>1</v>
      </c>
      <c r="S139" s="225">
        <v>12</v>
      </c>
      <c r="T139" s="226"/>
      <c r="U139" s="226"/>
      <c r="V139" s="226"/>
      <c r="W139" s="330">
        <f t="shared" si="182"/>
        <v>0</v>
      </c>
      <c r="X139" s="330">
        <f t="shared" si="183"/>
        <v>12</v>
      </c>
      <c r="Y139" s="331">
        <f t="shared" si="184"/>
        <v>1</v>
      </c>
      <c r="Z139" s="228">
        <v>21</v>
      </c>
      <c r="AA139" s="255"/>
      <c r="AB139" s="255"/>
      <c r="AC139" s="255"/>
      <c r="AD139" s="280">
        <f t="shared" si="185"/>
        <v>0</v>
      </c>
      <c r="AE139" s="280">
        <f t="shared" si="186"/>
        <v>21</v>
      </c>
      <c r="AF139" s="281">
        <f t="shared" si="187"/>
        <v>1</v>
      </c>
      <c r="AG139" s="229">
        <v>18</v>
      </c>
      <c r="AH139" s="257"/>
      <c r="AI139" s="257"/>
      <c r="AJ139" s="257"/>
      <c r="AK139" s="305">
        <f t="shared" si="188"/>
        <v>0</v>
      </c>
      <c r="AL139" s="305">
        <f t="shared" si="189"/>
        <v>18</v>
      </c>
      <c r="AM139" s="306">
        <f t="shared" si="190"/>
        <v>1</v>
      </c>
      <c r="AN139" s="230">
        <v>14</v>
      </c>
      <c r="AO139" s="259"/>
      <c r="AP139" s="259"/>
      <c r="AQ139" s="259"/>
      <c r="AR139" s="307">
        <f t="shared" si="191"/>
        <v>0</v>
      </c>
      <c r="AS139" s="307">
        <f t="shared" si="192"/>
        <v>14</v>
      </c>
      <c r="AT139" s="308">
        <f t="shared" si="193"/>
        <v>1</v>
      </c>
      <c r="AU139" s="289">
        <f t="shared" si="194"/>
        <v>0</v>
      </c>
      <c r="AV139" s="289">
        <f t="shared" si="195"/>
        <v>0</v>
      </c>
      <c r="AW139" s="289">
        <f t="shared" si="196"/>
        <v>0</v>
      </c>
      <c r="AX139" s="290">
        <v>98</v>
      </c>
      <c r="AY139" s="289">
        <f t="shared" si="197"/>
        <v>98</v>
      </c>
      <c r="AZ139" s="291">
        <f t="shared" si="198"/>
        <v>1</v>
      </c>
      <c r="BA139" s="344">
        <v>1</v>
      </c>
      <c r="BB139" s="383">
        <v>98</v>
      </c>
      <c r="BC139" s="379">
        <f t="shared" si="174"/>
        <v>2</v>
      </c>
      <c r="BD139" s="378">
        <f t="shared" si="175"/>
        <v>0</v>
      </c>
      <c r="BE139" s="381"/>
      <c r="BF139" s="378">
        <f t="shared" si="199"/>
        <v>96</v>
      </c>
    </row>
    <row r="140" spans="1:58" x14ac:dyDescent="0.35">
      <c r="A140" s="425" t="s">
        <v>24</v>
      </c>
      <c r="B140" s="38">
        <v>252610102</v>
      </c>
      <c r="C140" s="34" t="s">
        <v>1183</v>
      </c>
      <c r="D140" s="194" t="s">
        <v>6</v>
      </c>
      <c r="E140" s="215">
        <v>19</v>
      </c>
      <c r="F140" s="350"/>
      <c r="G140" s="350"/>
      <c r="H140" s="350">
        <v>3</v>
      </c>
      <c r="I140" s="326">
        <f t="shared" si="176"/>
        <v>3</v>
      </c>
      <c r="J140" s="326">
        <f t="shared" si="177"/>
        <v>16</v>
      </c>
      <c r="K140" s="327">
        <f t="shared" si="178"/>
        <v>0.84210526315789469</v>
      </c>
      <c r="L140" s="221">
        <v>14</v>
      </c>
      <c r="M140" s="222"/>
      <c r="N140" s="223">
        <v>2</v>
      </c>
      <c r="O140" s="222">
        <v>3</v>
      </c>
      <c r="P140" s="328">
        <f t="shared" si="179"/>
        <v>5</v>
      </c>
      <c r="Q140" s="328">
        <f t="shared" si="180"/>
        <v>9</v>
      </c>
      <c r="R140" s="329">
        <f t="shared" si="181"/>
        <v>0.6428571428571429</v>
      </c>
      <c r="S140" s="225">
        <v>12</v>
      </c>
      <c r="T140" s="226"/>
      <c r="U140" s="226"/>
      <c r="V140" s="226"/>
      <c r="W140" s="330">
        <f t="shared" si="182"/>
        <v>0</v>
      </c>
      <c r="X140" s="330">
        <f t="shared" si="183"/>
        <v>12</v>
      </c>
      <c r="Y140" s="331">
        <f t="shared" si="184"/>
        <v>1</v>
      </c>
      <c r="Z140" s="228">
        <v>21</v>
      </c>
      <c r="AA140" s="255"/>
      <c r="AB140" s="255"/>
      <c r="AC140" s="255"/>
      <c r="AD140" s="280">
        <f t="shared" si="185"/>
        <v>0</v>
      </c>
      <c r="AE140" s="280">
        <f t="shared" si="186"/>
        <v>21</v>
      </c>
      <c r="AF140" s="281">
        <f t="shared" si="187"/>
        <v>1</v>
      </c>
      <c r="AG140" s="229">
        <v>18</v>
      </c>
      <c r="AH140" s="257"/>
      <c r="AI140" s="257"/>
      <c r="AJ140" s="257"/>
      <c r="AK140" s="305">
        <f t="shared" si="188"/>
        <v>0</v>
      </c>
      <c r="AL140" s="305">
        <f t="shared" si="189"/>
        <v>18</v>
      </c>
      <c r="AM140" s="306">
        <f t="shared" si="190"/>
        <v>1</v>
      </c>
      <c r="AN140" s="230">
        <v>14</v>
      </c>
      <c r="AO140" s="259"/>
      <c r="AP140" s="259"/>
      <c r="AQ140" s="259"/>
      <c r="AR140" s="307">
        <f t="shared" si="191"/>
        <v>0</v>
      </c>
      <c r="AS140" s="307">
        <f t="shared" si="192"/>
        <v>14</v>
      </c>
      <c r="AT140" s="308">
        <f t="shared" si="193"/>
        <v>1</v>
      </c>
      <c r="AU140" s="344">
        <f t="shared" si="194"/>
        <v>0</v>
      </c>
      <c r="AV140" s="344">
        <f t="shared" si="195"/>
        <v>2</v>
      </c>
      <c r="AW140" s="344">
        <f t="shared" si="196"/>
        <v>6</v>
      </c>
      <c r="AX140" s="290">
        <v>98</v>
      </c>
      <c r="AY140" s="344">
        <f t="shared" si="197"/>
        <v>90</v>
      </c>
      <c r="AZ140" s="424">
        <f t="shared" si="198"/>
        <v>0.91836734693877553</v>
      </c>
      <c r="BA140" s="344"/>
      <c r="BB140" s="383">
        <v>36</v>
      </c>
      <c r="BC140" s="379">
        <f t="shared" si="174"/>
        <v>0</v>
      </c>
      <c r="BD140" s="378">
        <f t="shared" si="175"/>
        <v>12</v>
      </c>
      <c r="BE140" s="381"/>
      <c r="BF140" s="378">
        <f t="shared" si="199"/>
        <v>24</v>
      </c>
    </row>
    <row r="141" spans="1:58" x14ac:dyDescent="0.35">
      <c r="A141" s="425" t="s">
        <v>25</v>
      </c>
      <c r="B141" s="38">
        <v>252610104</v>
      </c>
      <c r="C141" s="333" t="s">
        <v>1184</v>
      </c>
      <c r="D141" s="194" t="s">
        <v>6</v>
      </c>
      <c r="E141" s="215">
        <v>19</v>
      </c>
      <c r="F141" s="350"/>
      <c r="G141" s="352">
        <v>1</v>
      </c>
      <c r="H141" s="350">
        <v>1</v>
      </c>
      <c r="I141" s="326">
        <f t="shared" si="176"/>
        <v>2</v>
      </c>
      <c r="J141" s="326">
        <f t="shared" si="177"/>
        <v>17</v>
      </c>
      <c r="K141" s="327">
        <f t="shared" si="178"/>
        <v>0.89473684210526316</v>
      </c>
      <c r="L141" s="221">
        <v>14</v>
      </c>
      <c r="M141" s="223">
        <v>1</v>
      </c>
      <c r="N141" s="223"/>
      <c r="O141" s="223"/>
      <c r="P141" s="328">
        <f t="shared" si="179"/>
        <v>1</v>
      </c>
      <c r="Q141" s="328">
        <f t="shared" si="180"/>
        <v>13</v>
      </c>
      <c r="R141" s="329">
        <f t="shared" si="181"/>
        <v>0.9285714285714286</v>
      </c>
      <c r="S141" s="225">
        <v>12</v>
      </c>
      <c r="T141" s="226"/>
      <c r="U141" s="226"/>
      <c r="V141" s="226"/>
      <c r="W141" s="330">
        <f t="shared" si="182"/>
        <v>0</v>
      </c>
      <c r="X141" s="330">
        <f t="shared" si="183"/>
        <v>12</v>
      </c>
      <c r="Y141" s="331">
        <f t="shared" si="184"/>
        <v>1</v>
      </c>
      <c r="Z141" s="228">
        <v>21</v>
      </c>
      <c r="AA141" s="255"/>
      <c r="AB141" s="255"/>
      <c r="AC141" s="255"/>
      <c r="AD141" s="280">
        <f t="shared" si="185"/>
        <v>0</v>
      </c>
      <c r="AE141" s="280">
        <f t="shared" si="186"/>
        <v>21</v>
      </c>
      <c r="AF141" s="281">
        <f t="shared" si="187"/>
        <v>1</v>
      </c>
      <c r="AG141" s="229">
        <v>18</v>
      </c>
      <c r="AH141" s="257"/>
      <c r="AI141" s="257"/>
      <c r="AJ141" s="257"/>
      <c r="AK141" s="305">
        <f t="shared" si="188"/>
        <v>0</v>
      </c>
      <c r="AL141" s="305">
        <f t="shared" si="189"/>
        <v>18</v>
      </c>
      <c r="AM141" s="306">
        <f t="shared" si="190"/>
        <v>1</v>
      </c>
      <c r="AN141" s="230">
        <v>14</v>
      </c>
      <c r="AO141" s="259"/>
      <c r="AP141" s="259"/>
      <c r="AQ141" s="259"/>
      <c r="AR141" s="307">
        <f t="shared" si="191"/>
        <v>0</v>
      </c>
      <c r="AS141" s="307">
        <f t="shared" si="192"/>
        <v>14</v>
      </c>
      <c r="AT141" s="308">
        <f t="shared" si="193"/>
        <v>1</v>
      </c>
      <c r="AU141" s="344">
        <f t="shared" si="194"/>
        <v>1</v>
      </c>
      <c r="AV141" s="344">
        <f t="shared" si="195"/>
        <v>1</v>
      </c>
      <c r="AW141" s="344">
        <f t="shared" si="196"/>
        <v>1</v>
      </c>
      <c r="AX141" s="290">
        <v>98</v>
      </c>
      <c r="AY141" s="344">
        <f t="shared" si="197"/>
        <v>95</v>
      </c>
      <c r="AZ141" s="424">
        <f t="shared" si="198"/>
        <v>0.96938775510204078</v>
      </c>
      <c r="BA141" s="344">
        <v>7</v>
      </c>
      <c r="BB141" s="383">
        <v>28</v>
      </c>
      <c r="BC141" s="379">
        <f t="shared" si="174"/>
        <v>14</v>
      </c>
      <c r="BD141" s="378">
        <f t="shared" si="175"/>
        <v>2</v>
      </c>
      <c r="BE141" s="381"/>
      <c r="BF141" s="378">
        <f t="shared" si="199"/>
        <v>12</v>
      </c>
    </row>
    <row r="142" spans="1:58" x14ac:dyDescent="0.35">
      <c r="A142" s="425" t="s">
        <v>26</v>
      </c>
      <c r="B142" s="38">
        <v>252610103</v>
      </c>
      <c r="C142" s="333" t="s">
        <v>1185</v>
      </c>
      <c r="D142" s="194" t="s">
        <v>6</v>
      </c>
      <c r="E142" s="215">
        <v>19</v>
      </c>
      <c r="F142" s="350"/>
      <c r="G142" s="350">
        <v>1</v>
      </c>
      <c r="H142" s="350">
        <v>3</v>
      </c>
      <c r="I142" s="326">
        <f t="shared" si="176"/>
        <v>4</v>
      </c>
      <c r="J142" s="326">
        <f t="shared" si="177"/>
        <v>15</v>
      </c>
      <c r="K142" s="327">
        <f t="shared" si="178"/>
        <v>0.78947368421052633</v>
      </c>
      <c r="L142" s="221">
        <v>14</v>
      </c>
      <c r="M142" s="223"/>
      <c r="N142" s="222">
        <v>2</v>
      </c>
      <c r="O142" s="222">
        <v>4</v>
      </c>
      <c r="P142" s="328">
        <f t="shared" si="179"/>
        <v>6</v>
      </c>
      <c r="Q142" s="328">
        <f t="shared" si="180"/>
        <v>8</v>
      </c>
      <c r="R142" s="329">
        <f t="shared" si="181"/>
        <v>0.5714285714285714</v>
      </c>
      <c r="S142" s="225">
        <v>12</v>
      </c>
      <c r="T142" s="226"/>
      <c r="U142" s="226"/>
      <c r="V142" s="226"/>
      <c r="W142" s="330">
        <f t="shared" si="182"/>
        <v>0</v>
      </c>
      <c r="X142" s="330">
        <f t="shared" si="183"/>
        <v>12</v>
      </c>
      <c r="Y142" s="331">
        <f t="shared" si="184"/>
        <v>1</v>
      </c>
      <c r="Z142" s="228">
        <v>21</v>
      </c>
      <c r="AA142" s="255"/>
      <c r="AB142" s="255"/>
      <c r="AC142" s="255"/>
      <c r="AD142" s="280">
        <f t="shared" si="185"/>
        <v>0</v>
      </c>
      <c r="AE142" s="280">
        <f t="shared" si="186"/>
        <v>21</v>
      </c>
      <c r="AF142" s="281">
        <f t="shared" si="187"/>
        <v>1</v>
      </c>
      <c r="AG142" s="229">
        <v>18</v>
      </c>
      <c r="AH142" s="257"/>
      <c r="AI142" s="257"/>
      <c r="AJ142" s="257"/>
      <c r="AK142" s="305">
        <f t="shared" si="188"/>
        <v>0</v>
      </c>
      <c r="AL142" s="305">
        <f t="shared" si="189"/>
        <v>18</v>
      </c>
      <c r="AM142" s="306">
        <f t="shared" si="190"/>
        <v>1</v>
      </c>
      <c r="AN142" s="230">
        <v>14</v>
      </c>
      <c r="AO142" s="259"/>
      <c r="AP142" s="259"/>
      <c r="AQ142" s="259"/>
      <c r="AR142" s="307">
        <f t="shared" si="191"/>
        <v>0</v>
      </c>
      <c r="AS142" s="307">
        <f t="shared" si="192"/>
        <v>14</v>
      </c>
      <c r="AT142" s="308">
        <f t="shared" si="193"/>
        <v>1</v>
      </c>
      <c r="AU142" s="344">
        <f t="shared" si="194"/>
        <v>0</v>
      </c>
      <c r="AV142" s="344">
        <f t="shared" si="195"/>
        <v>3</v>
      </c>
      <c r="AW142" s="344">
        <f t="shared" si="196"/>
        <v>7</v>
      </c>
      <c r="AX142" s="290">
        <v>98</v>
      </c>
      <c r="AY142" s="344">
        <f t="shared" si="197"/>
        <v>88</v>
      </c>
      <c r="AZ142" s="424">
        <f t="shared" si="198"/>
        <v>0.89795918367346939</v>
      </c>
      <c r="BA142" s="344">
        <v>2</v>
      </c>
      <c r="BB142" s="383">
        <v>42</v>
      </c>
      <c r="BC142" s="379">
        <f t="shared" si="174"/>
        <v>4</v>
      </c>
      <c r="BD142" s="378">
        <f t="shared" si="175"/>
        <v>14</v>
      </c>
      <c r="BE142" s="381"/>
      <c r="BF142" s="378">
        <f t="shared" si="199"/>
        <v>24</v>
      </c>
    </row>
    <row r="143" spans="1:58" x14ac:dyDescent="0.35">
      <c r="A143" s="425" t="s">
        <v>27</v>
      </c>
      <c r="B143" s="38">
        <v>252610105</v>
      </c>
      <c r="C143" s="34" t="s">
        <v>1186</v>
      </c>
      <c r="D143" s="194" t="s">
        <v>6</v>
      </c>
      <c r="E143" s="215">
        <v>19</v>
      </c>
      <c r="F143" s="350"/>
      <c r="G143" s="350">
        <v>2</v>
      </c>
      <c r="H143" s="350">
        <v>3</v>
      </c>
      <c r="I143" s="326">
        <f t="shared" si="176"/>
        <v>5</v>
      </c>
      <c r="J143" s="326">
        <f t="shared" si="177"/>
        <v>14</v>
      </c>
      <c r="K143" s="327">
        <f t="shared" si="178"/>
        <v>0.73684210526315785</v>
      </c>
      <c r="L143" s="221">
        <v>14</v>
      </c>
      <c r="M143" s="222"/>
      <c r="N143" s="222">
        <v>4</v>
      </c>
      <c r="O143" s="223">
        <v>5</v>
      </c>
      <c r="P143" s="328">
        <f t="shared" si="179"/>
        <v>9</v>
      </c>
      <c r="Q143" s="328">
        <f t="shared" si="180"/>
        <v>5</v>
      </c>
      <c r="R143" s="329">
        <f t="shared" si="181"/>
        <v>0.35714285714285715</v>
      </c>
      <c r="S143" s="225">
        <v>12</v>
      </c>
      <c r="T143" s="226"/>
      <c r="U143" s="226"/>
      <c r="V143" s="226"/>
      <c r="W143" s="330">
        <f t="shared" si="182"/>
        <v>0</v>
      </c>
      <c r="X143" s="330">
        <f t="shared" si="183"/>
        <v>12</v>
      </c>
      <c r="Y143" s="331">
        <f t="shared" si="184"/>
        <v>1</v>
      </c>
      <c r="Z143" s="228">
        <v>21</v>
      </c>
      <c r="AA143" s="255"/>
      <c r="AB143" s="255"/>
      <c r="AC143" s="255"/>
      <c r="AD143" s="280">
        <f t="shared" si="185"/>
        <v>0</v>
      </c>
      <c r="AE143" s="280">
        <f t="shared" si="186"/>
        <v>21</v>
      </c>
      <c r="AF143" s="281">
        <f t="shared" si="187"/>
        <v>1</v>
      </c>
      <c r="AG143" s="229">
        <v>18</v>
      </c>
      <c r="AH143" s="257"/>
      <c r="AI143" s="257"/>
      <c r="AJ143" s="257"/>
      <c r="AK143" s="305">
        <f t="shared" si="188"/>
        <v>0</v>
      </c>
      <c r="AL143" s="305">
        <f t="shared" si="189"/>
        <v>18</v>
      </c>
      <c r="AM143" s="306">
        <f t="shared" si="190"/>
        <v>1</v>
      </c>
      <c r="AN143" s="230">
        <v>14</v>
      </c>
      <c r="AO143" s="259"/>
      <c r="AP143" s="259"/>
      <c r="AQ143" s="259"/>
      <c r="AR143" s="307">
        <f t="shared" si="191"/>
        <v>0</v>
      </c>
      <c r="AS143" s="307">
        <f t="shared" si="192"/>
        <v>14</v>
      </c>
      <c r="AT143" s="308">
        <f t="shared" si="193"/>
        <v>1</v>
      </c>
      <c r="AU143" s="344">
        <f t="shared" si="194"/>
        <v>0</v>
      </c>
      <c r="AV143" s="344">
        <f t="shared" si="195"/>
        <v>6</v>
      </c>
      <c r="AW143" s="344">
        <f t="shared" si="196"/>
        <v>8</v>
      </c>
      <c r="AX143" s="290">
        <v>98</v>
      </c>
      <c r="AY143" s="344">
        <f t="shared" si="197"/>
        <v>84</v>
      </c>
      <c r="AZ143" s="424">
        <f t="shared" si="198"/>
        <v>0.8571428571428571</v>
      </c>
      <c r="BA143" s="344"/>
      <c r="BB143" s="383">
        <v>12</v>
      </c>
      <c r="BC143" s="379">
        <f t="shared" si="174"/>
        <v>0</v>
      </c>
      <c r="BD143" s="378">
        <f t="shared" si="175"/>
        <v>16</v>
      </c>
      <c r="BE143" s="381"/>
      <c r="BF143" s="378">
        <f t="shared" si="199"/>
        <v>-4</v>
      </c>
    </row>
    <row r="144" spans="1:58" x14ac:dyDescent="0.35">
      <c r="A144" s="196" t="s">
        <v>28</v>
      </c>
      <c r="B144" s="35">
        <v>252610106</v>
      </c>
      <c r="C144" s="36" t="s">
        <v>1187</v>
      </c>
      <c r="D144" s="194" t="s">
        <v>6</v>
      </c>
      <c r="E144" s="215">
        <v>19</v>
      </c>
      <c r="F144" s="350"/>
      <c r="G144" s="350">
        <v>1</v>
      </c>
      <c r="H144" s="350"/>
      <c r="I144" s="326">
        <f t="shared" si="176"/>
        <v>1</v>
      </c>
      <c r="J144" s="326">
        <f t="shared" si="177"/>
        <v>18</v>
      </c>
      <c r="K144" s="327">
        <f t="shared" si="178"/>
        <v>0.94736842105263153</v>
      </c>
      <c r="L144" s="221">
        <v>14</v>
      </c>
      <c r="M144" s="222"/>
      <c r="N144" s="223"/>
      <c r="O144" s="223"/>
      <c r="P144" s="328">
        <f t="shared" si="179"/>
        <v>0</v>
      </c>
      <c r="Q144" s="328">
        <f t="shared" si="180"/>
        <v>14</v>
      </c>
      <c r="R144" s="329">
        <f t="shared" si="181"/>
        <v>1</v>
      </c>
      <c r="S144" s="225">
        <v>12</v>
      </c>
      <c r="T144" s="226"/>
      <c r="U144" s="226"/>
      <c r="V144" s="226"/>
      <c r="W144" s="330">
        <f t="shared" si="182"/>
        <v>0</v>
      </c>
      <c r="X144" s="330">
        <f t="shared" si="183"/>
        <v>12</v>
      </c>
      <c r="Y144" s="331">
        <f t="shared" si="184"/>
        <v>1</v>
      </c>
      <c r="Z144" s="228">
        <v>21</v>
      </c>
      <c r="AA144" s="255"/>
      <c r="AB144" s="255"/>
      <c r="AC144" s="255"/>
      <c r="AD144" s="280">
        <f t="shared" si="185"/>
        <v>0</v>
      </c>
      <c r="AE144" s="280">
        <f t="shared" si="186"/>
        <v>21</v>
      </c>
      <c r="AF144" s="281">
        <f t="shared" si="187"/>
        <v>1</v>
      </c>
      <c r="AG144" s="229">
        <v>18</v>
      </c>
      <c r="AH144" s="257"/>
      <c r="AI144" s="257"/>
      <c r="AJ144" s="257"/>
      <c r="AK144" s="305">
        <f t="shared" si="188"/>
        <v>0</v>
      </c>
      <c r="AL144" s="305">
        <f t="shared" si="189"/>
        <v>18</v>
      </c>
      <c r="AM144" s="306">
        <f t="shared" si="190"/>
        <v>1</v>
      </c>
      <c r="AN144" s="230">
        <v>14</v>
      </c>
      <c r="AO144" s="259"/>
      <c r="AP144" s="259"/>
      <c r="AQ144" s="259"/>
      <c r="AR144" s="307">
        <f t="shared" si="191"/>
        <v>0</v>
      </c>
      <c r="AS144" s="307">
        <f t="shared" si="192"/>
        <v>14</v>
      </c>
      <c r="AT144" s="308">
        <f t="shared" si="193"/>
        <v>1</v>
      </c>
      <c r="AU144" s="289">
        <f t="shared" si="194"/>
        <v>0</v>
      </c>
      <c r="AV144" s="289">
        <f t="shared" si="195"/>
        <v>1</v>
      </c>
      <c r="AW144" s="289">
        <f t="shared" si="196"/>
        <v>0</v>
      </c>
      <c r="AX144" s="290">
        <v>98</v>
      </c>
      <c r="AY144" s="289">
        <f t="shared" si="197"/>
        <v>97</v>
      </c>
      <c r="AZ144" s="291">
        <f t="shared" si="198"/>
        <v>0.98979591836734693</v>
      </c>
      <c r="BA144" s="344">
        <v>3</v>
      </c>
      <c r="BB144" s="383">
        <v>92</v>
      </c>
      <c r="BC144" s="379">
        <f t="shared" si="174"/>
        <v>6</v>
      </c>
      <c r="BD144" s="378">
        <f t="shared" si="175"/>
        <v>0</v>
      </c>
      <c r="BE144" s="381"/>
      <c r="BF144" s="378">
        <f t="shared" si="199"/>
        <v>86</v>
      </c>
    </row>
    <row r="145" spans="1:58" x14ac:dyDescent="0.35">
      <c r="A145" s="196" t="s">
        <v>29</v>
      </c>
      <c r="B145" s="35">
        <v>252610107</v>
      </c>
      <c r="C145" s="36" t="s">
        <v>1188</v>
      </c>
      <c r="D145" s="194" t="s">
        <v>6</v>
      </c>
      <c r="E145" s="215">
        <v>19</v>
      </c>
      <c r="F145" s="350">
        <v>1</v>
      </c>
      <c r="G145" s="350">
        <v>2</v>
      </c>
      <c r="H145" s="350"/>
      <c r="I145" s="326">
        <f t="shared" si="176"/>
        <v>3</v>
      </c>
      <c r="J145" s="326">
        <f t="shared" si="177"/>
        <v>16</v>
      </c>
      <c r="K145" s="327">
        <f t="shared" si="178"/>
        <v>0.84210526315789469</v>
      </c>
      <c r="L145" s="221">
        <v>14</v>
      </c>
      <c r="M145" s="222"/>
      <c r="N145" s="223"/>
      <c r="O145" s="223"/>
      <c r="P145" s="328">
        <f t="shared" si="179"/>
        <v>0</v>
      </c>
      <c r="Q145" s="328">
        <f t="shared" si="180"/>
        <v>14</v>
      </c>
      <c r="R145" s="329">
        <f t="shared" si="181"/>
        <v>1</v>
      </c>
      <c r="S145" s="225">
        <v>12</v>
      </c>
      <c r="T145" s="226"/>
      <c r="U145" s="226"/>
      <c r="V145" s="226"/>
      <c r="W145" s="330">
        <f t="shared" si="182"/>
        <v>0</v>
      </c>
      <c r="X145" s="330">
        <f t="shared" si="183"/>
        <v>12</v>
      </c>
      <c r="Y145" s="331">
        <f t="shared" si="184"/>
        <v>1</v>
      </c>
      <c r="Z145" s="228">
        <v>21</v>
      </c>
      <c r="AA145" s="255"/>
      <c r="AB145" s="255"/>
      <c r="AC145" s="255"/>
      <c r="AD145" s="280">
        <f t="shared" si="185"/>
        <v>0</v>
      </c>
      <c r="AE145" s="280">
        <f t="shared" si="186"/>
        <v>21</v>
      </c>
      <c r="AF145" s="281">
        <f t="shared" si="187"/>
        <v>1</v>
      </c>
      <c r="AG145" s="229">
        <v>18</v>
      </c>
      <c r="AH145" s="257"/>
      <c r="AI145" s="257"/>
      <c r="AJ145" s="257"/>
      <c r="AK145" s="305">
        <f t="shared" si="188"/>
        <v>0</v>
      </c>
      <c r="AL145" s="305">
        <f t="shared" si="189"/>
        <v>18</v>
      </c>
      <c r="AM145" s="306">
        <f t="shared" si="190"/>
        <v>1</v>
      </c>
      <c r="AN145" s="230">
        <v>14</v>
      </c>
      <c r="AO145" s="259"/>
      <c r="AP145" s="259"/>
      <c r="AQ145" s="259"/>
      <c r="AR145" s="307">
        <f t="shared" si="191"/>
        <v>0</v>
      </c>
      <c r="AS145" s="307">
        <f t="shared" si="192"/>
        <v>14</v>
      </c>
      <c r="AT145" s="308">
        <f t="shared" si="193"/>
        <v>1</v>
      </c>
      <c r="AU145" s="289">
        <f t="shared" si="194"/>
        <v>1</v>
      </c>
      <c r="AV145" s="289">
        <f t="shared" si="195"/>
        <v>2</v>
      </c>
      <c r="AW145" s="289">
        <f t="shared" si="196"/>
        <v>0</v>
      </c>
      <c r="AX145" s="290">
        <v>98</v>
      </c>
      <c r="AY145" s="289">
        <f t="shared" si="197"/>
        <v>95</v>
      </c>
      <c r="AZ145" s="291">
        <f t="shared" si="198"/>
        <v>0.96938775510204078</v>
      </c>
      <c r="BA145" s="344"/>
      <c r="BB145" s="383">
        <v>98</v>
      </c>
      <c r="BC145" s="379">
        <f t="shared" si="174"/>
        <v>0</v>
      </c>
      <c r="BD145" s="378">
        <f t="shared" si="175"/>
        <v>0</v>
      </c>
      <c r="BE145" s="381"/>
      <c r="BF145" s="378">
        <f t="shared" si="199"/>
        <v>98</v>
      </c>
    </row>
    <row r="146" spans="1:58" x14ac:dyDescent="0.35">
      <c r="A146" s="196" t="s">
        <v>30</v>
      </c>
      <c r="B146" s="35">
        <v>252610108</v>
      </c>
      <c r="C146" s="36" t="s">
        <v>1189</v>
      </c>
      <c r="D146" s="194" t="s">
        <v>6</v>
      </c>
      <c r="E146" s="215">
        <v>19</v>
      </c>
      <c r="F146" s="350"/>
      <c r="G146" s="350">
        <v>2</v>
      </c>
      <c r="H146" s="352"/>
      <c r="I146" s="326">
        <f t="shared" si="176"/>
        <v>2</v>
      </c>
      <c r="J146" s="326">
        <f t="shared" si="177"/>
        <v>17</v>
      </c>
      <c r="K146" s="327">
        <f t="shared" si="178"/>
        <v>0.89473684210526316</v>
      </c>
      <c r="L146" s="221">
        <v>14</v>
      </c>
      <c r="M146" s="222">
        <v>1</v>
      </c>
      <c r="N146" s="223">
        <v>1</v>
      </c>
      <c r="O146" s="223"/>
      <c r="P146" s="328">
        <f t="shared" si="179"/>
        <v>2</v>
      </c>
      <c r="Q146" s="328">
        <f t="shared" si="180"/>
        <v>12</v>
      </c>
      <c r="R146" s="329">
        <f t="shared" si="181"/>
        <v>0.8571428571428571</v>
      </c>
      <c r="S146" s="225">
        <v>12</v>
      </c>
      <c r="T146" s="226"/>
      <c r="U146" s="226"/>
      <c r="V146" s="226"/>
      <c r="W146" s="330">
        <f t="shared" si="182"/>
        <v>0</v>
      </c>
      <c r="X146" s="330">
        <f t="shared" si="183"/>
        <v>12</v>
      </c>
      <c r="Y146" s="331">
        <f t="shared" si="184"/>
        <v>1</v>
      </c>
      <c r="Z146" s="228">
        <v>21</v>
      </c>
      <c r="AA146" s="255"/>
      <c r="AB146" s="255"/>
      <c r="AC146" s="255"/>
      <c r="AD146" s="280">
        <f t="shared" si="185"/>
        <v>0</v>
      </c>
      <c r="AE146" s="280">
        <f t="shared" si="186"/>
        <v>21</v>
      </c>
      <c r="AF146" s="281">
        <f t="shared" si="187"/>
        <v>1</v>
      </c>
      <c r="AG146" s="229">
        <v>18</v>
      </c>
      <c r="AH146" s="257"/>
      <c r="AI146" s="257"/>
      <c r="AJ146" s="257"/>
      <c r="AK146" s="305">
        <f t="shared" si="188"/>
        <v>0</v>
      </c>
      <c r="AL146" s="305">
        <f t="shared" si="189"/>
        <v>18</v>
      </c>
      <c r="AM146" s="306">
        <f t="shared" si="190"/>
        <v>1</v>
      </c>
      <c r="AN146" s="230">
        <v>14</v>
      </c>
      <c r="AO146" s="259"/>
      <c r="AP146" s="259"/>
      <c r="AQ146" s="259"/>
      <c r="AR146" s="307">
        <f t="shared" si="191"/>
        <v>0</v>
      </c>
      <c r="AS146" s="307">
        <f t="shared" si="192"/>
        <v>14</v>
      </c>
      <c r="AT146" s="308">
        <f t="shared" si="193"/>
        <v>1</v>
      </c>
      <c r="AU146" s="289">
        <f t="shared" si="194"/>
        <v>1</v>
      </c>
      <c r="AV146" s="289">
        <f t="shared" si="195"/>
        <v>3</v>
      </c>
      <c r="AW146" s="289">
        <f t="shared" si="196"/>
        <v>0</v>
      </c>
      <c r="AX146" s="290">
        <v>98</v>
      </c>
      <c r="AY146" s="289">
        <f t="shared" si="197"/>
        <v>94</v>
      </c>
      <c r="AZ146" s="291">
        <f t="shared" si="198"/>
        <v>0.95918367346938771</v>
      </c>
      <c r="BA146" s="344"/>
      <c r="BB146" s="383">
        <v>44</v>
      </c>
      <c r="BC146" s="379">
        <f t="shared" si="174"/>
        <v>0</v>
      </c>
      <c r="BD146" s="378">
        <f t="shared" si="175"/>
        <v>0</v>
      </c>
      <c r="BE146" s="381"/>
      <c r="BF146" s="378">
        <f t="shared" si="199"/>
        <v>44</v>
      </c>
    </row>
    <row r="147" spans="1:58" x14ac:dyDescent="0.35">
      <c r="A147" s="196" t="s">
        <v>31</v>
      </c>
      <c r="B147" s="35">
        <v>252610109</v>
      </c>
      <c r="C147" s="351" t="s">
        <v>1190</v>
      </c>
      <c r="D147" s="194" t="s">
        <v>6</v>
      </c>
      <c r="E147" s="215">
        <v>19</v>
      </c>
      <c r="F147" s="350"/>
      <c r="G147" s="350"/>
      <c r="H147" s="350">
        <v>1</v>
      </c>
      <c r="I147" s="326">
        <f t="shared" si="176"/>
        <v>1</v>
      </c>
      <c r="J147" s="326">
        <f t="shared" si="177"/>
        <v>18</v>
      </c>
      <c r="K147" s="327">
        <f t="shared" si="178"/>
        <v>0.94736842105263153</v>
      </c>
      <c r="L147" s="221">
        <v>14</v>
      </c>
      <c r="M147" s="222"/>
      <c r="N147" s="223"/>
      <c r="O147" s="222"/>
      <c r="P147" s="328">
        <f t="shared" si="179"/>
        <v>0</v>
      </c>
      <c r="Q147" s="328">
        <f t="shared" si="180"/>
        <v>14</v>
      </c>
      <c r="R147" s="329">
        <f t="shared" si="181"/>
        <v>1</v>
      </c>
      <c r="S147" s="225">
        <v>12</v>
      </c>
      <c r="T147" s="226"/>
      <c r="U147" s="226"/>
      <c r="V147" s="226"/>
      <c r="W147" s="330">
        <f t="shared" si="182"/>
        <v>0</v>
      </c>
      <c r="X147" s="330">
        <f t="shared" si="183"/>
        <v>12</v>
      </c>
      <c r="Y147" s="331">
        <f t="shared" si="184"/>
        <v>1</v>
      </c>
      <c r="Z147" s="228">
        <v>21</v>
      </c>
      <c r="AA147" s="255"/>
      <c r="AB147" s="255"/>
      <c r="AC147" s="255"/>
      <c r="AD147" s="280">
        <f t="shared" si="185"/>
        <v>0</v>
      </c>
      <c r="AE147" s="280">
        <f t="shared" si="186"/>
        <v>21</v>
      </c>
      <c r="AF147" s="281">
        <f t="shared" si="187"/>
        <v>1</v>
      </c>
      <c r="AG147" s="229">
        <v>18</v>
      </c>
      <c r="AH147" s="257"/>
      <c r="AI147" s="257"/>
      <c r="AJ147" s="257"/>
      <c r="AK147" s="305">
        <f t="shared" si="188"/>
        <v>0</v>
      </c>
      <c r="AL147" s="305">
        <f t="shared" si="189"/>
        <v>18</v>
      </c>
      <c r="AM147" s="306">
        <f t="shared" si="190"/>
        <v>1</v>
      </c>
      <c r="AN147" s="230">
        <v>14</v>
      </c>
      <c r="AO147" s="259"/>
      <c r="AP147" s="259"/>
      <c r="AQ147" s="259"/>
      <c r="AR147" s="307">
        <f t="shared" si="191"/>
        <v>0</v>
      </c>
      <c r="AS147" s="307">
        <f t="shared" si="192"/>
        <v>14</v>
      </c>
      <c r="AT147" s="308">
        <f t="shared" si="193"/>
        <v>1</v>
      </c>
      <c r="AU147" s="289">
        <f t="shared" si="194"/>
        <v>0</v>
      </c>
      <c r="AV147" s="289">
        <f t="shared" si="195"/>
        <v>0</v>
      </c>
      <c r="AW147" s="289">
        <f t="shared" si="196"/>
        <v>1</v>
      </c>
      <c r="AX147" s="290">
        <v>98</v>
      </c>
      <c r="AY147" s="289">
        <f t="shared" si="197"/>
        <v>97</v>
      </c>
      <c r="AZ147" s="291">
        <f t="shared" si="198"/>
        <v>0.98979591836734693</v>
      </c>
      <c r="BA147" s="344"/>
      <c r="BB147" s="383">
        <v>100</v>
      </c>
      <c r="BC147" s="379">
        <f t="shared" si="174"/>
        <v>0</v>
      </c>
      <c r="BD147" s="378">
        <f t="shared" si="175"/>
        <v>2</v>
      </c>
      <c r="BE147" s="381"/>
      <c r="BF147" s="378">
        <f t="shared" si="199"/>
        <v>98</v>
      </c>
    </row>
    <row r="148" spans="1:58" x14ac:dyDescent="0.35">
      <c r="A148" s="196" t="s">
        <v>32</v>
      </c>
      <c r="B148" s="35">
        <v>252610110</v>
      </c>
      <c r="C148" s="353" t="s">
        <v>1191</v>
      </c>
      <c r="D148" s="194" t="s">
        <v>6</v>
      </c>
      <c r="E148" s="215">
        <v>19</v>
      </c>
      <c r="F148" s="350"/>
      <c r="G148" s="350"/>
      <c r="H148" s="350">
        <v>1</v>
      </c>
      <c r="I148" s="326">
        <f t="shared" si="176"/>
        <v>1</v>
      </c>
      <c r="J148" s="326">
        <f t="shared" si="177"/>
        <v>18</v>
      </c>
      <c r="K148" s="327">
        <f t="shared" si="178"/>
        <v>0.94736842105263153</v>
      </c>
      <c r="L148" s="221">
        <v>14</v>
      </c>
      <c r="M148" s="222"/>
      <c r="N148" s="222">
        <v>1</v>
      </c>
      <c r="O148" s="223"/>
      <c r="P148" s="328">
        <f t="shared" si="179"/>
        <v>1</v>
      </c>
      <c r="Q148" s="328">
        <f t="shared" si="180"/>
        <v>13</v>
      </c>
      <c r="R148" s="329">
        <f t="shared" si="181"/>
        <v>0.9285714285714286</v>
      </c>
      <c r="S148" s="225">
        <v>12</v>
      </c>
      <c r="T148" s="226"/>
      <c r="U148" s="226"/>
      <c r="V148" s="226"/>
      <c r="W148" s="330">
        <f t="shared" si="182"/>
        <v>0</v>
      </c>
      <c r="X148" s="330">
        <f t="shared" si="183"/>
        <v>12</v>
      </c>
      <c r="Y148" s="331">
        <f t="shared" si="184"/>
        <v>1</v>
      </c>
      <c r="Z148" s="228">
        <v>21</v>
      </c>
      <c r="AA148" s="255"/>
      <c r="AB148" s="255"/>
      <c r="AC148" s="255"/>
      <c r="AD148" s="280">
        <f t="shared" si="185"/>
        <v>0</v>
      </c>
      <c r="AE148" s="280">
        <f t="shared" si="186"/>
        <v>21</v>
      </c>
      <c r="AF148" s="281">
        <f t="shared" si="187"/>
        <v>1</v>
      </c>
      <c r="AG148" s="229">
        <v>18</v>
      </c>
      <c r="AH148" s="257"/>
      <c r="AI148" s="257"/>
      <c r="AJ148" s="257"/>
      <c r="AK148" s="305">
        <f t="shared" si="188"/>
        <v>0</v>
      </c>
      <c r="AL148" s="305">
        <f t="shared" si="189"/>
        <v>18</v>
      </c>
      <c r="AM148" s="306">
        <f t="shared" si="190"/>
        <v>1</v>
      </c>
      <c r="AN148" s="230">
        <v>14</v>
      </c>
      <c r="AO148" s="259"/>
      <c r="AP148" s="259"/>
      <c r="AQ148" s="259"/>
      <c r="AR148" s="307">
        <f t="shared" si="191"/>
        <v>0</v>
      </c>
      <c r="AS148" s="307">
        <f t="shared" si="192"/>
        <v>14</v>
      </c>
      <c r="AT148" s="308">
        <f t="shared" si="193"/>
        <v>1</v>
      </c>
      <c r="AU148" s="289">
        <f t="shared" si="194"/>
        <v>0</v>
      </c>
      <c r="AV148" s="289">
        <f t="shared" si="195"/>
        <v>1</v>
      </c>
      <c r="AW148" s="289">
        <f t="shared" si="196"/>
        <v>1</v>
      </c>
      <c r="AX148" s="290">
        <v>98</v>
      </c>
      <c r="AY148" s="289">
        <f t="shared" si="197"/>
        <v>96</v>
      </c>
      <c r="AZ148" s="291">
        <f t="shared" si="198"/>
        <v>0.97959183673469385</v>
      </c>
      <c r="BA148" s="344">
        <v>6</v>
      </c>
      <c r="BB148" s="383">
        <v>76</v>
      </c>
      <c r="BC148" s="379">
        <f t="shared" si="174"/>
        <v>12</v>
      </c>
      <c r="BD148" s="378">
        <f t="shared" si="175"/>
        <v>2</v>
      </c>
      <c r="BE148" s="381"/>
      <c r="BF148" s="378">
        <f t="shared" si="199"/>
        <v>62</v>
      </c>
    </row>
    <row r="149" spans="1:58" x14ac:dyDescent="0.35">
      <c r="A149" s="196" t="s">
        <v>33</v>
      </c>
      <c r="B149" s="35">
        <v>252610111</v>
      </c>
      <c r="C149" s="351" t="s">
        <v>1192</v>
      </c>
      <c r="D149" s="194" t="s">
        <v>6</v>
      </c>
      <c r="E149" s="215">
        <v>19</v>
      </c>
      <c r="F149" s="350"/>
      <c r="G149" s="350">
        <v>1</v>
      </c>
      <c r="H149" s="350"/>
      <c r="I149" s="326">
        <f t="shared" si="176"/>
        <v>1</v>
      </c>
      <c r="J149" s="326">
        <f t="shared" si="177"/>
        <v>18</v>
      </c>
      <c r="K149" s="327">
        <f t="shared" si="178"/>
        <v>0.94736842105263153</v>
      </c>
      <c r="L149" s="221">
        <v>14</v>
      </c>
      <c r="M149" s="222">
        <v>1</v>
      </c>
      <c r="N149" s="223"/>
      <c r="O149" s="223">
        <v>1</v>
      </c>
      <c r="P149" s="328">
        <f t="shared" si="179"/>
        <v>2</v>
      </c>
      <c r="Q149" s="328">
        <f t="shared" si="180"/>
        <v>12</v>
      </c>
      <c r="R149" s="329">
        <f t="shared" si="181"/>
        <v>0.8571428571428571</v>
      </c>
      <c r="S149" s="225">
        <v>12</v>
      </c>
      <c r="T149" s="226"/>
      <c r="U149" s="226"/>
      <c r="V149" s="226"/>
      <c r="W149" s="330">
        <f t="shared" si="182"/>
        <v>0</v>
      </c>
      <c r="X149" s="330">
        <f t="shared" si="183"/>
        <v>12</v>
      </c>
      <c r="Y149" s="331">
        <f t="shared" si="184"/>
        <v>1</v>
      </c>
      <c r="Z149" s="228">
        <v>21</v>
      </c>
      <c r="AA149" s="255"/>
      <c r="AB149" s="255"/>
      <c r="AC149" s="255"/>
      <c r="AD149" s="280">
        <f t="shared" si="185"/>
        <v>0</v>
      </c>
      <c r="AE149" s="280">
        <f t="shared" si="186"/>
        <v>21</v>
      </c>
      <c r="AF149" s="281">
        <f t="shared" si="187"/>
        <v>1</v>
      </c>
      <c r="AG149" s="229">
        <v>18</v>
      </c>
      <c r="AH149" s="257"/>
      <c r="AI149" s="257"/>
      <c r="AJ149" s="257"/>
      <c r="AK149" s="305">
        <f t="shared" si="188"/>
        <v>0</v>
      </c>
      <c r="AL149" s="305">
        <f t="shared" si="189"/>
        <v>18</v>
      </c>
      <c r="AM149" s="306">
        <f t="shared" si="190"/>
        <v>1</v>
      </c>
      <c r="AN149" s="230">
        <v>14</v>
      </c>
      <c r="AO149" s="259"/>
      <c r="AP149" s="259"/>
      <c r="AQ149" s="259"/>
      <c r="AR149" s="307">
        <f t="shared" si="191"/>
        <v>0</v>
      </c>
      <c r="AS149" s="307">
        <f t="shared" si="192"/>
        <v>14</v>
      </c>
      <c r="AT149" s="308">
        <f t="shared" si="193"/>
        <v>1</v>
      </c>
      <c r="AU149" s="289">
        <f t="shared" si="194"/>
        <v>1</v>
      </c>
      <c r="AV149" s="289">
        <f t="shared" si="195"/>
        <v>1</v>
      </c>
      <c r="AW149" s="289">
        <f t="shared" si="196"/>
        <v>1</v>
      </c>
      <c r="AX149" s="290">
        <v>98</v>
      </c>
      <c r="AY149" s="289">
        <f t="shared" si="197"/>
        <v>95</v>
      </c>
      <c r="AZ149" s="291">
        <f t="shared" si="198"/>
        <v>0.96938775510204078</v>
      </c>
      <c r="BA149" s="344">
        <v>1</v>
      </c>
      <c r="BB149" s="383">
        <v>94</v>
      </c>
      <c r="BC149" s="379">
        <f t="shared" si="174"/>
        <v>2</v>
      </c>
      <c r="BD149" s="378">
        <f t="shared" si="175"/>
        <v>2</v>
      </c>
      <c r="BE149" s="381"/>
      <c r="BF149" s="378">
        <f t="shared" si="199"/>
        <v>90</v>
      </c>
    </row>
    <row r="150" spans="1:58" x14ac:dyDescent="0.35">
      <c r="A150" s="196" t="s">
        <v>34</v>
      </c>
      <c r="B150" s="35">
        <v>252610116</v>
      </c>
      <c r="C150" s="47" t="s">
        <v>1193</v>
      </c>
      <c r="D150" s="194" t="s">
        <v>6</v>
      </c>
      <c r="E150" s="215">
        <v>19</v>
      </c>
      <c r="F150" s="350"/>
      <c r="G150" s="350"/>
      <c r="H150" s="350"/>
      <c r="I150" s="326">
        <f t="shared" si="176"/>
        <v>0</v>
      </c>
      <c r="J150" s="326">
        <f t="shared" si="177"/>
        <v>19</v>
      </c>
      <c r="K150" s="327">
        <f t="shared" si="178"/>
        <v>1</v>
      </c>
      <c r="L150" s="221">
        <v>14</v>
      </c>
      <c r="M150" s="222"/>
      <c r="N150" s="223"/>
      <c r="O150" s="222"/>
      <c r="P150" s="328">
        <f t="shared" si="179"/>
        <v>0</v>
      </c>
      <c r="Q150" s="328">
        <f t="shared" si="180"/>
        <v>14</v>
      </c>
      <c r="R150" s="329">
        <f t="shared" si="181"/>
        <v>1</v>
      </c>
      <c r="S150" s="225">
        <v>12</v>
      </c>
      <c r="T150" s="226"/>
      <c r="U150" s="226"/>
      <c r="V150" s="226"/>
      <c r="W150" s="330">
        <f t="shared" si="182"/>
        <v>0</v>
      </c>
      <c r="X150" s="330">
        <f t="shared" si="183"/>
        <v>12</v>
      </c>
      <c r="Y150" s="331">
        <f t="shared" si="184"/>
        <v>1</v>
      </c>
      <c r="Z150" s="228">
        <v>21</v>
      </c>
      <c r="AA150" s="255"/>
      <c r="AB150" s="255"/>
      <c r="AC150" s="255"/>
      <c r="AD150" s="280">
        <f t="shared" si="185"/>
        <v>0</v>
      </c>
      <c r="AE150" s="280">
        <f t="shared" si="186"/>
        <v>21</v>
      </c>
      <c r="AF150" s="281">
        <f t="shared" si="187"/>
        <v>1</v>
      </c>
      <c r="AG150" s="229">
        <v>18</v>
      </c>
      <c r="AH150" s="257"/>
      <c r="AI150" s="257"/>
      <c r="AJ150" s="257"/>
      <c r="AK150" s="305">
        <f t="shared" si="188"/>
        <v>0</v>
      </c>
      <c r="AL150" s="305">
        <f t="shared" si="189"/>
        <v>18</v>
      </c>
      <c r="AM150" s="306">
        <f t="shared" si="190"/>
        <v>1</v>
      </c>
      <c r="AN150" s="230">
        <v>14</v>
      </c>
      <c r="AO150" s="259"/>
      <c r="AP150" s="259"/>
      <c r="AQ150" s="259"/>
      <c r="AR150" s="307">
        <f t="shared" si="191"/>
        <v>0</v>
      </c>
      <c r="AS150" s="307">
        <f t="shared" si="192"/>
        <v>14</v>
      </c>
      <c r="AT150" s="308">
        <f t="shared" si="193"/>
        <v>1</v>
      </c>
      <c r="AU150" s="289">
        <f t="shared" si="194"/>
        <v>0</v>
      </c>
      <c r="AV150" s="289">
        <f t="shared" si="195"/>
        <v>0</v>
      </c>
      <c r="AW150" s="289">
        <f t="shared" si="196"/>
        <v>0</v>
      </c>
      <c r="AX150" s="290">
        <v>98</v>
      </c>
      <c r="AY150" s="289">
        <f t="shared" si="197"/>
        <v>98</v>
      </c>
      <c r="AZ150" s="291">
        <f t="shared" si="198"/>
        <v>1</v>
      </c>
      <c r="BA150" s="344"/>
      <c r="BB150" s="383">
        <v>50</v>
      </c>
      <c r="BC150" s="379">
        <f t="shared" si="174"/>
        <v>0</v>
      </c>
      <c r="BD150" s="378">
        <f t="shared" si="175"/>
        <v>0</v>
      </c>
      <c r="BE150" s="381"/>
      <c r="BF150" s="378">
        <f t="shared" si="199"/>
        <v>50</v>
      </c>
    </row>
    <row r="151" spans="1:58" x14ac:dyDescent="0.35">
      <c r="A151" s="196" t="s">
        <v>35</v>
      </c>
      <c r="B151" s="35">
        <v>252610112</v>
      </c>
      <c r="C151" s="351" t="s">
        <v>1194</v>
      </c>
      <c r="D151" s="194" t="s">
        <v>6</v>
      </c>
      <c r="E151" s="215">
        <v>19</v>
      </c>
      <c r="F151" s="350"/>
      <c r="G151" s="350"/>
      <c r="H151" s="350"/>
      <c r="I151" s="326">
        <f t="shared" si="176"/>
        <v>0</v>
      </c>
      <c r="J151" s="326">
        <f t="shared" si="177"/>
        <v>19</v>
      </c>
      <c r="K151" s="327">
        <f t="shared" si="178"/>
        <v>1</v>
      </c>
      <c r="L151" s="221">
        <v>14</v>
      </c>
      <c r="M151" s="222"/>
      <c r="N151" s="223">
        <v>1</v>
      </c>
      <c r="O151" s="223"/>
      <c r="P151" s="328">
        <f t="shared" si="179"/>
        <v>1</v>
      </c>
      <c r="Q151" s="328">
        <f t="shared" si="180"/>
        <v>13</v>
      </c>
      <c r="R151" s="329">
        <f t="shared" si="181"/>
        <v>0.9285714285714286</v>
      </c>
      <c r="S151" s="225">
        <v>12</v>
      </c>
      <c r="T151" s="226"/>
      <c r="U151" s="226"/>
      <c r="V151" s="226"/>
      <c r="W151" s="330">
        <f t="shared" si="182"/>
        <v>0</v>
      </c>
      <c r="X151" s="330">
        <f t="shared" si="183"/>
        <v>12</v>
      </c>
      <c r="Y151" s="331">
        <f t="shared" si="184"/>
        <v>1</v>
      </c>
      <c r="Z151" s="228">
        <v>21</v>
      </c>
      <c r="AA151" s="255"/>
      <c r="AB151" s="255"/>
      <c r="AC151" s="255"/>
      <c r="AD151" s="280">
        <f t="shared" si="185"/>
        <v>0</v>
      </c>
      <c r="AE151" s="280">
        <f t="shared" si="186"/>
        <v>21</v>
      </c>
      <c r="AF151" s="281">
        <f t="shared" si="187"/>
        <v>1</v>
      </c>
      <c r="AG151" s="229">
        <v>18</v>
      </c>
      <c r="AH151" s="257"/>
      <c r="AI151" s="257"/>
      <c r="AJ151" s="257"/>
      <c r="AK151" s="305">
        <f t="shared" si="188"/>
        <v>0</v>
      </c>
      <c r="AL151" s="305">
        <f t="shared" si="189"/>
        <v>18</v>
      </c>
      <c r="AM151" s="306">
        <f t="shared" si="190"/>
        <v>1</v>
      </c>
      <c r="AN151" s="230">
        <v>14</v>
      </c>
      <c r="AO151" s="259"/>
      <c r="AP151" s="259"/>
      <c r="AQ151" s="259"/>
      <c r="AR151" s="307">
        <f t="shared" si="191"/>
        <v>0</v>
      </c>
      <c r="AS151" s="307">
        <f t="shared" si="192"/>
        <v>14</v>
      </c>
      <c r="AT151" s="308">
        <f t="shared" si="193"/>
        <v>1</v>
      </c>
      <c r="AU151" s="289">
        <f t="shared" si="194"/>
        <v>0</v>
      </c>
      <c r="AV151" s="289">
        <f t="shared" si="195"/>
        <v>1</v>
      </c>
      <c r="AW151" s="289">
        <f t="shared" si="196"/>
        <v>0</v>
      </c>
      <c r="AX151" s="290">
        <v>98</v>
      </c>
      <c r="AY151" s="289">
        <f t="shared" si="197"/>
        <v>97</v>
      </c>
      <c r="AZ151" s="291">
        <f t="shared" si="198"/>
        <v>0.98979591836734693</v>
      </c>
      <c r="BA151" s="344"/>
      <c r="BB151" s="383">
        <v>100</v>
      </c>
      <c r="BC151" s="379">
        <f t="shared" si="174"/>
        <v>0</v>
      </c>
      <c r="BD151" s="378">
        <f t="shared" si="175"/>
        <v>0</v>
      </c>
      <c r="BE151" s="381"/>
      <c r="BF151" s="378">
        <f t="shared" si="199"/>
        <v>100</v>
      </c>
    </row>
    <row r="152" spans="1:58" x14ac:dyDescent="0.35">
      <c r="A152" s="196" t="s">
        <v>36</v>
      </c>
      <c r="B152" s="35">
        <v>252610119</v>
      </c>
      <c r="C152" s="36" t="s">
        <v>1195</v>
      </c>
      <c r="D152" s="194" t="s">
        <v>6</v>
      </c>
      <c r="E152" s="215">
        <v>19</v>
      </c>
      <c r="F152" s="350"/>
      <c r="G152" s="350"/>
      <c r="H152" s="350">
        <v>4</v>
      </c>
      <c r="I152" s="326">
        <f t="shared" si="176"/>
        <v>4</v>
      </c>
      <c r="J152" s="326">
        <f t="shared" si="177"/>
        <v>15</v>
      </c>
      <c r="K152" s="327">
        <f t="shared" si="178"/>
        <v>0.78947368421052633</v>
      </c>
      <c r="L152" s="221">
        <v>14</v>
      </c>
      <c r="M152" s="222"/>
      <c r="N152" s="222"/>
      <c r="O152" s="222"/>
      <c r="P152" s="328">
        <f t="shared" si="179"/>
        <v>0</v>
      </c>
      <c r="Q152" s="328">
        <f t="shared" si="180"/>
        <v>14</v>
      </c>
      <c r="R152" s="329">
        <f t="shared" si="181"/>
        <v>1</v>
      </c>
      <c r="S152" s="225">
        <v>12</v>
      </c>
      <c r="T152" s="226"/>
      <c r="U152" s="226"/>
      <c r="V152" s="226"/>
      <c r="W152" s="330">
        <f t="shared" si="182"/>
        <v>0</v>
      </c>
      <c r="X152" s="330">
        <f t="shared" si="183"/>
        <v>12</v>
      </c>
      <c r="Y152" s="331">
        <f t="shared" si="184"/>
        <v>1</v>
      </c>
      <c r="Z152" s="228">
        <v>21</v>
      </c>
      <c r="AA152" s="255"/>
      <c r="AB152" s="255"/>
      <c r="AC152" s="255"/>
      <c r="AD152" s="280">
        <f t="shared" si="185"/>
        <v>0</v>
      </c>
      <c r="AE152" s="280">
        <f t="shared" si="186"/>
        <v>21</v>
      </c>
      <c r="AF152" s="281">
        <f t="shared" si="187"/>
        <v>1</v>
      </c>
      <c r="AG152" s="229">
        <v>18</v>
      </c>
      <c r="AH152" s="257"/>
      <c r="AI152" s="257"/>
      <c r="AJ152" s="257"/>
      <c r="AK152" s="305">
        <f t="shared" si="188"/>
        <v>0</v>
      </c>
      <c r="AL152" s="305">
        <f t="shared" si="189"/>
        <v>18</v>
      </c>
      <c r="AM152" s="306">
        <f t="shared" si="190"/>
        <v>1</v>
      </c>
      <c r="AN152" s="230">
        <v>14</v>
      </c>
      <c r="AO152" s="259"/>
      <c r="AP152" s="259"/>
      <c r="AQ152" s="259"/>
      <c r="AR152" s="307">
        <f t="shared" si="191"/>
        <v>0</v>
      </c>
      <c r="AS152" s="307">
        <f t="shared" si="192"/>
        <v>14</v>
      </c>
      <c r="AT152" s="308">
        <f t="shared" si="193"/>
        <v>1</v>
      </c>
      <c r="AU152" s="289">
        <f t="shared" si="194"/>
        <v>0</v>
      </c>
      <c r="AV152" s="289">
        <f t="shared" si="195"/>
        <v>0</v>
      </c>
      <c r="AW152" s="289">
        <f t="shared" si="196"/>
        <v>4</v>
      </c>
      <c r="AX152" s="290">
        <v>98</v>
      </c>
      <c r="AY152" s="289">
        <f t="shared" si="197"/>
        <v>94</v>
      </c>
      <c r="AZ152" s="291">
        <f t="shared" si="198"/>
        <v>0.95918367346938771</v>
      </c>
      <c r="BA152" s="344">
        <v>4</v>
      </c>
      <c r="BB152" s="383">
        <v>92</v>
      </c>
      <c r="BC152" s="379">
        <f t="shared" si="174"/>
        <v>8</v>
      </c>
      <c r="BD152" s="378">
        <f t="shared" si="175"/>
        <v>8</v>
      </c>
      <c r="BE152" s="381"/>
      <c r="BF152" s="378">
        <f t="shared" si="199"/>
        <v>76</v>
      </c>
    </row>
    <row r="153" spans="1:58" x14ac:dyDescent="0.35">
      <c r="A153" s="196" t="s">
        <v>37</v>
      </c>
      <c r="B153" s="35">
        <v>252610113</v>
      </c>
      <c r="C153" s="351" t="s">
        <v>1196</v>
      </c>
      <c r="D153" s="194" t="s">
        <v>6</v>
      </c>
      <c r="E153" s="215">
        <v>19</v>
      </c>
      <c r="F153" s="350"/>
      <c r="G153" s="350">
        <v>1</v>
      </c>
      <c r="H153" s="350"/>
      <c r="I153" s="326">
        <f t="shared" si="176"/>
        <v>1</v>
      </c>
      <c r="J153" s="326">
        <f t="shared" si="177"/>
        <v>18</v>
      </c>
      <c r="K153" s="327">
        <f t="shared" si="178"/>
        <v>0.94736842105263153</v>
      </c>
      <c r="L153" s="221">
        <v>14</v>
      </c>
      <c r="M153" s="222"/>
      <c r="N153" s="223"/>
      <c r="O153" s="222"/>
      <c r="P153" s="328">
        <f t="shared" si="179"/>
        <v>0</v>
      </c>
      <c r="Q153" s="328">
        <f t="shared" si="180"/>
        <v>14</v>
      </c>
      <c r="R153" s="329">
        <f t="shared" si="181"/>
        <v>1</v>
      </c>
      <c r="S153" s="225">
        <v>12</v>
      </c>
      <c r="T153" s="226"/>
      <c r="U153" s="226"/>
      <c r="V153" s="226"/>
      <c r="W153" s="330">
        <f t="shared" si="182"/>
        <v>0</v>
      </c>
      <c r="X153" s="330">
        <f t="shared" si="183"/>
        <v>12</v>
      </c>
      <c r="Y153" s="331">
        <f t="shared" si="184"/>
        <v>1</v>
      </c>
      <c r="Z153" s="228">
        <v>21</v>
      </c>
      <c r="AA153" s="255"/>
      <c r="AB153" s="255"/>
      <c r="AC153" s="255"/>
      <c r="AD153" s="280">
        <f t="shared" si="185"/>
        <v>0</v>
      </c>
      <c r="AE153" s="280">
        <f t="shared" si="186"/>
        <v>21</v>
      </c>
      <c r="AF153" s="281">
        <f t="shared" si="187"/>
        <v>1</v>
      </c>
      <c r="AG153" s="229">
        <v>18</v>
      </c>
      <c r="AH153" s="257"/>
      <c r="AI153" s="257"/>
      <c r="AJ153" s="257"/>
      <c r="AK153" s="305">
        <f t="shared" si="188"/>
        <v>0</v>
      </c>
      <c r="AL153" s="305">
        <f t="shared" si="189"/>
        <v>18</v>
      </c>
      <c r="AM153" s="306">
        <f t="shared" si="190"/>
        <v>1</v>
      </c>
      <c r="AN153" s="230">
        <v>14</v>
      </c>
      <c r="AO153" s="259"/>
      <c r="AP153" s="259"/>
      <c r="AQ153" s="259"/>
      <c r="AR153" s="307">
        <f t="shared" si="191"/>
        <v>0</v>
      </c>
      <c r="AS153" s="307">
        <f t="shared" si="192"/>
        <v>14</v>
      </c>
      <c r="AT153" s="308">
        <f t="shared" si="193"/>
        <v>1</v>
      </c>
      <c r="AU153" s="289">
        <f t="shared" si="194"/>
        <v>0</v>
      </c>
      <c r="AV153" s="289">
        <f t="shared" si="195"/>
        <v>1</v>
      </c>
      <c r="AW153" s="289">
        <f t="shared" si="196"/>
        <v>0</v>
      </c>
      <c r="AX153" s="290">
        <v>98</v>
      </c>
      <c r="AY153" s="289">
        <f t="shared" si="197"/>
        <v>97</v>
      </c>
      <c r="AZ153" s="291">
        <f t="shared" si="198"/>
        <v>0.98979591836734693</v>
      </c>
      <c r="BA153" s="344"/>
      <c r="BB153" s="383">
        <v>94</v>
      </c>
      <c r="BC153" s="379">
        <f t="shared" si="174"/>
        <v>0</v>
      </c>
      <c r="BD153" s="378">
        <f t="shared" si="175"/>
        <v>0</v>
      </c>
      <c r="BE153" s="381"/>
      <c r="BF153" s="378">
        <f t="shared" si="199"/>
        <v>94</v>
      </c>
    </row>
    <row r="154" spans="1:58" x14ac:dyDescent="0.35">
      <c r="A154" s="196" t="s">
        <v>38</v>
      </c>
      <c r="B154" s="38">
        <v>252610114</v>
      </c>
      <c r="C154" s="34" t="s">
        <v>1197</v>
      </c>
      <c r="D154" s="194" t="s">
        <v>6</v>
      </c>
      <c r="E154" s="215">
        <v>19</v>
      </c>
      <c r="F154" s="350"/>
      <c r="G154" s="350"/>
      <c r="H154" s="350"/>
      <c r="I154" s="326">
        <f t="shared" si="176"/>
        <v>0</v>
      </c>
      <c r="J154" s="326">
        <f t="shared" si="177"/>
        <v>19</v>
      </c>
      <c r="K154" s="327">
        <f t="shared" si="178"/>
        <v>1</v>
      </c>
      <c r="L154" s="221">
        <v>14</v>
      </c>
      <c r="M154" s="222">
        <v>1</v>
      </c>
      <c r="N154" s="223">
        <v>2</v>
      </c>
      <c r="O154" s="223"/>
      <c r="P154" s="328">
        <f t="shared" si="179"/>
        <v>3</v>
      </c>
      <c r="Q154" s="328">
        <f t="shared" si="180"/>
        <v>11</v>
      </c>
      <c r="R154" s="329">
        <f t="shared" si="181"/>
        <v>0.7857142857142857</v>
      </c>
      <c r="S154" s="225">
        <v>12</v>
      </c>
      <c r="T154" s="226"/>
      <c r="U154" s="226"/>
      <c r="V154" s="226"/>
      <c r="W154" s="330">
        <f t="shared" si="182"/>
        <v>0</v>
      </c>
      <c r="X154" s="330">
        <f t="shared" si="183"/>
        <v>12</v>
      </c>
      <c r="Y154" s="331">
        <f t="shared" si="184"/>
        <v>1</v>
      </c>
      <c r="Z154" s="228">
        <v>21</v>
      </c>
      <c r="AA154" s="255"/>
      <c r="AB154" s="255"/>
      <c r="AC154" s="255"/>
      <c r="AD154" s="280">
        <f t="shared" si="185"/>
        <v>0</v>
      </c>
      <c r="AE154" s="280">
        <f t="shared" si="186"/>
        <v>21</v>
      </c>
      <c r="AF154" s="281">
        <f t="shared" si="187"/>
        <v>1</v>
      </c>
      <c r="AG154" s="229">
        <v>18</v>
      </c>
      <c r="AH154" s="257"/>
      <c r="AI154" s="257"/>
      <c r="AJ154" s="257"/>
      <c r="AK154" s="305">
        <f t="shared" si="188"/>
        <v>0</v>
      </c>
      <c r="AL154" s="305">
        <f t="shared" si="189"/>
        <v>18</v>
      </c>
      <c r="AM154" s="306">
        <f t="shared" si="190"/>
        <v>1</v>
      </c>
      <c r="AN154" s="230">
        <v>14</v>
      </c>
      <c r="AO154" s="259"/>
      <c r="AP154" s="259"/>
      <c r="AQ154" s="259"/>
      <c r="AR154" s="307">
        <f t="shared" si="191"/>
        <v>0</v>
      </c>
      <c r="AS154" s="307">
        <f t="shared" si="192"/>
        <v>14</v>
      </c>
      <c r="AT154" s="308">
        <f t="shared" si="193"/>
        <v>1</v>
      </c>
      <c r="AU154" s="289">
        <f t="shared" si="194"/>
        <v>1</v>
      </c>
      <c r="AV154" s="289">
        <f t="shared" si="195"/>
        <v>2</v>
      </c>
      <c r="AW154" s="289">
        <f t="shared" si="196"/>
        <v>0</v>
      </c>
      <c r="AX154" s="290">
        <v>98</v>
      </c>
      <c r="AY154" s="289">
        <f t="shared" si="197"/>
        <v>95</v>
      </c>
      <c r="AZ154" s="291">
        <f t="shared" si="198"/>
        <v>0.96938775510204078</v>
      </c>
      <c r="BA154" s="344">
        <v>1</v>
      </c>
      <c r="BB154" s="383">
        <v>88</v>
      </c>
      <c r="BC154" s="379">
        <f t="shared" si="174"/>
        <v>2</v>
      </c>
      <c r="BD154" s="378">
        <f t="shared" si="175"/>
        <v>0</v>
      </c>
      <c r="BE154" s="381"/>
      <c r="BF154" s="378">
        <f t="shared" si="199"/>
        <v>86</v>
      </c>
    </row>
    <row r="155" spans="1:58" x14ac:dyDescent="0.35">
      <c r="A155" s="196" t="s">
        <v>39</v>
      </c>
      <c r="B155" s="35">
        <v>252610115</v>
      </c>
      <c r="C155" s="36" t="s">
        <v>1198</v>
      </c>
      <c r="D155" s="194" t="s">
        <v>6</v>
      </c>
      <c r="E155" s="215">
        <v>19</v>
      </c>
      <c r="F155" s="350"/>
      <c r="G155" s="350">
        <v>2</v>
      </c>
      <c r="H155" s="350"/>
      <c r="I155" s="326">
        <f t="shared" si="176"/>
        <v>2</v>
      </c>
      <c r="J155" s="326">
        <f t="shared" si="177"/>
        <v>17</v>
      </c>
      <c r="K155" s="327">
        <f t="shared" si="178"/>
        <v>0.89473684210526316</v>
      </c>
      <c r="L155" s="221">
        <v>14</v>
      </c>
      <c r="M155" s="222"/>
      <c r="N155" s="223">
        <v>1</v>
      </c>
      <c r="O155" s="222"/>
      <c r="P155" s="328">
        <f t="shared" si="179"/>
        <v>1</v>
      </c>
      <c r="Q155" s="328">
        <f t="shared" si="180"/>
        <v>13</v>
      </c>
      <c r="R155" s="329">
        <f t="shared" si="181"/>
        <v>0.9285714285714286</v>
      </c>
      <c r="S155" s="225">
        <v>12</v>
      </c>
      <c r="T155" s="226"/>
      <c r="U155" s="226"/>
      <c r="V155" s="226"/>
      <c r="W155" s="330">
        <f t="shared" si="182"/>
        <v>0</v>
      </c>
      <c r="X155" s="330">
        <f t="shared" si="183"/>
        <v>12</v>
      </c>
      <c r="Y155" s="331">
        <f t="shared" si="184"/>
        <v>1</v>
      </c>
      <c r="Z155" s="228">
        <v>21</v>
      </c>
      <c r="AA155" s="255"/>
      <c r="AB155" s="255"/>
      <c r="AC155" s="255"/>
      <c r="AD155" s="280">
        <f t="shared" si="185"/>
        <v>0</v>
      </c>
      <c r="AE155" s="280">
        <f t="shared" si="186"/>
        <v>21</v>
      </c>
      <c r="AF155" s="281">
        <f t="shared" si="187"/>
        <v>1</v>
      </c>
      <c r="AG155" s="229">
        <v>18</v>
      </c>
      <c r="AH155" s="257"/>
      <c r="AI155" s="257"/>
      <c r="AJ155" s="257"/>
      <c r="AK155" s="305">
        <f t="shared" si="188"/>
        <v>0</v>
      </c>
      <c r="AL155" s="305">
        <f t="shared" si="189"/>
        <v>18</v>
      </c>
      <c r="AM155" s="306">
        <f t="shared" si="190"/>
        <v>1</v>
      </c>
      <c r="AN155" s="230">
        <v>14</v>
      </c>
      <c r="AO155" s="259"/>
      <c r="AP155" s="259"/>
      <c r="AQ155" s="259"/>
      <c r="AR155" s="307">
        <f t="shared" si="191"/>
        <v>0</v>
      </c>
      <c r="AS155" s="307">
        <f t="shared" si="192"/>
        <v>14</v>
      </c>
      <c r="AT155" s="308">
        <f t="shared" si="193"/>
        <v>1</v>
      </c>
      <c r="AU155" s="289">
        <f t="shared" si="194"/>
        <v>0</v>
      </c>
      <c r="AV155" s="289">
        <f t="shared" si="195"/>
        <v>3</v>
      </c>
      <c r="AW155" s="289">
        <f t="shared" si="196"/>
        <v>0</v>
      </c>
      <c r="AX155" s="290">
        <v>98</v>
      </c>
      <c r="AY155" s="289">
        <f t="shared" si="197"/>
        <v>95</v>
      </c>
      <c r="AZ155" s="291">
        <f t="shared" si="198"/>
        <v>0.96938775510204078</v>
      </c>
      <c r="BA155" s="344"/>
      <c r="BB155" s="383">
        <v>100</v>
      </c>
      <c r="BC155" s="379">
        <f t="shared" si="174"/>
        <v>0</v>
      </c>
      <c r="BD155" s="378">
        <f t="shared" si="175"/>
        <v>0</v>
      </c>
      <c r="BE155" s="381"/>
      <c r="BF155" s="378">
        <f t="shared" si="199"/>
        <v>100</v>
      </c>
    </row>
    <row r="156" spans="1:58" x14ac:dyDescent="0.35">
      <c r="A156" s="196" t="s">
        <v>40</v>
      </c>
      <c r="B156" s="35">
        <v>252610117</v>
      </c>
      <c r="C156" s="36" t="s">
        <v>1199</v>
      </c>
      <c r="D156" s="194" t="s">
        <v>6</v>
      </c>
      <c r="E156" s="215">
        <v>19</v>
      </c>
      <c r="F156" s="350">
        <v>1</v>
      </c>
      <c r="G156" s="350"/>
      <c r="H156" s="350"/>
      <c r="I156" s="326">
        <f t="shared" si="176"/>
        <v>1</v>
      </c>
      <c r="J156" s="326">
        <f t="shared" si="177"/>
        <v>18</v>
      </c>
      <c r="K156" s="327">
        <f t="shared" si="178"/>
        <v>0.94736842105263153</v>
      </c>
      <c r="L156" s="221">
        <v>14</v>
      </c>
      <c r="M156" s="222"/>
      <c r="N156" s="222"/>
      <c r="O156" s="222"/>
      <c r="P156" s="328">
        <f t="shared" si="179"/>
        <v>0</v>
      </c>
      <c r="Q156" s="328">
        <f t="shared" si="180"/>
        <v>14</v>
      </c>
      <c r="R156" s="329">
        <f t="shared" si="181"/>
        <v>1</v>
      </c>
      <c r="S156" s="225">
        <v>12</v>
      </c>
      <c r="T156" s="226"/>
      <c r="U156" s="226"/>
      <c r="V156" s="226"/>
      <c r="W156" s="330">
        <f t="shared" si="182"/>
        <v>0</v>
      </c>
      <c r="X156" s="330">
        <f t="shared" si="183"/>
        <v>12</v>
      </c>
      <c r="Y156" s="331">
        <f t="shared" si="184"/>
        <v>1</v>
      </c>
      <c r="Z156" s="228">
        <v>21</v>
      </c>
      <c r="AA156" s="255"/>
      <c r="AB156" s="255"/>
      <c r="AC156" s="255"/>
      <c r="AD156" s="280">
        <f t="shared" si="185"/>
        <v>0</v>
      </c>
      <c r="AE156" s="280">
        <f t="shared" si="186"/>
        <v>21</v>
      </c>
      <c r="AF156" s="281">
        <f t="shared" si="187"/>
        <v>1</v>
      </c>
      <c r="AG156" s="229">
        <v>18</v>
      </c>
      <c r="AH156" s="257"/>
      <c r="AI156" s="257"/>
      <c r="AJ156" s="257"/>
      <c r="AK156" s="305">
        <f t="shared" si="188"/>
        <v>0</v>
      </c>
      <c r="AL156" s="305">
        <f t="shared" si="189"/>
        <v>18</v>
      </c>
      <c r="AM156" s="306">
        <f t="shared" si="190"/>
        <v>1</v>
      </c>
      <c r="AN156" s="230">
        <v>14</v>
      </c>
      <c r="AO156" s="259"/>
      <c r="AP156" s="259"/>
      <c r="AQ156" s="259"/>
      <c r="AR156" s="307">
        <f t="shared" si="191"/>
        <v>0</v>
      </c>
      <c r="AS156" s="307">
        <f t="shared" si="192"/>
        <v>14</v>
      </c>
      <c r="AT156" s="308">
        <f t="shared" si="193"/>
        <v>1</v>
      </c>
      <c r="AU156" s="289">
        <f t="shared" si="194"/>
        <v>1</v>
      </c>
      <c r="AV156" s="289">
        <f t="shared" si="195"/>
        <v>0</v>
      </c>
      <c r="AW156" s="289">
        <f t="shared" si="196"/>
        <v>0</v>
      </c>
      <c r="AX156" s="290">
        <v>98</v>
      </c>
      <c r="AY156" s="289">
        <f t="shared" si="197"/>
        <v>97</v>
      </c>
      <c r="AZ156" s="291">
        <f t="shared" si="198"/>
        <v>0.98979591836734693</v>
      </c>
      <c r="BA156" s="344"/>
      <c r="BB156" s="383">
        <v>98</v>
      </c>
      <c r="BC156" s="379">
        <f t="shared" si="174"/>
        <v>0</v>
      </c>
      <c r="BD156" s="378">
        <f t="shared" si="175"/>
        <v>0</v>
      </c>
      <c r="BE156" s="381"/>
      <c r="BF156" s="378">
        <f t="shared" si="199"/>
        <v>98</v>
      </c>
    </row>
    <row r="157" spans="1:58" x14ac:dyDescent="0.35">
      <c r="A157" s="196" t="s">
        <v>41</v>
      </c>
      <c r="B157" s="35">
        <v>252610118</v>
      </c>
      <c r="C157" s="36" t="s">
        <v>1200</v>
      </c>
      <c r="D157" s="194" t="s">
        <v>6</v>
      </c>
      <c r="E157" s="215">
        <v>19</v>
      </c>
      <c r="F157" s="350"/>
      <c r="G157" s="217"/>
      <c r="H157" s="350"/>
      <c r="I157" s="326">
        <f t="shared" si="176"/>
        <v>0</v>
      </c>
      <c r="J157" s="326">
        <f t="shared" si="177"/>
        <v>19</v>
      </c>
      <c r="K157" s="327">
        <f t="shared" si="178"/>
        <v>1</v>
      </c>
      <c r="L157" s="221">
        <v>14</v>
      </c>
      <c r="M157" s="222"/>
      <c r="N157" s="223"/>
      <c r="O157" s="222"/>
      <c r="P157" s="328">
        <f t="shared" si="179"/>
        <v>0</v>
      </c>
      <c r="Q157" s="328">
        <f t="shared" si="180"/>
        <v>14</v>
      </c>
      <c r="R157" s="329">
        <f t="shared" si="181"/>
        <v>1</v>
      </c>
      <c r="S157" s="225">
        <v>12</v>
      </c>
      <c r="T157" s="226"/>
      <c r="U157" s="226"/>
      <c r="V157" s="226"/>
      <c r="W157" s="330">
        <f t="shared" si="182"/>
        <v>0</v>
      </c>
      <c r="X157" s="330">
        <f t="shared" si="183"/>
        <v>12</v>
      </c>
      <c r="Y157" s="331">
        <f t="shared" si="184"/>
        <v>1</v>
      </c>
      <c r="Z157" s="228">
        <v>21</v>
      </c>
      <c r="AA157" s="255"/>
      <c r="AB157" s="255"/>
      <c r="AC157" s="255"/>
      <c r="AD157" s="280">
        <f t="shared" si="185"/>
        <v>0</v>
      </c>
      <c r="AE157" s="280">
        <f t="shared" si="186"/>
        <v>21</v>
      </c>
      <c r="AF157" s="281">
        <f t="shared" si="187"/>
        <v>1</v>
      </c>
      <c r="AG157" s="229">
        <v>18</v>
      </c>
      <c r="AH157" s="257"/>
      <c r="AI157" s="257"/>
      <c r="AJ157" s="257"/>
      <c r="AK157" s="305">
        <f t="shared" si="188"/>
        <v>0</v>
      </c>
      <c r="AL157" s="305">
        <f t="shared" si="189"/>
        <v>18</v>
      </c>
      <c r="AM157" s="306">
        <f t="shared" si="190"/>
        <v>1</v>
      </c>
      <c r="AN157" s="230">
        <v>14</v>
      </c>
      <c r="AO157" s="259"/>
      <c r="AP157" s="259"/>
      <c r="AQ157" s="259"/>
      <c r="AR157" s="307">
        <f t="shared" si="191"/>
        <v>0</v>
      </c>
      <c r="AS157" s="307">
        <f t="shared" si="192"/>
        <v>14</v>
      </c>
      <c r="AT157" s="308">
        <f t="shared" si="193"/>
        <v>1</v>
      </c>
      <c r="AU157" s="289">
        <f t="shared" si="194"/>
        <v>0</v>
      </c>
      <c r="AV157" s="289">
        <f t="shared" si="195"/>
        <v>0</v>
      </c>
      <c r="AW157" s="289">
        <f t="shared" si="196"/>
        <v>0</v>
      </c>
      <c r="AX157" s="290">
        <v>98</v>
      </c>
      <c r="AY157" s="289">
        <f t="shared" si="197"/>
        <v>98</v>
      </c>
      <c r="AZ157" s="291">
        <f t="shared" si="198"/>
        <v>1</v>
      </c>
      <c r="BA157" s="344"/>
      <c r="BB157" s="383">
        <v>98</v>
      </c>
      <c r="BC157" s="379">
        <f t="shared" si="174"/>
        <v>0</v>
      </c>
      <c r="BD157" s="378">
        <f t="shared" si="175"/>
        <v>0</v>
      </c>
      <c r="BE157" s="381"/>
      <c r="BF157" s="378">
        <f t="shared" si="199"/>
        <v>98</v>
      </c>
    </row>
    <row r="158" spans="1:58" x14ac:dyDescent="0.35">
      <c r="A158" s="196" t="s">
        <v>42</v>
      </c>
      <c r="B158" s="35">
        <v>252610120</v>
      </c>
      <c r="C158" s="36" t="s">
        <v>1201</v>
      </c>
      <c r="D158" s="194" t="s">
        <v>6</v>
      </c>
      <c r="E158" s="215">
        <v>19</v>
      </c>
      <c r="F158" s="350"/>
      <c r="G158" s="350"/>
      <c r="H158" s="350">
        <v>2</v>
      </c>
      <c r="I158" s="326">
        <f t="shared" si="176"/>
        <v>2</v>
      </c>
      <c r="J158" s="326">
        <f t="shared" si="177"/>
        <v>17</v>
      </c>
      <c r="K158" s="327">
        <f t="shared" si="178"/>
        <v>0.89473684210526316</v>
      </c>
      <c r="L158" s="221">
        <v>14</v>
      </c>
      <c r="M158" s="222"/>
      <c r="N158" s="223">
        <v>2</v>
      </c>
      <c r="O158" s="222">
        <v>2</v>
      </c>
      <c r="P158" s="328">
        <f t="shared" si="179"/>
        <v>4</v>
      </c>
      <c r="Q158" s="328">
        <f t="shared" si="180"/>
        <v>10</v>
      </c>
      <c r="R158" s="329">
        <f t="shared" si="181"/>
        <v>0.7142857142857143</v>
      </c>
      <c r="S158" s="225">
        <v>12</v>
      </c>
      <c r="T158" s="226"/>
      <c r="U158" s="226"/>
      <c r="V158" s="226"/>
      <c r="W158" s="330">
        <f t="shared" si="182"/>
        <v>0</v>
      </c>
      <c r="X158" s="330">
        <f t="shared" si="183"/>
        <v>12</v>
      </c>
      <c r="Y158" s="331">
        <f t="shared" si="184"/>
        <v>1</v>
      </c>
      <c r="Z158" s="228">
        <v>21</v>
      </c>
      <c r="AA158" s="255"/>
      <c r="AB158" s="255"/>
      <c r="AC158" s="255"/>
      <c r="AD158" s="280">
        <f t="shared" si="185"/>
        <v>0</v>
      </c>
      <c r="AE158" s="280">
        <f t="shared" si="186"/>
        <v>21</v>
      </c>
      <c r="AF158" s="281">
        <f t="shared" si="187"/>
        <v>1</v>
      </c>
      <c r="AG158" s="229">
        <v>18</v>
      </c>
      <c r="AH158" s="257"/>
      <c r="AI158" s="257"/>
      <c r="AJ158" s="257"/>
      <c r="AK158" s="305">
        <f t="shared" si="188"/>
        <v>0</v>
      </c>
      <c r="AL158" s="305">
        <f t="shared" si="189"/>
        <v>18</v>
      </c>
      <c r="AM158" s="306">
        <f t="shared" si="190"/>
        <v>1</v>
      </c>
      <c r="AN158" s="230">
        <v>14</v>
      </c>
      <c r="AO158" s="259"/>
      <c r="AP158" s="259"/>
      <c r="AQ158" s="259"/>
      <c r="AR158" s="307">
        <f t="shared" si="191"/>
        <v>0</v>
      </c>
      <c r="AS158" s="307">
        <f t="shared" si="192"/>
        <v>14</v>
      </c>
      <c r="AT158" s="308">
        <f t="shared" si="193"/>
        <v>1</v>
      </c>
      <c r="AU158" s="289">
        <f t="shared" si="194"/>
        <v>0</v>
      </c>
      <c r="AV158" s="289">
        <f t="shared" si="195"/>
        <v>2</v>
      </c>
      <c r="AW158" s="289">
        <f t="shared" si="196"/>
        <v>4</v>
      </c>
      <c r="AX158" s="290">
        <v>98</v>
      </c>
      <c r="AY158" s="289">
        <f t="shared" si="197"/>
        <v>92</v>
      </c>
      <c r="AZ158" s="291">
        <f t="shared" si="198"/>
        <v>0.93877551020408168</v>
      </c>
      <c r="BA158" s="344">
        <v>3</v>
      </c>
      <c r="BB158" s="383">
        <v>50</v>
      </c>
      <c r="BC158" s="379">
        <f t="shared" si="174"/>
        <v>6</v>
      </c>
      <c r="BD158" s="378">
        <f t="shared" si="175"/>
        <v>8</v>
      </c>
      <c r="BE158" s="381"/>
      <c r="BF158" s="378">
        <f t="shared" si="199"/>
        <v>36</v>
      </c>
    </row>
    <row r="159" spans="1:58" x14ac:dyDescent="0.35">
      <c r="A159" s="196" t="s">
        <v>43</v>
      </c>
      <c r="B159" s="35">
        <v>252610121</v>
      </c>
      <c r="C159" s="36" t="s">
        <v>1202</v>
      </c>
      <c r="D159" s="194" t="s">
        <v>6</v>
      </c>
      <c r="E159" s="215">
        <v>19</v>
      </c>
      <c r="F159" s="350"/>
      <c r="G159" s="350"/>
      <c r="H159" s="350"/>
      <c r="I159" s="326">
        <f t="shared" si="176"/>
        <v>0</v>
      </c>
      <c r="J159" s="326">
        <f t="shared" si="177"/>
        <v>19</v>
      </c>
      <c r="K159" s="327">
        <f t="shared" si="178"/>
        <v>1</v>
      </c>
      <c r="L159" s="221">
        <v>14</v>
      </c>
      <c r="M159" s="222"/>
      <c r="N159" s="223"/>
      <c r="O159" s="222"/>
      <c r="P159" s="328">
        <f t="shared" si="179"/>
        <v>0</v>
      </c>
      <c r="Q159" s="328">
        <f t="shared" si="180"/>
        <v>14</v>
      </c>
      <c r="R159" s="329">
        <f t="shared" si="181"/>
        <v>1</v>
      </c>
      <c r="S159" s="225">
        <v>12</v>
      </c>
      <c r="T159" s="226"/>
      <c r="U159" s="226"/>
      <c r="V159" s="226"/>
      <c r="W159" s="330">
        <f t="shared" si="182"/>
        <v>0</v>
      </c>
      <c r="X159" s="330">
        <f t="shared" si="183"/>
        <v>12</v>
      </c>
      <c r="Y159" s="331">
        <f t="shared" si="184"/>
        <v>1</v>
      </c>
      <c r="Z159" s="228">
        <v>21</v>
      </c>
      <c r="AA159" s="255"/>
      <c r="AB159" s="255"/>
      <c r="AC159" s="255"/>
      <c r="AD159" s="280">
        <f t="shared" si="185"/>
        <v>0</v>
      </c>
      <c r="AE159" s="280">
        <f t="shared" si="186"/>
        <v>21</v>
      </c>
      <c r="AF159" s="281">
        <f t="shared" si="187"/>
        <v>1</v>
      </c>
      <c r="AG159" s="229">
        <v>18</v>
      </c>
      <c r="AH159" s="257"/>
      <c r="AI159" s="257"/>
      <c r="AJ159" s="257"/>
      <c r="AK159" s="305">
        <f t="shared" si="188"/>
        <v>0</v>
      </c>
      <c r="AL159" s="305">
        <f t="shared" si="189"/>
        <v>18</v>
      </c>
      <c r="AM159" s="306">
        <f t="shared" si="190"/>
        <v>1</v>
      </c>
      <c r="AN159" s="230">
        <v>14</v>
      </c>
      <c r="AO159" s="259"/>
      <c r="AP159" s="259"/>
      <c r="AQ159" s="259"/>
      <c r="AR159" s="307">
        <f t="shared" si="191"/>
        <v>0</v>
      </c>
      <c r="AS159" s="307">
        <f t="shared" si="192"/>
        <v>14</v>
      </c>
      <c r="AT159" s="308">
        <f t="shared" si="193"/>
        <v>1</v>
      </c>
      <c r="AU159" s="289">
        <f t="shared" si="194"/>
        <v>0</v>
      </c>
      <c r="AV159" s="289">
        <f t="shared" si="195"/>
        <v>0</v>
      </c>
      <c r="AW159" s="289">
        <f t="shared" si="196"/>
        <v>0</v>
      </c>
      <c r="AX159" s="290">
        <v>98</v>
      </c>
      <c r="AY159" s="289">
        <f t="shared" si="197"/>
        <v>98</v>
      </c>
      <c r="AZ159" s="291">
        <f t="shared" si="198"/>
        <v>1</v>
      </c>
      <c r="BA159" s="344"/>
      <c r="BB159" s="383">
        <v>98</v>
      </c>
      <c r="BC159" s="379">
        <f t="shared" si="174"/>
        <v>0</v>
      </c>
      <c r="BD159" s="378">
        <f t="shared" si="175"/>
        <v>0</v>
      </c>
      <c r="BE159" s="381"/>
      <c r="BF159" s="378">
        <f t="shared" si="199"/>
        <v>98</v>
      </c>
    </row>
    <row r="160" spans="1:58" x14ac:dyDescent="0.35">
      <c r="A160" s="196" t="s">
        <v>44</v>
      </c>
      <c r="B160" s="35">
        <v>252610122</v>
      </c>
      <c r="C160" s="351" t="s">
        <v>1203</v>
      </c>
      <c r="D160" s="194" t="s">
        <v>6</v>
      </c>
      <c r="E160" s="215">
        <v>19</v>
      </c>
      <c r="F160" s="350"/>
      <c r="G160" s="350"/>
      <c r="H160" s="350"/>
      <c r="I160" s="326">
        <f t="shared" si="176"/>
        <v>0</v>
      </c>
      <c r="J160" s="326">
        <f t="shared" si="177"/>
        <v>19</v>
      </c>
      <c r="K160" s="327">
        <f t="shared" si="178"/>
        <v>1</v>
      </c>
      <c r="L160" s="221">
        <v>14</v>
      </c>
      <c r="M160" s="222"/>
      <c r="N160" s="223"/>
      <c r="O160" s="222"/>
      <c r="P160" s="328">
        <f t="shared" si="179"/>
        <v>0</v>
      </c>
      <c r="Q160" s="328">
        <f t="shared" si="180"/>
        <v>14</v>
      </c>
      <c r="R160" s="329">
        <f t="shared" si="181"/>
        <v>1</v>
      </c>
      <c r="S160" s="225">
        <v>12</v>
      </c>
      <c r="T160" s="226"/>
      <c r="U160" s="226"/>
      <c r="V160" s="226"/>
      <c r="W160" s="330">
        <f t="shared" si="182"/>
        <v>0</v>
      </c>
      <c r="X160" s="330">
        <f t="shared" si="183"/>
        <v>12</v>
      </c>
      <c r="Y160" s="331">
        <f t="shared" si="184"/>
        <v>1</v>
      </c>
      <c r="Z160" s="228">
        <v>21</v>
      </c>
      <c r="AA160" s="255"/>
      <c r="AB160" s="255"/>
      <c r="AC160" s="255"/>
      <c r="AD160" s="280">
        <f t="shared" si="185"/>
        <v>0</v>
      </c>
      <c r="AE160" s="280">
        <f t="shared" si="186"/>
        <v>21</v>
      </c>
      <c r="AF160" s="281">
        <f t="shared" si="187"/>
        <v>1</v>
      </c>
      <c r="AG160" s="229">
        <v>18</v>
      </c>
      <c r="AH160" s="257"/>
      <c r="AI160" s="257"/>
      <c r="AJ160" s="257"/>
      <c r="AK160" s="305">
        <f t="shared" si="188"/>
        <v>0</v>
      </c>
      <c r="AL160" s="305">
        <f t="shared" si="189"/>
        <v>18</v>
      </c>
      <c r="AM160" s="306">
        <f t="shared" si="190"/>
        <v>1</v>
      </c>
      <c r="AN160" s="230">
        <v>14</v>
      </c>
      <c r="AO160" s="259"/>
      <c r="AP160" s="259"/>
      <c r="AQ160" s="259"/>
      <c r="AR160" s="307">
        <f t="shared" si="191"/>
        <v>0</v>
      </c>
      <c r="AS160" s="307">
        <f t="shared" si="192"/>
        <v>14</v>
      </c>
      <c r="AT160" s="308">
        <f t="shared" si="193"/>
        <v>1</v>
      </c>
      <c r="AU160" s="289">
        <f t="shared" si="194"/>
        <v>0</v>
      </c>
      <c r="AV160" s="289">
        <f t="shared" si="195"/>
        <v>0</v>
      </c>
      <c r="AW160" s="289">
        <f t="shared" si="196"/>
        <v>0</v>
      </c>
      <c r="AX160" s="290">
        <v>98</v>
      </c>
      <c r="AY160" s="289">
        <f t="shared" si="197"/>
        <v>98</v>
      </c>
      <c r="AZ160" s="291">
        <f t="shared" si="198"/>
        <v>1</v>
      </c>
      <c r="BA160" s="344"/>
      <c r="BB160" s="383">
        <v>98</v>
      </c>
      <c r="BC160" s="379">
        <f t="shared" si="174"/>
        <v>0</v>
      </c>
      <c r="BD160" s="378">
        <f t="shared" si="175"/>
        <v>0</v>
      </c>
      <c r="BE160" s="381"/>
      <c r="BF160" s="378">
        <f t="shared" si="199"/>
        <v>98</v>
      </c>
    </row>
    <row r="161" spans="1:58" x14ac:dyDescent="0.35">
      <c r="A161" s="196" t="s">
        <v>45</v>
      </c>
      <c r="B161" s="35">
        <v>252610123</v>
      </c>
      <c r="C161" s="51" t="s">
        <v>1204</v>
      </c>
      <c r="D161" s="194" t="s">
        <v>6</v>
      </c>
      <c r="E161" s="215">
        <v>19</v>
      </c>
      <c r="F161" s="350"/>
      <c r="G161" s="350"/>
      <c r="H161" s="350">
        <v>2</v>
      </c>
      <c r="I161" s="326">
        <f t="shared" si="176"/>
        <v>2</v>
      </c>
      <c r="J161" s="326">
        <f t="shared" si="177"/>
        <v>17</v>
      </c>
      <c r="K161" s="327">
        <f t="shared" si="178"/>
        <v>0.89473684210526316</v>
      </c>
      <c r="L161" s="221">
        <v>14</v>
      </c>
      <c r="M161" s="223"/>
      <c r="N161" s="223"/>
      <c r="O161" s="222">
        <v>1</v>
      </c>
      <c r="P161" s="328">
        <f t="shared" si="179"/>
        <v>1</v>
      </c>
      <c r="Q161" s="328">
        <f t="shared" si="180"/>
        <v>13</v>
      </c>
      <c r="R161" s="329">
        <f t="shared" si="181"/>
        <v>0.9285714285714286</v>
      </c>
      <c r="S161" s="225">
        <v>12</v>
      </c>
      <c r="T161" s="226"/>
      <c r="U161" s="226"/>
      <c r="V161" s="226"/>
      <c r="W161" s="330">
        <f t="shared" si="182"/>
        <v>0</v>
      </c>
      <c r="X161" s="330">
        <f t="shared" si="183"/>
        <v>12</v>
      </c>
      <c r="Y161" s="331">
        <f t="shared" si="184"/>
        <v>1</v>
      </c>
      <c r="Z161" s="228">
        <v>21</v>
      </c>
      <c r="AA161" s="255"/>
      <c r="AB161" s="255"/>
      <c r="AC161" s="255"/>
      <c r="AD161" s="280">
        <f t="shared" si="185"/>
        <v>0</v>
      </c>
      <c r="AE161" s="280">
        <f t="shared" si="186"/>
        <v>21</v>
      </c>
      <c r="AF161" s="281">
        <f t="shared" si="187"/>
        <v>1</v>
      </c>
      <c r="AG161" s="229">
        <v>18</v>
      </c>
      <c r="AH161" s="257"/>
      <c r="AI161" s="257"/>
      <c r="AJ161" s="257"/>
      <c r="AK161" s="305">
        <f t="shared" si="188"/>
        <v>0</v>
      </c>
      <c r="AL161" s="305">
        <f t="shared" si="189"/>
        <v>18</v>
      </c>
      <c r="AM161" s="306">
        <f t="shared" si="190"/>
        <v>1</v>
      </c>
      <c r="AN161" s="230">
        <v>14</v>
      </c>
      <c r="AO161" s="259"/>
      <c r="AP161" s="259"/>
      <c r="AQ161" s="259"/>
      <c r="AR161" s="307">
        <f t="shared" si="191"/>
        <v>0</v>
      </c>
      <c r="AS161" s="307">
        <f t="shared" si="192"/>
        <v>14</v>
      </c>
      <c r="AT161" s="308">
        <f t="shared" si="193"/>
        <v>1</v>
      </c>
      <c r="AU161" s="289">
        <f t="shared" si="194"/>
        <v>0</v>
      </c>
      <c r="AV161" s="289">
        <f t="shared" si="195"/>
        <v>0</v>
      </c>
      <c r="AW161" s="289">
        <f t="shared" si="196"/>
        <v>3</v>
      </c>
      <c r="AX161" s="290">
        <v>98</v>
      </c>
      <c r="AY161" s="289">
        <f t="shared" si="197"/>
        <v>95</v>
      </c>
      <c r="AZ161" s="291">
        <f t="shared" si="198"/>
        <v>0.96938775510204078</v>
      </c>
      <c r="BA161" s="344">
        <v>3</v>
      </c>
      <c r="BB161" s="383">
        <v>100</v>
      </c>
      <c r="BC161" s="379">
        <f t="shared" si="174"/>
        <v>6</v>
      </c>
      <c r="BD161" s="378">
        <f t="shared" si="175"/>
        <v>6</v>
      </c>
      <c r="BE161" s="381"/>
      <c r="BF161" s="378">
        <f t="shared" si="199"/>
        <v>88</v>
      </c>
    </row>
    <row r="162" spans="1:58" x14ac:dyDescent="0.35">
      <c r="A162" s="196" t="s">
        <v>46</v>
      </c>
      <c r="B162" s="198">
        <v>252610124</v>
      </c>
      <c r="C162" s="356" t="s">
        <v>1205</v>
      </c>
      <c r="D162" s="199" t="s">
        <v>6</v>
      </c>
      <c r="E162" s="215">
        <v>19</v>
      </c>
      <c r="F162" s="350"/>
      <c r="G162" s="350"/>
      <c r="H162" s="350"/>
      <c r="I162" s="326">
        <f t="shared" si="176"/>
        <v>0</v>
      </c>
      <c r="J162" s="326">
        <f t="shared" si="177"/>
        <v>19</v>
      </c>
      <c r="K162" s="327">
        <f t="shared" si="178"/>
        <v>1</v>
      </c>
      <c r="L162" s="221">
        <v>14</v>
      </c>
      <c r="M162" s="222"/>
      <c r="N162" s="223"/>
      <c r="O162" s="222"/>
      <c r="P162" s="328">
        <f t="shared" si="179"/>
        <v>0</v>
      </c>
      <c r="Q162" s="328">
        <f t="shared" si="180"/>
        <v>14</v>
      </c>
      <c r="R162" s="329">
        <f t="shared" si="181"/>
        <v>1</v>
      </c>
      <c r="S162" s="225">
        <v>12</v>
      </c>
      <c r="T162" s="226"/>
      <c r="U162" s="226"/>
      <c r="V162" s="226"/>
      <c r="W162" s="330">
        <f t="shared" si="182"/>
        <v>0</v>
      </c>
      <c r="X162" s="330">
        <f t="shared" si="183"/>
        <v>12</v>
      </c>
      <c r="Y162" s="331">
        <f t="shared" si="184"/>
        <v>1</v>
      </c>
      <c r="Z162" s="228">
        <v>21</v>
      </c>
      <c r="AA162" s="255"/>
      <c r="AB162" s="255"/>
      <c r="AC162" s="255"/>
      <c r="AD162" s="280">
        <f t="shared" si="185"/>
        <v>0</v>
      </c>
      <c r="AE162" s="280">
        <f t="shared" si="186"/>
        <v>21</v>
      </c>
      <c r="AF162" s="281">
        <f t="shared" si="187"/>
        <v>1</v>
      </c>
      <c r="AG162" s="229">
        <v>18</v>
      </c>
      <c r="AH162" s="257"/>
      <c r="AI162" s="257"/>
      <c r="AJ162" s="257"/>
      <c r="AK162" s="305">
        <f t="shared" si="188"/>
        <v>0</v>
      </c>
      <c r="AL162" s="305">
        <f t="shared" si="189"/>
        <v>18</v>
      </c>
      <c r="AM162" s="306">
        <f t="shared" si="190"/>
        <v>1</v>
      </c>
      <c r="AN162" s="230">
        <v>14</v>
      </c>
      <c r="AO162" s="259"/>
      <c r="AP162" s="259"/>
      <c r="AQ162" s="259"/>
      <c r="AR162" s="307">
        <f t="shared" si="191"/>
        <v>0</v>
      </c>
      <c r="AS162" s="307">
        <f t="shared" si="192"/>
        <v>14</v>
      </c>
      <c r="AT162" s="308">
        <f t="shared" si="193"/>
        <v>1</v>
      </c>
      <c r="AU162" s="289">
        <f t="shared" si="194"/>
        <v>0</v>
      </c>
      <c r="AV162" s="289">
        <f t="shared" si="195"/>
        <v>0</v>
      </c>
      <c r="AW162" s="289">
        <f t="shared" si="196"/>
        <v>0</v>
      </c>
      <c r="AX162" s="290">
        <v>98</v>
      </c>
      <c r="AY162" s="289">
        <f t="shared" si="197"/>
        <v>98</v>
      </c>
      <c r="AZ162" s="291">
        <f t="shared" si="198"/>
        <v>1</v>
      </c>
      <c r="BA162" s="344">
        <v>4</v>
      </c>
      <c r="BB162" s="383">
        <v>94</v>
      </c>
      <c r="BC162" s="379">
        <f t="shared" si="174"/>
        <v>8</v>
      </c>
      <c r="BD162" s="378">
        <f t="shared" si="175"/>
        <v>0</v>
      </c>
      <c r="BE162" s="381"/>
      <c r="BF162" s="378">
        <f t="shared" si="199"/>
        <v>86</v>
      </c>
    </row>
    <row r="163" spans="1:58" x14ac:dyDescent="0.35">
      <c r="A163" s="196" t="s">
        <v>47</v>
      </c>
      <c r="B163" s="198"/>
      <c r="C163" s="356" t="s">
        <v>1620</v>
      </c>
      <c r="D163" s="199" t="s">
        <v>6</v>
      </c>
      <c r="E163" s="215">
        <v>20</v>
      </c>
      <c r="F163" s="350"/>
      <c r="G163" s="350"/>
      <c r="H163" s="350"/>
      <c r="I163" s="326">
        <f t="shared" ref="I163" si="200">SUM(F163:H163)</f>
        <v>0</v>
      </c>
      <c r="J163" s="326">
        <f t="shared" ref="J163" si="201">E163-I163</f>
        <v>20</v>
      </c>
      <c r="K163" s="327">
        <f t="shared" ref="K163" si="202">J163/E163</f>
        <v>1</v>
      </c>
      <c r="L163" s="221">
        <v>14</v>
      </c>
      <c r="M163" s="222">
        <v>1</v>
      </c>
      <c r="N163" s="223">
        <v>2</v>
      </c>
      <c r="O163" s="222">
        <v>3</v>
      </c>
      <c r="P163" s="328">
        <f t="shared" ref="P163" si="203">SUM(M163:O163)</f>
        <v>6</v>
      </c>
      <c r="Q163" s="328">
        <f t="shared" ref="Q163" si="204">L163-P163</f>
        <v>8</v>
      </c>
      <c r="R163" s="329">
        <f t="shared" ref="R163" si="205">Q163/L163</f>
        <v>0.5714285714285714</v>
      </c>
      <c r="S163" s="225">
        <v>13</v>
      </c>
      <c r="T163" s="226"/>
      <c r="U163" s="226"/>
      <c r="V163" s="226"/>
      <c r="W163" s="330">
        <f t="shared" ref="W163" si="206">SUM(T163:V163)</f>
        <v>0</v>
      </c>
      <c r="X163" s="330">
        <f t="shared" ref="X163" si="207">S163-W163</f>
        <v>13</v>
      </c>
      <c r="Y163" s="331">
        <f t="shared" ref="Y163" si="208">X163/S163</f>
        <v>1</v>
      </c>
      <c r="Z163" s="228">
        <v>22</v>
      </c>
      <c r="AA163" s="255"/>
      <c r="AB163" s="255"/>
      <c r="AC163" s="255"/>
      <c r="AD163" s="280">
        <f t="shared" ref="AD163" si="209">SUM(AA163:AC163)</f>
        <v>0</v>
      </c>
      <c r="AE163" s="280">
        <f t="shared" ref="AE163" si="210">Z163-AD163</f>
        <v>22</v>
      </c>
      <c r="AF163" s="281">
        <f t="shared" ref="AF163" si="211">AE163/Z163</f>
        <v>1</v>
      </c>
      <c r="AG163" s="229">
        <v>19</v>
      </c>
      <c r="AH163" s="257"/>
      <c r="AI163" s="257"/>
      <c r="AJ163" s="257"/>
      <c r="AK163" s="305">
        <f t="shared" ref="AK163" si="212">SUM(AH163:AJ163)</f>
        <v>0</v>
      </c>
      <c r="AL163" s="305">
        <f t="shared" ref="AL163" si="213">AG163-AK163</f>
        <v>19</v>
      </c>
      <c r="AM163" s="306">
        <f t="shared" ref="AM163" si="214">AL163/AG163</f>
        <v>1</v>
      </c>
      <c r="AN163" s="230">
        <v>15</v>
      </c>
      <c r="AO163" s="259"/>
      <c r="AP163" s="259"/>
      <c r="AQ163" s="259"/>
      <c r="AR163" s="307">
        <f t="shared" ref="AR163" si="215">SUM(AO163:AQ163)</f>
        <v>0</v>
      </c>
      <c r="AS163" s="307">
        <f t="shared" ref="AS163" si="216">AN163-AR163</f>
        <v>15</v>
      </c>
      <c r="AT163" s="308">
        <f t="shared" ref="AT163" si="217">AS163/AN163</f>
        <v>1</v>
      </c>
      <c r="AU163" s="289">
        <f t="shared" ref="AU163" si="218">F163+M163+T163+AA163+AH163+AO163</f>
        <v>1</v>
      </c>
      <c r="AV163" s="289">
        <f t="shared" ref="AV163" si="219">G163+N163+U163+AB163+AI163+AP163</f>
        <v>2</v>
      </c>
      <c r="AW163" s="289">
        <f t="shared" ref="AW163" si="220">H163+O163+V163+AC163+AJ163+AQ163</f>
        <v>3</v>
      </c>
      <c r="AX163" s="290">
        <v>99</v>
      </c>
      <c r="AY163" s="289">
        <f t="shared" ref="AY163" si="221">AX163-AU163-AV163-AW163</f>
        <v>93</v>
      </c>
      <c r="AZ163" s="291">
        <f t="shared" ref="AZ163" si="222">AY163/AX163</f>
        <v>0.93939393939393945</v>
      </c>
      <c r="BA163" s="344">
        <v>1</v>
      </c>
      <c r="BB163" s="383">
        <v>100</v>
      </c>
      <c r="BC163" s="379">
        <f t="shared" ref="BC163" si="223">BA163*2</f>
        <v>2</v>
      </c>
      <c r="BD163" s="378">
        <f t="shared" ref="BD163" si="224">AW163*2</f>
        <v>6</v>
      </c>
      <c r="BE163" s="381"/>
      <c r="BF163" s="378">
        <f t="shared" ref="BF163" si="225">BB163-BC163-BD163-BE163</f>
        <v>92</v>
      </c>
    </row>
    <row r="164" spans="1:58" x14ac:dyDescent="0.35">
      <c r="A164" s="197"/>
      <c r="B164" s="33"/>
      <c r="C164" s="41"/>
      <c r="D164" s="42"/>
      <c r="E164" s="215"/>
      <c r="F164" s="350"/>
      <c r="G164" s="350"/>
      <c r="H164" s="350"/>
      <c r="I164" s="326"/>
      <c r="J164" s="326"/>
      <c r="K164" s="327"/>
      <c r="L164" s="221"/>
      <c r="M164" s="222"/>
      <c r="N164" s="222"/>
      <c r="O164" s="222"/>
      <c r="P164" s="328"/>
      <c r="Q164" s="328"/>
      <c r="R164" s="329"/>
      <c r="S164" s="225"/>
      <c r="T164" s="226"/>
      <c r="U164" s="226"/>
      <c r="V164" s="226"/>
      <c r="W164" s="330"/>
      <c r="X164" s="330"/>
      <c r="Y164" s="331"/>
      <c r="Z164" s="228"/>
      <c r="AA164" s="255"/>
      <c r="AB164" s="255"/>
      <c r="AC164" s="255"/>
      <c r="AD164" s="280"/>
      <c r="AE164" s="280"/>
      <c r="AF164" s="281"/>
      <c r="AG164" s="229"/>
      <c r="AH164" s="257"/>
      <c r="AI164" s="257"/>
      <c r="AJ164" s="257"/>
      <c r="AK164" s="305"/>
      <c r="AL164" s="305"/>
      <c r="AM164" s="306"/>
      <c r="AN164" s="230"/>
      <c r="AO164" s="259"/>
      <c r="AP164" s="259"/>
      <c r="AQ164" s="259"/>
      <c r="AR164" s="307"/>
      <c r="AS164" s="307"/>
      <c r="AT164" s="308"/>
      <c r="AU164" s="289"/>
      <c r="AV164" s="289"/>
      <c r="AW164" s="289"/>
      <c r="AX164" s="290"/>
      <c r="AY164" s="289"/>
      <c r="AZ164" s="291"/>
      <c r="BA164" s="344"/>
      <c r="BB164" s="383"/>
      <c r="BC164" s="379"/>
      <c r="BD164" s="378"/>
      <c r="BE164" s="381"/>
      <c r="BF164" s="378"/>
    </row>
    <row r="165" spans="1:58" x14ac:dyDescent="0.35">
      <c r="A165" s="200"/>
      <c r="B165" s="33"/>
      <c r="C165" s="41"/>
      <c r="D165" s="42"/>
      <c r="E165" s="215"/>
      <c r="F165" s="350"/>
      <c r="G165" s="350"/>
      <c r="H165" s="350"/>
      <c r="I165" s="326"/>
      <c r="J165" s="326"/>
      <c r="K165" s="327"/>
      <c r="L165" s="221"/>
      <c r="M165" s="223"/>
      <c r="N165" s="223"/>
      <c r="O165" s="222"/>
      <c r="P165" s="328"/>
      <c r="Q165" s="328"/>
      <c r="R165" s="329"/>
      <c r="S165" s="225"/>
      <c r="T165" s="226"/>
      <c r="U165" s="226"/>
      <c r="V165" s="226"/>
      <c r="W165" s="330"/>
      <c r="X165" s="330"/>
      <c r="Y165" s="331"/>
      <c r="Z165" s="228"/>
      <c r="AA165" s="255"/>
      <c r="AB165" s="255"/>
      <c r="AC165" s="255"/>
      <c r="AD165" s="280"/>
      <c r="AE165" s="280"/>
      <c r="AF165" s="281"/>
      <c r="AG165" s="229"/>
      <c r="AH165" s="257"/>
      <c r="AI165" s="257"/>
      <c r="AJ165" s="257"/>
      <c r="AK165" s="305"/>
      <c r="AL165" s="305"/>
      <c r="AM165" s="306"/>
      <c r="AN165" s="230"/>
      <c r="AO165" s="259"/>
      <c r="AP165" s="259"/>
      <c r="AQ165" s="259"/>
      <c r="AR165" s="307"/>
      <c r="AS165" s="307"/>
      <c r="AT165" s="308"/>
      <c r="AU165" s="289"/>
      <c r="AV165" s="289"/>
      <c r="AW165" s="289"/>
      <c r="AX165" s="290"/>
      <c r="AY165" s="289"/>
      <c r="AZ165" s="291"/>
      <c r="BA165" s="344"/>
      <c r="BB165" s="383"/>
      <c r="BC165" s="379"/>
      <c r="BD165" s="378"/>
      <c r="BE165" s="381"/>
      <c r="BF165" s="378"/>
    </row>
    <row r="166" spans="1:58" x14ac:dyDescent="0.35">
      <c r="A166" s="197"/>
      <c r="B166" s="33"/>
      <c r="C166" s="54"/>
      <c r="D166" s="52"/>
      <c r="E166" s="215"/>
      <c r="F166" s="350"/>
      <c r="G166" s="350"/>
      <c r="H166" s="350"/>
      <c r="I166" s="326"/>
      <c r="J166" s="326"/>
      <c r="K166" s="327"/>
      <c r="L166" s="221"/>
      <c r="M166" s="223"/>
      <c r="N166" s="223"/>
      <c r="O166" s="223"/>
      <c r="P166" s="328"/>
      <c r="Q166" s="328"/>
      <c r="R166" s="329"/>
      <c r="S166" s="225"/>
      <c r="T166" s="226"/>
      <c r="U166" s="226"/>
      <c r="V166" s="226"/>
      <c r="W166" s="330"/>
      <c r="X166" s="330"/>
      <c r="Y166" s="331"/>
      <c r="Z166" s="228"/>
      <c r="AA166" s="255"/>
      <c r="AB166" s="255"/>
      <c r="AC166" s="255"/>
      <c r="AD166" s="280"/>
      <c r="AE166" s="280"/>
      <c r="AF166" s="281"/>
      <c r="AG166" s="229"/>
      <c r="AH166" s="257"/>
      <c r="AI166" s="257"/>
      <c r="AJ166" s="257"/>
      <c r="AK166" s="305"/>
      <c r="AL166" s="305"/>
      <c r="AM166" s="306"/>
      <c r="AN166" s="230"/>
      <c r="AO166" s="259"/>
      <c r="AP166" s="259"/>
      <c r="AQ166" s="259"/>
      <c r="AR166" s="307"/>
      <c r="AS166" s="307"/>
      <c r="AT166" s="308"/>
      <c r="AU166" s="289"/>
      <c r="AV166" s="289"/>
      <c r="AW166" s="289"/>
      <c r="AX166" s="290"/>
      <c r="AY166" s="289"/>
      <c r="AZ166" s="291"/>
      <c r="BA166" s="344"/>
      <c r="BB166" s="383"/>
      <c r="BC166" s="379"/>
      <c r="BD166" s="378"/>
      <c r="BE166" s="381"/>
      <c r="BF166" s="378"/>
    </row>
    <row r="167" spans="1:58" x14ac:dyDescent="0.35">
      <c r="A167" s="197"/>
      <c r="B167" s="33"/>
      <c r="C167" s="54"/>
      <c r="D167" s="52"/>
      <c r="E167" s="215"/>
      <c r="F167" s="350"/>
      <c r="G167" s="352"/>
      <c r="H167" s="350"/>
      <c r="I167" s="326"/>
      <c r="J167" s="326"/>
      <c r="K167" s="327"/>
      <c r="L167" s="221"/>
      <c r="M167" s="222"/>
      <c r="N167" s="222"/>
      <c r="O167" s="222"/>
      <c r="P167" s="328"/>
      <c r="Q167" s="328"/>
      <c r="R167" s="329"/>
      <c r="S167" s="225"/>
      <c r="T167" s="226"/>
      <c r="U167" s="226"/>
      <c r="V167" s="226"/>
      <c r="W167" s="330"/>
      <c r="X167" s="330"/>
      <c r="Y167" s="331"/>
      <c r="Z167" s="228"/>
      <c r="AA167" s="255"/>
      <c r="AB167" s="255"/>
      <c r="AC167" s="255"/>
      <c r="AD167" s="280"/>
      <c r="AE167" s="280"/>
      <c r="AF167" s="281"/>
      <c r="AG167" s="229"/>
      <c r="AH167" s="257"/>
      <c r="AI167" s="257"/>
      <c r="AJ167" s="257"/>
      <c r="AK167" s="305"/>
      <c r="AL167" s="305"/>
      <c r="AM167" s="306"/>
      <c r="AN167" s="230"/>
      <c r="AO167" s="259"/>
      <c r="AP167" s="259"/>
      <c r="AQ167" s="259"/>
      <c r="AR167" s="307"/>
      <c r="AS167" s="307"/>
      <c r="AT167" s="308"/>
      <c r="AU167" s="289"/>
      <c r="AV167" s="289"/>
      <c r="AW167" s="289"/>
      <c r="AX167" s="290"/>
      <c r="AY167" s="289"/>
      <c r="AZ167" s="291"/>
      <c r="BA167" s="344"/>
      <c r="BB167" s="383"/>
      <c r="BC167" s="379"/>
      <c r="BD167" s="378"/>
      <c r="BE167" s="381"/>
      <c r="BF167" s="378"/>
    </row>
    <row r="168" spans="1:58" x14ac:dyDescent="0.35">
      <c r="A168" s="197"/>
      <c r="B168" s="33"/>
      <c r="C168" s="37"/>
      <c r="D168" s="55"/>
      <c r="E168" s="215"/>
      <c r="F168" s="350"/>
      <c r="G168" s="350"/>
      <c r="H168" s="350"/>
      <c r="I168" s="326"/>
      <c r="J168" s="326"/>
      <c r="K168" s="327"/>
      <c r="L168" s="221"/>
      <c r="M168" s="222"/>
      <c r="N168" s="223"/>
      <c r="O168" s="222"/>
      <c r="P168" s="328"/>
      <c r="Q168" s="328"/>
      <c r="R168" s="329"/>
      <c r="S168" s="225"/>
      <c r="T168" s="226"/>
      <c r="U168" s="226"/>
      <c r="V168" s="226"/>
      <c r="W168" s="330"/>
      <c r="X168" s="330"/>
      <c r="Y168" s="331"/>
      <c r="Z168" s="228"/>
      <c r="AA168" s="255"/>
      <c r="AB168" s="255"/>
      <c r="AC168" s="255"/>
      <c r="AD168" s="280"/>
      <c r="AE168" s="280"/>
      <c r="AF168" s="281"/>
      <c r="AG168" s="229"/>
      <c r="AH168" s="257"/>
      <c r="AI168" s="257"/>
      <c r="AJ168" s="257"/>
      <c r="AK168" s="305"/>
      <c r="AL168" s="305"/>
      <c r="AM168" s="306"/>
      <c r="AN168" s="230"/>
      <c r="AO168" s="259"/>
      <c r="AP168" s="259"/>
      <c r="AQ168" s="259"/>
      <c r="AR168" s="307"/>
      <c r="AS168" s="307"/>
      <c r="AT168" s="308"/>
      <c r="AU168" s="289"/>
      <c r="AV168" s="289"/>
      <c r="AW168" s="289"/>
      <c r="AX168" s="290"/>
      <c r="AY168" s="289"/>
      <c r="AZ168" s="291"/>
      <c r="BA168" s="344"/>
      <c r="BB168" s="383"/>
      <c r="BC168" s="379"/>
      <c r="BD168" s="378"/>
      <c r="BE168" s="381"/>
      <c r="BF168" s="378"/>
    </row>
    <row r="169" spans="1:58" x14ac:dyDescent="0.35">
      <c r="A169" s="197"/>
      <c r="B169" s="33"/>
      <c r="C169" s="56"/>
      <c r="D169" s="35"/>
      <c r="E169" s="215"/>
      <c r="F169" s="350"/>
      <c r="G169" s="350"/>
      <c r="H169" s="350"/>
      <c r="I169" s="326"/>
      <c r="J169" s="326"/>
      <c r="K169" s="327"/>
      <c r="L169" s="221"/>
      <c r="M169" s="222"/>
      <c r="N169" s="223"/>
      <c r="O169" s="222"/>
      <c r="P169" s="328"/>
      <c r="Q169" s="328"/>
      <c r="R169" s="329"/>
      <c r="S169" s="225"/>
      <c r="T169" s="226"/>
      <c r="U169" s="226"/>
      <c r="V169" s="226"/>
      <c r="W169" s="330"/>
      <c r="X169" s="330"/>
      <c r="Y169" s="331"/>
      <c r="Z169" s="228"/>
      <c r="AA169" s="255"/>
      <c r="AB169" s="255"/>
      <c r="AC169" s="255"/>
      <c r="AD169" s="280"/>
      <c r="AE169" s="280"/>
      <c r="AF169" s="281"/>
      <c r="AG169" s="229"/>
      <c r="AH169" s="257"/>
      <c r="AI169" s="257"/>
      <c r="AJ169" s="257"/>
      <c r="AK169" s="305"/>
      <c r="AL169" s="305"/>
      <c r="AM169" s="306"/>
      <c r="AN169" s="230"/>
      <c r="AO169" s="259"/>
      <c r="AP169" s="259"/>
      <c r="AQ169" s="259"/>
      <c r="AR169" s="307"/>
      <c r="AS169" s="307"/>
      <c r="AT169" s="308"/>
      <c r="AU169" s="289"/>
      <c r="AV169" s="289"/>
      <c r="AW169" s="289"/>
      <c r="AX169" s="290"/>
      <c r="AY169" s="289"/>
      <c r="AZ169" s="291"/>
      <c r="BA169" s="344"/>
      <c r="BB169" s="383"/>
      <c r="BC169" s="379"/>
      <c r="BD169" s="378"/>
      <c r="BE169" s="381"/>
      <c r="BF169" s="378"/>
    </row>
    <row r="170" spans="1:58" x14ac:dyDescent="0.35">
      <c r="A170" s="197"/>
      <c r="B170" s="33"/>
      <c r="C170" s="37"/>
      <c r="D170" s="35"/>
      <c r="E170" s="215"/>
      <c r="F170" s="350"/>
      <c r="G170" s="350"/>
      <c r="H170" s="350"/>
      <c r="I170" s="326"/>
      <c r="J170" s="326"/>
      <c r="K170" s="327"/>
      <c r="L170" s="221"/>
      <c r="M170" s="222"/>
      <c r="N170" s="222"/>
      <c r="O170" s="222"/>
      <c r="P170" s="328"/>
      <c r="Q170" s="328"/>
      <c r="R170" s="329"/>
      <c r="S170" s="225"/>
      <c r="T170" s="226"/>
      <c r="U170" s="226"/>
      <c r="V170" s="226"/>
      <c r="W170" s="330"/>
      <c r="X170" s="330"/>
      <c r="Y170" s="331"/>
      <c r="Z170" s="228"/>
      <c r="AA170" s="255"/>
      <c r="AB170" s="255"/>
      <c r="AC170" s="255"/>
      <c r="AD170" s="280"/>
      <c r="AE170" s="280"/>
      <c r="AF170" s="281"/>
      <c r="AG170" s="229"/>
      <c r="AH170" s="257"/>
      <c r="AI170" s="257"/>
      <c r="AJ170" s="257"/>
      <c r="AK170" s="305"/>
      <c r="AL170" s="305"/>
      <c r="AM170" s="306"/>
      <c r="AN170" s="230"/>
      <c r="AO170" s="259"/>
      <c r="AP170" s="259"/>
      <c r="AQ170" s="259"/>
      <c r="AR170" s="307"/>
      <c r="AS170" s="307"/>
      <c r="AT170" s="308"/>
      <c r="AU170" s="289"/>
      <c r="AV170" s="289"/>
      <c r="AW170" s="289"/>
      <c r="AX170" s="290"/>
      <c r="AY170" s="289"/>
      <c r="AZ170" s="291"/>
      <c r="BA170" s="344"/>
      <c r="BB170" s="383"/>
      <c r="BC170" s="379"/>
      <c r="BD170" s="378"/>
      <c r="BE170" s="381"/>
      <c r="BF170" s="378"/>
    </row>
    <row r="171" spans="1:58" x14ac:dyDescent="0.35">
      <c r="A171" s="197"/>
      <c r="B171" s="33"/>
      <c r="C171" s="56"/>
      <c r="D171" s="35"/>
      <c r="E171" s="215"/>
      <c r="F171" s="350"/>
      <c r="G171" s="350"/>
      <c r="H171" s="350"/>
      <c r="I171" s="326"/>
      <c r="J171" s="326"/>
      <c r="K171" s="327"/>
      <c r="L171" s="221"/>
      <c r="M171" s="222"/>
      <c r="N171" s="223"/>
      <c r="O171" s="222"/>
      <c r="P171" s="328"/>
      <c r="Q171" s="328"/>
      <c r="R171" s="329"/>
      <c r="S171" s="225"/>
      <c r="T171" s="226"/>
      <c r="U171" s="226"/>
      <c r="V171" s="226"/>
      <c r="W171" s="330"/>
      <c r="X171" s="330"/>
      <c r="Y171" s="331"/>
      <c r="Z171" s="228"/>
      <c r="AA171" s="255"/>
      <c r="AB171" s="255"/>
      <c r="AC171" s="255"/>
      <c r="AD171" s="280"/>
      <c r="AE171" s="280"/>
      <c r="AF171" s="281"/>
      <c r="AG171" s="229"/>
      <c r="AH171" s="257"/>
      <c r="AI171" s="257"/>
      <c r="AJ171" s="257"/>
      <c r="AK171" s="305"/>
      <c r="AL171" s="305"/>
      <c r="AM171" s="306"/>
      <c r="AN171" s="230"/>
      <c r="AO171" s="259"/>
      <c r="AP171" s="259"/>
      <c r="AQ171" s="259"/>
      <c r="AR171" s="307"/>
      <c r="AS171" s="307"/>
      <c r="AT171" s="308"/>
      <c r="AU171" s="289"/>
      <c r="AV171" s="289"/>
      <c r="AW171" s="289"/>
      <c r="AX171" s="290"/>
      <c r="AY171" s="289"/>
      <c r="AZ171" s="291"/>
      <c r="BA171" s="344"/>
      <c r="BB171" s="383"/>
      <c r="BC171" s="379"/>
      <c r="BD171" s="378"/>
      <c r="BE171" s="381"/>
      <c r="BF171" s="378"/>
    </row>
    <row r="172" spans="1:58" x14ac:dyDescent="0.35">
      <c r="A172" s="197"/>
      <c r="B172" s="33"/>
      <c r="C172" s="47"/>
      <c r="D172" s="42"/>
      <c r="E172" s="215"/>
      <c r="F172" s="350"/>
      <c r="G172" s="350"/>
      <c r="H172" s="350"/>
      <c r="I172" s="326"/>
      <c r="J172" s="326"/>
      <c r="K172" s="327"/>
      <c r="L172" s="221"/>
      <c r="M172" s="222"/>
      <c r="N172" s="223"/>
      <c r="O172" s="222"/>
      <c r="P172" s="328"/>
      <c r="Q172" s="328"/>
      <c r="R172" s="329"/>
      <c r="S172" s="225"/>
      <c r="T172" s="226"/>
      <c r="U172" s="226"/>
      <c r="V172" s="226"/>
      <c r="W172" s="330"/>
      <c r="X172" s="330"/>
      <c r="Y172" s="331"/>
      <c r="Z172" s="228"/>
      <c r="AA172" s="255"/>
      <c r="AB172" s="255"/>
      <c r="AC172" s="255"/>
      <c r="AD172" s="280"/>
      <c r="AE172" s="280"/>
      <c r="AF172" s="281"/>
      <c r="AG172" s="229"/>
      <c r="AH172" s="257"/>
      <c r="AI172" s="257"/>
      <c r="AJ172" s="257"/>
      <c r="AK172" s="305"/>
      <c r="AL172" s="305"/>
      <c r="AM172" s="306"/>
      <c r="AN172" s="230"/>
      <c r="AO172" s="259"/>
      <c r="AP172" s="259"/>
      <c r="AQ172" s="259"/>
      <c r="AR172" s="307"/>
      <c r="AS172" s="307"/>
      <c r="AT172" s="308"/>
      <c r="AU172" s="289"/>
      <c r="AV172" s="289"/>
      <c r="AW172" s="289"/>
      <c r="AX172" s="290"/>
      <c r="AY172" s="289"/>
      <c r="AZ172" s="291"/>
      <c r="BA172" s="344"/>
      <c r="BB172" s="383"/>
      <c r="BC172" s="379"/>
      <c r="BD172" s="378"/>
      <c r="BE172" s="381"/>
      <c r="BF172" s="378"/>
    </row>
    <row r="173" spans="1:58" x14ac:dyDescent="0.35">
      <c r="A173" s="197"/>
      <c r="B173" s="33"/>
      <c r="C173" s="53"/>
      <c r="D173" s="42"/>
      <c r="E173" s="215"/>
      <c r="F173" s="350"/>
      <c r="G173" s="350"/>
      <c r="H173" s="350"/>
      <c r="I173" s="326"/>
      <c r="J173" s="326"/>
      <c r="K173" s="327"/>
      <c r="L173" s="221"/>
      <c r="M173" s="222"/>
      <c r="N173" s="223"/>
      <c r="O173" s="222"/>
      <c r="P173" s="328"/>
      <c r="Q173" s="328"/>
      <c r="R173" s="329"/>
      <c r="S173" s="225"/>
      <c r="T173" s="226"/>
      <c r="U173" s="226"/>
      <c r="V173" s="226"/>
      <c r="W173" s="330"/>
      <c r="X173" s="330"/>
      <c r="Y173" s="331"/>
      <c r="Z173" s="228"/>
      <c r="AA173" s="255"/>
      <c r="AB173" s="255"/>
      <c r="AC173" s="255"/>
      <c r="AD173" s="280"/>
      <c r="AE173" s="280"/>
      <c r="AF173" s="281"/>
      <c r="AG173" s="229"/>
      <c r="AH173" s="257"/>
      <c r="AI173" s="257"/>
      <c r="AJ173" s="257"/>
      <c r="AK173" s="305"/>
      <c r="AL173" s="305"/>
      <c r="AM173" s="306"/>
      <c r="AN173" s="230"/>
      <c r="AO173" s="259"/>
      <c r="AP173" s="259"/>
      <c r="AQ173" s="259"/>
      <c r="AR173" s="307"/>
      <c r="AS173" s="307"/>
      <c r="AT173" s="308"/>
      <c r="AU173" s="289"/>
      <c r="AV173" s="289"/>
      <c r="AW173" s="289"/>
      <c r="AX173" s="290"/>
      <c r="AY173" s="289"/>
      <c r="AZ173" s="291"/>
      <c r="BA173" s="344"/>
      <c r="BB173" s="383"/>
      <c r="BC173" s="379"/>
      <c r="BD173" s="378"/>
      <c r="BE173" s="381"/>
      <c r="BF173" s="378"/>
    </row>
    <row r="174" spans="1:58" x14ac:dyDescent="0.35">
      <c r="A174" s="197"/>
      <c r="B174" s="33"/>
      <c r="C174" s="53"/>
      <c r="D174" s="42"/>
      <c r="E174" s="215"/>
      <c r="F174" s="350"/>
      <c r="G174" s="350"/>
      <c r="H174" s="350"/>
      <c r="I174" s="326"/>
      <c r="J174" s="326"/>
      <c r="K174" s="327"/>
      <c r="L174" s="221"/>
      <c r="M174" s="222"/>
      <c r="N174" s="223"/>
      <c r="O174" s="222"/>
      <c r="P174" s="328"/>
      <c r="Q174" s="328"/>
      <c r="R174" s="329"/>
      <c r="S174" s="225"/>
      <c r="T174" s="226"/>
      <c r="U174" s="226"/>
      <c r="V174" s="226"/>
      <c r="W174" s="330"/>
      <c r="X174" s="330"/>
      <c r="Y174" s="331"/>
      <c r="Z174" s="228"/>
      <c r="AA174" s="255"/>
      <c r="AB174" s="255"/>
      <c r="AC174" s="255"/>
      <c r="AD174" s="280"/>
      <c r="AE174" s="280"/>
      <c r="AF174" s="281"/>
      <c r="AG174" s="229"/>
      <c r="AH174" s="257"/>
      <c r="AI174" s="257"/>
      <c r="AJ174" s="257"/>
      <c r="AK174" s="305"/>
      <c r="AL174" s="305"/>
      <c r="AM174" s="306"/>
      <c r="AN174" s="230"/>
      <c r="AO174" s="259"/>
      <c r="AP174" s="259"/>
      <c r="AQ174" s="259"/>
      <c r="AR174" s="307"/>
      <c r="AS174" s="307"/>
      <c r="AT174" s="308"/>
      <c r="AU174" s="289"/>
      <c r="AV174" s="289"/>
      <c r="AW174" s="289"/>
      <c r="AX174" s="290"/>
      <c r="AY174" s="289"/>
      <c r="AZ174" s="291"/>
      <c r="BA174" s="344"/>
      <c r="BB174" s="383"/>
      <c r="BC174" s="379"/>
      <c r="BD174" s="378"/>
      <c r="BE174" s="381"/>
      <c r="BF174" s="378"/>
    </row>
    <row r="175" spans="1:58" x14ac:dyDescent="0.35">
      <c r="A175" s="197"/>
      <c r="B175" s="33"/>
      <c r="C175" s="53"/>
      <c r="D175" s="42"/>
      <c r="E175" s="215"/>
      <c r="F175" s="350"/>
      <c r="G175" s="350"/>
      <c r="H175" s="350"/>
      <c r="I175" s="326"/>
      <c r="J175" s="326"/>
      <c r="K175" s="327"/>
      <c r="L175" s="221"/>
      <c r="M175" s="222"/>
      <c r="N175" s="223"/>
      <c r="O175" s="222"/>
      <c r="P175" s="328"/>
      <c r="Q175" s="328"/>
      <c r="R175" s="329"/>
      <c r="S175" s="225"/>
      <c r="T175" s="226"/>
      <c r="U175" s="226"/>
      <c r="V175" s="226"/>
      <c r="W175" s="330"/>
      <c r="X175" s="330"/>
      <c r="Y175" s="331"/>
      <c r="Z175" s="228"/>
      <c r="AA175" s="255"/>
      <c r="AB175" s="255"/>
      <c r="AC175" s="255"/>
      <c r="AD175" s="280"/>
      <c r="AE175" s="280"/>
      <c r="AF175" s="281"/>
      <c r="AG175" s="229"/>
      <c r="AH175" s="257"/>
      <c r="AI175" s="257"/>
      <c r="AJ175" s="257"/>
      <c r="AK175" s="305"/>
      <c r="AL175" s="305"/>
      <c r="AM175" s="306"/>
      <c r="AN175" s="230"/>
      <c r="AO175" s="259"/>
      <c r="AP175" s="259"/>
      <c r="AQ175" s="259"/>
      <c r="AR175" s="307"/>
      <c r="AS175" s="307"/>
      <c r="AT175" s="308"/>
      <c r="AU175" s="289"/>
      <c r="AV175" s="289"/>
      <c r="AW175" s="289"/>
      <c r="AX175" s="290"/>
      <c r="AY175" s="289"/>
      <c r="AZ175" s="291"/>
      <c r="BA175" s="344"/>
      <c r="BB175" s="383"/>
      <c r="BC175" s="379"/>
      <c r="BD175" s="378"/>
      <c r="BE175" s="381"/>
      <c r="BF175" s="378"/>
    </row>
    <row r="176" spans="1:58" x14ac:dyDescent="0.35">
      <c r="A176" s="197"/>
      <c r="B176" s="33"/>
      <c r="C176" s="53"/>
      <c r="D176" s="42"/>
      <c r="E176" s="215"/>
      <c r="F176" s="350"/>
      <c r="G176" s="350"/>
      <c r="H176" s="350"/>
      <c r="I176" s="326"/>
      <c r="J176" s="326"/>
      <c r="K176" s="327"/>
      <c r="L176" s="221"/>
      <c r="M176" s="222"/>
      <c r="N176" s="223"/>
      <c r="O176" s="222"/>
      <c r="P176" s="328"/>
      <c r="Q176" s="328"/>
      <c r="R176" s="329"/>
      <c r="S176" s="225"/>
      <c r="T176" s="226"/>
      <c r="U176" s="226"/>
      <c r="V176" s="226"/>
      <c r="W176" s="330"/>
      <c r="X176" s="330"/>
      <c r="Y176" s="331"/>
      <c r="Z176" s="228"/>
      <c r="AA176" s="255"/>
      <c r="AB176" s="255"/>
      <c r="AC176" s="255"/>
      <c r="AD176" s="280"/>
      <c r="AE176" s="280"/>
      <c r="AF176" s="281"/>
      <c r="AG176" s="229"/>
      <c r="AH176" s="257"/>
      <c r="AI176" s="257"/>
      <c r="AJ176" s="257"/>
      <c r="AK176" s="305"/>
      <c r="AL176" s="305"/>
      <c r="AM176" s="306"/>
      <c r="AN176" s="230"/>
      <c r="AO176" s="259"/>
      <c r="AP176" s="259"/>
      <c r="AQ176" s="259"/>
      <c r="AR176" s="307"/>
      <c r="AS176" s="307"/>
      <c r="AT176" s="308"/>
      <c r="AU176" s="289"/>
      <c r="AV176" s="289"/>
      <c r="AW176" s="289"/>
      <c r="AX176" s="290"/>
      <c r="AY176" s="289"/>
      <c r="AZ176" s="291"/>
      <c r="BA176" s="344"/>
      <c r="BB176" s="383"/>
      <c r="BC176" s="379"/>
      <c r="BD176" s="378"/>
      <c r="BE176" s="381"/>
      <c r="BF176" s="378"/>
    </row>
    <row r="177" spans="1:58" s="341" customFormat="1" x14ac:dyDescent="0.35"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87"/>
      <c r="BF177" s="287"/>
    </row>
    <row r="178" spans="1:58" s="341" customFormat="1" x14ac:dyDescent="0.35"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87"/>
      <c r="BF178" s="287"/>
    </row>
    <row r="179" spans="1:58" s="341" customFormat="1" ht="16" thickBot="1" x14ac:dyDescent="0.4">
      <c r="A179" s="342" t="s">
        <v>228</v>
      </c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87"/>
      <c r="BF179" s="287"/>
    </row>
    <row r="180" spans="1:58" ht="25" customHeight="1" thickBot="1" x14ac:dyDescent="0.4">
      <c r="A180" s="447" t="s">
        <v>1072</v>
      </c>
      <c r="B180" s="447" t="s">
        <v>2</v>
      </c>
      <c r="C180" s="448" t="s">
        <v>1606</v>
      </c>
      <c r="D180" s="448" t="s">
        <v>4</v>
      </c>
      <c r="E180" s="431" t="s">
        <v>1612</v>
      </c>
      <c r="F180" s="431"/>
      <c r="G180" s="431"/>
      <c r="H180" s="431"/>
      <c r="I180" s="431"/>
      <c r="J180" s="431"/>
      <c r="K180" s="431"/>
      <c r="L180" s="432" t="s">
        <v>1613</v>
      </c>
      <c r="M180" s="432"/>
      <c r="N180" s="432"/>
      <c r="O180" s="432"/>
      <c r="P180" s="432"/>
      <c r="Q180" s="432"/>
      <c r="R180" s="432"/>
      <c r="S180" s="433" t="s">
        <v>1614</v>
      </c>
      <c r="T180" s="433"/>
      <c r="U180" s="433"/>
      <c r="V180" s="433"/>
      <c r="W180" s="433"/>
      <c r="X180" s="433"/>
      <c r="Y180" s="433"/>
      <c r="Z180" s="434" t="s">
        <v>1615</v>
      </c>
      <c r="AA180" s="434"/>
      <c r="AB180" s="434"/>
      <c r="AC180" s="434"/>
      <c r="AD180" s="434"/>
      <c r="AE180" s="434"/>
      <c r="AF180" s="434"/>
      <c r="AG180" s="435" t="s">
        <v>1616</v>
      </c>
      <c r="AH180" s="435"/>
      <c r="AI180" s="435"/>
      <c r="AJ180" s="435"/>
      <c r="AK180" s="435"/>
      <c r="AL180" s="435"/>
      <c r="AM180" s="435"/>
      <c r="AN180" s="436" t="s">
        <v>1617</v>
      </c>
      <c r="AO180" s="436"/>
      <c r="AP180" s="436"/>
      <c r="AQ180" s="436"/>
      <c r="AR180" s="436"/>
      <c r="AS180" s="436"/>
      <c r="AT180" s="436"/>
      <c r="AU180" s="438" t="s">
        <v>224</v>
      </c>
      <c r="AV180" s="438"/>
      <c r="AW180" s="438"/>
      <c r="AX180" s="437" t="s">
        <v>1602</v>
      </c>
      <c r="AY180" s="437" t="s">
        <v>1603</v>
      </c>
      <c r="AZ180" s="437" t="s">
        <v>1604</v>
      </c>
      <c r="BA180" s="443" t="s">
        <v>1076</v>
      </c>
      <c r="BB180" s="428" t="s">
        <v>883</v>
      </c>
      <c r="BC180" s="428" t="s">
        <v>880</v>
      </c>
      <c r="BD180" s="428"/>
      <c r="BE180" s="428"/>
      <c r="BF180" s="454" t="s">
        <v>884</v>
      </c>
    </row>
    <row r="181" spans="1:58" ht="55" customHeight="1" thickBot="1" x14ac:dyDescent="0.4">
      <c r="A181" s="447"/>
      <c r="B181" s="447"/>
      <c r="C181" s="448"/>
      <c r="D181" s="448"/>
      <c r="E181" s="235" t="s">
        <v>1598</v>
      </c>
      <c r="F181" s="236" t="s">
        <v>20</v>
      </c>
      <c r="G181" s="236" t="s">
        <v>19</v>
      </c>
      <c r="H181" s="236" t="s">
        <v>52</v>
      </c>
      <c r="I181" s="237" t="s">
        <v>1599</v>
      </c>
      <c r="J181" s="237" t="s">
        <v>1600</v>
      </c>
      <c r="K181" s="237" t="s">
        <v>1601</v>
      </c>
      <c r="L181" s="202" t="s">
        <v>1598</v>
      </c>
      <c r="M181" s="206" t="s">
        <v>20</v>
      </c>
      <c r="N181" s="206" t="s">
        <v>19</v>
      </c>
      <c r="O181" s="206" t="s">
        <v>52</v>
      </c>
      <c r="P181" s="207" t="s">
        <v>1599</v>
      </c>
      <c r="Q181" s="207" t="s">
        <v>1600</v>
      </c>
      <c r="R181" s="207" t="s">
        <v>1601</v>
      </c>
      <c r="S181" s="238" t="s">
        <v>1598</v>
      </c>
      <c r="T181" s="239" t="s">
        <v>20</v>
      </c>
      <c r="U181" s="239" t="s">
        <v>19</v>
      </c>
      <c r="V181" s="239" t="s">
        <v>52</v>
      </c>
      <c r="W181" s="224" t="s">
        <v>1599</v>
      </c>
      <c r="X181" s="224" t="s">
        <v>1600</v>
      </c>
      <c r="Y181" s="224" t="s">
        <v>1601</v>
      </c>
      <c r="Z181" s="240" t="s">
        <v>1598</v>
      </c>
      <c r="AA181" s="241" t="s">
        <v>20</v>
      </c>
      <c r="AB181" s="241" t="s">
        <v>19</v>
      </c>
      <c r="AC181" s="241" t="s">
        <v>52</v>
      </c>
      <c r="AD181" s="208" t="s">
        <v>1599</v>
      </c>
      <c r="AE181" s="208" t="s">
        <v>1600</v>
      </c>
      <c r="AF181" s="208" t="s">
        <v>1601</v>
      </c>
      <c r="AG181" s="209" t="s">
        <v>1598</v>
      </c>
      <c r="AH181" s="210" t="s">
        <v>20</v>
      </c>
      <c r="AI181" s="210" t="s">
        <v>19</v>
      </c>
      <c r="AJ181" s="210" t="s">
        <v>52</v>
      </c>
      <c r="AK181" s="211" t="s">
        <v>1599</v>
      </c>
      <c r="AL181" s="211" t="s">
        <v>1600</v>
      </c>
      <c r="AM181" s="211" t="s">
        <v>1601</v>
      </c>
      <c r="AN181" s="212" t="s">
        <v>1598</v>
      </c>
      <c r="AO181" s="213" t="s">
        <v>20</v>
      </c>
      <c r="AP181" s="213" t="s">
        <v>19</v>
      </c>
      <c r="AQ181" s="213" t="s">
        <v>52</v>
      </c>
      <c r="AR181" s="214" t="s">
        <v>1599</v>
      </c>
      <c r="AS181" s="214" t="s">
        <v>1600</v>
      </c>
      <c r="AT181" s="214" t="s">
        <v>1601</v>
      </c>
      <c r="AU181" s="203" t="s">
        <v>20</v>
      </c>
      <c r="AV181" s="204" t="s">
        <v>19</v>
      </c>
      <c r="AW181" s="204" t="s">
        <v>52</v>
      </c>
      <c r="AX181" s="437"/>
      <c r="AY181" s="437"/>
      <c r="AZ181" s="437"/>
      <c r="BA181" s="444"/>
      <c r="BB181" s="428"/>
      <c r="BC181" s="375" t="s">
        <v>881</v>
      </c>
      <c r="BD181" s="377" t="s">
        <v>885</v>
      </c>
      <c r="BE181" s="376" t="s">
        <v>882</v>
      </c>
      <c r="BF181" s="454"/>
    </row>
    <row r="182" spans="1:58" x14ac:dyDescent="0.35">
      <c r="A182" s="193" t="s">
        <v>21</v>
      </c>
      <c r="B182" s="33">
        <v>252610125</v>
      </c>
      <c r="C182" s="333" t="s">
        <v>1206</v>
      </c>
      <c r="D182" s="35" t="s">
        <v>8</v>
      </c>
      <c r="E182" s="215">
        <v>19</v>
      </c>
      <c r="F182" s="350"/>
      <c r="G182" s="350">
        <v>1</v>
      </c>
      <c r="H182" s="350"/>
      <c r="I182" s="326">
        <f t="shared" ref="I182" si="226">SUM(F182:H182)</f>
        <v>1</v>
      </c>
      <c r="J182" s="326">
        <f t="shared" ref="J182" si="227">E182-I182</f>
        <v>18</v>
      </c>
      <c r="K182" s="327">
        <f t="shared" ref="K182" si="228">J182/E182</f>
        <v>0.94736842105263153</v>
      </c>
      <c r="L182" s="221">
        <v>14</v>
      </c>
      <c r="M182" s="222">
        <v>1</v>
      </c>
      <c r="N182" s="223"/>
      <c r="O182" s="222"/>
      <c r="P182" s="328">
        <f t="shared" ref="P182" si="229">SUM(M182:O182)</f>
        <v>1</v>
      </c>
      <c r="Q182" s="328">
        <f t="shared" ref="Q182" si="230">L182-P182</f>
        <v>13</v>
      </c>
      <c r="R182" s="329">
        <f t="shared" ref="R182" si="231">Q182/L182</f>
        <v>0.9285714285714286</v>
      </c>
      <c r="S182" s="225">
        <v>12</v>
      </c>
      <c r="T182" s="226"/>
      <c r="U182" s="226"/>
      <c r="V182" s="226"/>
      <c r="W182" s="330">
        <f t="shared" ref="W182" si="232">SUM(T182:V182)</f>
        <v>0</v>
      </c>
      <c r="X182" s="330">
        <f t="shared" ref="X182" si="233">S182-W182</f>
        <v>12</v>
      </c>
      <c r="Y182" s="331">
        <f t="shared" ref="Y182" si="234">X182/S182</f>
        <v>1</v>
      </c>
      <c r="Z182" s="228">
        <v>21</v>
      </c>
      <c r="AA182" s="255"/>
      <c r="AB182" s="255"/>
      <c r="AC182" s="255"/>
      <c r="AD182" s="280">
        <f t="shared" ref="AD182" si="235">SUM(AA182:AC182)</f>
        <v>0</v>
      </c>
      <c r="AE182" s="280">
        <f t="shared" ref="AE182" si="236">Z182-AD182</f>
        <v>21</v>
      </c>
      <c r="AF182" s="281">
        <f t="shared" ref="AF182" si="237">AE182/Z182</f>
        <v>1</v>
      </c>
      <c r="AG182" s="229">
        <v>18</v>
      </c>
      <c r="AH182" s="257"/>
      <c r="AI182" s="257"/>
      <c r="AJ182" s="257"/>
      <c r="AK182" s="305">
        <f t="shared" ref="AK182" si="238">SUM(AH182:AJ182)</f>
        <v>0</v>
      </c>
      <c r="AL182" s="305">
        <f t="shared" ref="AL182" si="239">AG182-AK182</f>
        <v>18</v>
      </c>
      <c r="AM182" s="306">
        <f t="shared" ref="AM182" si="240">AL182/AG182</f>
        <v>1</v>
      </c>
      <c r="AN182" s="230">
        <v>14</v>
      </c>
      <c r="AO182" s="259"/>
      <c r="AP182" s="259"/>
      <c r="AQ182" s="259"/>
      <c r="AR182" s="307">
        <f t="shared" ref="AR182" si="241">SUM(AO182:AQ182)</f>
        <v>0</v>
      </c>
      <c r="AS182" s="307">
        <f t="shared" ref="AS182" si="242">AN182-AR182</f>
        <v>14</v>
      </c>
      <c r="AT182" s="308">
        <f t="shared" ref="AT182" si="243">AS182/AN182</f>
        <v>1</v>
      </c>
      <c r="AU182" s="289">
        <f t="shared" ref="AU182" si="244">F182+M182+T182+AA182+AH182+AO182</f>
        <v>1</v>
      </c>
      <c r="AV182" s="289">
        <f t="shared" ref="AV182" si="245">G182+N182+U182+AB182+AI182+AP182</f>
        <v>1</v>
      </c>
      <c r="AW182" s="289">
        <f t="shared" ref="AW182" si="246">H182+O182+V182+AC182+AJ182+AQ182</f>
        <v>0</v>
      </c>
      <c r="AX182" s="290">
        <v>98</v>
      </c>
      <c r="AY182" s="289">
        <f t="shared" ref="AY182" si="247">AX182-AU182-AV182-AW182</f>
        <v>96</v>
      </c>
      <c r="AZ182" s="291">
        <f t="shared" ref="AZ182" si="248">AY182/AX182</f>
        <v>0.97959183673469385</v>
      </c>
      <c r="BA182" s="357"/>
      <c r="BB182" s="384" cm="1">
        <f t="array" ref="BB182:BB216">[1]X!$BF$182:$BF$216</f>
        <v>100</v>
      </c>
      <c r="BC182" s="379">
        <f t="shared" ref="BC182:BC216" si="249">BA182*2</f>
        <v>0</v>
      </c>
      <c r="BD182" s="378">
        <f t="shared" ref="BD182:BD216" si="250">AW182*2</f>
        <v>0</v>
      </c>
      <c r="BE182" s="380"/>
      <c r="BF182" s="378">
        <f t="shared" ref="BF182:BF215" si="251">BB182-BC182-BD182-BE182</f>
        <v>100</v>
      </c>
    </row>
    <row r="183" spans="1:58" x14ac:dyDescent="0.35">
      <c r="A183" s="423" t="s">
        <v>22</v>
      </c>
      <c r="B183" s="426">
        <v>252610126</v>
      </c>
      <c r="C183" s="46" t="s">
        <v>1207</v>
      </c>
      <c r="D183" s="71" t="s">
        <v>8</v>
      </c>
      <c r="E183" s="215">
        <v>19</v>
      </c>
      <c r="F183" s="350"/>
      <c r="G183" s="350">
        <v>3</v>
      </c>
      <c r="H183" s="350">
        <v>1</v>
      </c>
      <c r="I183" s="326">
        <f t="shared" ref="I183:I216" si="252">SUM(F183:H183)</f>
        <v>4</v>
      </c>
      <c r="J183" s="326">
        <f t="shared" ref="J183:J216" si="253">E183-I183</f>
        <v>15</v>
      </c>
      <c r="K183" s="327">
        <f t="shared" ref="K183:K216" si="254">J183/E183</f>
        <v>0.78947368421052633</v>
      </c>
      <c r="L183" s="221">
        <v>14</v>
      </c>
      <c r="M183" s="222">
        <v>1</v>
      </c>
      <c r="N183" s="222">
        <v>8</v>
      </c>
      <c r="O183" s="222">
        <v>2</v>
      </c>
      <c r="P183" s="328">
        <f t="shared" ref="P183:P216" si="255">SUM(M183:O183)</f>
        <v>11</v>
      </c>
      <c r="Q183" s="328">
        <f t="shared" ref="Q183:Q216" si="256">L183-P183</f>
        <v>3</v>
      </c>
      <c r="R183" s="329">
        <f t="shared" ref="R183:R216" si="257">Q183/L183</f>
        <v>0.21428571428571427</v>
      </c>
      <c r="S183" s="225">
        <v>12</v>
      </c>
      <c r="T183" s="226">
        <v>1</v>
      </c>
      <c r="U183" s="226">
        <v>1</v>
      </c>
      <c r="V183" s="226">
        <v>1</v>
      </c>
      <c r="W183" s="330">
        <f t="shared" ref="W183:W216" si="258">SUM(T183:V183)</f>
        <v>3</v>
      </c>
      <c r="X183" s="330">
        <f t="shared" ref="X183:X216" si="259">S183-W183</f>
        <v>9</v>
      </c>
      <c r="Y183" s="331">
        <f t="shared" ref="Y183:Y216" si="260">X183/S183</f>
        <v>0.75</v>
      </c>
      <c r="Z183" s="228">
        <v>21</v>
      </c>
      <c r="AA183" s="255"/>
      <c r="AB183" s="255"/>
      <c r="AC183" s="255"/>
      <c r="AD183" s="280">
        <f t="shared" ref="AD183:AD216" si="261">SUM(AA183:AC183)</f>
        <v>0</v>
      </c>
      <c r="AE183" s="280">
        <f t="shared" ref="AE183:AE216" si="262">Z183-AD183</f>
        <v>21</v>
      </c>
      <c r="AF183" s="281">
        <f t="shared" ref="AF183:AF216" si="263">AE183/Z183</f>
        <v>1</v>
      </c>
      <c r="AG183" s="229">
        <v>18</v>
      </c>
      <c r="AH183" s="229"/>
      <c r="AI183" s="229"/>
      <c r="AJ183" s="229"/>
      <c r="AK183" s="305">
        <f t="shared" ref="AK183:AK216" si="264">SUM(AH183:AJ183)</f>
        <v>0</v>
      </c>
      <c r="AL183" s="305">
        <f t="shared" ref="AL183:AL216" si="265">AG183-AK183</f>
        <v>18</v>
      </c>
      <c r="AM183" s="306">
        <f t="shared" ref="AM183:AM216" si="266">AL183/AG183</f>
        <v>1</v>
      </c>
      <c r="AN183" s="230">
        <v>14</v>
      </c>
      <c r="AO183" s="259"/>
      <c r="AP183" s="259"/>
      <c r="AQ183" s="259"/>
      <c r="AR183" s="307">
        <f t="shared" ref="AR183:AR216" si="267">SUM(AO183:AQ183)</f>
        <v>0</v>
      </c>
      <c r="AS183" s="307">
        <f t="shared" ref="AS183:AS216" si="268">AN183-AR183</f>
        <v>14</v>
      </c>
      <c r="AT183" s="308">
        <f t="shared" ref="AT183:AT216" si="269">AS183/AN183</f>
        <v>1</v>
      </c>
      <c r="AU183" s="344">
        <f t="shared" ref="AU183:AU216" si="270">F183+M183+T183+AA183+AH183+AO183</f>
        <v>2</v>
      </c>
      <c r="AV183" s="344">
        <f t="shared" ref="AV183:AV216" si="271">G183+N183+U183+AB183+AI183+AP183</f>
        <v>12</v>
      </c>
      <c r="AW183" s="344">
        <f t="shared" ref="AW183:AW216" si="272">H183+O183+V183+AC183+AJ183+AQ183</f>
        <v>4</v>
      </c>
      <c r="AX183" s="290">
        <v>98</v>
      </c>
      <c r="AY183" s="344">
        <f>AX183-AU183-AV183-AW183</f>
        <v>80</v>
      </c>
      <c r="AZ183" s="424">
        <f t="shared" ref="AZ183:AZ216" si="273">AY183/AX183</f>
        <v>0.81632653061224492</v>
      </c>
      <c r="BA183" s="358"/>
      <c r="BB183" s="385">
        <v>82</v>
      </c>
      <c r="BC183" s="379">
        <f t="shared" si="249"/>
        <v>0</v>
      </c>
      <c r="BD183" s="378">
        <f t="shared" si="250"/>
        <v>8</v>
      </c>
      <c r="BE183" s="381"/>
      <c r="BF183" s="378">
        <f t="shared" si="251"/>
        <v>74</v>
      </c>
    </row>
    <row r="184" spans="1:58" x14ac:dyDescent="0.35">
      <c r="A184" s="423" t="s">
        <v>23</v>
      </c>
      <c r="B184" s="426">
        <v>252610127</v>
      </c>
      <c r="C184" s="34" t="s">
        <v>1208</v>
      </c>
      <c r="D184" s="38" t="s">
        <v>8</v>
      </c>
      <c r="E184" s="215">
        <v>19</v>
      </c>
      <c r="F184" s="350"/>
      <c r="G184" s="350"/>
      <c r="H184" s="350"/>
      <c r="I184" s="326">
        <f t="shared" si="252"/>
        <v>0</v>
      </c>
      <c r="J184" s="326">
        <f t="shared" si="253"/>
        <v>19</v>
      </c>
      <c r="K184" s="327">
        <f t="shared" si="254"/>
        <v>1</v>
      </c>
      <c r="L184" s="221">
        <v>14</v>
      </c>
      <c r="M184" s="222">
        <v>1</v>
      </c>
      <c r="N184" s="222">
        <v>1</v>
      </c>
      <c r="O184" s="222"/>
      <c r="P184" s="328">
        <f t="shared" si="255"/>
        <v>2</v>
      </c>
      <c r="Q184" s="328">
        <f t="shared" si="256"/>
        <v>12</v>
      </c>
      <c r="R184" s="329">
        <f t="shared" si="257"/>
        <v>0.8571428571428571</v>
      </c>
      <c r="S184" s="225">
        <v>12</v>
      </c>
      <c r="T184" s="226">
        <v>1</v>
      </c>
      <c r="U184" s="226"/>
      <c r="V184" s="226"/>
      <c r="W184" s="330">
        <f t="shared" si="258"/>
        <v>1</v>
      </c>
      <c r="X184" s="330">
        <f t="shared" si="259"/>
        <v>11</v>
      </c>
      <c r="Y184" s="331">
        <f t="shared" si="260"/>
        <v>0.91666666666666663</v>
      </c>
      <c r="Z184" s="228">
        <v>21</v>
      </c>
      <c r="AA184" s="255"/>
      <c r="AB184" s="255"/>
      <c r="AC184" s="255"/>
      <c r="AD184" s="280">
        <f t="shared" si="261"/>
        <v>0</v>
      </c>
      <c r="AE184" s="280">
        <f t="shared" si="262"/>
        <v>21</v>
      </c>
      <c r="AF184" s="281">
        <f t="shared" si="263"/>
        <v>1</v>
      </c>
      <c r="AG184" s="229">
        <v>18</v>
      </c>
      <c r="AH184" s="257"/>
      <c r="AI184" s="257"/>
      <c r="AJ184" s="257"/>
      <c r="AK184" s="305">
        <f t="shared" si="264"/>
        <v>0</v>
      </c>
      <c r="AL184" s="305">
        <f t="shared" si="265"/>
        <v>18</v>
      </c>
      <c r="AM184" s="306">
        <f t="shared" si="266"/>
        <v>1</v>
      </c>
      <c r="AN184" s="230">
        <v>14</v>
      </c>
      <c r="AO184" s="259"/>
      <c r="AP184" s="259"/>
      <c r="AQ184" s="259"/>
      <c r="AR184" s="307">
        <f t="shared" si="267"/>
        <v>0</v>
      </c>
      <c r="AS184" s="307">
        <f t="shared" si="268"/>
        <v>14</v>
      </c>
      <c r="AT184" s="308">
        <f t="shared" si="269"/>
        <v>1</v>
      </c>
      <c r="AU184" s="344">
        <f t="shared" si="270"/>
        <v>2</v>
      </c>
      <c r="AV184" s="344">
        <f t="shared" si="271"/>
        <v>1</v>
      </c>
      <c r="AW184" s="344">
        <f t="shared" si="272"/>
        <v>0</v>
      </c>
      <c r="AX184" s="290">
        <v>98</v>
      </c>
      <c r="AY184" s="344">
        <f t="shared" ref="AY184:AY216" si="274">AX184-AU184-AV184-AW184</f>
        <v>95</v>
      </c>
      <c r="AZ184" s="424">
        <f t="shared" si="273"/>
        <v>0.96938775510204078</v>
      </c>
      <c r="BA184" s="358"/>
      <c r="BB184" s="385">
        <v>98</v>
      </c>
      <c r="BC184" s="379">
        <f t="shared" si="249"/>
        <v>0</v>
      </c>
      <c r="BD184" s="378">
        <f t="shared" si="250"/>
        <v>0</v>
      </c>
      <c r="BE184" s="381"/>
      <c r="BF184" s="378">
        <f t="shared" si="251"/>
        <v>98</v>
      </c>
    </row>
    <row r="185" spans="1:58" x14ac:dyDescent="0.35">
      <c r="A185" s="423" t="s">
        <v>24</v>
      </c>
      <c r="B185" s="426">
        <v>252610128</v>
      </c>
      <c r="C185" s="334" t="s">
        <v>1209</v>
      </c>
      <c r="D185" s="38" t="s">
        <v>6</v>
      </c>
      <c r="E185" s="215">
        <v>19</v>
      </c>
      <c r="F185" s="350"/>
      <c r="G185" s="350">
        <v>1</v>
      </c>
      <c r="H185" s="350">
        <v>1</v>
      </c>
      <c r="I185" s="326">
        <f t="shared" si="252"/>
        <v>2</v>
      </c>
      <c r="J185" s="326">
        <f t="shared" si="253"/>
        <v>17</v>
      </c>
      <c r="K185" s="327">
        <f t="shared" si="254"/>
        <v>0.89473684210526316</v>
      </c>
      <c r="L185" s="221">
        <v>14</v>
      </c>
      <c r="M185" s="222"/>
      <c r="N185" s="223"/>
      <c r="O185" s="222">
        <v>2</v>
      </c>
      <c r="P185" s="328">
        <f t="shared" si="255"/>
        <v>2</v>
      </c>
      <c r="Q185" s="328">
        <f t="shared" si="256"/>
        <v>12</v>
      </c>
      <c r="R185" s="329">
        <f t="shared" si="257"/>
        <v>0.8571428571428571</v>
      </c>
      <c r="S185" s="225">
        <v>12</v>
      </c>
      <c r="T185" s="226"/>
      <c r="U185" s="226"/>
      <c r="V185" s="226"/>
      <c r="W185" s="330">
        <f t="shared" si="258"/>
        <v>0</v>
      </c>
      <c r="X185" s="330">
        <f t="shared" si="259"/>
        <v>12</v>
      </c>
      <c r="Y185" s="331">
        <f t="shared" si="260"/>
        <v>1</v>
      </c>
      <c r="Z185" s="228">
        <v>21</v>
      </c>
      <c r="AA185" s="255"/>
      <c r="AB185" s="255"/>
      <c r="AC185" s="255"/>
      <c r="AD185" s="280">
        <f t="shared" si="261"/>
        <v>0</v>
      </c>
      <c r="AE185" s="280">
        <f t="shared" si="262"/>
        <v>21</v>
      </c>
      <c r="AF185" s="281">
        <f t="shared" si="263"/>
        <v>1</v>
      </c>
      <c r="AG185" s="229">
        <v>18</v>
      </c>
      <c r="AH185" s="257"/>
      <c r="AI185" s="257"/>
      <c r="AJ185" s="257"/>
      <c r="AK185" s="305">
        <f t="shared" si="264"/>
        <v>0</v>
      </c>
      <c r="AL185" s="305">
        <f t="shared" si="265"/>
        <v>18</v>
      </c>
      <c r="AM185" s="306">
        <f t="shared" si="266"/>
        <v>1</v>
      </c>
      <c r="AN185" s="230">
        <v>14</v>
      </c>
      <c r="AO185" s="259"/>
      <c r="AP185" s="259"/>
      <c r="AQ185" s="259"/>
      <c r="AR185" s="307">
        <f t="shared" si="267"/>
        <v>0</v>
      </c>
      <c r="AS185" s="307">
        <f t="shared" si="268"/>
        <v>14</v>
      </c>
      <c r="AT185" s="308">
        <f t="shared" si="269"/>
        <v>1</v>
      </c>
      <c r="AU185" s="344">
        <f t="shared" si="270"/>
        <v>0</v>
      </c>
      <c r="AV185" s="344">
        <f t="shared" si="271"/>
        <v>1</v>
      </c>
      <c r="AW185" s="344">
        <f t="shared" si="272"/>
        <v>3</v>
      </c>
      <c r="AX185" s="290">
        <v>98</v>
      </c>
      <c r="AY185" s="344">
        <f t="shared" si="274"/>
        <v>94</v>
      </c>
      <c r="AZ185" s="424">
        <f t="shared" si="273"/>
        <v>0.95918367346938771</v>
      </c>
      <c r="BA185" s="358"/>
      <c r="BB185" s="385">
        <v>86</v>
      </c>
      <c r="BC185" s="379">
        <f t="shared" si="249"/>
        <v>0</v>
      </c>
      <c r="BD185" s="378">
        <f t="shared" si="250"/>
        <v>6</v>
      </c>
      <c r="BE185" s="381"/>
      <c r="BF185" s="378">
        <f t="shared" si="251"/>
        <v>80</v>
      </c>
    </row>
    <row r="186" spans="1:58" x14ac:dyDescent="0.35">
      <c r="A186" s="423" t="s">
        <v>25</v>
      </c>
      <c r="B186" s="426">
        <v>252610129</v>
      </c>
      <c r="C186" s="333" t="s">
        <v>1210</v>
      </c>
      <c r="D186" s="38" t="s">
        <v>8</v>
      </c>
      <c r="E186" s="215">
        <v>19</v>
      </c>
      <c r="F186" s="350"/>
      <c r="G186" s="350">
        <v>1</v>
      </c>
      <c r="H186" s="350"/>
      <c r="I186" s="326">
        <f t="shared" si="252"/>
        <v>1</v>
      </c>
      <c r="J186" s="326">
        <f t="shared" si="253"/>
        <v>18</v>
      </c>
      <c r="K186" s="327">
        <f t="shared" si="254"/>
        <v>0.94736842105263153</v>
      </c>
      <c r="L186" s="221">
        <v>14</v>
      </c>
      <c r="M186" s="222">
        <v>2</v>
      </c>
      <c r="N186" s="223"/>
      <c r="O186" s="222"/>
      <c r="P186" s="328">
        <f t="shared" si="255"/>
        <v>2</v>
      </c>
      <c r="Q186" s="328">
        <f t="shared" si="256"/>
        <v>12</v>
      </c>
      <c r="R186" s="329">
        <f t="shared" si="257"/>
        <v>0.8571428571428571</v>
      </c>
      <c r="S186" s="225">
        <v>12</v>
      </c>
      <c r="T186" s="226"/>
      <c r="U186" s="226"/>
      <c r="V186" s="226"/>
      <c r="W186" s="330">
        <f t="shared" si="258"/>
        <v>0</v>
      </c>
      <c r="X186" s="330">
        <f t="shared" si="259"/>
        <v>12</v>
      </c>
      <c r="Y186" s="331">
        <f t="shared" si="260"/>
        <v>1</v>
      </c>
      <c r="Z186" s="228">
        <v>21</v>
      </c>
      <c r="AA186" s="255"/>
      <c r="AB186" s="255"/>
      <c r="AC186" s="255"/>
      <c r="AD186" s="280">
        <f t="shared" si="261"/>
        <v>0</v>
      </c>
      <c r="AE186" s="280">
        <f t="shared" si="262"/>
        <v>21</v>
      </c>
      <c r="AF186" s="281">
        <f t="shared" si="263"/>
        <v>1</v>
      </c>
      <c r="AG186" s="229">
        <v>18</v>
      </c>
      <c r="AH186" s="257"/>
      <c r="AI186" s="257"/>
      <c r="AJ186" s="257"/>
      <c r="AK186" s="305">
        <f t="shared" si="264"/>
        <v>0</v>
      </c>
      <c r="AL186" s="305">
        <f t="shared" si="265"/>
        <v>18</v>
      </c>
      <c r="AM186" s="306">
        <f t="shared" si="266"/>
        <v>1</v>
      </c>
      <c r="AN186" s="230">
        <v>14</v>
      </c>
      <c r="AO186" s="259"/>
      <c r="AP186" s="259"/>
      <c r="AQ186" s="259"/>
      <c r="AR186" s="307">
        <f t="shared" si="267"/>
        <v>0</v>
      </c>
      <c r="AS186" s="307">
        <f t="shared" si="268"/>
        <v>14</v>
      </c>
      <c r="AT186" s="308">
        <f t="shared" si="269"/>
        <v>1</v>
      </c>
      <c r="AU186" s="344">
        <f t="shared" si="270"/>
        <v>2</v>
      </c>
      <c r="AV186" s="344">
        <f t="shared" si="271"/>
        <v>1</v>
      </c>
      <c r="AW186" s="344">
        <f t="shared" si="272"/>
        <v>0</v>
      </c>
      <c r="AX186" s="290">
        <v>98</v>
      </c>
      <c r="AY186" s="344">
        <f t="shared" si="274"/>
        <v>95</v>
      </c>
      <c r="AZ186" s="424">
        <f t="shared" si="273"/>
        <v>0.96938775510204078</v>
      </c>
      <c r="BA186" s="358"/>
      <c r="BB186" s="385">
        <v>96</v>
      </c>
      <c r="BC186" s="379">
        <f t="shared" si="249"/>
        <v>0</v>
      </c>
      <c r="BD186" s="378">
        <f t="shared" si="250"/>
        <v>0</v>
      </c>
      <c r="BE186" s="381"/>
      <c r="BF186" s="378">
        <f t="shared" si="251"/>
        <v>96</v>
      </c>
    </row>
    <row r="187" spans="1:58" x14ac:dyDescent="0.35">
      <c r="A187" s="423" t="s">
        <v>26</v>
      </c>
      <c r="B187" s="426">
        <v>252610130</v>
      </c>
      <c r="C187" s="333" t="s">
        <v>1211</v>
      </c>
      <c r="D187" s="38" t="s">
        <v>8</v>
      </c>
      <c r="E187" s="215">
        <v>19</v>
      </c>
      <c r="F187" s="350"/>
      <c r="G187" s="350"/>
      <c r="H187" s="350"/>
      <c r="I187" s="326">
        <f t="shared" si="252"/>
        <v>0</v>
      </c>
      <c r="J187" s="326">
        <f t="shared" si="253"/>
        <v>19</v>
      </c>
      <c r="K187" s="327">
        <f t="shared" si="254"/>
        <v>1</v>
      </c>
      <c r="L187" s="221">
        <v>14</v>
      </c>
      <c r="M187" s="222">
        <v>1</v>
      </c>
      <c r="N187" s="223"/>
      <c r="O187" s="222"/>
      <c r="P187" s="328">
        <f t="shared" si="255"/>
        <v>1</v>
      </c>
      <c r="Q187" s="328">
        <f t="shared" si="256"/>
        <v>13</v>
      </c>
      <c r="R187" s="329">
        <f t="shared" si="257"/>
        <v>0.9285714285714286</v>
      </c>
      <c r="S187" s="225">
        <v>12</v>
      </c>
      <c r="T187" s="226"/>
      <c r="U187" s="226">
        <v>1</v>
      </c>
      <c r="V187" s="226"/>
      <c r="W187" s="330">
        <f t="shared" si="258"/>
        <v>1</v>
      </c>
      <c r="X187" s="330">
        <f t="shared" si="259"/>
        <v>11</v>
      </c>
      <c r="Y187" s="331">
        <f t="shared" si="260"/>
        <v>0.91666666666666663</v>
      </c>
      <c r="Z187" s="228">
        <v>21</v>
      </c>
      <c r="AA187" s="255"/>
      <c r="AB187" s="255"/>
      <c r="AC187" s="255"/>
      <c r="AD187" s="280">
        <f t="shared" si="261"/>
        <v>0</v>
      </c>
      <c r="AE187" s="280">
        <f t="shared" si="262"/>
        <v>21</v>
      </c>
      <c r="AF187" s="281">
        <f t="shared" si="263"/>
        <v>1</v>
      </c>
      <c r="AG187" s="229">
        <v>18</v>
      </c>
      <c r="AH187" s="257"/>
      <c r="AI187" s="257"/>
      <c r="AJ187" s="257"/>
      <c r="AK187" s="305">
        <f t="shared" si="264"/>
        <v>0</v>
      </c>
      <c r="AL187" s="305">
        <f t="shared" si="265"/>
        <v>18</v>
      </c>
      <c r="AM187" s="306">
        <f t="shared" si="266"/>
        <v>1</v>
      </c>
      <c r="AN187" s="230">
        <v>14</v>
      </c>
      <c r="AO187" s="259"/>
      <c r="AP187" s="259"/>
      <c r="AQ187" s="259"/>
      <c r="AR187" s="307">
        <f t="shared" si="267"/>
        <v>0</v>
      </c>
      <c r="AS187" s="307">
        <f t="shared" si="268"/>
        <v>14</v>
      </c>
      <c r="AT187" s="308">
        <f t="shared" si="269"/>
        <v>1</v>
      </c>
      <c r="AU187" s="344">
        <f t="shared" si="270"/>
        <v>1</v>
      </c>
      <c r="AV187" s="344">
        <f t="shared" si="271"/>
        <v>1</v>
      </c>
      <c r="AW187" s="344">
        <f t="shared" si="272"/>
        <v>0</v>
      </c>
      <c r="AX187" s="290">
        <v>98</v>
      </c>
      <c r="AY187" s="344">
        <f t="shared" si="274"/>
        <v>96</v>
      </c>
      <c r="AZ187" s="424">
        <f t="shared" si="273"/>
        <v>0.97959183673469385</v>
      </c>
      <c r="BA187" s="358"/>
      <c r="BB187" s="385">
        <v>98</v>
      </c>
      <c r="BC187" s="379">
        <f t="shared" si="249"/>
        <v>0</v>
      </c>
      <c r="BD187" s="378">
        <f t="shared" si="250"/>
        <v>0</v>
      </c>
      <c r="BE187" s="381"/>
      <c r="BF187" s="378">
        <f t="shared" si="251"/>
        <v>98</v>
      </c>
    </row>
    <row r="188" spans="1:58" x14ac:dyDescent="0.35">
      <c r="A188" s="423" t="s">
        <v>27</v>
      </c>
      <c r="B188" s="426">
        <v>252610131</v>
      </c>
      <c r="C188" s="333" t="s">
        <v>1212</v>
      </c>
      <c r="D188" s="38" t="s">
        <v>6</v>
      </c>
      <c r="E188" s="215">
        <v>19</v>
      </c>
      <c r="F188" s="350"/>
      <c r="G188" s="350"/>
      <c r="H188" s="350"/>
      <c r="I188" s="326">
        <f t="shared" si="252"/>
        <v>0</v>
      </c>
      <c r="J188" s="326">
        <f t="shared" si="253"/>
        <v>19</v>
      </c>
      <c r="K188" s="327">
        <f t="shared" si="254"/>
        <v>1</v>
      </c>
      <c r="L188" s="221">
        <v>14</v>
      </c>
      <c r="M188" s="222">
        <v>1</v>
      </c>
      <c r="N188" s="222"/>
      <c r="O188" s="223"/>
      <c r="P188" s="328">
        <f t="shared" si="255"/>
        <v>1</v>
      </c>
      <c r="Q188" s="328">
        <f t="shared" si="256"/>
        <v>13</v>
      </c>
      <c r="R188" s="329">
        <f t="shared" si="257"/>
        <v>0.9285714285714286</v>
      </c>
      <c r="S188" s="225">
        <v>12</v>
      </c>
      <c r="T188" s="226"/>
      <c r="U188" s="226"/>
      <c r="V188" s="226"/>
      <c r="W188" s="330">
        <f t="shared" si="258"/>
        <v>0</v>
      </c>
      <c r="X188" s="330">
        <f t="shared" si="259"/>
        <v>12</v>
      </c>
      <c r="Y188" s="331">
        <f t="shared" si="260"/>
        <v>1</v>
      </c>
      <c r="Z188" s="228">
        <v>21</v>
      </c>
      <c r="AA188" s="255"/>
      <c r="AB188" s="255"/>
      <c r="AC188" s="255"/>
      <c r="AD188" s="280">
        <f t="shared" si="261"/>
        <v>0</v>
      </c>
      <c r="AE188" s="280">
        <f t="shared" si="262"/>
        <v>21</v>
      </c>
      <c r="AF188" s="281">
        <f t="shared" si="263"/>
        <v>1</v>
      </c>
      <c r="AG188" s="229">
        <v>18</v>
      </c>
      <c r="AH188" s="257"/>
      <c r="AI188" s="257"/>
      <c r="AJ188" s="257"/>
      <c r="AK188" s="305">
        <f t="shared" si="264"/>
        <v>0</v>
      </c>
      <c r="AL188" s="305">
        <f t="shared" si="265"/>
        <v>18</v>
      </c>
      <c r="AM188" s="306">
        <f t="shared" si="266"/>
        <v>1</v>
      </c>
      <c r="AN188" s="230">
        <v>14</v>
      </c>
      <c r="AO188" s="259"/>
      <c r="AP188" s="259"/>
      <c r="AQ188" s="259"/>
      <c r="AR188" s="307">
        <f t="shared" si="267"/>
        <v>0</v>
      </c>
      <c r="AS188" s="307">
        <f t="shared" si="268"/>
        <v>14</v>
      </c>
      <c r="AT188" s="308">
        <f t="shared" si="269"/>
        <v>1</v>
      </c>
      <c r="AU188" s="344">
        <f t="shared" si="270"/>
        <v>1</v>
      </c>
      <c r="AV188" s="344">
        <f t="shared" si="271"/>
        <v>0</v>
      </c>
      <c r="AW188" s="344">
        <f t="shared" si="272"/>
        <v>0</v>
      </c>
      <c r="AX188" s="290">
        <v>98</v>
      </c>
      <c r="AY188" s="344">
        <f t="shared" si="274"/>
        <v>97</v>
      </c>
      <c r="AZ188" s="424">
        <f t="shared" si="273"/>
        <v>0.98979591836734693</v>
      </c>
      <c r="BA188" s="358"/>
      <c r="BB188" s="385">
        <v>98</v>
      </c>
      <c r="BC188" s="379">
        <f t="shared" si="249"/>
        <v>0</v>
      </c>
      <c r="BD188" s="378">
        <f t="shared" si="250"/>
        <v>0</v>
      </c>
      <c r="BE188" s="381"/>
      <c r="BF188" s="378">
        <f t="shared" si="251"/>
        <v>98</v>
      </c>
    </row>
    <row r="189" spans="1:58" x14ac:dyDescent="0.35">
      <c r="A189" s="423" t="s">
        <v>28</v>
      </c>
      <c r="B189" s="426">
        <v>252610132</v>
      </c>
      <c r="C189" s="34" t="s">
        <v>1213</v>
      </c>
      <c r="D189" s="38" t="s">
        <v>6</v>
      </c>
      <c r="E189" s="215">
        <v>19</v>
      </c>
      <c r="F189" s="350">
        <v>1</v>
      </c>
      <c r="G189" s="350">
        <v>2</v>
      </c>
      <c r="H189" s="350"/>
      <c r="I189" s="326">
        <f t="shared" si="252"/>
        <v>3</v>
      </c>
      <c r="J189" s="326">
        <f t="shared" si="253"/>
        <v>16</v>
      </c>
      <c r="K189" s="327">
        <f t="shared" si="254"/>
        <v>0.84210526315789469</v>
      </c>
      <c r="L189" s="221">
        <v>14</v>
      </c>
      <c r="M189" s="222"/>
      <c r="N189" s="223">
        <v>1</v>
      </c>
      <c r="O189" s="223">
        <v>1</v>
      </c>
      <c r="P189" s="328">
        <f t="shared" si="255"/>
        <v>2</v>
      </c>
      <c r="Q189" s="328">
        <f t="shared" si="256"/>
        <v>12</v>
      </c>
      <c r="R189" s="329">
        <f t="shared" si="257"/>
        <v>0.8571428571428571</v>
      </c>
      <c r="S189" s="225">
        <v>12</v>
      </c>
      <c r="T189" s="226"/>
      <c r="U189" s="226"/>
      <c r="V189" s="226"/>
      <c r="W189" s="330">
        <f t="shared" si="258"/>
        <v>0</v>
      </c>
      <c r="X189" s="330">
        <f t="shared" si="259"/>
        <v>12</v>
      </c>
      <c r="Y189" s="331">
        <f t="shared" si="260"/>
        <v>1</v>
      </c>
      <c r="Z189" s="228">
        <v>21</v>
      </c>
      <c r="AA189" s="255"/>
      <c r="AB189" s="255"/>
      <c r="AC189" s="255"/>
      <c r="AD189" s="280">
        <f t="shared" si="261"/>
        <v>0</v>
      </c>
      <c r="AE189" s="280">
        <f t="shared" si="262"/>
        <v>21</v>
      </c>
      <c r="AF189" s="281">
        <f t="shared" si="263"/>
        <v>1</v>
      </c>
      <c r="AG189" s="229">
        <v>18</v>
      </c>
      <c r="AH189" s="257"/>
      <c r="AI189" s="257"/>
      <c r="AJ189" s="257"/>
      <c r="AK189" s="305">
        <f t="shared" si="264"/>
        <v>0</v>
      </c>
      <c r="AL189" s="305">
        <f t="shared" si="265"/>
        <v>18</v>
      </c>
      <c r="AM189" s="306">
        <f t="shared" si="266"/>
        <v>1</v>
      </c>
      <c r="AN189" s="230">
        <v>14</v>
      </c>
      <c r="AO189" s="259"/>
      <c r="AP189" s="259"/>
      <c r="AQ189" s="259"/>
      <c r="AR189" s="307">
        <f t="shared" si="267"/>
        <v>0</v>
      </c>
      <c r="AS189" s="307">
        <f t="shared" si="268"/>
        <v>14</v>
      </c>
      <c r="AT189" s="308">
        <f t="shared" si="269"/>
        <v>1</v>
      </c>
      <c r="AU189" s="344">
        <f t="shared" si="270"/>
        <v>1</v>
      </c>
      <c r="AV189" s="344">
        <f t="shared" si="271"/>
        <v>3</v>
      </c>
      <c r="AW189" s="344">
        <f t="shared" si="272"/>
        <v>1</v>
      </c>
      <c r="AX189" s="290">
        <v>98</v>
      </c>
      <c r="AY189" s="344">
        <f t="shared" si="274"/>
        <v>93</v>
      </c>
      <c r="AZ189" s="424">
        <f t="shared" si="273"/>
        <v>0.94897959183673475</v>
      </c>
      <c r="BA189" s="358">
        <v>1</v>
      </c>
      <c r="BB189" s="385">
        <v>94</v>
      </c>
      <c r="BC189" s="379">
        <f t="shared" si="249"/>
        <v>2</v>
      </c>
      <c r="BD189" s="378">
        <f t="shared" si="250"/>
        <v>2</v>
      </c>
      <c r="BE189" s="381"/>
      <c r="BF189" s="378">
        <f t="shared" si="251"/>
        <v>90</v>
      </c>
    </row>
    <row r="190" spans="1:58" x14ac:dyDescent="0.35">
      <c r="A190" s="423" t="s">
        <v>29</v>
      </c>
      <c r="B190" s="426">
        <v>252610133</v>
      </c>
      <c r="C190" s="359" t="s">
        <v>1214</v>
      </c>
      <c r="D190" s="194" t="s">
        <v>6</v>
      </c>
      <c r="E190" s="215">
        <v>19</v>
      </c>
      <c r="F190" s="350"/>
      <c r="G190" s="350">
        <v>2</v>
      </c>
      <c r="H190" s="350">
        <v>2</v>
      </c>
      <c r="I190" s="326">
        <f t="shared" si="252"/>
        <v>4</v>
      </c>
      <c r="J190" s="326">
        <f t="shared" si="253"/>
        <v>15</v>
      </c>
      <c r="K190" s="327">
        <f t="shared" si="254"/>
        <v>0.78947368421052633</v>
      </c>
      <c r="L190" s="221">
        <v>14</v>
      </c>
      <c r="M190" s="222">
        <v>2</v>
      </c>
      <c r="N190" s="223">
        <v>2</v>
      </c>
      <c r="O190" s="223"/>
      <c r="P190" s="328">
        <f t="shared" si="255"/>
        <v>4</v>
      </c>
      <c r="Q190" s="328">
        <f t="shared" si="256"/>
        <v>10</v>
      </c>
      <c r="R190" s="329">
        <f t="shared" si="257"/>
        <v>0.7142857142857143</v>
      </c>
      <c r="S190" s="225">
        <v>12</v>
      </c>
      <c r="T190" s="226"/>
      <c r="U190" s="226"/>
      <c r="V190" s="226">
        <v>1</v>
      </c>
      <c r="W190" s="330">
        <f t="shared" si="258"/>
        <v>1</v>
      </c>
      <c r="X190" s="330">
        <f t="shared" si="259"/>
        <v>11</v>
      </c>
      <c r="Y190" s="331">
        <f t="shared" si="260"/>
        <v>0.91666666666666663</v>
      </c>
      <c r="Z190" s="228">
        <v>21</v>
      </c>
      <c r="AA190" s="255"/>
      <c r="AB190" s="255"/>
      <c r="AC190" s="255"/>
      <c r="AD190" s="280">
        <f t="shared" si="261"/>
        <v>0</v>
      </c>
      <c r="AE190" s="280">
        <f t="shared" si="262"/>
        <v>21</v>
      </c>
      <c r="AF190" s="281">
        <f t="shared" si="263"/>
        <v>1</v>
      </c>
      <c r="AG190" s="229">
        <v>18</v>
      </c>
      <c r="AH190" s="257"/>
      <c r="AI190" s="257"/>
      <c r="AJ190" s="257"/>
      <c r="AK190" s="305">
        <f t="shared" si="264"/>
        <v>0</v>
      </c>
      <c r="AL190" s="305">
        <f t="shared" si="265"/>
        <v>18</v>
      </c>
      <c r="AM190" s="306">
        <f t="shared" si="266"/>
        <v>1</v>
      </c>
      <c r="AN190" s="230">
        <v>14</v>
      </c>
      <c r="AO190" s="259"/>
      <c r="AP190" s="259"/>
      <c r="AQ190" s="259"/>
      <c r="AR190" s="307">
        <f t="shared" si="267"/>
        <v>0</v>
      </c>
      <c r="AS190" s="307">
        <f t="shared" si="268"/>
        <v>14</v>
      </c>
      <c r="AT190" s="308">
        <f t="shared" si="269"/>
        <v>1</v>
      </c>
      <c r="AU190" s="344">
        <f t="shared" si="270"/>
        <v>2</v>
      </c>
      <c r="AV190" s="344">
        <f t="shared" si="271"/>
        <v>4</v>
      </c>
      <c r="AW190" s="344">
        <f t="shared" si="272"/>
        <v>3</v>
      </c>
      <c r="AX190" s="290">
        <v>98</v>
      </c>
      <c r="AY190" s="344">
        <f t="shared" si="274"/>
        <v>89</v>
      </c>
      <c r="AZ190" s="424">
        <f t="shared" si="273"/>
        <v>0.90816326530612246</v>
      </c>
      <c r="BA190" s="358"/>
      <c r="BB190" s="385">
        <v>90</v>
      </c>
      <c r="BC190" s="379">
        <f t="shared" si="249"/>
        <v>0</v>
      </c>
      <c r="BD190" s="378">
        <f t="shared" si="250"/>
        <v>6</v>
      </c>
      <c r="BE190" s="381"/>
      <c r="BF190" s="378">
        <f t="shared" si="251"/>
        <v>84</v>
      </c>
    </row>
    <row r="191" spans="1:58" x14ac:dyDescent="0.35">
      <c r="A191" s="423" t="s">
        <v>30</v>
      </c>
      <c r="B191" s="426">
        <v>252610134</v>
      </c>
      <c r="C191" s="359" t="s">
        <v>1215</v>
      </c>
      <c r="D191" s="194" t="s">
        <v>6</v>
      </c>
      <c r="E191" s="215">
        <v>19</v>
      </c>
      <c r="F191" s="350">
        <v>1</v>
      </c>
      <c r="G191" s="350">
        <v>1</v>
      </c>
      <c r="H191" s="352"/>
      <c r="I191" s="326">
        <f t="shared" si="252"/>
        <v>2</v>
      </c>
      <c r="J191" s="326">
        <f t="shared" si="253"/>
        <v>17</v>
      </c>
      <c r="K191" s="327">
        <f t="shared" si="254"/>
        <v>0.89473684210526316</v>
      </c>
      <c r="L191" s="221">
        <v>14</v>
      </c>
      <c r="M191" s="222">
        <v>2</v>
      </c>
      <c r="N191" s="223"/>
      <c r="O191" s="223"/>
      <c r="P191" s="328">
        <f t="shared" si="255"/>
        <v>2</v>
      </c>
      <c r="Q191" s="328">
        <f t="shared" si="256"/>
        <v>12</v>
      </c>
      <c r="R191" s="329">
        <f t="shared" si="257"/>
        <v>0.8571428571428571</v>
      </c>
      <c r="S191" s="225">
        <v>12</v>
      </c>
      <c r="T191" s="226"/>
      <c r="U191" s="226"/>
      <c r="V191" s="226"/>
      <c r="W191" s="330">
        <f t="shared" si="258"/>
        <v>0</v>
      </c>
      <c r="X191" s="330">
        <f t="shared" si="259"/>
        <v>12</v>
      </c>
      <c r="Y191" s="331">
        <f t="shared" si="260"/>
        <v>1</v>
      </c>
      <c r="Z191" s="228">
        <v>21</v>
      </c>
      <c r="AA191" s="255"/>
      <c r="AB191" s="255"/>
      <c r="AC191" s="255"/>
      <c r="AD191" s="280">
        <f t="shared" si="261"/>
        <v>0</v>
      </c>
      <c r="AE191" s="280">
        <f t="shared" si="262"/>
        <v>21</v>
      </c>
      <c r="AF191" s="281">
        <f t="shared" si="263"/>
        <v>1</v>
      </c>
      <c r="AG191" s="229">
        <v>18</v>
      </c>
      <c r="AH191" s="257"/>
      <c r="AI191" s="257"/>
      <c r="AJ191" s="257"/>
      <c r="AK191" s="305">
        <f t="shared" si="264"/>
        <v>0</v>
      </c>
      <c r="AL191" s="305">
        <f t="shared" si="265"/>
        <v>18</v>
      </c>
      <c r="AM191" s="306">
        <f t="shared" si="266"/>
        <v>1</v>
      </c>
      <c r="AN191" s="230">
        <v>14</v>
      </c>
      <c r="AO191" s="259"/>
      <c r="AP191" s="259"/>
      <c r="AQ191" s="259"/>
      <c r="AR191" s="307">
        <f t="shared" si="267"/>
        <v>0</v>
      </c>
      <c r="AS191" s="307">
        <f t="shared" si="268"/>
        <v>14</v>
      </c>
      <c r="AT191" s="308">
        <f t="shared" si="269"/>
        <v>1</v>
      </c>
      <c r="AU191" s="344">
        <f t="shared" si="270"/>
        <v>3</v>
      </c>
      <c r="AV191" s="344">
        <f t="shared" si="271"/>
        <v>1</v>
      </c>
      <c r="AW191" s="344">
        <f t="shared" si="272"/>
        <v>0</v>
      </c>
      <c r="AX191" s="290">
        <v>98</v>
      </c>
      <c r="AY191" s="344">
        <f t="shared" si="274"/>
        <v>94</v>
      </c>
      <c r="AZ191" s="424">
        <f t="shared" si="273"/>
        <v>0.95918367346938771</v>
      </c>
      <c r="BA191" s="358"/>
      <c r="BB191" s="385">
        <v>96</v>
      </c>
      <c r="BC191" s="379">
        <f t="shared" si="249"/>
        <v>0</v>
      </c>
      <c r="BD191" s="378">
        <f t="shared" si="250"/>
        <v>0</v>
      </c>
      <c r="BE191" s="381"/>
      <c r="BF191" s="378">
        <f t="shared" si="251"/>
        <v>96</v>
      </c>
    </row>
    <row r="192" spans="1:58" x14ac:dyDescent="0.35">
      <c r="A192" s="423" t="s">
        <v>31</v>
      </c>
      <c r="B192" s="426">
        <v>252610135</v>
      </c>
      <c r="C192" s="83" t="s">
        <v>1216</v>
      </c>
      <c r="D192" s="194" t="s">
        <v>6</v>
      </c>
      <c r="E192" s="215">
        <v>19</v>
      </c>
      <c r="F192" s="350">
        <v>1</v>
      </c>
      <c r="G192" s="350"/>
      <c r="H192" s="350"/>
      <c r="I192" s="326">
        <f t="shared" si="252"/>
        <v>1</v>
      </c>
      <c r="J192" s="326">
        <f t="shared" si="253"/>
        <v>18</v>
      </c>
      <c r="K192" s="327">
        <f t="shared" si="254"/>
        <v>0.94736842105263153</v>
      </c>
      <c r="L192" s="221">
        <v>14</v>
      </c>
      <c r="M192" s="222">
        <v>1</v>
      </c>
      <c r="N192" s="223"/>
      <c r="O192" s="222"/>
      <c r="P192" s="328">
        <f t="shared" si="255"/>
        <v>1</v>
      </c>
      <c r="Q192" s="328">
        <f t="shared" si="256"/>
        <v>13</v>
      </c>
      <c r="R192" s="329">
        <f t="shared" si="257"/>
        <v>0.9285714285714286</v>
      </c>
      <c r="S192" s="225">
        <v>12</v>
      </c>
      <c r="T192" s="226"/>
      <c r="U192" s="226">
        <v>1</v>
      </c>
      <c r="V192" s="226"/>
      <c r="W192" s="330">
        <f t="shared" si="258"/>
        <v>1</v>
      </c>
      <c r="X192" s="330">
        <f t="shared" si="259"/>
        <v>11</v>
      </c>
      <c r="Y192" s="331">
        <f t="shared" si="260"/>
        <v>0.91666666666666663</v>
      </c>
      <c r="Z192" s="228">
        <v>21</v>
      </c>
      <c r="AA192" s="255"/>
      <c r="AB192" s="255"/>
      <c r="AC192" s="255"/>
      <c r="AD192" s="280">
        <f t="shared" si="261"/>
        <v>0</v>
      </c>
      <c r="AE192" s="280">
        <f t="shared" si="262"/>
        <v>21</v>
      </c>
      <c r="AF192" s="281">
        <f t="shared" si="263"/>
        <v>1</v>
      </c>
      <c r="AG192" s="229">
        <v>18</v>
      </c>
      <c r="AH192" s="257"/>
      <c r="AI192" s="257"/>
      <c r="AJ192" s="257"/>
      <c r="AK192" s="305">
        <f t="shared" si="264"/>
        <v>0</v>
      </c>
      <c r="AL192" s="305">
        <f t="shared" si="265"/>
        <v>18</v>
      </c>
      <c r="AM192" s="306">
        <f t="shared" si="266"/>
        <v>1</v>
      </c>
      <c r="AN192" s="230">
        <v>14</v>
      </c>
      <c r="AO192" s="259"/>
      <c r="AP192" s="259"/>
      <c r="AQ192" s="259"/>
      <c r="AR192" s="307">
        <f t="shared" si="267"/>
        <v>0</v>
      </c>
      <c r="AS192" s="307">
        <f t="shared" si="268"/>
        <v>14</v>
      </c>
      <c r="AT192" s="308">
        <f t="shared" si="269"/>
        <v>1</v>
      </c>
      <c r="AU192" s="344">
        <f t="shared" si="270"/>
        <v>2</v>
      </c>
      <c r="AV192" s="344">
        <f t="shared" si="271"/>
        <v>1</v>
      </c>
      <c r="AW192" s="344">
        <f t="shared" si="272"/>
        <v>0</v>
      </c>
      <c r="AX192" s="290">
        <v>98</v>
      </c>
      <c r="AY192" s="344">
        <f t="shared" si="274"/>
        <v>95</v>
      </c>
      <c r="AZ192" s="424">
        <f t="shared" si="273"/>
        <v>0.96938775510204078</v>
      </c>
      <c r="BA192" s="358"/>
      <c r="BB192" s="385">
        <v>98</v>
      </c>
      <c r="BC192" s="379">
        <f t="shared" si="249"/>
        <v>0</v>
      </c>
      <c r="BD192" s="378">
        <f t="shared" si="250"/>
        <v>0</v>
      </c>
      <c r="BE192" s="381"/>
      <c r="BF192" s="378">
        <f t="shared" si="251"/>
        <v>98</v>
      </c>
    </row>
    <row r="193" spans="1:58" x14ac:dyDescent="0.35">
      <c r="A193" s="423" t="s">
        <v>32</v>
      </c>
      <c r="B193" s="426">
        <v>252610136</v>
      </c>
      <c r="C193" s="359" t="s">
        <v>1217</v>
      </c>
      <c r="D193" s="194" t="s">
        <v>6</v>
      </c>
      <c r="E193" s="215">
        <v>19</v>
      </c>
      <c r="F193" s="350"/>
      <c r="G193" s="350"/>
      <c r="H193" s="350"/>
      <c r="I193" s="326">
        <f t="shared" si="252"/>
        <v>0</v>
      </c>
      <c r="J193" s="326">
        <f t="shared" si="253"/>
        <v>19</v>
      </c>
      <c r="K193" s="327">
        <f t="shared" si="254"/>
        <v>1</v>
      </c>
      <c r="L193" s="221">
        <v>14</v>
      </c>
      <c r="M193" s="222"/>
      <c r="N193" s="222"/>
      <c r="O193" s="223">
        <v>2</v>
      </c>
      <c r="P193" s="328">
        <f t="shared" si="255"/>
        <v>2</v>
      </c>
      <c r="Q193" s="328">
        <f t="shared" si="256"/>
        <v>12</v>
      </c>
      <c r="R193" s="329">
        <f t="shared" si="257"/>
        <v>0.8571428571428571</v>
      </c>
      <c r="S193" s="225">
        <v>12</v>
      </c>
      <c r="T193" s="226">
        <v>1</v>
      </c>
      <c r="U193" s="226"/>
      <c r="V193" s="226">
        <v>1</v>
      </c>
      <c r="W193" s="330">
        <f t="shared" si="258"/>
        <v>2</v>
      </c>
      <c r="X193" s="330">
        <f t="shared" si="259"/>
        <v>10</v>
      </c>
      <c r="Y193" s="331">
        <f t="shared" si="260"/>
        <v>0.83333333333333337</v>
      </c>
      <c r="Z193" s="228">
        <v>21</v>
      </c>
      <c r="AA193" s="255"/>
      <c r="AB193" s="255"/>
      <c r="AC193" s="255"/>
      <c r="AD193" s="280">
        <f t="shared" si="261"/>
        <v>0</v>
      </c>
      <c r="AE193" s="280">
        <f t="shared" si="262"/>
        <v>21</v>
      </c>
      <c r="AF193" s="281">
        <f t="shared" si="263"/>
        <v>1</v>
      </c>
      <c r="AG193" s="229">
        <v>18</v>
      </c>
      <c r="AH193" s="257"/>
      <c r="AI193" s="257"/>
      <c r="AJ193" s="257"/>
      <c r="AK193" s="305">
        <f t="shared" si="264"/>
        <v>0</v>
      </c>
      <c r="AL193" s="305">
        <f t="shared" si="265"/>
        <v>18</v>
      </c>
      <c r="AM193" s="306">
        <f t="shared" si="266"/>
        <v>1</v>
      </c>
      <c r="AN193" s="230">
        <v>14</v>
      </c>
      <c r="AO193" s="259"/>
      <c r="AP193" s="259"/>
      <c r="AQ193" s="259"/>
      <c r="AR193" s="307">
        <f t="shared" si="267"/>
        <v>0</v>
      </c>
      <c r="AS193" s="307">
        <f t="shared" si="268"/>
        <v>14</v>
      </c>
      <c r="AT193" s="308">
        <f t="shared" si="269"/>
        <v>1</v>
      </c>
      <c r="AU193" s="344">
        <f t="shared" si="270"/>
        <v>1</v>
      </c>
      <c r="AV193" s="344">
        <f t="shared" si="271"/>
        <v>0</v>
      </c>
      <c r="AW193" s="344">
        <f t="shared" si="272"/>
        <v>3</v>
      </c>
      <c r="AX193" s="290">
        <v>98</v>
      </c>
      <c r="AY193" s="344">
        <f t="shared" si="274"/>
        <v>94</v>
      </c>
      <c r="AZ193" s="424">
        <f t="shared" si="273"/>
        <v>0.95918367346938771</v>
      </c>
      <c r="BA193" s="358">
        <v>1</v>
      </c>
      <c r="BB193" s="385">
        <v>96</v>
      </c>
      <c r="BC193" s="379">
        <f t="shared" si="249"/>
        <v>2</v>
      </c>
      <c r="BD193" s="378">
        <f t="shared" si="250"/>
        <v>6</v>
      </c>
      <c r="BE193" s="381"/>
      <c r="BF193" s="378">
        <f t="shared" si="251"/>
        <v>88</v>
      </c>
    </row>
    <row r="194" spans="1:58" x14ac:dyDescent="0.35">
      <c r="A194" s="423" t="s">
        <v>33</v>
      </c>
      <c r="B194" s="426">
        <v>252610137</v>
      </c>
      <c r="C194" s="359" t="s">
        <v>1218</v>
      </c>
      <c r="D194" s="194" t="s">
        <v>8</v>
      </c>
      <c r="E194" s="215">
        <v>19</v>
      </c>
      <c r="F194" s="350"/>
      <c r="G194" s="350">
        <v>1</v>
      </c>
      <c r="H194" s="350"/>
      <c r="I194" s="326">
        <f t="shared" si="252"/>
        <v>1</v>
      </c>
      <c r="J194" s="326">
        <f t="shared" si="253"/>
        <v>18</v>
      </c>
      <c r="K194" s="327">
        <f t="shared" si="254"/>
        <v>0.94736842105263153</v>
      </c>
      <c r="L194" s="221">
        <v>14</v>
      </c>
      <c r="M194" s="222">
        <v>1</v>
      </c>
      <c r="N194" s="222"/>
      <c r="O194" s="222"/>
      <c r="P194" s="328">
        <f t="shared" si="255"/>
        <v>1</v>
      </c>
      <c r="Q194" s="328">
        <f t="shared" si="256"/>
        <v>13</v>
      </c>
      <c r="R194" s="329">
        <f t="shared" si="257"/>
        <v>0.9285714285714286</v>
      </c>
      <c r="S194" s="225">
        <v>12</v>
      </c>
      <c r="T194" s="226"/>
      <c r="U194" s="226"/>
      <c r="V194" s="226"/>
      <c r="W194" s="330">
        <f t="shared" si="258"/>
        <v>0</v>
      </c>
      <c r="X194" s="330">
        <f t="shared" si="259"/>
        <v>12</v>
      </c>
      <c r="Y194" s="331">
        <f t="shared" si="260"/>
        <v>1</v>
      </c>
      <c r="Z194" s="228">
        <v>21</v>
      </c>
      <c r="AA194" s="255"/>
      <c r="AB194" s="255"/>
      <c r="AC194" s="255"/>
      <c r="AD194" s="280">
        <f t="shared" si="261"/>
        <v>0</v>
      </c>
      <c r="AE194" s="280">
        <f t="shared" si="262"/>
        <v>21</v>
      </c>
      <c r="AF194" s="281">
        <f t="shared" si="263"/>
        <v>1</v>
      </c>
      <c r="AG194" s="229">
        <v>18</v>
      </c>
      <c r="AH194" s="257"/>
      <c r="AI194" s="257"/>
      <c r="AJ194" s="257"/>
      <c r="AK194" s="305">
        <f t="shared" si="264"/>
        <v>0</v>
      </c>
      <c r="AL194" s="305">
        <f t="shared" si="265"/>
        <v>18</v>
      </c>
      <c r="AM194" s="306">
        <f t="shared" si="266"/>
        <v>1</v>
      </c>
      <c r="AN194" s="230">
        <v>14</v>
      </c>
      <c r="AO194" s="259"/>
      <c r="AP194" s="259"/>
      <c r="AQ194" s="259"/>
      <c r="AR194" s="307">
        <f t="shared" si="267"/>
        <v>0</v>
      </c>
      <c r="AS194" s="307">
        <f t="shared" si="268"/>
        <v>14</v>
      </c>
      <c r="AT194" s="308">
        <f t="shared" si="269"/>
        <v>1</v>
      </c>
      <c r="AU194" s="344">
        <f t="shared" si="270"/>
        <v>1</v>
      </c>
      <c r="AV194" s="344">
        <f t="shared" si="271"/>
        <v>1</v>
      </c>
      <c r="AW194" s="344">
        <f t="shared" si="272"/>
        <v>0</v>
      </c>
      <c r="AX194" s="290">
        <v>98</v>
      </c>
      <c r="AY194" s="344">
        <f t="shared" si="274"/>
        <v>96</v>
      </c>
      <c r="AZ194" s="424">
        <f t="shared" si="273"/>
        <v>0.97959183673469385</v>
      </c>
      <c r="BA194" s="358"/>
      <c r="BB194" s="385">
        <v>96</v>
      </c>
      <c r="BC194" s="379">
        <f t="shared" si="249"/>
        <v>0</v>
      </c>
      <c r="BD194" s="378">
        <f t="shared" si="250"/>
        <v>0</v>
      </c>
      <c r="BE194" s="381"/>
      <c r="BF194" s="378">
        <f t="shared" si="251"/>
        <v>96</v>
      </c>
    </row>
    <row r="195" spans="1:58" x14ac:dyDescent="0.35">
      <c r="A195" s="423" t="s">
        <v>34</v>
      </c>
      <c r="B195" s="426">
        <v>252610138</v>
      </c>
      <c r="C195" s="359" t="s">
        <v>1219</v>
      </c>
      <c r="D195" s="194" t="s">
        <v>8</v>
      </c>
      <c r="E195" s="215">
        <v>19</v>
      </c>
      <c r="F195" s="350">
        <v>1</v>
      </c>
      <c r="G195" s="350">
        <v>1</v>
      </c>
      <c r="H195" s="350"/>
      <c r="I195" s="326">
        <f t="shared" si="252"/>
        <v>2</v>
      </c>
      <c r="J195" s="326">
        <f t="shared" si="253"/>
        <v>17</v>
      </c>
      <c r="K195" s="327">
        <f t="shared" si="254"/>
        <v>0.89473684210526316</v>
      </c>
      <c r="L195" s="221">
        <v>14</v>
      </c>
      <c r="M195" s="222">
        <v>3</v>
      </c>
      <c r="N195" s="223"/>
      <c r="O195" s="222"/>
      <c r="P195" s="328">
        <f t="shared" si="255"/>
        <v>3</v>
      </c>
      <c r="Q195" s="328">
        <f t="shared" si="256"/>
        <v>11</v>
      </c>
      <c r="R195" s="329">
        <f t="shared" si="257"/>
        <v>0.7857142857142857</v>
      </c>
      <c r="S195" s="225">
        <v>12</v>
      </c>
      <c r="T195" s="226"/>
      <c r="U195" s="226"/>
      <c r="V195" s="226"/>
      <c r="W195" s="330">
        <f t="shared" si="258"/>
        <v>0</v>
      </c>
      <c r="X195" s="330">
        <f t="shared" si="259"/>
        <v>12</v>
      </c>
      <c r="Y195" s="331">
        <f t="shared" si="260"/>
        <v>1</v>
      </c>
      <c r="Z195" s="228">
        <v>21</v>
      </c>
      <c r="AA195" s="255"/>
      <c r="AB195" s="255"/>
      <c r="AC195" s="255"/>
      <c r="AD195" s="280">
        <f t="shared" si="261"/>
        <v>0</v>
      </c>
      <c r="AE195" s="280">
        <f t="shared" si="262"/>
        <v>21</v>
      </c>
      <c r="AF195" s="281">
        <f t="shared" si="263"/>
        <v>1</v>
      </c>
      <c r="AG195" s="229">
        <v>18</v>
      </c>
      <c r="AH195" s="257"/>
      <c r="AI195" s="257"/>
      <c r="AJ195" s="257"/>
      <c r="AK195" s="305">
        <f t="shared" si="264"/>
        <v>0</v>
      </c>
      <c r="AL195" s="305">
        <f t="shared" si="265"/>
        <v>18</v>
      </c>
      <c r="AM195" s="306">
        <f t="shared" si="266"/>
        <v>1</v>
      </c>
      <c r="AN195" s="230">
        <v>14</v>
      </c>
      <c r="AO195" s="259"/>
      <c r="AP195" s="259"/>
      <c r="AQ195" s="259"/>
      <c r="AR195" s="307">
        <f t="shared" si="267"/>
        <v>0</v>
      </c>
      <c r="AS195" s="307">
        <f t="shared" si="268"/>
        <v>14</v>
      </c>
      <c r="AT195" s="308">
        <f t="shared" si="269"/>
        <v>1</v>
      </c>
      <c r="AU195" s="344">
        <f t="shared" si="270"/>
        <v>4</v>
      </c>
      <c r="AV195" s="344">
        <f t="shared" si="271"/>
        <v>1</v>
      </c>
      <c r="AW195" s="344">
        <f t="shared" si="272"/>
        <v>0</v>
      </c>
      <c r="AX195" s="290">
        <v>98</v>
      </c>
      <c r="AY195" s="344">
        <f t="shared" si="274"/>
        <v>93</v>
      </c>
      <c r="AZ195" s="424">
        <f t="shared" si="273"/>
        <v>0.94897959183673475</v>
      </c>
      <c r="BA195" s="358"/>
      <c r="BB195" s="385">
        <v>98</v>
      </c>
      <c r="BC195" s="379">
        <f t="shared" si="249"/>
        <v>0</v>
      </c>
      <c r="BD195" s="378">
        <f t="shared" si="250"/>
        <v>0</v>
      </c>
      <c r="BE195" s="381"/>
      <c r="BF195" s="378">
        <f t="shared" si="251"/>
        <v>98</v>
      </c>
    </row>
    <row r="196" spans="1:58" x14ac:dyDescent="0.35">
      <c r="A196" s="423" t="s">
        <v>35</v>
      </c>
      <c r="B196" s="426">
        <v>252610139</v>
      </c>
      <c r="C196" s="359" t="s">
        <v>1220</v>
      </c>
      <c r="D196" s="194" t="s">
        <v>8</v>
      </c>
      <c r="E196" s="215">
        <v>19</v>
      </c>
      <c r="F196" s="350">
        <v>1</v>
      </c>
      <c r="G196" s="350">
        <v>2</v>
      </c>
      <c r="H196" s="350"/>
      <c r="I196" s="326">
        <f t="shared" si="252"/>
        <v>3</v>
      </c>
      <c r="J196" s="326">
        <f t="shared" si="253"/>
        <v>16</v>
      </c>
      <c r="K196" s="327">
        <f t="shared" si="254"/>
        <v>0.84210526315789469</v>
      </c>
      <c r="L196" s="221">
        <v>14</v>
      </c>
      <c r="M196" s="222"/>
      <c r="N196" s="222">
        <v>5</v>
      </c>
      <c r="O196" s="222">
        <v>1</v>
      </c>
      <c r="P196" s="328">
        <f t="shared" si="255"/>
        <v>6</v>
      </c>
      <c r="Q196" s="328">
        <f t="shared" si="256"/>
        <v>8</v>
      </c>
      <c r="R196" s="329">
        <f t="shared" si="257"/>
        <v>0.5714285714285714</v>
      </c>
      <c r="S196" s="225">
        <v>12</v>
      </c>
      <c r="T196" s="226"/>
      <c r="U196" s="226"/>
      <c r="V196" s="226"/>
      <c r="W196" s="330">
        <f t="shared" si="258"/>
        <v>0</v>
      </c>
      <c r="X196" s="330">
        <f t="shared" si="259"/>
        <v>12</v>
      </c>
      <c r="Y196" s="331">
        <f t="shared" si="260"/>
        <v>1</v>
      </c>
      <c r="Z196" s="228">
        <v>21</v>
      </c>
      <c r="AA196" s="255"/>
      <c r="AB196" s="255"/>
      <c r="AC196" s="255"/>
      <c r="AD196" s="280">
        <f t="shared" si="261"/>
        <v>0</v>
      </c>
      <c r="AE196" s="280">
        <f t="shared" si="262"/>
        <v>21</v>
      </c>
      <c r="AF196" s="281">
        <f t="shared" si="263"/>
        <v>1</v>
      </c>
      <c r="AG196" s="229">
        <v>18</v>
      </c>
      <c r="AH196" s="257"/>
      <c r="AI196" s="257"/>
      <c r="AJ196" s="257"/>
      <c r="AK196" s="305">
        <f t="shared" si="264"/>
        <v>0</v>
      </c>
      <c r="AL196" s="305">
        <f t="shared" si="265"/>
        <v>18</v>
      </c>
      <c r="AM196" s="306">
        <f t="shared" si="266"/>
        <v>1</v>
      </c>
      <c r="AN196" s="230">
        <v>14</v>
      </c>
      <c r="AO196" s="259"/>
      <c r="AP196" s="259"/>
      <c r="AQ196" s="259"/>
      <c r="AR196" s="307">
        <f t="shared" si="267"/>
        <v>0</v>
      </c>
      <c r="AS196" s="307">
        <f t="shared" si="268"/>
        <v>14</v>
      </c>
      <c r="AT196" s="308">
        <f t="shared" si="269"/>
        <v>1</v>
      </c>
      <c r="AU196" s="344">
        <f t="shared" si="270"/>
        <v>1</v>
      </c>
      <c r="AV196" s="344">
        <f t="shared" si="271"/>
        <v>7</v>
      </c>
      <c r="AW196" s="344">
        <f t="shared" si="272"/>
        <v>1</v>
      </c>
      <c r="AX196" s="290">
        <v>98</v>
      </c>
      <c r="AY196" s="344">
        <f t="shared" si="274"/>
        <v>89</v>
      </c>
      <c r="AZ196" s="424">
        <f t="shared" si="273"/>
        <v>0.90816326530612246</v>
      </c>
      <c r="BA196" s="358"/>
      <c r="BB196" s="385">
        <v>92</v>
      </c>
      <c r="BC196" s="379">
        <f t="shared" si="249"/>
        <v>0</v>
      </c>
      <c r="BD196" s="378">
        <f t="shared" si="250"/>
        <v>2</v>
      </c>
      <c r="BE196" s="381"/>
      <c r="BF196" s="378">
        <f t="shared" si="251"/>
        <v>90</v>
      </c>
    </row>
    <row r="197" spans="1:58" x14ac:dyDescent="0.35">
      <c r="A197" s="423" t="s">
        <v>36</v>
      </c>
      <c r="B197" s="426">
        <v>252610140</v>
      </c>
      <c r="C197" s="359" t="s">
        <v>1221</v>
      </c>
      <c r="D197" s="194" t="s">
        <v>8</v>
      </c>
      <c r="E197" s="215">
        <v>19</v>
      </c>
      <c r="F197" s="350">
        <v>1</v>
      </c>
      <c r="G197" s="350">
        <v>1</v>
      </c>
      <c r="H197" s="350"/>
      <c r="I197" s="326">
        <f t="shared" si="252"/>
        <v>2</v>
      </c>
      <c r="J197" s="326">
        <f t="shared" si="253"/>
        <v>17</v>
      </c>
      <c r="K197" s="327">
        <f t="shared" si="254"/>
        <v>0.89473684210526316</v>
      </c>
      <c r="L197" s="221">
        <v>14</v>
      </c>
      <c r="M197" s="222">
        <v>2</v>
      </c>
      <c r="N197" s="223"/>
      <c r="O197" s="222"/>
      <c r="P197" s="328">
        <f t="shared" si="255"/>
        <v>2</v>
      </c>
      <c r="Q197" s="328">
        <f t="shared" si="256"/>
        <v>12</v>
      </c>
      <c r="R197" s="329">
        <f t="shared" si="257"/>
        <v>0.8571428571428571</v>
      </c>
      <c r="S197" s="225">
        <v>12</v>
      </c>
      <c r="T197" s="226"/>
      <c r="U197" s="226"/>
      <c r="V197" s="226"/>
      <c r="W197" s="330">
        <f t="shared" si="258"/>
        <v>0</v>
      </c>
      <c r="X197" s="330">
        <f t="shared" si="259"/>
        <v>12</v>
      </c>
      <c r="Y197" s="331">
        <f t="shared" si="260"/>
        <v>1</v>
      </c>
      <c r="Z197" s="228">
        <v>21</v>
      </c>
      <c r="AA197" s="255"/>
      <c r="AB197" s="255"/>
      <c r="AC197" s="255"/>
      <c r="AD197" s="280">
        <f t="shared" si="261"/>
        <v>0</v>
      </c>
      <c r="AE197" s="280">
        <f t="shared" si="262"/>
        <v>21</v>
      </c>
      <c r="AF197" s="281">
        <f t="shared" si="263"/>
        <v>1</v>
      </c>
      <c r="AG197" s="229">
        <v>18</v>
      </c>
      <c r="AH197" s="257"/>
      <c r="AI197" s="257"/>
      <c r="AJ197" s="257"/>
      <c r="AK197" s="305">
        <f t="shared" si="264"/>
        <v>0</v>
      </c>
      <c r="AL197" s="305">
        <f t="shared" si="265"/>
        <v>18</v>
      </c>
      <c r="AM197" s="306">
        <f t="shared" si="266"/>
        <v>1</v>
      </c>
      <c r="AN197" s="230">
        <v>14</v>
      </c>
      <c r="AO197" s="259"/>
      <c r="AP197" s="259"/>
      <c r="AQ197" s="259"/>
      <c r="AR197" s="307">
        <f t="shared" si="267"/>
        <v>0</v>
      </c>
      <c r="AS197" s="307">
        <f t="shared" si="268"/>
        <v>14</v>
      </c>
      <c r="AT197" s="308">
        <f t="shared" si="269"/>
        <v>1</v>
      </c>
      <c r="AU197" s="344">
        <f t="shared" si="270"/>
        <v>3</v>
      </c>
      <c r="AV197" s="344">
        <f t="shared" si="271"/>
        <v>1</v>
      </c>
      <c r="AW197" s="344">
        <f t="shared" si="272"/>
        <v>0</v>
      </c>
      <c r="AX197" s="290">
        <v>98</v>
      </c>
      <c r="AY197" s="344">
        <f t="shared" si="274"/>
        <v>94</v>
      </c>
      <c r="AZ197" s="424">
        <f t="shared" si="273"/>
        <v>0.95918367346938771</v>
      </c>
      <c r="BA197" s="358"/>
      <c r="BB197" s="385">
        <v>100</v>
      </c>
      <c r="BC197" s="379">
        <f t="shared" si="249"/>
        <v>0</v>
      </c>
      <c r="BD197" s="378">
        <f t="shared" si="250"/>
        <v>0</v>
      </c>
      <c r="BE197" s="381"/>
      <c r="BF197" s="378">
        <f t="shared" si="251"/>
        <v>100</v>
      </c>
    </row>
    <row r="198" spans="1:58" x14ac:dyDescent="0.35">
      <c r="A198" s="423" t="s">
        <v>37</v>
      </c>
      <c r="B198" s="426">
        <v>252610141</v>
      </c>
      <c r="C198" s="359" t="s">
        <v>1222</v>
      </c>
      <c r="D198" s="194" t="s">
        <v>8</v>
      </c>
      <c r="E198" s="215">
        <v>19</v>
      </c>
      <c r="F198" s="350"/>
      <c r="G198" s="350">
        <v>1</v>
      </c>
      <c r="H198" s="350"/>
      <c r="I198" s="326">
        <f t="shared" si="252"/>
        <v>1</v>
      </c>
      <c r="J198" s="326">
        <f t="shared" si="253"/>
        <v>18</v>
      </c>
      <c r="K198" s="327">
        <f t="shared" si="254"/>
        <v>0.94736842105263153</v>
      </c>
      <c r="L198" s="221">
        <v>14</v>
      </c>
      <c r="M198" s="222"/>
      <c r="N198" s="223">
        <v>2</v>
      </c>
      <c r="O198" s="222">
        <v>1</v>
      </c>
      <c r="P198" s="328">
        <f t="shared" si="255"/>
        <v>3</v>
      </c>
      <c r="Q198" s="328">
        <f t="shared" si="256"/>
        <v>11</v>
      </c>
      <c r="R198" s="329">
        <f t="shared" si="257"/>
        <v>0.7857142857142857</v>
      </c>
      <c r="S198" s="225">
        <v>12</v>
      </c>
      <c r="T198" s="226"/>
      <c r="U198" s="226">
        <v>2</v>
      </c>
      <c r="V198" s="226"/>
      <c r="W198" s="330">
        <f t="shared" si="258"/>
        <v>2</v>
      </c>
      <c r="X198" s="330">
        <f t="shared" si="259"/>
        <v>10</v>
      </c>
      <c r="Y198" s="331">
        <f t="shared" si="260"/>
        <v>0.83333333333333337</v>
      </c>
      <c r="Z198" s="228">
        <v>21</v>
      </c>
      <c r="AA198" s="255"/>
      <c r="AB198" s="255"/>
      <c r="AC198" s="255"/>
      <c r="AD198" s="280">
        <f t="shared" si="261"/>
        <v>0</v>
      </c>
      <c r="AE198" s="280">
        <f t="shared" si="262"/>
        <v>21</v>
      </c>
      <c r="AF198" s="281">
        <f t="shared" si="263"/>
        <v>1</v>
      </c>
      <c r="AG198" s="229">
        <v>18</v>
      </c>
      <c r="AH198" s="257"/>
      <c r="AI198" s="257"/>
      <c r="AJ198" s="257"/>
      <c r="AK198" s="305">
        <f t="shared" si="264"/>
        <v>0</v>
      </c>
      <c r="AL198" s="305">
        <f t="shared" si="265"/>
        <v>18</v>
      </c>
      <c r="AM198" s="306">
        <f t="shared" si="266"/>
        <v>1</v>
      </c>
      <c r="AN198" s="230">
        <v>14</v>
      </c>
      <c r="AO198" s="259"/>
      <c r="AP198" s="259"/>
      <c r="AQ198" s="259"/>
      <c r="AR198" s="307">
        <f t="shared" si="267"/>
        <v>0</v>
      </c>
      <c r="AS198" s="307">
        <f t="shared" si="268"/>
        <v>14</v>
      </c>
      <c r="AT198" s="308">
        <f t="shared" si="269"/>
        <v>1</v>
      </c>
      <c r="AU198" s="344">
        <f t="shared" si="270"/>
        <v>0</v>
      </c>
      <c r="AV198" s="344">
        <f t="shared" si="271"/>
        <v>5</v>
      </c>
      <c r="AW198" s="344">
        <f t="shared" si="272"/>
        <v>1</v>
      </c>
      <c r="AX198" s="290">
        <v>98</v>
      </c>
      <c r="AY198" s="344">
        <f t="shared" si="274"/>
        <v>92</v>
      </c>
      <c r="AZ198" s="424">
        <f t="shared" si="273"/>
        <v>0.93877551020408168</v>
      </c>
      <c r="BA198" s="358"/>
      <c r="BB198" s="385">
        <v>100</v>
      </c>
      <c r="BC198" s="379">
        <f t="shared" si="249"/>
        <v>0</v>
      </c>
      <c r="BD198" s="378">
        <f t="shared" si="250"/>
        <v>2</v>
      </c>
      <c r="BE198" s="381"/>
      <c r="BF198" s="378">
        <f t="shared" si="251"/>
        <v>98</v>
      </c>
    </row>
    <row r="199" spans="1:58" x14ac:dyDescent="0.35">
      <c r="A199" s="423" t="s">
        <v>38</v>
      </c>
      <c r="B199" s="426">
        <v>252610142</v>
      </c>
      <c r="C199" s="359" t="s">
        <v>1223</v>
      </c>
      <c r="D199" s="194" t="s">
        <v>6</v>
      </c>
      <c r="E199" s="215">
        <v>19</v>
      </c>
      <c r="F199" s="350">
        <v>1</v>
      </c>
      <c r="G199" s="350">
        <v>1</v>
      </c>
      <c r="H199" s="350"/>
      <c r="I199" s="326">
        <f t="shared" si="252"/>
        <v>2</v>
      </c>
      <c r="J199" s="326">
        <f t="shared" si="253"/>
        <v>17</v>
      </c>
      <c r="K199" s="327">
        <f t="shared" si="254"/>
        <v>0.89473684210526316</v>
      </c>
      <c r="L199" s="221">
        <v>14</v>
      </c>
      <c r="M199" s="222"/>
      <c r="N199" s="223">
        <v>2</v>
      </c>
      <c r="O199" s="222"/>
      <c r="P199" s="328">
        <f t="shared" si="255"/>
        <v>2</v>
      </c>
      <c r="Q199" s="328">
        <f t="shared" si="256"/>
        <v>12</v>
      </c>
      <c r="R199" s="329">
        <f t="shared" si="257"/>
        <v>0.8571428571428571</v>
      </c>
      <c r="S199" s="225">
        <v>12</v>
      </c>
      <c r="T199" s="226"/>
      <c r="U199" s="226">
        <v>2</v>
      </c>
      <c r="V199" s="226"/>
      <c r="W199" s="330">
        <f t="shared" si="258"/>
        <v>2</v>
      </c>
      <c r="X199" s="330">
        <f t="shared" si="259"/>
        <v>10</v>
      </c>
      <c r="Y199" s="331">
        <f t="shared" si="260"/>
        <v>0.83333333333333337</v>
      </c>
      <c r="Z199" s="228">
        <v>21</v>
      </c>
      <c r="AA199" s="255"/>
      <c r="AB199" s="255"/>
      <c r="AC199" s="255"/>
      <c r="AD199" s="280">
        <f t="shared" si="261"/>
        <v>0</v>
      </c>
      <c r="AE199" s="280">
        <f t="shared" si="262"/>
        <v>21</v>
      </c>
      <c r="AF199" s="281">
        <f t="shared" si="263"/>
        <v>1</v>
      </c>
      <c r="AG199" s="229">
        <v>18</v>
      </c>
      <c r="AH199" s="257"/>
      <c r="AI199" s="257"/>
      <c r="AJ199" s="257"/>
      <c r="AK199" s="305">
        <f t="shared" si="264"/>
        <v>0</v>
      </c>
      <c r="AL199" s="305">
        <f t="shared" si="265"/>
        <v>18</v>
      </c>
      <c r="AM199" s="306">
        <f t="shared" si="266"/>
        <v>1</v>
      </c>
      <c r="AN199" s="230">
        <v>14</v>
      </c>
      <c r="AO199" s="259"/>
      <c r="AP199" s="259"/>
      <c r="AQ199" s="259"/>
      <c r="AR199" s="307">
        <f t="shared" si="267"/>
        <v>0</v>
      </c>
      <c r="AS199" s="307">
        <f t="shared" si="268"/>
        <v>14</v>
      </c>
      <c r="AT199" s="308">
        <f t="shared" si="269"/>
        <v>1</v>
      </c>
      <c r="AU199" s="344">
        <f t="shared" si="270"/>
        <v>1</v>
      </c>
      <c r="AV199" s="344">
        <f t="shared" si="271"/>
        <v>5</v>
      </c>
      <c r="AW199" s="344">
        <f t="shared" si="272"/>
        <v>0</v>
      </c>
      <c r="AX199" s="290">
        <v>98</v>
      </c>
      <c r="AY199" s="344">
        <f t="shared" si="274"/>
        <v>92</v>
      </c>
      <c r="AZ199" s="424">
        <f t="shared" si="273"/>
        <v>0.93877551020408168</v>
      </c>
      <c r="BA199" s="358"/>
      <c r="BB199" s="385">
        <v>98</v>
      </c>
      <c r="BC199" s="379">
        <f t="shared" si="249"/>
        <v>0</v>
      </c>
      <c r="BD199" s="378">
        <f t="shared" si="250"/>
        <v>0</v>
      </c>
      <c r="BE199" s="381"/>
      <c r="BF199" s="378">
        <f t="shared" si="251"/>
        <v>98</v>
      </c>
    </row>
    <row r="200" spans="1:58" x14ac:dyDescent="0.35">
      <c r="A200" s="423" t="s">
        <v>39</v>
      </c>
      <c r="B200" s="426">
        <v>252610143</v>
      </c>
      <c r="C200" s="359" t="s">
        <v>1224</v>
      </c>
      <c r="D200" s="194" t="s">
        <v>6</v>
      </c>
      <c r="E200" s="215">
        <v>19</v>
      </c>
      <c r="F200" s="350">
        <v>1</v>
      </c>
      <c r="G200" s="350"/>
      <c r="H200" s="350"/>
      <c r="I200" s="326">
        <f t="shared" si="252"/>
        <v>1</v>
      </c>
      <c r="J200" s="326">
        <f t="shared" si="253"/>
        <v>18</v>
      </c>
      <c r="K200" s="327">
        <f t="shared" si="254"/>
        <v>0.94736842105263153</v>
      </c>
      <c r="L200" s="221">
        <v>14</v>
      </c>
      <c r="M200" s="223"/>
      <c r="N200" s="223">
        <v>2</v>
      </c>
      <c r="O200" s="222"/>
      <c r="P200" s="328">
        <f t="shared" si="255"/>
        <v>2</v>
      </c>
      <c r="Q200" s="328">
        <f t="shared" si="256"/>
        <v>12</v>
      </c>
      <c r="R200" s="329">
        <f t="shared" si="257"/>
        <v>0.8571428571428571</v>
      </c>
      <c r="S200" s="225">
        <v>12</v>
      </c>
      <c r="T200" s="226"/>
      <c r="U200" s="226">
        <v>2</v>
      </c>
      <c r="V200" s="226"/>
      <c r="W200" s="330">
        <f t="shared" si="258"/>
        <v>2</v>
      </c>
      <c r="X200" s="330">
        <f t="shared" si="259"/>
        <v>10</v>
      </c>
      <c r="Y200" s="331">
        <f t="shared" si="260"/>
        <v>0.83333333333333337</v>
      </c>
      <c r="Z200" s="228">
        <v>21</v>
      </c>
      <c r="AA200" s="255"/>
      <c r="AB200" s="255"/>
      <c r="AC200" s="255"/>
      <c r="AD200" s="280">
        <f t="shared" si="261"/>
        <v>0</v>
      </c>
      <c r="AE200" s="280">
        <f t="shared" si="262"/>
        <v>21</v>
      </c>
      <c r="AF200" s="281">
        <f t="shared" si="263"/>
        <v>1</v>
      </c>
      <c r="AG200" s="229">
        <v>18</v>
      </c>
      <c r="AH200" s="257"/>
      <c r="AI200" s="257"/>
      <c r="AJ200" s="257"/>
      <c r="AK200" s="305">
        <f t="shared" si="264"/>
        <v>0</v>
      </c>
      <c r="AL200" s="305">
        <f t="shared" si="265"/>
        <v>18</v>
      </c>
      <c r="AM200" s="306">
        <f t="shared" si="266"/>
        <v>1</v>
      </c>
      <c r="AN200" s="230">
        <v>14</v>
      </c>
      <c r="AO200" s="259"/>
      <c r="AP200" s="259"/>
      <c r="AQ200" s="259"/>
      <c r="AR200" s="307">
        <f t="shared" si="267"/>
        <v>0</v>
      </c>
      <c r="AS200" s="307">
        <f t="shared" si="268"/>
        <v>14</v>
      </c>
      <c r="AT200" s="308">
        <f t="shared" si="269"/>
        <v>1</v>
      </c>
      <c r="AU200" s="344">
        <f t="shared" si="270"/>
        <v>1</v>
      </c>
      <c r="AV200" s="344">
        <f t="shared" si="271"/>
        <v>4</v>
      </c>
      <c r="AW200" s="344">
        <f t="shared" si="272"/>
        <v>0</v>
      </c>
      <c r="AX200" s="290">
        <v>98</v>
      </c>
      <c r="AY200" s="344">
        <f t="shared" si="274"/>
        <v>93</v>
      </c>
      <c r="AZ200" s="424">
        <f t="shared" si="273"/>
        <v>0.94897959183673475</v>
      </c>
      <c r="BA200" s="358"/>
      <c r="BB200" s="385">
        <v>100</v>
      </c>
      <c r="BC200" s="379">
        <f t="shared" si="249"/>
        <v>0</v>
      </c>
      <c r="BD200" s="378">
        <f t="shared" si="250"/>
        <v>0</v>
      </c>
      <c r="BE200" s="381"/>
      <c r="BF200" s="378">
        <f t="shared" si="251"/>
        <v>100</v>
      </c>
    </row>
    <row r="201" spans="1:58" x14ac:dyDescent="0.35">
      <c r="A201" s="423" t="s">
        <v>40</v>
      </c>
      <c r="B201" s="426">
        <v>252610144</v>
      </c>
      <c r="C201" s="359" t="s">
        <v>1225</v>
      </c>
      <c r="D201" s="194" t="s">
        <v>6</v>
      </c>
      <c r="E201" s="215">
        <v>19</v>
      </c>
      <c r="F201" s="350">
        <v>2</v>
      </c>
      <c r="G201" s="350"/>
      <c r="H201" s="350"/>
      <c r="I201" s="326">
        <f t="shared" si="252"/>
        <v>2</v>
      </c>
      <c r="J201" s="326">
        <f t="shared" si="253"/>
        <v>17</v>
      </c>
      <c r="K201" s="327">
        <f t="shared" si="254"/>
        <v>0.89473684210526316</v>
      </c>
      <c r="L201" s="221">
        <v>14</v>
      </c>
      <c r="M201" s="222">
        <v>2</v>
      </c>
      <c r="N201" s="223"/>
      <c r="O201" s="223"/>
      <c r="P201" s="328">
        <f t="shared" si="255"/>
        <v>2</v>
      </c>
      <c r="Q201" s="328">
        <f t="shared" si="256"/>
        <v>12</v>
      </c>
      <c r="R201" s="329">
        <f t="shared" si="257"/>
        <v>0.8571428571428571</v>
      </c>
      <c r="S201" s="225">
        <v>12</v>
      </c>
      <c r="T201" s="226"/>
      <c r="U201" s="226">
        <v>1</v>
      </c>
      <c r="V201" s="226"/>
      <c r="W201" s="330">
        <f t="shared" si="258"/>
        <v>1</v>
      </c>
      <c r="X201" s="330">
        <f t="shared" si="259"/>
        <v>11</v>
      </c>
      <c r="Y201" s="331">
        <f t="shared" si="260"/>
        <v>0.91666666666666663</v>
      </c>
      <c r="Z201" s="228">
        <v>21</v>
      </c>
      <c r="AA201" s="255"/>
      <c r="AB201" s="255"/>
      <c r="AC201" s="255"/>
      <c r="AD201" s="280">
        <f t="shared" si="261"/>
        <v>0</v>
      </c>
      <c r="AE201" s="280">
        <f t="shared" si="262"/>
        <v>21</v>
      </c>
      <c r="AF201" s="281">
        <f t="shared" si="263"/>
        <v>1</v>
      </c>
      <c r="AG201" s="229">
        <v>18</v>
      </c>
      <c r="AH201" s="257"/>
      <c r="AI201" s="257"/>
      <c r="AJ201" s="257"/>
      <c r="AK201" s="305">
        <f t="shared" si="264"/>
        <v>0</v>
      </c>
      <c r="AL201" s="305">
        <f t="shared" si="265"/>
        <v>18</v>
      </c>
      <c r="AM201" s="306">
        <f t="shared" si="266"/>
        <v>1</v>
      </c>
      <c r="AN201" s="230">
        <v>14</v>
      </c>
      <c r="AO201" s="259"/>
      <c r="AP201" s="259"/>
      <c r="AQ201" s="259"/>
      <c r="AR201" s="307">
        <f t="shared" si="267"/>
        <v>0</v>
      </c>
      <c r="AS201" s="307">
        <f t="shared" si="268"/>
        <v>14</v>
      </c>
      <c r="AT201" s="308">
        <f t="shared" si="269"/>
        <v>1</v>
      </c>
      <c r="AU201" s="344">
        <f t="shared" si="270"/>
        <v>4</v>
      </c>
      <c r="AV201" s="344">
        <f t="shared" si="271"/>
        <v>1</v>
      </c>
      <c r="AW201" s="344">
        <f t="shared" si="272"/>
        <v>0</v>
      </c>
      <c r="AX201" s="290">
        <v>98</v>
      </c>
      <c r="AY201" s="344">
        <f t="shared" si="274"/>
        <v>93</v>
      </c>
      <c r="AZ201" s="424">
        <f t="shared" si="273"/>
        <v>0.94897959183673475</v>
      </c>
      <c r="BA201" s="358"/>
      <c r="BB201" s="385">
        <v>100</v>
      </c>
      <c r="BC201" s="379">
        <f t="shared" si="249"/>
        <v>0</v>
      </c>
      <c r="BD201" s="378">
        <f t="shared" si="250"/>
        <v>0</v>
      </c>
      <c r="BE201" s="381"/>
      <c r="BF201" s="378">
        <f t="shared" si="251"/>
        <v>100</v>
      </c>
    </row>
    <row r="202" spans="1:58" x14ac:dyDescent="0.35">
      <c r="A202" s="423" t="s">
        <v>41</v>
      </c>
      <c r="B202" s="426">
        <v>252610145</v>
      </c>
      <c r="C202" s="359" t="s">
        <v>1226</v>
      </c>
      <c r="D202" s="194" t="s">
        <v>8</v>
      </c>
      <c r="E202" s="215">
        <v>19</v>
      </c>
      <c r="F202" s="350"/>
      <c r="G202" s="352">
        <v>1</v>
      </c>
      <c r="H202" s="350"/>
      <c r="I202" s="326">
        <f t="shared" si="252"/>
        <v>1</v>
      </c>
      <c r="J202" s="326">
        <f t="shared" si="253"/>
        <v>18</v>
      </c>
      <c r="K202" s="327">
        <f t="shared" si="254"/>
        <v>0.94736842105263153</v>
      </c>
      <c r="L202" s="221">
        <v>14</v>
      </c>
      <c r="M202" s="222">
        <v>1</v>
      </c>
      <c r="N202" s="223"/>
      <c r="O202" s="223"/>
      <c r="P202" s="328">
        <f t="shared" si="255"/>
        <v>1</v>
      </c>
      <c r="Q202" s="328">
        <f t="shared" si="256"/>
        <v>13</v>
      </c>
      <c r="R202" s="329">
        <f t="shared" si="257"/>
        <v>0.9285714285714286</v>
      </c>
      <c r="S202" s="225">
        <v>12</v>
      </c>
      <c r="T202" s="226"/>
      <c r="U202" s="226">
        <v>1</v>
      </c>
      <c r="V202" s="226"/>
      <c r="W202" s="330">
        <f t="shared" si="258"/>
        <v>1</v>
      </c>
      <c r="X202" s="330">
        <f t="shared" si="259"/>
        <v>11</v>
      </c>
      <c r="Y202" s="331">
        <f t="shared" si="260"/>
        <v>0.91666666666666663</v>
      </c>
      <c r="Z202" s="228">
        <v>21</v>
      </c>
      <c r="AA202" s="255"/>
      <c r="AB202" s="255"/>
      <c r="AC202" s="255"/>
      <c r="AD202" s="280">
        <f t="shared" si="261"/>
        <v>0</v>
      </c>
      <c r="AE202" s="280">
        <f t="shared" si="262"/>
        <v>21</v>
      </c>
      <c r="AF202" s="281">
        <f t="shared" si="263"/>
        <v>1</v>
      </c>
      <c r="AG202" s="229">
        <v>18</v>
      </c>
      <c r="AH202" s="257"/>
      <c r="AI202" s="257"/>
      <c r="AJ202" s="257"/>
      <c r="AK202" s="305">
        <f t="shared" si="264"/>
        <v>0</v>
      </c>
      <c r="AL202" s="305">
        <f t="shared" si="265"/>
        <v>18</v>
      </c>
      <c r="AM202" s="306">
        <f t="shared" si="266"/>
        <v>1</v>
      </c>
      <c r="AN202" s="230">
        <v>14</v>
      </c>
      <c r="AO202" s="259"/>
      <c r="AP202" s="259"/>
      <c r="AQ202" s="259"/>
      <c r="AR202" s="307">
        <f t="shared" si="267"/>
        <v>0</v>
      </c>
      <c r="AS202" s="307">
        <f t="shared" si="268"/>
        <v>14</v>
      </c>
      <c r="AT202" s="308">
        <f t="shared" si="269"/>
        <v>1</v>
      </c>
      <c r="AU202" s="344">
        <f t="shared" si="270"/>
        <v>1</v>
      </c>
      <c r="AV202" s="344">
        <f t="shared" si="271"/>
        <v>2</v>
      </c>
      <c r="AW202" s="344">
        <f t="shared" si="272"/>
        <v>0</v>
      </c>
      <c r="AX202" s="290">
        <v>98</v>
      </c>
      <c r="AY202" s="344">
        <f t="shared" si="274"/>
        <v>95</v>
      </c>
      <c r="AZ202" s="424">
        <f t="shared" si="273"/>
        <v>0.96938775510204078</v>
      </c>
      <c r="BA202" s="358"/>
      <c r="BB202" s="385">
        <v>100</v>
      </c>
      <c r="BC202" s="379">
        <f t="shared" si="249"/>
        <v>0</v>
      </c>
      <c r="BD202" s="378">
        <f t="shared" si="250"/>
        <v>0</v>
      </c>
      <c r="BE202" s="381"/>
      <c r="BF202" s="378">
        <f t="shared" si="251"/>
        <v>100</v>
      </c>
    </row>
    <row r="203" spans="1:58" x14ac:dyDescent="0.35">
      <c r="A203" s="423" t="s">
        <v>42</v>
      </c>
      <c r="B203" s="426">
        <v>252610146</v>
      </c>
      <c r="C203" s="359" t="s">
        <v>1227</v>
      </c>
      <c r="D203" s="194" t="s">
        <v>8</v>
      </c>
      <c r="E203" s="215">
        <v>19</v>
      </c>
      <c r="F203" s="350"/>
      <c r="G203" s="350"/>
      <c r="H203" s="350"/>
      <c r="I203" s="326">
        <f t="shared" si="252"/>
        <v>0</v>
      </c>
      <c r="J203" s="326">
        <f t="shared" si="253"/>
        <v>19</v>
      </c>
      <c r="K203" s="327">
        <f t="shared" si="254"/>
        <v>1</v>
      </c>
      <c r="L203" s="221">
        <v>14</v>
      </c>
      <c r="M203" s="222"/>
      <c r="N203" s="222">
        <v>1</v>
      </c>
      <c r="O203" s="222"/>
      <c r="P203" s="328">
        <f t="shared" si="255"/>
        <v>1</v>
      </c>
      <c r="Q203" s="328">
        <f t="shared" si="256"/>
        <v>13</v>
      </c>
      <c r="R203" s="329">
        <f t="shared" si="257"/>
        <v>0.9285714285714286</v>
      </c>
      <c r="S203" s="225">
        <v>12</v>
      </c>
      <c r="T203" s="226">
        <v>2</v>
      </c>
      <c r="U203" s="226"/>
      <c r="V203" s="226"/>
      <c r="W203" s="330">
        <f t="shared" si="258"/>
        <v>2</v>
      </c>
      <c r="X203" s="330">
        <f t="shared" si="259"/>
        <v>10</v>
      </c>
      <c r="Y203" s="331">
        <f t="shared" si="260"/>
        <v>0.83333333333333337</v>
      </c>
      <c r="Z203" s="228">
        <v>21</v>
      </c>
      <c r="AA203" s="255"/>
      <c r="AB203" s="255"/>
      <c r="AC203" s="255"/>
      <c r="AD203" s="280">
        <f t="shared" si="261"/>
        <v>0</v>
      </c>
      <c r="AE203" s="280">
        <f t="shared" si="262"/>
        <v>21</v>
      </c>
      <c r="AF203" s="281">
        <f t="shared" si="263"/>
        <v>1</v>
      </c>
      <c r="AG203" s="229">
        <v>18</v>
      </c>
      <c r="AH203" s="257"/>
      <c r="AI203" s="257"/>
      <c r="AJ203" s="257"/>
      <c r="AK203" s="305">
        <f t="shared" si="264"/>
        <v>0</v>
      </c>
      <c r="AL203" s="305">
        <f t="shared" si="265"/>
        <v>18</v>
      </c>
      <c r="AM203" s="306">
        <f t="shared" si="266"/>
        <v>1</v>
      </c>
      <c r="AN203" s="230">
        <v>14</v>
      </c>
      <c r="AO203" s="259"/>
      <c r="AP203" s="259"/>
      <c r="AQ203" s="259"/>
      <c r="AR203" s="307">
        <f t="shared" si="267"/>
        <v>0</v>
      </c>
      <c r="AS203" s="307">
        <f t="shared" si="268"/>
        <v>14</v>
      </c>
      <c r="AT203" s="308">
        <f t="shared" si="269"/>
        <v>1</v>
      </c>
      <c r="AU203" s="344">
        <f t="shared" si="270"/>
        <v>2</v>
      </c>
      <c r="AV203" s="344">
        <f t="shared" si="271"/>
        <v>1</v>
      </c>
      <c r="AW203" s="344">
        <f t="shared" si="272"/>
        <v>0</v>
      </c>
      <c r="AX203" s="290">
        <v>98</v>
      </c>
      <c r="AY203" s="344">
        <f t="shared" si="274"/>
        <v>95</v>
      </c>
      <c r="AZ203" s="424">
        <f t="shared" si="273"/>
        <v>0.96938775510204078</v>
      </c>
      <c r="BA203" s="358"/>
      <c r="BB203" s="385">
        <v>98</v>
      </c>
      <c r="BC203" s="379">
        <f t="shared" si="249"/>
        <v>0</v>
      </c>
      <c r="BD203" s="378">
        <f t="shared" si="250"/>
        <v>0</v>
      </c>
      <c r="BE203" s="381"/>
      <c r="BF203" s="378">
        <f t="shared" si="251"/>
        <v>98</v>
      </c>
    </row>
    <row r="204" spans="1:58" x14ac:dyDescent="0.35">
      <c r="A204" s="423" t="s">
        <v>43</v>
      </c>
      <c r="B204" s="426">
        <v>252610147</v>
      </c>
      <c r="C204" s="359" t="s">
        <v>1228</v>
      </c>
      <c r="D204" s="194" t="s">
        <v>8</v>
      </c>
      <c r="E204" s="215">
        <v>19</v>
      </c>
      <c r="F204" s="350"/>
      <c r="G204" s="350"/>
      <c r="H204" s="350"/>
      <c r="I204" s="326">
        <f t="shared" si="252"/>
        <v>0</v>
      </c>
      <c r="J204" s="326">
        <f t="shared" si="253"/>
        <v>19</v>
      </c>
      <c r="K204" s="327">
        <f t="shared" si="254"/>
        <v>1</v>
      </c>
      <c r="L204" s="221">
        <v>14</v>
      </c>
      <c r="M204" s="222"/>
      <c r="N204" s="223">
        <v>1</v>
      </c>
      <c r="O204" s="222">
        <v>1</v>
      </c>
      <c r="P204" s="328">
        <f t="shared" si="255"/>
        <v>2</v>
      </c>
      <c r="Q204" s="328">
        <f t="shared" si="256"/>
        <v>12</v>
      </c>
      <c r="R204" s="329">
        <f t="shared" si="257"/>
        <v>0.8571428571428571</v>
      </c>
      <c r="S204" s="225">
        <v>12</v>
      </c>
      <c r="T204" s="226"/>
      <c r="U204" s="226"/>
      <c r="V204" s="226"/>
      <c r="W204" s="330">
        <f t="shared" si="258"/>
        <v>0</v>
      </c>
      <c r="X204" s="330">
        <f t="shared" si="259"/>
        <v>12</v>
      </c>
      <c r="Y204" s="331">
        <f t="shared" si="260"/>
        <v>1</v>
      </c>
      <c r="Z204" s="228">
        <v>21</v>
      </c>
      <c r="AA204" s="255"/>
      <c r="AB204" s="255"/>
      <c r="AC204" s="255"/>
      <c r="AD204" s="280">
        <f t="shared" si="261"/>
        <v>0</v>
      </c>
      <c r="AE204" s="280">
        <f t="shared" si="262"/>
        <v>21</v>
      </c>
      <c r="AF204" s="281">
        <f t="shared" si="263"/>
        <v>1</v>
      </c>
      <c r="AG204" s="229">
        <v>18</v>
      </c>
      <c r="AH204" s="257"/>
      <c r="AI204" s="257"/>
      <c r="AJ204" s="257"/>
      <c r="AK204" s="305">
        <f t="shared" si="264"/>
        <v>0</v>
      </c>
      <c r="AL204" s="305">
        <f t="shared" si="265"/>
        <v>18</v>
      </c>
      <c r="AM204" s="306">
        <f t="shared" si="266"/>
        <v>1</v>
      </c>
      <c r="AN204" s="230">
        <v>14</v>
      </c>
      <c r="AO204" s="259"/>
      <c r="AP204" s="259"/>
      <c r="AQ204" s="259"/>
      <c r="AR204" s="307">
        <f t="shared" si="267"/>
        <v>0</v>
      </c>
      <c r="AS204" s="307">
        <f t="shared" si="268"/>
        <v>14</v>
      </c>
      <c r="AT204" s="308">
        <f t="shared" si="269"/>
        <v>1</v>
      </c>
      <c r="AU204" s="344">
        <f t="shared" si="270"/>
        <v>0</v>
      </c>
      <c r="AV204" s="344">
        <f t="shared" si="271"/>
        <v>1</v>
      </c>
      <c r="AW204" s="344">
        <f t="shared" si="272"/>
        <v>1</v>
      </c>
      <c r="AX204" s="290">
        <v>98</v>
      </c>
      <c r="AY204" s="344">
        <f t="shared" si="274"/>
        <v>96</v>
      </c>
      <c r="AZ204" s="424">
        <f t="shared" si="273"/>
        <v>0.97959183673469385</v>
      </c>
      <c r="BA204" s="358"/>
      <c r="BB204" s="385">
        <v>98</v>
      </c>
      <c r="BC204" s="379">
        <f t="shared" si="249"/>
        <v>0</v>
      </c>
      <c r="BD204" s="378">
        <f t="shared" si="250"/>
        <v>2</v>
      </c>
      <c r="BE204" s="381"/>
      <c r="BF204" s="378">
        <f t="shared" si="251"/>
        <v>96</v>
      </c>
    </row>
    <row r="205" spans="1:58" x14ac:dyDescent="0.35">
      <c r="A205" s="423" t="s">
        <v>44</v>
      </c>
      <c r="B205" s="426">
        <v>252610148</v>
      </c>
      <c r="C205" s="359" t="s">
        <v>1229</v>
      </c>
      <c r="D205" s="194" t="s">
        <v>8</v>
      </c>
      <c r="E205" s="215">
        <v>19</v>
      </c>
      <c r="F205" s="350"/>
      <c r="G205" s="350">
        <v>1</v>
      </c>
      <c r="H205" s="350"/>
      <c r="I205" s="326">
        <f t="shared" si="252"/>
        <v>1</v>
      </c>
      <c r="J205" s="326">
        <f t="shared" si="253"/>
        <v>18</v>
      </c>
      <c r="K205" s="327">
        <f t="shared" si="254"/>
        <v>0.94736842105263153</v>
      </c>
      <c r="L205" s="221">
        <v>14</v>
      </c>
      <c r="M205" s="222"/>
      <c r="N205" s="223">
        <v>4</v>
      </c>
      <c r="O205" s="222"/>
      <c r="P205" s="328">
        <f t="shared" si="255"/>
        <v>4</v>
      </c>
      <c r="Q205" s="328">
        <f t="shared" si="256"/>
        <v>10</v>
      </c>
      <c r="R205" s="329">
        <f t="shared" si="257"/>
        <v>0.7142857142857143</v>
      </c>
      <c r="S205" s="225">
        <v>12</v>
      </c>
      <c r="T205" s="226"/>
      <c r="U205" s="226">
        <v>1</v>
      </c>
      <c r="V205" s="226"/>
      <c r="W205" s="330">
        <f t="shared" si="258"/>
        <v>1</v>
      </c>
      <c r="X205" s="330">
        <f t="shared" si="259"/>
        <v>11</v>
      </c>
      <c r="Y205" s="331">
        <f t="shared" si="260"/>
        <v>0.91666666666666663</v>
      </c>
      <c r="Z205" s="228">
        <v>21</v>
      </c>
      <c r="AA205" s="255"/>
      <c r="AB205" s="255"/>
      <c r="AC205" s="255"/>
      <c r="AD205" s="280">
        <f t="shared" si="261"/>
        <v>0</v>
      </c>
      <c r="AE205" s="280">
        <f t="shared" si="262"/>
        <v>21</v>
      </c>
      <c r="AF205" s="281">
        <f t="shared" si="263"/>
        <v>1</v>
      </c>
      <c r="AG205" s="229">
        <v>18</v>
      </c>
      <c r="AH205" s="257"/>
      <c r="AI205" s="257"/>
      <c r="AJ205" s="257"/>
      <c r="AK205" s="305">
        <f t="shared" si="264"/>
        <v>0</v>
      </c>
      <c r="AL205" s="305">
        <f t="shared" si="265"/>
        <v>18</v>
      </c>
      <c r="AM205" s="306">
        <f t="shared" si="266"/>
        <v>1</v>
      </c>
      <c r="AN205" s="230">
        <v>14</v>
      </c>
      <c r="AO205" s="259"/>
      <c r="AP205" s="259"/>
      <c r="AQ205" s="259"/>
      <c r="AR205" s="307">
        <f t="shared" si="267"/>
        <v>0</v>
      </c>
      <c r="AS205" s="307">
        <f t="shared" si="268"/>
        <v>14</v>
      </c>
      <c r="AT205" s="308">
        <f t="shared" si="269"/>
        <v>1</v>
      </c>
      <c r="AU205" s="344">
        <f t="shared" si="270"/>
        <v>0</v>
      </c>
      <c r="AV205" s="344">
        <f t="shared" si="271"/>
        <v>6</v>
      </c>
      <c r="AW205" s="344">
        <f t="shared" si="272"/>
        <v>0</v>
      </c>
      <c r="AX205" s="290">
        <v>98</v>
      </c>
      <c r="AY205" s="344">
        <f t="shared" si="274"/>
        <v>92</v>
      </c>
      <c r="AZ205" s="424">
        <f t="shared" si="273"/>
        <v>0.93877551020408168</v>
      </c>
      <c r="BA205" s="358"/>
      <c r="BB205" s="385">
        <v>96</v>
      </c>
      <c r="BC205" s="379">
        <f t="shared" si="249"/>
        <v>0</v>
      </c>
      <c r="BD205" s="378">
        <f t="shared" si="250"/>
        <v>0</v>
      </c>
      <c r="BE205" s="381"/>
      <c r="BF205" s="378">
        <f t="shared" si="251"/>
        <v>96</v>
      </c>
    </row>
    <row r="206" spans="1:58" x14ac:dyDescent="0.35">
      <c r="A206" s="423" t="s">
        <v>45</v>
      </c>
      <c r="B206" s="426">
        <v>252610149</v>
      </c>
      <c r="C206" s="359" t="s">
        <v>1230</v>
      </c>
      <c r="D206" s="194" t="s">
        <v>6</v>
      </c>
      <c r="E206" s="215">
        <v>19</v>
      </c>
      <c r="F206" s="350"/>
      <c r="G206" s="350"/>
      <c r="H206" s="350"/>
      <c r="I206" s="326">
        <f t="shared" si="252"/>
        <v>0</v>
      </c>
      <c r="J206" s="326">
        <f t="shared" si="253"/>
        <v>19</v>
      </c>
      <c r="K206" s="327">
        <f t="shared" si="254"/>
        <v>1</v>
      </c>
      <c r="L206" s="221">
        <v>14</v>
      </c>
      <c r="M206" s="222"/>
      <c r="N206" s="223">
        <v>2</v>
      </c>
      <c r="O206" s="222"/>
      <c r="P206" s="328">
        <f t="shared" si="255"/>
        <v>2</v>
      </c>
      <c r="Q206" s="328">
        <f t="shared" si="256"/>
        <v>12</v>
      </c>
      <c r="R206" s="329">
        <f t="shared" si="257"/>
        <v>0.8571428571428571</v>
      </c>
      <c r="S206" s="225">
        <v>12</v>
      </c>
      <c r="T206" s="226"/>
      <c r="U206" s="226"/>
      <c r="V206" s="226"/>
      <c r="W206" s="330">
        <f t="shared" si="258"/>
        <v>0</v>
      </c>
      <c r="X206" s="330">
        <f t="shared" si="259"/>
        <v>12</v>
      </c>
      <c r="Y206" s="331">
        <f t="shared" si="260"/>
        <v>1</v>
      </c>
      <c r="Z206" s="228">
        <v>21</v>
      </c>
      <c r="AA206" s="255"/>
      <c r="AB206" s="255"/>
      <c r="AC206" s="255"/>
      <c r="AD206" s="280">
        <f t="shared" si="261"/>
        <v>0</v>
      </c>
      <c r="AE206" s="280">
        <f t="shared" si="262"/>
        <v>21</v>
      </c>
      <c r="AF206" s="281">
        <f t="shared" si="263"/>
        <v>1</v>
      </c>
      <c r="AG206" s="229">
        <v>18</v>
      </c>
      <c r="AH206" s="257"/>
      <c r="AI206" s="257"/>
      <c r="AJ206" s="257"/>
      <c r="AK206" s="305">
        <f t="shared" si="264"/>
        <v>0</v>
      </c>
      <c r="AL206" s="305">
        <f t="shared" si="265"/>
        <v>18</v>
      </c>
      <c r="AM206" s="306">
        <f t="shared" si="266"/>
        <v>1</v>
      </c>
      <c r="AN206" s="230">
        <v>14</v>
      </c>
      <c r="AO206" s="259"/>
      <c r="AP206" s="259"/>
      <c r="AQ206" s="259"/>
      <c r="AR206" s="307">
        <f t="shared" si="267"/>
        <v>0</v>
      </c>
      <c r="AS206" s="307">
        <f t="shared" si="268"/>
        <v>14</v>
      </c>
      <c r="AT206" s="308">
        <f t="shared" si="269"/>
        <v>1</v>
      </c>
      <c r="AU206" s="344">
        <f t="shared" si="270"/>
        <v>0</v>
      </c>
      <c r="AV206" s="344">
        <f t="shared" si="271"/>
        <v>2</v>
      </c>
      <c r="AW206" s="344">
        <f t="shared" si="272"/>
        <v>0</v>
      </c>
      <c r="AX206" s="290">
        <v>98</v>
      </c>
      <c r="AY206" s="344">
        <f t="shared" si="274"/>
        <v>96</v>
      </c>
      <c r="AZ206" s="424">
        <f t="shared" si="273"/>
        <v>0.97959183673469385</v>
      </c>
      <c r="BA206" s="358"/>
      <c r="BB206" s="385">
        <v>98</v>
      </c>
      <c r="BC206" s="379">
        <f t="shared" si="249"/>
        <v>0</v>
      </c>
      <c r="BD206" s="378">
        <f t="shared" si="250"/>
        <v>0</v>
      </c>
      <c r="BE206" s="381"/>
      <c r="BF206" s="378">
        <f t="shared" si="251"/>
        <v>98</v>
      </c>
    </row>
    <row r="207" spans="1:58" x14ac:dyDescent="0.35">
      <c r="A207" s="423" t="s">
        <v>46</v>
      </c>
      <c r="B207" s="426">
        <v>252610150</v>
      </c>
      <c r="C207" s="359" t="s">
        <v>1231</v>
      </c>
      <c r="D207" s="194" t="s">
        <v>6</v>
      </c>
      <c r="E207" s="215">
        <v>19</v>
      </c>
      <c r="F207" s="350"/>
      <c r="G207" s="350">
        <v>1</v>
      </c>
      <c r="H207" s="350"/>
      <c r="I207" s="326">
        <f t="shared" si="252"/>
        <v>1</v>
      </c>
      <c r="J207" s="326">
        <f t="shared" si="253"/>
        <v>18</v>
      </c>
      <c r="K207" s="327">
        <f t="shared" si="254"/>
        <v>0.94736842105263153</v>
      </c>
      <c r="L207" s="221">
        <v>14</v>
      </c>
      <c r="M207" s="222"/>
      <c r="N207" s="223">
        <v>1</v>
      </c>
      <c r="O207" s="222">
        <v>1</v>
      </c>
      <c r="P207" s="328">
        <f t="shared" si="255"/>
        <v>2</v>
      </c>
      <c r="Q207" s="328">
        <f t="shared" si="256"/>
        <v>12</v>
      </c>
      <c r="R207" s="329">
        <f t="shared" si="257"/>
        <v>0.8571428571428571</v>
      </c>
      <c r="S207" s="225">
        <v>12</v>
      </c>
      <c r="T207" s="226"/>
      <c r="U207" s="226"/>
      <c r="V207" s="226">
        <v>1</v>
      </c>
      <c r="W207" s="330">
        <f t="shared" si="258"/>
        <v>1</v>
      </c>
      <c r="X207" s="330">
        <f t="shared" si="259"/>
        <v>11</v>
      </c>
      <c r="Y207" s="331">
        <f t="shared" si="260"/>
        <v>0.91666666666666663</v>
      </c>
      <c r="Z207" s="228">
        <v>21</v>
      </c>
      <c r="AA207" s="255"/>
      <c r="AB207" s="255"/>
      <c r="AC207" s="255"/>
      <c r="AD207" s="280">
        <f t="shared" si="261"/>
        <v>0</v>
      </c>
      <c r="AE207" s="280">
        <f t="shared" si="262"/>
        <v>21</v>
      </c>
      <c r="AF207" s="281">
        <f t="shared" si="263"/>
        <v>1</v>
      </c>
      <c r="AG207" s="229">
        <v>18</v>
      </c>
      <c r="AH207" s="257"/>
      <c r="AI207" s="257"/>
      <c r="AJ207" s="257"/>
      <c r="AK207" s="305">
        <f t="shared" si="264"/>
        <v>0</v>
      </c>
      <c r="AL207" s="305">
        <f t="shared" si="265"/>
        <v>18</v>
      </c>
      <c r="AM207" s="306">
        <f t="shared" si="266"/>
        <v>1</v>
      </c>
      <c r="AN207" s="230">
        <v>14</v>
      </c>
      <c r="AO207" s="259"/>
      <c r="AP207" s="259"/>
      <c r="AQ207" s="259"/>
      <c r="AR207" s="307">
        <f t="shared" si="267"/>
        <v>0</v>
      </c>
      <c r="AS207" s="307">
        <f t="shared" si="268"/>
        <v>14</v>
      </c>
      <c r="AT207" s="308">
        <f t="shared" si="269"/>
        <v>1</v>
      </c>
      <c r="AU207" s="344">
        <f t="shared" si="270"/>
        <v>0</v>
      </c>
      <c r="AV207" s="344">
        <f t="shared" si="271"/>
        <v>2</v>
      </c>
      <c r="AW207" s="344">
        <f t="shared" si="272"/>
        <v>2</v>
      </c>
      <c r="AX207" s="290">
        <v>98</v>
      </c>
      <c r="AY207" s="344">
        <f t="shared" si="274"/>
        <v>94</v>
      </c>
      <c r="AZ207" s="424">
        <f t="shared" si="273"/>
        <v>0.95918367346938771</v>
      </c>
      <c r="BA207" s="358"/>
      <c r="BB207" s="385">
        <v>48</v>
      </c>
      <c r="BC207" s="379">
        <f t="shared" si="249"/>
        <v>0</v>
      </c>
      <c r="BD207" s="378">
        <f t="shared" si="250"/>
        <v>4</v>
      </c>
      <c r="BE207" s="381"/>
      <c r="BF207" s="378">
        <f t="shared" si="251"/>
        <v>44</v>
      </c>
    </row>
    <row r="208" spans="1:58" x14ac:dyDescent="0.35">
      <c r="A208" s="423" t="s">
        <v>47</v>
      </c>
      <c r="B208" s="426">
        <v>252610151</v>
      </c>
      <c r="C208" s="359" t="s">
        <v>1232</v>
      </c>
      <c r="D208" s="194" t="s">
        <v>6</v>
      </c>
      <c r="E208" s="215">
        <v>19</v>
      </c>
      <c r="F208" s="350"/>
      <c r="G208" s="350"/>
      <c r="H208" s="350"/>
      <c r="I208" s="326">
        <f t="shared" si="252"/>
        <v>0</v>
      </c>
      <c r="J208" s="326">
        <f t="shared" si="253"/>
        <v>19</v>
      </c>
      <c r="K208" s="327">
        <f t="shared" si="254"/>
        <v>1</v>
      </c>
      <c r="L208" s="221">
        <v>14</v>
      </c>
      <c r="M208" s="222"/>
      <c r="N208" s="223">
        <v>1</v>
      </c>
      <c r="O208" s="222"/>
      <c r="P208" s="328">
        <f t="shared" si="255"/>
        <v>1</v>
      </c>
      <c r="Q208" s="328">
        <f t="shared" si="256"/>
        <v>13</v>
      </c>
      <c r="R208" s="329">
        <f t="shared" si="257"/>
        <v>0.9285714285714286</v>
      </c>
      <c r="S208" s="225">
        <v>12</v>
      </c>
      <c r="T208" s="226"/>
      <c r="U208" s="226"/>
      <c r="V208" s="226"/>
      <c r="W208" s="330">
        <f t="shared" si="258"/>
        <v>0</v>
      </c>
      <c r="X208" s="330">
        <f t="shared" si="259"/>
        <v>12</v>
      </c>
      <c r="Y208" s="331">
        <f t="shared" si="260"/>
        <v>1</v>
      </c>
      <c r="Z208" s="228">
        <v>21</v>
      </c>
      <c r="AA208" s="255"/>
      <c r="AB208" s="255"/>
      <c r="AC208" s="255"/>
      <c r="AD208" s="280">
        <f t="shared" si="261"/>
        <v>0</v>
      </c>
      <c r="AE208" s="280">
        <f t="shared" si="262"/>
        <v>21</v>
      </c>
      <c r="AF208" s="281">
        <f t="shared" si="263"/>
        <v>1</v>
      </c>
      <c r="AG208" s="229">
        <v>18</v>
      </c>
      <c r="AH208" s="257"/>
      <c r="AI208" s="257"/>
      <c r="AJ208" s="257"/>
      <c r="AK208" s="305">
        <f t="shared" si="264"/>
        <v>0</v>
      </c>
      <c r="AL208" s="305">
        <f t="shared" si="265"/>
        <v>18</v>
      </c>
      <c r="AM208" s="306">
        <f t="shared" si="266"/>
        <v>1</v>
      </c>
      <c r="AN208" s="230">
        <v>14</v>
      </c>
      <c r="AO208" s="259"/>
      <c r="AP208" s="259"/>
      <c r="AQ208" s="259"/>
      <c r="AR208" s="307">
        <f t="shared" si="267"/>
        <v>0</v>
      </c>
      <c r="AS208" s="307">
        <f t="shared" si="268"/>
        <v>14</v>
      </c>
      <c r="AT208" s="308">
        <f t="shared" si="269"/>
        <v>1</v>
      </c>
      <c r="AU208" s="344">
        <f t="shared" si="270"/>
        <v>0</v>
      </c>
      <c r="AV208" s="344">
        <f t="shared" si="271"/>
        <v>1</v>
      </c>
      <c r="AW208" s="344">
        <f t="shared" si="272"/>
        <v>0</v>
      </c>
      <c r="AX208" s="290">
        <v>98</v>
      </c>
      <c r="AY208" s="344">
        <f t="shared" si="274"/>
        <v>97</v>
      </c>
      <c r="AZ208" s="424">
        <f t="shared" si="273"/>
        <v>0.98979591836734693</v>
      </c>
      <c r="BA208" s="358"/>
      <c r="BB208" s="385">
        <v>100</v>
      </c>
      <c r="BC208" s="379">
        <f t="shared" si="249"/>
        <v>0</v>
      </c>
      <c r="BD208" s="378">
        <f t="shared" si="250"/>
        <v>0</v>
      </c>
      <c r="BE208" s="381"/>
      <c r="BF208" s="378">
        <f t="shared" si="251"/>
        <v>100</v>
      </c>
    </row>
    <row r="209" spans="1:58" x14ac:dyDescent="0.35">
      <c r="A209" s="423" t="s">
        <v>48</v>
      </c>
      <c r="B209" s="426">
        <v>252610152</v>
      </c>
      <c r="C209" s="359" t="s">
        <v>1233</v>
      </c>
      <c r="D209" s="194" t="s">
        <v>8</v>
      </c>
      <c r="E209" s="215">
        <v>19</v>
      </c>
      <c r="F209" s="350"/>
      <c r="G209" s="350">
        <v>2</v>
      </c>
      <c r="H209" s="350"/>
      <c r="I209" s="326">
        <f t="shared" si="252"/>
        <v>2</v>
      </c>
      <c r="J209" s="326">
        <f t="shared" si="253"/>
        <v>17</v>
      </c>
      <c r="K209" s="327">
        <f t="shared" si="254"/>
        <v>0.89473684210526316</v>
      </c>
      <c r="L209" s="221">
        <v>14</v>
      </c>
      <c r="M209" s="223">
        <v>2</v>
      </c>
      <c r="N209" s="223">
        <v>1</v>
      </c>
      <c r="O209" s="222"/>
      <c r="P209" s="328">
        <f t="shared" si="255"/>
        <v>3</v>
      </c>
      <c r="Q209" s="328">
        <f t="shared" si="256"/>
        <v>11</v>
      </c>
      <c r="R209" s="329">
        <f t="shared" si="257"/>
        <v>0.7857142857142857</v>
      </c>
      <c r="S209" s="225">
        <v>12</v>
      </c>
      <c r="T209" s="226"/>
      <c r="U209" s="226"/>
      <c r="V209" s="226"/>
      <c r="W209" s="330">
        <f t="shared" si="258"/>
        <v>0</v>
      </c>
      <c r="X209" s="330">
        <f t="shared" si="259"/>
        <v>12</v>
      </c>
      <c r="Y209" s="331">
        <f t="shared" si="260"/>
        <v>1</v>
      </c>
      <c r="Z209" s="228">
        <v>21</v>
      </c>
      <c r="AA209" s="255"/>
      <c r="AB209" s="255"/>
      <c r="AC209" s="255"/>
      <c r="AD209" s="280">
        <f t="shared" si="261"/>
        <v>0</v>
      </c>
      <c r="AE209" s="280">
        <f t="shared" si="262"/>
        <v>21</v>
      </c>
      <c r="AF209" s="281">
        <f t="shared" si="263"/>
        <v>1</v>
      </c>
      <c r="AG209" s="229">
        <v>18</v>
      </c>
      <c r="AH209" s="257"/>
      <c r="AI209" s="257"/>
      <c r="AJ209" s="257"/>
      <c r="AK209" s="305">
        <f t="shared" si="264"/>
        <v>0</v>
      </c>
      <c r="AL209" s="305">
        <f t="shared" si="265"/>
        <v>18</v>
      </c>
      <c r="AM209" s="306">
        <f t="shared" si="266"/>
        <v>1</v>
      </c>
      <c r="AN209" s="230">
        <v>14</v>
      </c>
      <c r="AO209" s="259"/>
      <c r="AP209" s="259"/>
      <c r="AQ209" s="259"/>
      <c r="AR209" s="307">
        <f t="shared" si="267"/>
        <v>0</v>
      </c>
      <c r="AS209" s="307">
        <f t="shared" si="268"/>
        <v>14</v>
      </c>
      <c r="AT209" s="308">
        <f t="shared" si="269"/>
        <v>1</v>
      </c>
      <c r="AU209" s="344">
        <f t="shared" si="270"/>
        <v>2</v>
      </c>
      <c r="AV209" s="344">
        <f t="shared" si="271"/>
        <v>3</v>
      </c>
      <c r="AW209" s="344">
        <f t="shared" si="272"/>
        <v>0</v>
      </c>
      <c r="AX209" s="290">
        <v>98</v>
      </c>
      <c r="AY209" s="344">
        <f t="shared" si="274"/>
        <v>93</v>
      </c>
      <c r="AZ209" s="424">
        <f t="shared" si="273"/>
        <v>0.94897959183673475</v>
      </c>
      <c r="BA209" s="358"/>
      <c r="BB209" s="385">
        <v>98</v>
      </c>
      <c r="BC209" s="379">
        <f t="shared" si="249"/>
        <v>0</v>
      </c>
      <c r="BD209" s="378">
        <f t="shared" si="250"/>
        <v>0</v>
      </c>
      <c r="BE209" s="381"/>
      <c r="BF209" s="378">
        <f t="shared" si="251"/>
        <v>98</v>
      </c>
    </row>
    <row r="210" spans="1:58" x14ac:dyDescent="0.35">
      <c r="A210" s="423" t="s">
        <v>49</v>
      </c>
      <c r="B210" s="426">
        <v>252610153</v>
      </c>
      <c r="C210" s="359" t="s">
        <v>1234</v>
      </c>
      <c r="D210" s="194" t="s">
        <v>8</v>
      </c>
      <c r="E210" s="215">
        <v>19</v>
      </c>
      <c r="F210" s="350"/>
      <c r="G210" s="350"/>
      <c r="H210" s="350"/>
      <c r="I210" s="326">
        <f t="shared" si="252"/>
        <v>0</v>
      </c>
      <c r="J210" s="326">
        <f t="shared" si="253"/>
        <v>19</v>
      </c>
      <c r="K210" s="327">
        <f t="shared" si="254"/>
        <v>1</v>
      </c>
      <c r="L210" s="221">
        <v>14</v>
      </c>
      <c r="M210" s="222"/>
      <c r="N210" s="222">
        <v>1</v>
      </c>
      <c r="O210" s="222">
        <v>1</v>
      </c>
      <c r="P210" s="328">
        <f t="shared" si="255"/>
        <v>2</v>
      </c>
      <c r="Q210" s="328">
        <f t="shared" si="256"/>
        <v>12</v>
      </c>
      <c r="R210" s="329">
        <f t="shared" si="257"/>
        <v>0.8571428571428571</v>
      </c>
      <c r="S210" s="225">
        <v>12</v>
      </c>
      <c r="T210" s="226"/>
      <c r="U210" s="226"/>
      <c r="V210" s="226"/>
      <c r="W210" s="330">
        <f t="shared" si="258"/>
        <v>0</v>
      </c>
      <c r="X210" s="330">
        <f t="shared" si="259"/>
        <v>12</v>
      </c>
      <c r="Y210" s="331">
        <f t="shared" si="260"/>
        <v>1</v>
      </c>
      <c r="Z210" s="228">
        <v>21</v>
      </c>
      <c r="AA210" s="255"/>
      <c r="AB210" s="255"/>
      <c r="AC210" s="255"/>
      <c r="AD210" s="280">
        <f t="shared" si="261"/>
        <v>0</v>
      </c>
      <c r="AE210" s="280">
        <f t="shared" si="262"/>
        <v>21</v>
      </c>
      <c r="AF210" s="281">
        <f t="shared" si="263"/>
        <v>1</v>
      </c>
      <c r="AG210" s="229">
        <v>18</v>
      </c>
      <c r="AH210" s="257"/>
      <c r="AI210" s="257"/>
      <c r="AJ210" s="257"/>
      <c r="AK210" s="305">
        <f t="shared" si="264"/>
        <v>0</v>
      </c>
      <c r="AL210" s="305">
        <f t="shared" si="265"/>
        <v>18</v>
      </c>
      <c r="AM210" s="306">
        <f t="shared" si="266"/>
        <v>1</v>
      </c>
      <c r="AN210" s="230">
        <v>14</v>
      </c>
      <c r="AO210" s="259"/>
      <c r="AP210" s="259"/>
      <c r="AQ210" s="259"/>
      <c r="AR210" s="307">
        <f t="shared" si="267"/>
        <v>0</v>
      </c>
      <c r="AS210" s="307">
        <f t="shared" si="268"/>
        <v>14</v>
      </c>
      <c r="AT210" s="308">
        <f t="shared" si="269"/>
        <v>1</v>
      </c>
      <c r="AU210" s="344">
        <f t="shared" si="270"/>
        <v>0</v>
      </c>
      <c r="AV210" s="344">
        <f t="shared" si="271"/>
        <v>1</v>
      </c>
      <c r="AW210" s="344">
        <f t="shared" si="272"/>
        <v>1</v>
      </c>
      <c r="AX210" s="290">
        <v>98</v>
      </c>
      <c r="AY210" s="344">
        <f t="shared" si="274"/>
        <v>96</v>
      </c>
      <c r="AZ210" s="424">
        <f t="shared" si="273"/>
        <v>0.97959183673469385</v>
      </c>
      <c r="BA210" s="358"/>
      <c r="BB210" s="385">
        <v>94</v>
      </c>
      <c r="BC210" s="379">
        <f t="shared" si="249"/>
        <v>0</v>
      </c>
      <c r="BD210" s="378">
        <f t="shared" si="250"/>
        <v>2</v>
      </c>
      <c r="BE210" s="381"/>
      <c r="BF210" s="378">
        <f t="shared" si="251"/>
        <v>92</v>
      </c>
    </row>
    <row r="211" spans="1:58" x14ac:dyDescent="0.35">
      <c r="A211" s="423" t="s">
        <v>50</v>
      </c>
      <c r="B211" s="426">
        <v>252610154</v>
      </c>
      <c r="C211" s="61" t="s">
        <v>1235</v>
      </c>
      <c r="D211" s="71" t="s">
        <v>8</v>
      </c>
      <c r="E211" s="215">
        <v>19</v>
      </c>
      <c r="F211" s="350"/>
      <c r="G211" s="350">
        <v>1</v>
      </c>
      <c r="H211" s="350"/>
      <c r="I211" s="326">
        <f t="shared" si="252"/>
        <v>1</v>
      </c>
      <c r="J211" s="326">
        <f t="shared" si="253"/>
        <v>18</v>
      </c>
      <c r="K211" s="327">
        <f t="shared" si="254"/>
        <v>0.94736842105263153</v>
      </c>
      <c r="L211" s="221">
        <v>14</v>
      </c>
      <c r="M211" s="222"/>
      <c r="N211" s="223"/>
      <c r="O211" s="222">
        <v>2</v>
      </c>
      <c r="P211" s="328">
        <f t="shared" si="255"/>
        <v>2</v>
      </c>
      <c r="Q211" s="328">
        <f t="shared" si="256"/>
        <v>12</v>
      </c>
      <c r="R211" s="329">
        <f t="shared" si="257"/>
        <v>0.8571428571428571</v>
      </c>
      <c r="S211" s="225">
        <v>12</v>
      </c>
      <c r="T211" s="226"/>
      <c r="U211" s="226"/>
      <c r="V211" s="226"/>
      <c r="W211" s="330">
        <f t="shared" si="258"/>
        <v>0</v>
      </c>
      <c r="X211" s="330">
        <f t="shared" si="259"/>
        <v>12</v>
      </c>
      <c r="Y211" s="331">
        <f t="shared" si="260"/>
        <v>1</v>
      </c>
      <c r="Z211" s="228">
        <v>21</v>
      </c>
      <c r="AA211" s="255"/>
      <c r="AB211" s="255"/>
      <c r="AC211" s="255"/>
      <c r="AD211" s="280">
        <f t="shared" si="261"/>
        <v>0</v>
      </c>
      <c r="AE211" s="280">
        <f t="shared" si="262"/>
        <v>21</v>
      </c>
      <c r="AF211" s="281">
        <f t="shared" si="263"/>
        <v>1</v>
      </c>
      <c r="AG211" s="229">
        <v>18</v>
      </c>
      <c r="AH211" s="257"/>
      <c r="AI211" s="257"/>
      <c r="AJ211" s="257"/>
      <c r="AK211" s="305">
        <f t="shared" si="264"/>
        <v>0</v>
      </c>
      <c r="AL211" s="305">
        <f t="shared" si="265"/>
        <v>18</v>
      </c>
      <c r="AM211" s="306">
        <f t="shared" si="266"/>
        <v>1</v>
      </c>
      <c r="AN211" s="230">
        <v>14</v>
      </c>
      <c r="AO211" s="259"/>
      <c r="AP211" s="259"/>
      <c r="AQ211" s="259"/>
      <c r="AR211" s="307">
        <f t="shared" si="267"/>
        <v>0</v>
      </c>
      <c r="AS211" s="307">
        <f t="shared" si="268"/>
        <v>14</v>
      </c>
      <c r="AT211" s="308">
        <f t="shared" si="269"/>
        <v>1</v>
      </c>
      <c r="AU211" s="344">
        <f t="shared" si="270"/>
        <v>0</v>
      </c>
      <c r="AV211" s="344">
        <f t="shared" si="271"/>
        <v>1</v>
      </c>
      <c r="AW211" s="344">
        <f t="shared" si="272"/>
        <v>2</v>
      </c>
      <c r="AX211" s="290">
        <v>98</v>
      </c>
      <c r="AY211" s="344">
        <f t="shared" si="274"/>
        <v>95</v>
      </c>
      <c r="AZ211" s="424">
        <f t="shared" si="273"/>
        <v>0.96938775510204078</v>
      </c>
      <c r="BA211" s="358"/>
      <c r="BB211" s="385">
        <v>100</v>
      </c>
      <c r="BC211" s="379">
        <f t="shared" si="249"/>
        <v>0</v>
      </c>
      <c r="BD211" s="378">
        <f t="shared" si="250"/>
        <v>4</v>
      </c>
      <c r="BE211" s="381"/>
      <c r="BF211" s="378">
        <f t="shared" si="251"/>
        <v>96</v>
      </c>
    </row>
    <row r="212" spans="1:58" x14ac:dyDescent="0.35">
      <c r="A212" s="423" t="s">
        <v>51</v>
      </c>
      <c r="B212" s="426">
        <v>252610155</v>
      </c>
      <c r="C212" s="61" t="s">
        <v>1236</v>
      </c>
      <c r="D212" s="71" t="s">
        <v>8</v>
      </c>
      <c r="E212" s="215">
        <v>19</v>
      </c>
      <c r="F212" s="350">
        <v>2</v>
      </c>
      <c r="G212" s="350">
        <v>3</v>
      </c>
      <c r="H212" s="350">
        <v>2</v>
      </c>
      <c r="I212" s="326">
        <f t="shared" si="252"/>
        <v>7</v>
      </c>
      <c r="J212" s="326">
        <f t="shared" si="253"/>
        <v>12</v>
      </c>
      <c r="K212" s="327">
        <f t="shared" si="254"/>
        <v>0.63157894736842102</v>
      </c>
      <c r="L212" s="221">
        <v>14</v>
      </c>
      <c r="M212" s="222"/>
      <c r="N212" s="222">
        <v>7</v>
      </c>
      <c r="O212" s="222">
        <v>2</v>
      </c>
      <c r="P212" s="328">
        <f t="shared" si="255"/>
        <v>9</v>
      </c>
      <c r="Q212" s="328">
        <f t="shared" si="256"/>
        <v>5</v>
      </c>
      <c r="R212" s="329">
        <f t="shared" si="257"/>
        <v>0.35714285714285715</v>
      </c>
      <c r="S212" s="225">
        <v>12</v>
      </c>
      <c r="T212" s="226"/>
      <c r="U212" s="226">
        <v>1</v>
      </c>
      <c r="V212" s="226">
        <v>1</v>
      </c>
      <c r="W212" s="330">
        <f t="shared" si="258"/>
        <v>2</v>
      </c>
      <c r="X212" s="330">
        <f t="shared" si="259"/>
        <v>10</v>
      </c>
      <c r="Y212" s="331">
        <f t="shared" si="260"/>
        <v>0.83333333333333337</v>
      </c>
      <c r="Z212" s="228">
        <v>21</v>
      </c>
      <c r="AA212" s="255"/>
      <c r="AB212" s="255"/>
      <c r="AC212" s="255"/>
      <c r="AD212" s="280">
        <f t="shared" si="261"/>
        <v>0</v>
      </c>
      <c r="AE212" s="280">
        <f t="shared" si="262"/>
        <v>21</v>
      </c>
      <c r="AF212" s="281">
        <f t="shared" si="263"/>
        <v>1</v>
      </c>
      <c r="AG212" s="229">
        <v>18</v>
      </c>
      <c r="AH212" s="257"/>
      <c r="AI212" s="257"/>
      <c r="AJ212" s="257"/>
      <c r="AK212" s="305">
        <f t="shared" si="264"/>
        <v>0</v>
      </c>
      <c r="AL212" s="305">
        <f t="shared" si="265"/>
        <v>18</v>
      </c>
      <c r="AM212" s="306">
        <f t="shared" si="266"/>
        <v>1</v>
      </c>
      <c r="AN212" s="230">
        <v>14</v>
      </c>
      <c r="AO212" s="259"/>
      <c r="AP212" s="259"/>
      <c r="AQ212" s="259"/>
      <c r="AR212" s="307">
        <f t="shared" si="267"/>
        <v>0</v>
      </c>
      <c r="AS212" s="307">
        <f t="shared" si="268"/>
        <v>14</v>
      </c>
      <c r="AT212" s="308">
        <f>AS212/AN212</f>
        <v>1</v>
      </c>
      <c r="AU212" s="344">
        <f t="shared" si="270"/>
        <v>2</v>
      </c>
      <c r="AV212" s="344">
        <f t="shared" si="271"/>
        <v>11</v>
      </c>
      <c r="AW212" s="344">
        <f t="shared" si="272"/>
        <v>5</v>
      </c>
      <c r="AX212" s="290">
        <v>98</v>
      </c>
      <c r="AY212" s="344">
        <f>AX212-AU212-AV212-AW212</f>
        <v>80</v>
      </c>
      <c r="AZ212" s="424">
        <f>AY212/AX212</f>
        <v>0.81632653061224492</v>
      </c>
      <c r="BA212" s="358"/>
      <c r="BB212" s="385">
        <v>82</v>
      </c>
      <c r="BC212" s="379">
        <f t="shared" si="249"/>
        <v>0</v>
      </c>
      <c r="BD212" s="378">
        <f t="shared" si="250"/>
        <v>10</v>
      </c>
      <c r="BE212" s="381"/>
      <c r="BF212" s="378">
        <f t="shared" si="251"/>
        <v>72</v>
      </c>
    </row>
    <row r="213" spans="1:58" x14ac:dyDescent="0.35">
      <c r="A213" s="423" t="s">
        <v>122</v>
      </c>
      <c r="B213" s="426">
        <v>252610156</v>
      </c>
      <c r="C213" s="37" t="s">
        <v>1237</v>
      </c>
      <c r="D213" s="427" t="s">
        <v>8</v>
      </c>
      <c r="E213" s="215">
        <v>19</v>
      </c>
      <c r="F213" s="350">
        <v>1</v>
      </c>
      <c r="G213" s="350"/>
      <c r="H213" s="350"/>
      <c r="I213" s="326">
        <f t="shared" si="252"/>
        <v>1</v>
      </c>
      <c r="J213" s="326">
        <f t="shared" si="253"/>
        <v>18</v>
      </c>
      <c r="K213" s="327">
        <f t="shared" si="254"/>
        <v>0.94736842105263153</v>
      </c>
      <c r="L213" s="221">
        <v>14</v>
      </c>
      <c r="M213" s="222">
        <v>3</v>
      </c>
      <c r="N213" s="223">
        <v>1</v>
      </c>
      <c r="O213" s="223"/>
      <c r="P213" s="328">
        <f t="shared" si="255"/>
        <v>4</v>
      </c>
      <c r="Q213" s="328">
        <f t="shared" si="256"/>
        <v>10</v>
      </c>
      <c r="R213" s="329">
        <f t="shared" si="257"/>
        <v>0.7142857142857143</v>
      </c>
      <c r="S213" s="225">
        <v>12</v>
      </c>
      <c r="T213" s="226"/>
      <c r="U213" s="226">
        <v>1</v>
      </c>
      <c r="V213" s="226"/>
      <c r="W213" s="330">
        <f t="shared" si="258"/>
        <v>1</v>
      </c>
      <c r="X213" s="330">
        <f t="shared" si="259"/>
        <v>11</v>
      </c>
      <c r="Y213" s="331">
        <f t="shared" si="260"/>
        <v>0.91666666666666663</v>
      </c>
      <c r="Z213" s="228">
        <v>21</v>
      </c>
      <c r="AA213" s="255"/>
      <c r="AB213" s="255"/>
      <c r="AC213" s="255"/>
      <c r="AD213" s="280">
        <f t="shared" si="261"/>
        <v>0</v>
      </c>
      <c r="AE213" s="280">
        <f t="shared" si="262"/>
        <v>21</v>
      </c>
      <c r="AF213" s="281">
        <f t="shared" si="263"/>
        <v>1</v>
      </c>
      <c r="AG213" s="229">
        <v>18</v>
      </c>
      <c r="AH213" s="257"/>
      <c r="AI213" s="257"/>
      <c r="AJ213" s="257"/>
      <c r="AK213" s="305">
        <f t="shared" si="264"/>
        <v>0</v>
      </c>
      <c r="AL213" s="305">
        <f t="shared" si="265"/>
        <v>18</v>
      </c>
      <c r="AM213" s="306">
        <f t="shared" si="266"/>
        <v>1</v>
      </c>
      <c r="AN213" s="230">
        <v>14</v>
      </c>
      <c r="AO213" s="259"/>
      <c r="AP213" s="259"/>
      <c r="AQ213" s="259"/>
      <c r="AR213" s="307">
        <f t="shared" si="267"/>
        <v>0</v>
      </c>
      <c r="AS213" s="307">
        <f t="shared" si="268"/>
        <v>14</v>
      </c>
      <c r="AT213" s="308">
        <f t="shared" si="269"/>
        <v>1</v>
      </c>
      <c r="AU213" s="344">
        <f t="shared" si="270"/>
        <v>4</v>
      </c>
      <c r="AV213" s="344">
        <f t="shared" si="271"/>
        <v>2</v>
      </c>
      <c r="AW213" s="344">
        <f t="shared" si="272"/>
        <v>0</v>
      </c>
      <c r="AX213" s="290">
        <v>98</v>
      </c>
      <c r="AY213" s="344">
        <f t="shared" si="274"/>
        <v>92</v>
      </c>
      <c r="AZ213" s="424">
        <f t="shared" si="273"/>
        <v>0.93877551020408168</v>
      </c>
      <c r="BA213" s="358"/>
      <c r="BB213" s="385">
        <v>94</v>
      </c>
      <c r="BC213" s="379">
        <f t="shared" si="249"/>
        <v>0</v>
      </c>
      <c r="BD213" s="378">
        <f t="shared" si="250"/>
        <v>0</v>
      </c>
      <c r="BE213" s="381"/>
      <c r="BF213" s="378">
        <f t="shared" si="251"/>
        <v>94</v>
      </c>
    </row>
    <row r="214" spans="1:58" x14ac:dyDescent="0.35">
      <c r="A214" s="423" t="s">
        <v>123</v>
      </c>
      <c r="B214" s="426">
        <v>252610157</v>
      </c>
      <c r="C214" s="37" t="s">
        <v>1238</v>
      </c>
      <c r="D214" s="38" t="s">
        <v>6</v>
      </c>
      <c r="E214" s="215">
        <v>19</v>
      </c>
      <c r="F214" s="350"/>
      <c r="G214" s="350"/>
      <c r="H214" s="350"/>
      <c r="I214" s="326">
        <f t="shared" si="252"/>
        <v>0</v>
      </c>
      <c r="J214" s="326">
        <f t="shared" si="253"/>
        <v>19</v>
      </c>
      <c r="K214" s="327">
        <f t="shared" si="254"/>
        <v>1</v>
      </c>
      <c r="L214" s="221">
        <v>14</v>
      </c>
      <c r="M214" s="222"/>
      <c r="N214" s="222"/>
      <c r="O214" s="222"/>
      <c r="P214" s="328">
        <f t="shared" si="255"/>
        <v>0</v>
      </c>
      <c r="Q214" s="328">
        <f t="shared" si="256"/>
        <v>14</v>
      </c>
      <c r="R214" s="329">
        <f t="shared" si="257"/>
        <v>1</v>
      </c>
      <c r="S214" s="225">
        <v>12</v>
      </c>
      <c r="T214" s="226"/>
      <c r="U214" s="226"/>
      <c r="V214" s="226"/>
      <c r="W214" s="330">
        <f t="shared" si="258"/>
        <v>0</v>
      </c>
      <c r="X214" s="330">
        <f t="shared" si="259"/>
        <v>12</v>
      </c>
      <c r="Y214" s="331">
        <f t="shared" si="260"/>
        <v>1</v>
      </c>
      <c r="Z214" s="228">
        <v>21</v>
      </c>
      <c r="AA214" s="255"/>
      <c r="AB214" s="255"/>
      <c r="AC214" s="255"/>
      <c r="AD214" s="280">
        <f t="shared" si="261"/>
        <v>0</v>
      </c>
      <c r="AE214" s="280">
        <f t="shared" si="262"/>
        <v>21</v>
      </c>
      <c r="AF214" s="281">
        <f t="shared" si="263"/>
        <v>1</v>
      </c>
      <c r="AG214" s="229">
        <v>18</v>
      </c>
      <c r="AH214" s="257"/>
      <c r="AI214" s="257"/>
      <c r="AJ214" s="257"/>
      <c r="AK214" s="305">
        <f t="shared" si="264"/>
        <v>0</v>
      </c>
      <c r="AL214" s="305">
        <f t="shared" si="265"/>
        <v>18</v>
      </c>
      <c r="AM214" s="306">
        <f t="shared" si="266"/>
        <v>1</v>
      </c>
      <c r="AN214" s="230">
        <v>14</v>
      </c>
      <c r="AO214" s="259"/>
      <c r="AP214" s="259"/>
      <c r="AQ214" s="259"/>
      <c r="AR214" s="307">
        <f t="shared" si="267"/>
        <v>0</v>
      </c>
      <c r="AS214" s="307">
        <f t="shared" si="268"/>
        <v>14</v>
      </c>
      <c r="AT214" s="308">
        <f t="shared" si="269"/>
        <v>1</v>
      </c>
      <c r="AU214" s="344">
        <f t="shared" si="270"/>
        <v>0</v>
      </c>
      <c r="AV214" s="344">
        <f t="shared" si="271"/>
        <v>0</v>
      </c>
      <c r="AW214" s="344">
        <f t="shared" si="272"/>
        <v>0</v>
      </c>
      <c r="AX214" s="290">
        <v>98</v>
      </c>
      <c r="AY214" s="344">
        <f t="shared" si="274"/>
        <v>98</v>
      </c>
      <c r="AZ214" s="424">
        <f t="shared" si="273"/>
        <v>1</v>
      </c>
      <c r="BA214" s="358"/>
      <c r="BB214" s="385">
        <v>96</v>
      </c>
      <c r="BC214" s="379">
        <f t="shared" si="249"/>
        <v>0</v>
      </c>
      <c r="BD214" s="378">
        <f t="shared" si="250"/>
        <v>0</v>
      </c>
      <c r="BE214" s="381"/>
      <c r="BF214" s="378">
        <f t="shared" si="251"/>
        <v>96</v>
      </c>
    </row>
    <row r="215" spans="1:58" x14ac:dyDescent="0.35">
      <c r="A215" s="423" t="s">
        <v>124</v>
      </c>
      <c r="B215" s="426">
        <v>252610158</v>
      </c>
      <c r="C215" s="37" t="s">
        <v>1239</v>
      </c>
      <c r="D215" s="38" t="s">
        <v>6</v>
      </c>
      <c r="E215" s="215">
        <v>19</v>
      </c>
      <c r="F215" s="350"/>
      <c r="G215" s="350"/>
      <c r="H215" s="350"/>
      <c r="I215" s="326">
        <f t="shared" si="252"/>
        <v>0</v>
      </c>
      <c r="J215" s="326">
        <f t="shared" si="253"/>
        <v>19</v>
      </c>
      <c r="K215" s="327">
        <f t="shared" si="254"/>
        <v>1</v>
      </c>
      <c r="L215" s="221">
        <v>14</v>
      </c>
      <c r="M215" s="222">
        <v>2</v>
      </c>
      <c r="N215" s="223"/>
      <c r="O215" s="222"/>
      <c r="P215" s="328">
        <f t="shared" si="255"/>
        <v>2</v>
      </c>
      <c r="Q215" s="328">
        <f t="shared" si="256"/>
        <v>12</v>
      </c>
      <c r="R215" s="329">
        <f t="shared" si="257"/>
        <v>0.8571428571428571</v>
      </c>
      <c r="S215" s="225">
        <v>12</v>
      </c>
      <c r="T215" s="226">
        <v>1</v>
      </c>
      <c r="U215" s="226"/>
      <c r="V215" s="226"/>
      <c r="W215" s="330">
        <f t="shared" si="258"/>
        <v>1</v>
      </c>
      <c r="X215" s="330">
        <f t="shared" si="259"/>
        <v>11</v>
      </c>
      <c r="Y215" s="331">
        <f t="shared" si="260"/>
        <v>0.91666666666666663</v>
      </c>
      <c r="Z215" s="228">
        <v>21</v>
      </c>
      <c r="AA215" s="255"/>
      <c r="AB215" s="255"/>
      <c r="AC215" s="255"/>
      <c r="AD215" s="280">
        <f t="shared" si="261"/>
        <v>0</v>
      </c>
      <c r="AE215" s="280">
        <f t="shared" si="262"/>
        <v>21</v>
      </c>
      <c r="AF215" s="281">
        <f t="shared" si="263"/>
        <v>1</v>
      </c>
      <c r="AG215" s="229">
        <v>18</v>
      </c>
      <c r="AH215" s="257"/>
      <c r="AI215" s="257"/>
      <c r="AJ215" s="257"/>
      <c r="AK215" s="305">
        <f t="shared" si="264"/>
        <v>0</v>
      </c>
      <c r="AL215" s="305">
        <f t="shared" si="265"/>
        <v>18</v>
      </c>
      <c r="AM215" s="306">
        <f t="shared" si="266"/>
        <v>1</v>
      </c>
      <c r="AN215" s="230">
        <v>14</v>
      </c>
      <c r="AO215" s="259"/>
      <c r="AP215" s="259"/>
      <c r="AQ215" s="259"/>
      <c r="AR215" s="307">
        <f t="shared" si="267"/>
        <v>0</v>
      </c>
      <c r="AS215" s="307">
        <f t="shared" si="268"/>
        <v>14</v>
      </c>
      <c r="AT215" s="308">
        <f t="shared" si="269"/>
        <v>1</v>
      </c>
      <c r="AU215" s="344">
        <f t="shared" si="270"/>
        <v>3</v>
      </c>
      <c r="AV215" s="344">
        <f t="shared" si="271"/>
        <v>0</v>
      </c>
      <c r="AW215" s="344">
        <f t="shared" si="272"/>
        <v>0</v>
      </c>
      <c r="AX215" s="290">
        <v>98</v>
      </c>
      <c r="AY215" s="344">
        <f t="shared" si="274"/>
        <v>95</v>
      </c>
      <c r="AZ215" s="424">
        <f t="shared" si="273"/>
        <v>0.96938775510204078</v>
      </c>
      <c r="BA215" s="358"/>
      <c r="BB215" s="385">
        <v>94</v>
      </c>
      <c r="BC215" s="379">
        <f t="shared" si="249"/>
        <v>0</v>
      </c>
      <c r="BD215" s="378">
        <f t="shared" si="250"/>
        <v>0</v>
      </c>
      <c r="BE215" s="381"/>
      <c r="BF215" s="378">
        <f t="shared" si="251"/>
        <v>94</v>
      </c>
    </row>
    <row r="216" spans="1:58" x14ac:dyDescent="0.35">
      <c r="A216" s="193" t="s">
        <v>125</v>
      </c>
      <c r="B216" s="33">
        <v>252610159</v>
      </c>
      <c r="C216" s="56" t="s">
        <v>1240</v>
      </c>
      <c r="D216" s="35" t="s">
        <v>6</v>
      </c>
      <c r="E216" s="215">
        <v>19</v>
      </c>
      <c r="F216" s="350"/>
      <c r="G216" s="350">
        <v>1</v>
      </c>
      <c r="H216" s="350"/>
      <c r="I216" s="326">
        <f t="shared" si="252"/>
        <v>1</v>
      </c>
      <c r="J216" s="326">
        <f t="shared" si="253"/>
        <v>18</v>
      </c>
      <c r="K216" s="327">
        <f t="shared" si="254"/>
        <v>0.94736842105263153</v>
      </c>
      <c r="L216" s="221">
        <v>14</v>
      </c>
      <c r="M216" s="223">
        <v>1</v>
      </c>
      <c r="N216" s="223">
        <v>1</v>
      </c>
      <c r="O216" s="222"/>
      <c r="P216" s="328">
        <f t="shared" si="255"/>
        <v>2</v>
      </c>
      <c r="Q216" s="328">
        <f t="shared" si="256"/>
        <v>12</v>
      </c>
      <c r="R216" s="329">
        <f t="shared" si="257"/>
        <v>0.8571428571428571</v>
      </c>
      <c r="S216" s="225">
        <v>12</v>
      </c>
      <c r="T216" s="226"/>
      <c r="U216" s="226"/>
      <c r="V216" s="226"/>
      <c r="W216" s="330">
        <f t="shared" si="258"/>
        <v>0</v>
      </c>
      <c r="X216" s="330">
        <f t="shared" si="259"/>
        <v>12</v>
      </c>
      <c r="Y216" s="331">
        <f t="shared" si="260"/>
        <v>1</v>
      </c>
      <c r="Z216" s="228">
        <v>21</v>
      </c>
      <c r="AA216" s="255"/>
      <c r="AB216" s="255"/>
      <c r="AC216" s="255"/>
      <c r="AD216" s="280">
        <f t="shared" si="261"/>
        <v>0</v>
      </c>
      <c r="AE216" s="280">
        <f t="shared" si="262"/>
        <v>21</v>
      </c>
      <c r="AF216" s="281">
        <f t="shared" si="263"/>
        <v>1</v>
      </c>
      <c r="AG216" s="229">
        <v>18</v>
      </c>
      <c r="AH216" s="257"/>
      <c r="AI216" s="257"/>
      <c r="AJ216" s="257"/>
      <c r="AK216" s="305">
        <f t="shared" si="264"/>
        <v>0</v>
      </c>
      <c r="AL216" s="305">
        <f t="shared" si="265"/>
        <v>18</v>
      </c>
      <c r="AM216" s="306">
        <f t="shared" si="266"/>
        <v>1</v>
      </c>
      <c r="AN216" s="230">
        <v>14</v>
      </c>
      <c r="AO216" s="259"/>
      <c r="AP216" s="259"/>
      <c r="AQ216" s="259"/>
      <c r="AR216" s="307">
        <f t="shared" si="267"/>
        <v>0</v>
      </c>
      <c r="AS216" s="307">
        <f t="shared" si="268"/>
        <v>14</v>
      </c>
      <c r="AT216" s="308">
        <f t="shared" si="269"/>
        <v>1</v>
      </c>
      <c r="AU216" s="344">
        <f t="shared" si="270"/>
        <v>1</v>
      </c>
      <c r="AV216" s="344">
        <f t="shared" si="271"/>
        <v>2</v>
      </c>
      <c r="AW216" s="344">
        <f t="shared" si="272"/>
        <v>0</v>
      </c>
      <c r="AX216" s="290">
        <v>98</v>
      </c>
      <c r="AY216" s="344">
        <f t="shared" si="274"/>
        <v>95</v>
      </c>
      <c r="AZ216" s="424">
        <f t="shared" si="273"/>
        <v>0.96938775510204078</v>
      </c>
      <c r="BA216" s="358"/>
      <c r="BB216" s="385">
        <v>98</v>
      </c>
      <c r="BC216" s="379">
        <f t="shared" si="249"/>
        <v>0</v>
      </c>
      <c r="BD216" s="378">
        <f t="shared" si="250"/>
        <v>0</v>
      </c>
      <c r="BE216" s="381"/>
      <c r="BF216" s="378">
        <f>BB216-BC216-BD216-BE216</f>
        <v>98</v>
      </c>
    </row>
    <row r="217" spans="1:58" x14ac:dyDescent="0.35">
      <c r="A217" s="193"/>
      <c r="B217" s="35"/>
      <c r="C217" s="51"/>
      <c r="D217" s="42"/>
      <c r="E217" s="215"/>
      <c r="F217" s="350"/>
      <c r="G217" s="350"/>
      <c r="H217" s="350"/>
      <c r="I217" s="326"/>
      <c r="J217" s="326"/>
      <c r="K217" s="327"/>
      <c r="L217" s="221"/>
      <c r="M217" s="222"/>
      <c r="N217" s="223"/>
      <c r="O217" s="222"/>
      <c r="P217" s="328"/>
      <c r="Q217" s="328"/>
      <c r="R217" s="329"/>
      <c r="S217" s="225"/>
      <c r="T217" s="226"/>
      <c r="U217" s="226"/>
      <c r="V217" s="226"/>
      <c r="W217" s="330"/>
      <c r="X217" s="330"/>
      <c r="Y217" s="331"/>
      <c r="Z217" s="228"/>
      <c r="AA217" s="255"/>
      <c r="AB217" s="255"/>
      <c r="AC217" s="255"/>
      <c r="AD217" s="280"/>
      <c r="AE217" s="280"/>
      <c r="AF217" s="281"/>
      <c r="AG217" s="229"/>
      <c r="AH217" s="257"/>
      <c r="AI217" s="257"/>
      <c r="AJ217" s="257"/>
      <c r="AK217" s="305"/>
      <c r="AL217" s="305"/>
      <c r="AM217" s="306"/>
      <c r="AN217" s="230"/>
      <c r="AO217" s="259"/>
      <c r="AP217" s="259"/>
      <c r="AQ217" s="259"/>
      <c r="AR217" s="307"/>
      <c r="AS217" s="307"/>
      <c r="AT217" s="308"/>
      <c r="AU217" s="289"/>
      <c r="AV217" s="289"/>
      <c r="AW217" s="289"/>
      <c r="AX217" s="290"/>
      <c r="AY217" s="289"/>
      <c r="AZ217" s="291"/>
      <c r="BA217" s="358"/>
      <c r="BB217" s="385"/>
      <c r="BC217" s="379"/>
      <c r="BD217" s="378"/>
      <c r="BE217" s="381"/>
      <c r="BF217" s="378"/>
    </row>
    <row r="218" spans="1:58" x14ac:dyDescent="0.35">
      <c r="A218" s="193"/>
      <c r="B218" s="35"/>
      <c r="C218" s="51"/>
      <c r="D218" s="42"/>
      <c r="E218" s="215"/>
      <c r="F218" s="350"/>
      <c r="G218" s="350"/>
      <c r="H218" s="350"/>
      <c r="I218" s="326"/>
      <c r="J218" s="326"/>
      <c r="K218" s="327"/>
      <c r="L218" s="221"/>
      <c r="M218" s="222"/>
      <c r="N218" s="223"/>
      <c r="O218" s="222"/>
      <c r="P218" s="328"/>
      <c r="Q218" s="328"/>
      <c r="R218" s="329"/>
      <c r="S218" s="225"/>
      <c r="T218" s="226"/>
      <c r="U218" s="226"/>
      <c r="V218" s="226"/>
      <c r="W218" s="330"/>
      <c r="X218" s="330"/>
      <c r="Y218" s="331"/>
      <c r="Z218" s="228"/>
      <c r="AA218" s="255"/>
      <c r="AB218" s="255"/>
      <c r="AC218" s="255"/>
      <c r="AD218" s="280"/>
      <c r="AE218" s="280"/>
      <c r="AF218" s="281"/>
      <c r="AG218" s="229"/>
      <c r="AH218" s="257"/>
      <c r="AI218" s="257"/>
      <c r="AJ218" s="257"/>
      <c r="AK218" s="305"/>
      <c r="AL218" s="305"/>
      <c r="AM218" s="306"/>
      <c r="AN218" s="230"/>
      <c r="AO218" s="259"/>
      <c r="AP218" s="259"/>
      <c r="AQ218" s="259"/>
      <c r="AR218" s="307"/>
      <c r="AS218" s="307"/>
      <c r="AT218" s="308"/>
      <c r="AU218" s="289"/>
      <c r="AV218" s="289"/>
      <c r="AW218" s="289"/>
      <c r="AX218" s="290"/>
      <c r="AY218" s="289"/>
      <c r="AZ218" s="291"/>
      <c r="BA218" s="358"/>
      <c r="BB218" s="385"/>
      <c r="BC218" s="379"/>
      <c r="BD218" s="378"/>
      <c r="BE218" s="381"/>
      <c r="BF218" s="378"/>
    </row>
    <row r="219" spans="1:58" x14ac:dyDescent="0.35">
      <c r="A219" s="193"/>
      <c r="B219" s="35"/>
      <c r="C219" s="51"/>
      <c r="D219" s="42"/>
      <c r="E219" s="215"/>
      <c r="F219" s="350"/>
      <c r="G219" s="350"/>
      <c r="H219" s="350"/>
      <c r="I219" s="326"/>
      <c r="J219" s="326"/>
      <c r="K219" s="327"/>
      <c r="L219" s="221"/>
      <c r="M219" s="222"/>
      <c r="N219" s="223"/>
      <c r="O219" s="222"/>
      <c r="P219" s="328"/>
      <c r="Q219" s="328"/>
      <c r="R219" s="329"/>
      <c r="S219" s="225"/>
      <c r="T219" s="226"/>
      <c r="U219" s="226"/>
      <c r="V219" s="226"/>
      <c r="W219" s="330"/>
      <c r="X219" s="330"/>
      <c r="Y219" s="331"/>
      <c r="Z219" s="228"/>
      <c r="AA219" s="255"/>
      <c r="AB219" s="255"/>
      <c r="AC219" s="255"/>
      <c r="AD219" s="280"/>
      <c r="AE219" s="280"/>
      <c r="AF219" s="281"/>
      <c r="AG219" s="229"/>
      <c r="AH219" s="257"/>
      <c r="AI219" s="257"/>
      <c r="AJ219" s="257"/>
      <c r="AK219" s="305"/>
      <c r="AL219" s="305"/>
      <c r="AM219" s="306"/>
      <c r="AN219" s="230"/>
      <c r="AO219" s="259"/>
      <c r="AP219" s="259"/>
      <c r="AQ219" s="259"/>
      <c r="AR219" s="307"/>
      <c r="AS219" s="307"/>
      <c r="AT219" s="308"/>
      <c r="AU219" s="289"/>
      <c r="AV219" s="289"/>
      <c r="AW219" s="289"/>
      <c r="AX219" s="290"/>
      <c r="AY219" s="289"/>
      <c r="AZ219" s="291"/>
      <c r="BA219" s="358"/>
      <c r="BB219" s="385"/>
      <c r="BC219" s="379"/>
      <c r="BD219" s="378"/>
      <c r="BE219" s="381"/>
      <c r="BF219" s="378"/>
    </row>
    <row r="220" spans="1:58" x14ac:dyDescent="0.35">
      <c r="A220" s="193"/>
      <c r="B220" s="35"/>
      <c r="C220" s="61"/>
      <c r="D220" s="52"/>
      <c r="E220" s="215"/>
      <c r="F220" s="350"/>
      <c r="G220" s="350"/>
      <c r="H220" s="350"/>
      <c r="I220" s="326"/>
      <c r="J220" s="326"/>
      <c r="K220" s="327"/>
      <c r="L220" s="221"/>
      <c r="M220" s="222"/>
      <c r="N220" s="222"/>
      <c r="O220" s="222"/>
      <c r="P220" s="328"/>
      <c r="Q220" s="328"/>
      <c r="R220" s="329"/>
      <c r="S220" s="225"/>
      <c r="T220" s="226"/>
      <c r="U220" s="226"/>
      <c r="V220" s="226"/>
      <c r="W220" s="330"/>
      <c r="X220" s="330"/>
      <c r="Y220" s="331"/>
      <c r="Z220" s="228"/>
      <c r="AA220" s="255"/>
      <c r="AB220" s="255"/>
      <c r="AC220" s="255"/>
      <c r="AD220" s="280"/>
      <c r="AE220" s="280"/>
      <c r="AF220" s="281"/>
      <c r="AG220" s="229"/>
      <c r="AH220" s="257"/>
      <c r="AI220" s="257"/>
      <c r="AJ220" s="257"/>
      <c r="AK220" s="305"/>
      <c r="AL220" s="305"/>
      <c r="AM220" s="306"/>
      <c r="AN220" s="230"/>
      <c r="AO220" s="259"/>
      <c r="AP220" s="259"/>
      <c r="AQ220" s="259"/>
      <c r="AR220" s="307"/>
      <c r="AS220" s="307"/>
      <c r="AT220" s="308"/>
      <c r="AU220" s="289"/>
      <c r="AV220" s="289"/>
      <c r="AW220" s="289"/>
      <c r="AX220" s="290"/>
      <c r="AY220" s="289"/>
      <c r="AZ220" s="291"/>
      <c r="BA220" s="358"/>
      <c r="BB220" s="385"/>
      <c r="BC220" s="379"/>
      <c r="BD220" s="378"/>
      <c r="BE220" s="381"/>
      <c r="BF220" s="378"/>
    </row>
    <row r="221" spans="1:58" x14ac:dyDescent="0.35">
      <c r="A221" s="193"/>
      <c r="B221" s="360"/>
      <c r="C221" s="360"/>
      <c r="D221" s="42"/>
      <c r="E221" s="215"/>
      <c r="F221" s="217"/>
      <c r="G221" s="217"/>
      <c r="H221" s="217"/>
      <c r="I221" s="326"/>
      <c r="J221" s="326"/>
      <c r="K221" s="327"/>
      <c r="L221" s="221"/>
      <c r="M221" s="222"/>
      <c r="N221" s="222"/>
      <c r="O221" s="222"/>
      <c r="P221" s="328"/>
      <c r="Q221" s="328"/>
      <c r="R221" s="329"/>
      <c r="S221" s="225"/>
      <c r="T221" s="226"/>
      <c r="U221" s="226"/>
      <c r="V221" s="226"/>
      <c r="W221" s="330"/>
      <c r="X221" s="330"/>
      <c r="Y221" s="331"/>
      <c r="Z221" s="228"/>
      <c r="AA221" s="255"/>
      <c r="AB221" s="255"/>
      <c r="AC221" s="255"/>
      <c r="AD221" s="280"/>
      <c r="AE221" s="280"/>
      <c r="AF221" s="281"/>
      <c r="AG221" s="229"/>
      <c r="AH221" s="257"/>
      <c r="AI221" s="257"/>
      <c r="AJ221" s="257"/>
      <c r="AK221" s="305"/>
      <c r="AL221" s="305"/>
      <c r="AM221" s="306"/>
      <c r="AN221" s="230"/>
      <c r="AO221" s="259"/>
      <c r="AP221" s="259"/>
      <c r="AQ221" s="259"/>
      <c r="AR221" s="307"/>
      <c r="AS221" s="307"/>
      <c r="AT221" s="308"/>
      <c r="AU221" s="289"/>
      <c r="AV221" s="289"/>
      <c r="AW221" s="289"/>
      <c r="AX221" s="290"/>
      <c r="AY221" s="289"/>
      <c r="AZ221" s="291"/>
      <c r="BA221" s="289"/>
      <c r="BB221" s="385"/>
      <c r="BC221" s="379"/>
      <c r="BD221" s="378"/>
      <c r="BE221" s="381"/>
      <c r="BF221" s="378"/>
    </row>
    <row r="222" spans="1:58" s="341" customFormat="1" x14ac:dyDescent="0.35">
      <c r="A222" s="232"/>
      <c r="D222" s="233"/>
      <c r="E222" s="233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315"/>
      <c r="BC222" s="205"/>
      <c r="BD222" s="205"/>
      <c r="BE222" s="287"/>
      <c r="BF222" s="205"/>
    </row>
    <row r="223" spans="1:58" s="341" customFormat="1" x14ac:dyDescent="0.35"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87"/>
      <c r="BF223" s="287"/>
    </row>
    <row r="224" spans="1:58" s="341" customFormat="1" ht="16" thickBot="1" x14ac:dyDescent="0.4">
      <c r="A224" s="342" t="s">
        <v>229</v>
      </c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87"/>
      <c r="BF224" s="287"/>
    </row>
    <row r="225" spans="1:58" ht="25" customHeight="1" thickBot="1" x14ac:dyDescent="0.4">
      <c r="A225" s="447" t="s">
        <v>1072</v>
      </c>
      <c r="B225" s="447" t="s">
        <v>2</v>
      </c>
      <c r="C225" s="448" t="s">
        <v>1606</v>
      </c>
      <c r="D225" s="448" t="s">
        <v>4</v>
      </c>
      <c r="E225" s="431" t="s">
        <v>1612</v>
      </c>
      <c r="F225" s="431"/>
      <c r="G225" s="431"/>
      <c r="H225" s="431"/>
      <c r="I225" s="431"/>
      <c r="J225" s="431"/>
      <c r="K225" s="431"/>
      <c r="L225" s="432" t="s">
        <v>1613</v>
      </c>
      <c r="M225" s="432"/>
      <c r="N225" s="432"/>
      <c r="O225" s="432"/>
      <c r="P225" s="432"/>
      <c r="Q225" s="432"/>
      <c r="R225" s="432"/>
      <c r="S225" s="433" t="s">
        <v>1614</v>
      </c>
      <c r="T225" s="433"/>
      <c r="U225" s="433"/>
      <c r="V225" s="433"/>
      <c r="W225" s="433"/>
      <c r="X225" s="433"/>
      <c r="Y225" s="433"/>
      <c r="Z225" s="434" t="s">
        <v>1615</v>
      </c>
      <c r="AA225" s="434"/>
      <c r="AB225" s="434"/>
      <c r="AC225" s="434"/>
      <c r="AD225" s="434"/>
      <c r="AE225" s="434"/>
      <c r="AF225" s="434"/>
      <c r="AG225" s="435" t="s">
        <v>1616</v>
      </c>
      <c r="AH225" s="435"/>
      <c r="AI225" s="435"/>
      <c r="AJ225" s="435"/>
      <c r="AK225" s="435"/>
      <c r="AL225" s="435"/>
      <c r="AM225" s="435"/>
      <c r="AN225" s="436" t="s">
        <v>1617</v>
      </c>
      <c r="AO225" s="436"/>
      <c r="AP225" s="436"/>
      <c r="AQ225" s="436"/>
      <c r="AR225" s="436"/>
      <c r="AS225" s="436"/>
      <c r="AT225" s="436"/>
      <c r="AU225" s="438" t="s">
        <v>224</v>
      </c>
      <c r="AV225" s="438"/>
      <c r="AW225" s="438"/>
      <c r="AX225" s="437" t="s">
        <v>1602</v>
      </c>
      <c r="AY225" s="437" t="s">
        <v>1603</v>
      </c>
      <c r="AZ225" s="437" t="s">
        <v>1604</v>
      </c>
      <c r="BA225" s="443" t="s">
        <v>1076</v>
      </c>
      <c r="BB225" s="428" t="s">
        <v>883</v>
      </c>
      <c r="BC225" s="428" t="s">
        <v>880</v>
      </c>
      <c r="BD225" s="428"/>
      <c r="BE225" s="428"/>
      <c r="BF225" s="454" t="s">
        <v>884</v>
      </c>
    </row>
    <row r="226" spans="1:58" ht="55" customHeight="1" thickBot="1" x14ac:dyDescent="0.4">
      <c r="A226" s="447"/>
      <c r="B226" s="447"/>
      <c r="C226" s="448"/>
      <c r="D226" s="448"/>
      <c r="E226" s="235" t="s">
        <v>1598</v>
      </c>
      <c r="F226" s="236" t="s">
        <v>20</v>
      </c>
      <c r="G226" s="236" t="s">
        <v>19</v>
      </c>
      <c r="H226" s="236" t="s">
        <v>52</v>
      </c>
      <c r="I226" s="237" t="s">
        <v>1599</v>
      </c>
      <c r="J226" s="237" t="s">
        <v>1600</v>
      </c>
      <c r="K226" s="237" t="s">
        <v>1601</v>
      </c>
      <c r="L226" s="202" t="s">
        <v>1598</v>
      </c>
      <c r="M226" s="206" t="s">
        <v>20</v>
      </c>
      <c r="N226" s="206" t="s">
        <v>19</v>
      </c>
      <c r="O226" s="206" t="s">
        <v>52</v>
      </c>
      <c r="P226" s="207" t="s">
        <v>1599</v>
      </c>
      <c r="Q226" s="207" t="s">
        <v>1600</v>
      </c>
      <c r="R226" s="207" t="s">
        <v>1601</v>
      </c>
      <c r="S226" s="238" t="s">
        <v>1598</v>
      </c>
      <c r="T226" s="239" t="s">
        <v>20</v>
      </c>
      <c r="U226" s="239" t="s">
        <v>19</v>
      </c>
      <c r="V226" s="239" t="s">
        <v>52</v>
      </c>
      <c r="W226" s="224" t="s">
        <v>1599</v>
      </c>
      <c r="X226" s="224" t="s">
        <v>1600</v>
      </c>
      <c r="Y226" s="224" t="s">
        <v>1601</v>
      </c>
      <c r="Z226" s="240" t="s">
        <v>1598</v>
      </c>
      <c r="AA226" s="241" t="s">
        <v>20</v>
      </c>
      <c r="AB226" s="241" t="s">
        <v>19</v>
      </c>
      <c r="AC226" s="241" t="s">
        <v>52</v>
      </c>
      <c r="AD226" s="208" t="s">
        <v>1599</v>
      </c>
      <c r="AE226" s="208" t="s">
        <v>1600</v>
      </c>
      <c r="AF226" s="208" t="s">
        <v>1601</v>
      </c>
      <c r="AG226" s="209" t="s">
        <v>1598</v>
      </c>
      <c r="AH226" s="210" t="s">
        <v>20</v>
      </c>
      <c r="AI226" s="210" t="s">
        <v>19</v>
      </c>
      <c r="AJ226" s="210" t="s">
        <v>52</v>
      </c>
      <c r="AK226" s="211" t="s">
        <v>1599</v>
      </c>
      <c r="AL226" s="211" t="s">
        <v>1600</v>
      </c>
      <c r="AM226" s="211" t="s">
        <v>1601</v>
      </c>
      <c r="AN226" s="212" t="s">
        <v>1598</v>
      </c>
      <c r="AO226" s="213" t="s">
        <v>20</v>
      </c>
      <c r="AP226" s="213" t="s">
        <v>19</v>
      </c>
      <c r="AQ226" s="213" t="s">
        <v>52</v>
      </c>
      <c r="AR226" s="214" t="s">
        <v>1599</v>
      </c>
      <c r="AS226" s="214" t="s">
        <v>1600</v>
      </c>
      <c r="AT226" s="214" t="s">
        <v>1601</v>
      </c>
      <c r="AU226" s="203" t="s">
        <v>20</v>
      </c>
      <c r="AV226" s="204" t="s">
        <v>19</v>
      </c>
      <c r="AW226" s="204" t="s">
        <v>52</v>
      </c>
      <c r="AX226" s="437"/>
      <c r="AY226" s="437"/>
      <c r="AZ226" s="437"/>
      <c r="BA226" s="444"/>
      <c r="BB226" s="428"/>
      <c r="BC226" s="375" t="s">
        <v>881</v>
      </c>
      <c r="BD226" s="377" t="s">
        <v>885</v>
      </c>
      <c r="BE226" s="376" t="s">
        <v>882</v>
      </c>
      <c r="BF226" s="454"/>
    </row>
    <row r="227" spans="1:58" x14ac:dyDescent="0.35">
      <c r="A227" s="193" t="s">
        <v>21</v>
      </c>
      <c r="B227" s="35">
        <v>252610160</v>
      </c>
      <c r="C227" s="345" t="s">
        <v>1241</v>
      </c>
      <c r="D227" s="195" t="s">
        <v>8</v>
      </c>
      <c r="E227" s="215">
        <v>19</v>
      </c>
      <c r="F227" s="350"/>
      <c r="G227" s="350"/>
      <c r="H227" s="350"/>
      <c r="I227" s="326">
        <f t="shared" ref="I227" si="275">SUM(F227:H227)</f>
        <v>0</v>
      </c>
      <c r="J227" s="326">
        <f t="shared" ref="J227" si="276">E227-I227</f>
        <v>19</v>
      </c>
      <c r="K227" s="327">
        <f t="shared" ref="K227" si="277">J227/E227</f>
        <v>1</v>
      </c>
      <c r="L227" s="221">
        <v>14</v>
      </c>
      <c r="M227" s="222"/>
      <c r="N227" s="223"/>
      <c r="O227" s="222"/>
      <c r="P227" s="328">
        <f t="shared" ref="P227" si="278">SUM(M227:O227)</f>
        <v>0</v>
      </c>
      <c r="Q227" s="328">
        <f t="shared" ref="Q227" si="279">L227-P227</f>
        <v>14</v>
      </c>
      <c r="R227" s="329">
        <f t="shared" ref="R227" si="280">Q227/L227</f>
        <v>1</v>
      </c>
      <c r="S227" s="225">
        <v>12</v>
      </c>
      <c r="T227" s="226"/>
      <c r="U227" s="226"/>
      <c r="V227" s="226"/>
      <c r="W227" s="330">
        <f t="shared" ref="W227" si="281">SUM(T227:V227)</f>
        <v>0</v>
      </c>
      <c r="X227" s="330">
        <f t="shared" ref="X227" si="282">S227-W227</f>
        <v>12</v>
      </c>
      <c r="Y227" s="331">
        <f t="shared" ref="Y227" si="283">X227/S227</f>
        <v>1</v>
      </c>
      <c r="Z227" s="228">
        <v>21</v>
      </c>
      <c r="AA227" s="255"/>
      <c r="AB227" s="255"/>
      <c r="AC227" s="255"/>
      <c r="AD227" s="280">
        <f t="shared" ref="AD227" si="284">SUM(AA227:AC227)</f>
        <v>0</v>
      </c>
      <c r="AE227" s="280">
        <f t="shared" ref="AE227" si="285">Z227-AD227</f>
        <v>21</v>
      </c>
      <c r="AF227" s="281">
        <f t="shared" ref="AF227" si="286">AE227/Z227</f>
        <v>1</v>
      </c>
      <c r="AG227" s="229">
        <v>18</v>
      </c>
      <c r="AH227" s="257"/>
      <c r="AI227" s="257"/>
      <c r="AJ227" s="257"/>
      <c r="AK227" s="305">
        <f t="shared" ref="AK227" si="287">SUM(AH227:AJ227)</f>
        <v>0</v>
      </c>
      <c r="AL227" s="305">
        <f t="shared" ref="AL227" si="288">AG227-AK227</f>
        <v>18</v>
      </c>
      <c r="AM227" s="306">
        <f t="shared" ref="AM227" si="289">AL227/AG227</f>
        <v>1</v>
      </c>
      <c r="AN227" s="230">
        <v>14</v>
      </c>
      <c r="AO227" s="259"/>
      <c r="AP227" s="259"/>
      <c r="AQ227" s="259"/>
      <c r="AR227" s="307">
        <f t="shared" ref="AR227" si="290">SUM(AO227:AQ227)</f>
        <v>0</v>
      </c>
      <c r="AS227" s="307">
        <f t="shared" ref="AS227" si="291">AN227-AR227</f>
        <v>14</v>
      </c>
      <c r="AT227" s="308">
        <f t="shared" ref="AT227" si="292">AS227/AN227</f>
        <v>1</v>
      </c>
      <c r="AU227" s="289">
        <f t="shared" ref="AU227" si="293">F227+M227+T227+AA227+AH227+AO227</f>
        <v>0</v>
      </c>
      <c r="AV227" s="289">
        <f t="shared" ref="AV227" si="294">G227+N227+U227+AB227+AI227+AP227</f>
        <v>0</v>
      </c>
      <c r="AW227" s="289">
        <f t="shared" ref="AW227" si="295">H227+O227+V227+AC227+AJ227+AQ227</f>
        <v>0</v>
      </c>
      <c r="AX227" s="290">
        <v>98</v>
      </c>
      <c r="AY227" s="289">
        <f t="shared" ref="AY227" si="296">AX227-AU227-AV227-AW227</f>
        <v>98</v>
      </c>
      <c r="AZ227" s="291">
        <f t="shared" ref="AZ227" si="297">AY227/AX227</f>
        <v>1</v>
      </c>
      <c r="BA227" s="343"/>
      <c r="BB227" s="382" cm="1">
        <f t="array" ref="BB227:BB257">[1]X!$BF$227:$BF$257</f>
        <v>100</v>
      </c>
      <c r="BC227" s="379">
        <f t="shared" ref="BC227:BC257" si="298">BA227*2</f>
        <v>0</v>
      </c>
      <c r="BD227" s="378">
        <f t="shared" ref="BD227:BD257" si="299">AW227*2</f>
        <v>0</v>
      </c>
      <c r="BE227" s="380"/>
      <c r="BF227" s="378">
        <f>BB227-BC227-BD227-BE227</f>
        <v>100</v>
      </c>
    </row>
    <row r="228" spans="1:58" x14ac:dyDescent="0.35">
      <c r="A228" s="193" t="s">
        <v>22</v>
      </c>
      <c r="B228" s="35">
        <v>252610161</v>
      </c>
      <c r="C228" s="359" t="s">
        <v>1242</v>
      </c>
      <c r="D228" s="195" t="s">
        <v>6</v>
      </c>
      <c r="E228" s="215">
        <v>19</v>
      </c>
      <c r="F228" s="217"/>
      <c r="G228" s="217"/>
      <c r="H228" s="217"/>
      <c r="I228" s="326">
        <f t="shared" ref="I228:I257" si="300">SUM(F228:H228)</f>
        <v>0</v>
      </c>
      <c r="J228" s="326">
        <f t="shared" ref="J228:J257" si="301">E228-I228</f>
        <v>19</v>
      </c>
      <c r="K228" s="327">
        <f t="shared" ref="K228:K257" si="302">J228/E228</f>
        <v>1</v>
      </c>
      <c r="L228" s="221">
        <v>14</v>
      </c>
      <c r="M228" s="222"/>
      <c r="N228" s="223"/>
      <c r="O228" s="222"/>
      <c r="P228" s="328">
        <f t="shared" ref="P228:P257" si="303">SUM(M228:O228)</f>
        <v>0</v>
      </c>
      <c r="Q228" s="328">
        <f t="shared" ref="Q228:Q257" si="304">L228-P228</f>
        <v>14</v>
      </c>
      <c r="R228" s="329">
        <f t="shared" ref="R228:R257" si="305">Q228/L228</f>
        <v>1</v>
      </c>
      <c r="S228" s="225">
        <v>12</v>
      </c>
      <c r="T228" s="226"/>
      <c r="U228" s="226"/>
      <c r="V228" s="226"/>
      <c r="W228" s="330">
        <f t="shared" ref="W228:W257" si="306">SUM(T228:V228)</f>
        <v>0</v>
      </c>
      <c r="X228" s="330">
        <f t="shared" ref="X228:X257" si="307">S228-W228</f>
        <v>12</v>
      </c>
      <c r="Y228" s="331">
        <f t="shared" ref="Y228:Y257" si="308">X228/S228</f>
        <v>1</v>
      </c>
      <c r="Z228" s="228">
        <v>21</v>
      </c>
      <c r="AA228" s="255"/>
      <c r="AB228" s="255"/>
      <c r="AC228" s="255"/>
      <c r="AD228" s="280">
        <f t="shared" ref="AD228:AD257" si="309">SUM(AA228:AC228)</f>
        <v>0</v>
      </c>
      <c r="AE228" s="280">
        <f t="shared" ref="AE228:AE257" si="310">Z228-AD228</f>
        <v>21</v>
      </c>
      <c r="AF228" s="281">
        <f t="shared" ref="AF228:AF257" si="311">AE228/Z228</f>
        <v>1</v>
      </c>
      <c r="AG228" s="229">
        <v>18</v>
      </c>
      <c r="AH228" s="257"/>
      <c r="AI228" s="257"/>
      <c r="AJ228" s="257"/>
      <c r="AK228" s="305">
        <f t="shared" ref="AK228:AK257" si="312">SUM(AH228:AJ228)</f>
        <v>0</v>
      </c>
      <c r="AL228" s="305">
        <f t="shared" ref="AL228:AL257" si="313">AG228-AK228</f>
        <v>18</v>
      </c>
      <c r="AM228" s="306">
        <f t="shared" ref="AM228:AM257" si="314">AL228/AG228</f>
        <v>1</v>
      </c>
      <c r="AN228" s="230">
        <v>14</v>
      </c>
      <c r="AO228" s="259"/>
      <c r="AP228" s="259"/>
      <c r="AQ228" s="259"/>
      <c r="AR228" s="307">
        <f t="shared" ref="AR228:AR257" si="315">SUM(AO228:AQ228)</f>
        <v>0</v>
      </c>
      <c r="AS228" s="307">
        <f t="shared" ref="AS228:AS257" si="316">AN228-AR228</f>
        <v>14</v>
      </c>
      <c r="AT228" s="308">
        <f t="shared" ref="AT228:AT257" si="317">AS228/AN228</f>
        <v>1</v>
      </c>
      <c r="AU228" s="289">
        <f t="shared" ref="AU228:AU257" si="318">F228+M228+T228+AA228+AH228+AO228</f>
        <v>0</v>
      </c>
      <c r="AV228" s="289">
        <f t="shared" ref="AV228:AV257" si="319">G228+N228+U228+AB228+AI228+AP228</f>
        <v>0</v>
      </c>
      <c r="AW228" s="289">
        <f t="shared" ref="AW228:AW257" si="320">H228+O228+V228+AC228+AJ228+AQ228</f>
        <v>0</v>
      </c>
      <c r="AX228" s="290">
        <v>98</v>
      </c>
      <c r="AY228" s="289">
        <f t="shared" ref="AY228:AY257" si="321">AX228-AU228-AV228-AW228</f>
        <v>98</v>
      </c>
      <c r="AZ228" s="291">
        <f t="shared" ref="AZ228:AZ257" si="322">AY228/AX228</f>
        <v>1</v>
      </c>
      <c r="BA228" s="344"/>
      <c r="BB228" s="383">
        <v>100</v>
      </c>
      <c r="BC228" s="379">
        <f t="shared" si="298"/>
        <v>0</v>
      </c>
      <c r="BD228" s="378">
        <f t="shared" si="299"/>
        <v>0</v>
      </c>
      <c r="BE228" s="381"/>
      <c r="BF228" s="378">
        <f t="shared" ref="BF228:BF257" si="323">BB228-BC228-BD228-BE228</f>
        <v>100</v>
      </c>
    </row>
    <row r="229" spans="1:58" x14ac:dyDescent="0.35">
      <c r="A229" s="193" t="s">
        <v>23</v>
      </c>
      <c r="B229" s="35">
        <v>252610162</v>
      </c>
      <c r="C229" s="345" t="s">
        <v>1243</v>
      </c>
      <c r="D229" s="195" t="s">
        <v>8</v>
      </c>
      <c r="E229" s="215">
        <v>19</v>
      </c>
      <c r="F229" s="217"/>
      <c r="G229" s="218"/>
      <c r="H229" s="217"/>
      <c r="I229" s="326">
        <f t="shared" si="300"/>
        <v>0</v>
      </c>
      <c r="J229" s="326">
        <f t="shared" si="301"/>
        <v>19</v>
      </c>
      <c r="K229" s="327">
        <f t="shared" si="302"/>
        <v>1</v>
      </c>
      <c r="L229" s="221">
        <v>14</v>
      </c>
      <c r="M229" s="222"/>
      <c r="N229" s="223">
        <v>1</v>
      </c>
      <c r="O229" s="222"/>
      <c r="P229" s="328">
        <f t="shared" si="303"/>
        <v>1</v>
      </c>
      <c r="Q229" s="328">
        <f t="shared" si="304"/>
        <v>13</v>
      </c>
      <c r="R229" s="329">
        <f t="shared" si="305"/>
        <v>0.9285714285714286</v>
      </c>
      <c r="S229" s="225">
        <v>12</v>
      </c>
      <c r="T229" s="226"/>
      <c r="U229" s="226"/>
      <c r="V229" s="226"/>
      <c r="W229" s="330">
        <f t="shared" si="306"/>
        <v>0</v>
      </c>
      <c r="X229" s="330">
        <f t="shared" si="307"/>
        <v>12</v>
      </c>
      <c r="Y229" s="331">
        <f t="shared" si="308"/>
        <v>1</v>
      </c>
      <c r="Z229" s="228">
        <v>21</v>
      </c>
      <c r="AA229" s="255"/>
      <c r="AB229" s="255"/>
      <c r="AC229" s="255"/>
      <c r="AD229" s="280">
        <f t="shared" si="309"/>
        <v>0</v>
      </c>
      <c r="AE229" s="280">
        <f t="shared" si="310"/>
        <v>21</v>
      </c>
      <c r="AF229" s="281">
        <f t="shared" si="311"/>
        <v>1</v>
      </c>
      <c r="AG229" s="229">
        <v>18</v>
      </c>
      <c r="AH229" s="257"/>
      <c r="AI229" s="257"/>
      <c r="AJ229" s="257"/>
      <c r="AK229" s="305">
        <f t="shared" si="312"/>
        <v>0</v>
      </c>
      <c r="AL229" s="305">
        <f t="shared" si="313"/>
        <v>18</v>
      </c>
      <c r="AM229" s="306">
        <f t="shared" si="314"/>
        <v>1</v>
      </c>
      <c r="AN229" s="230">
        <v>14</v>
      </c>
      <c r="AO229" s="259"/>
      <c r="AP229" s="259"/>
      <c r="AQ229" s="259"/>
      <c r="AR229" s="307">
        <f t="shared" si="315"/>
        <v>0</v>
      </c>
      <c r="AS229" s="307">
        <f t="shared" si="316"/>
        <v>14</v>
      </c>
      <c r="AT229" s="308">
        <f t="shared" si="317"/>
        <v>1</v>
      </c>
      <c r="AU229" s="289">
        <f t="shared" si="318"/>
        <v>0</v>
      </c>
      <c r="AV229" s="289">
        <f t="shared" si="319"/>
        <v>1</v>
      </c>
      <c r="AW229" s="289">
        <f t="shared" si="320"/>
        <v>0</v>
      </c>
      <c r="AX229" s="290">
        <v>98</v>
      </c>
      <c r="AY229" s="289">
        <f t="shared" si="321"/>
        <v>97</v>
      </c>
      <c r="AZ229" s="291">
        <f t="shared" si="322"/>
        <v>0.98979591836734693</v>
      </c>
      <c r="BA229" s="344"/>
      <c r="BB229" s="383">
        <v>100</v>
      </c>
      <c r="BC229" s="379">
        <f t="shared" si="298"/>
        <v>0</v>
      </c>
      <c r="BD229" s="378">
        <f t="shared" si="299"/>
        <v>0</v>
      </c>
      <c r="BE229" s="381"/>
      <c r="BF229" s="378">
        <f t="shared" si="323"/>
        <v>100</v>
      </c>
    </row>
    <row r="230" spans="1:58" x14ac:dyDescent="0.35">
      <c r="A230" s="193" t="s">
        <v>24</v>
      </c>
      <c r="B230" s="35">
        <v>252610163</v>
      </c>
      <c r="C230" s="359" t="s">
        <v>1244</v>
      </c>
      <c r="D230" s="195" t="s">
        <v>6</v>
      </c>
      <c r="E230" s="215">
        <v>19</v>
      </c>
      <c r="F230" s="217"/>
      <c r="G230" s="217"/>
      <c r="H230" s="217"/>
      <c r="I230" s="326">
        <f t="shared" si="300"/>
        <v>0</v>
      </c>
      <c r="J230" s="326">
        <f t="shared" si="301"/>
        <v>19</v>
      </c>
      <c r="K230" s="327">
        <f t="shared" si="302"/>
        <v>1</v>
      </c>
      <c r="L230" s="221">
        <v>14</v>
      </c>
      <c r="M230" s="223"/>
      <c r="N230" s="223"/>
      <c r="O230" s="223"/>
      <c r="P230" s="328">
        <f t="shared" si="303"/>
        <v>0</v>
      </c>
      <c r="Q230" s="328">
        <f t="shared" si="304"/>
        <v>14</v>
      </c>
      <c r="R230" s="329">
        <f t="shared" si="305"/>
        <v>1</v>
      </c>
      <c r="S230" s="225">
        <v>12</v>
      </c>
      <c r="T230" s="226"/>
      <c r="U230" s="226"/>
      <c r="V230" s="226"/>
      <c r="W230" s="330">
        <f t="shared" si="306"/>
        <v>0</v>
      </c>
      <c r="X230" s="330">
        <f t="shared" si="307"/>
        <v>12</v>
      </c>
      <c r="Y230" s="331">
        <f t="shared" si="308"/>
        <v>1</v>
      </c>
      <c r="Z230" s="228">
        <v>21</v>
      </c>
      <c r="AA230" s="255"/>
      <c r="AB230" s="255"/>
      <c r="AC230" s="255"/>
      <c r="AD230" s="280">
        <f t="shared" si="309"/>
        <v>0</v>
      </c>
      <c r="AE230" s="280">
        <f t="shared" si="310"/>
        <v>21</v>
      </c>
      <c r="AF230" s="281">
        <f t="shared" si="311"/>
        <v>1</v>
      </c>
      <c r="AG230" s="229">
        <v>18</v>
      </c>
      <c r="AH230" s="257"/>
      <c r="AI230" s="257"/>
      <c r="AJ230" s="257"/>
      <c r="AK230" s="305">
        <f t="shared" si="312"/>
        <v>0</v>
      </c>
      <c r="AL230" s="305">
        <f t="shared" si="313"/>
        <v>18</v>
      </c>
      <c r="AM230" s="306">
        <f t="shared" si="314"/>
        <v>1</v>
      </c>
      <c r="AN230" s="230">
        <v>14</v>
      </c>
      <c r="AO230" s="259"/>
      <c r="AP230" s="259"/>
      <c r="AQ230" s="259"/>
      <c r="AR230" s="307">
        <f t="shared" si="315"/>
        <v>0</v>
      </c>
      <c r="AS230" s="307">
        <f t="shared" si="316"/>
        <v>14</v>
      </c>
      <c r="AT230" s="308">
        <f t="shared" si="317"/>
        <v>1</v>
      </c>
      <c r="AU230" s="289">
        <f t="shared" si="318"/>
        <v>0</v>
      </c>
      <c r="AV230" s="289">
        <f t="shared" si="319"/>
        <v>0</v>
      </c>
      <c r="AW230" s="289">
        <f t="shared" si="320"/>
        <v>0</v>
      </c>
      <c r="AX230" s="290">
        <v>98</v>
      </c>
      <c r="AY230" s="289">
        <f t="shared" si="321"/>
        <v>98</v>
      </c>
      <c r="AZ230" s="291">
        <f t="shared" si="322"/>
        <v>1</v>
      </c>
      <c r="BA230" s="344"/>
      <c r="BB230" s="383">
        <v>100</v>
      </c>
      <c r="BC230" s="379">
        <f t="shared" si="298"/>
        <v>0</v>
      </c>
      <c r="BD230" s="378">
        <f t="shared" si="299"/>
        <v>0</v>
      </c>
      <c r="BE230" s="381"/>
      <c r="BF230" s="378">
        <f t="shared" si="323"/>
        <v>100</v>
      </c>
    </row>
    <row r="231" spans="1:58" x14ac:dyDescent="0.35">
      <c r="A231" s="193" t="s">
        <v>25</v>
      </c>
      <c r="B231" s="35">
        <v>252610164</v>
      </c>
      <c r="C231" s="359" t="s">
        <v>1245</v>
      </c>
      <c r="D231" s="195" t="s">
        <v>8</v>
      </c>
      <c r="E231" s="215">
        <v>19</v>
      </c>
      <c r="F231" s="217">
        <v>1</v>
      </c>
      <c r="G231" s="217"/>
      <c r="H231" s="217"/>
      <c r="I231" s="326">
        <f t="shared" si="300"/>
        <v>1</v>
      </c>
      <c r="J231" s="326">
        <f t="shared" si="301"/>
        <v>18</v>
      </c>
      <c r="K231" s="327">
        <f t="shared" si="302"/>
        <v>0.94736842105263153</v>
      </c>
      <c r="L231" s="221">
        <v>14</v>
      </c>
      <c r="M231" s="222"/>
      <c r="N231" s="223"/>
      <c r="O231" s="223">
        <v>2</v>
      </c>
      <c r="P231" s="328">
        <f t="shared" si="303"/>
        <v>2</v>
      </c>
      <c r="Q231" s="328">
        <f t="shared" si="304"/>
        <v>12</v>
      </c>
      <c r="R231" s="329">
        <f t="shared" si="305"/>
        <v>0.8571428571428571</v>
      </c>
      <c r="S231" s="225">
        <v>12</v>
      </c>
      <c r="T231" s="226"/>
      <c r="U231" s="226"/>
      <c r="V231" s="226"/>
      <c r="W231" s="330">
        <f t="shared" si="306"/>
        <v>0</v>
      </c>
      <c r="X231" s="330">
        <f t="shared" si="307"/>
        <v>12</v>
      </c>
      <c r="Y231" s="331">
        <f t="shared" si="308"/>
        <v>1</v>
      </c>
      <c r="Z231" s="228">
        <v>21</v>
      </c>
      <c r="AA231" s="255"/>
      <c r="AB231" s="255"/>
      <c r="AC231" s="255"/>
      <c r="AD231" s="280">
        <f t="shared" si="309"/>
        <v>0</v>
      </c>
      <c r="AE231" s="280">
        <f t="shared" si="310"/>
        <v>21</v>
      </c>
      <c r="AF231" s="281">
        <f t="shared" si="311"/>
        <v>1</v>
      </c>
      <c r="AG231" s="229">
        <v>18</v>
      </c>
      <c r="AH231" s="257"/>
      <c r="AI231" s="257"/>
      <c r="AJ231" s="257"/>
      <c r="AK231" s="305">
        <f t="shared" si="312"/>
        <v>0</v>
      </c>
      <c r="AL231" s="305">
        <f t="shared" si="313"/>
        <v>18</v>
      </c>
      <c r="AM231" s="306">
        <f t="shared" si="314"/>
        <v>1</v>
      </c>
      <c r="AN231" s="230">
        <v>14</v>
      </c>
      <c r="AO231" s="259"/>
      <c r="AP231" s="259"/>
      <c r="AQ231" s="259"/>
      <c r="AR231" s="307">
        <f t="shared" si="315"/>
        <v>0</v>
      </c>
      <c r="AS231" s="307">
        <f t="shared" si="316"/>
        <v>14</v>
      </c>
      <c r="AT231" s="308">
        <f t="shared" si="317"/>
        <v>1</v>
      </c>
      <c r="AU231" s="289">
        <f t="shared" si="318"/>
        <v>1</v>
      </c>
      <c r="AV231" s="289">
        <f t="shared" si="319"/>
        <v>0</v>
      </c>
      <c r="AW231" s="289">
        <f t="shared" si="320"/>
        <v>2</v>
      </c>
      <c r="AX231" s="290">
        <v>98</v>
      </c>
      <c r="AY231" s="289">
        <f t="shared" si="321"/>
        <v>95</v>
      </c>
      <c r="AZ231" s="291">
        <f t="shared" si="322"/>
        <v>0.96938775510204078</v>
      </c>
      <c r="BA231" s="344"/>
      <c r="BB231" s="383">
        <v>100</v>
      </c>
      <c r="BC231" s="379">
        <f t="shared" si="298"/>
        <v>0</v>
      </c>
      <c r="BD231" s="378">
        <f t="shared" si="299"/>
        <v>4</v>
      </c>
      <c r="BE231" s="381"/>
      <c r="BF231" s="378">
        <f t="shared" si="323"/>
        <v>96</v>
      </c>
    </row>
    <row r="232" spans="1:58" x14ac:dyDescent="0.35">
      <c r="A232" s="193" t="s">
        <v>26</v>
      </c>
      <c r="B232" s="35">
        <v>252610165</v>
      </c>
      <c r="C232" s="345" t="s">
        <v>1246</v>
      </c>
      <c r="D232" s="195" t="s">
        <v>6</v>
      </c>
      <c r="E232" s="215">
        <v>19</v>
      </c>
      <c r="F232" s="217">
        <v>1</v>
      </c>
      <c r="G232" s="217"/>
      <c r="H232" s="217">
        <v>1</v>
      </c>
      <c r="I232" s="326">
        <f t="shared" si="300"/>
        <v>2</v>
      </c>
      <c r="J232" s="326">
        <f t="shared" si="301"/>
        <v>17</v>
      </c>
      <c r="K232" s="327">
        <f t="shared" si="302"/>
        <v>0.89473684210526316</v>
      </c>
      <c r="L232" s="221">
        <v>14</v>
      </c>
      <c r="M232" s="222">
        <v>1</v>
      </c>
      <c r="N232" s="223">
        <v>4</v>
      </c>
      <c r="O232" s="222"/>
      <c r="P232" s="328">
        <f t="shared" si="303"/>
        <v>5</v>
      </c>
      <c r="Q232" s="328">
        <f t="shared" si="304"/>
        <v>9</v>
      </c>
      <c r="R232" s="329">
        <f t="shared" si="305"/>
        <v>0.6428571428571429</v>
      </c>
      <c r="S232" s="225">
        <v>12</v>
      </c>
      <c r="T232" s="226"/>
      <c r="U232" s="226"/>
      <c r="V232" s="226"/>
      <c r="W232" s="330">
        <f t="shared" si="306"/>
        <v>0</v>
      </c>
      <c r="X232" s="330">
        <f t="shared" si="307"/>
        <v>12</v>
      </c>
      <c r="Y232" s="331">
        <f t="shared" si="308"/>
        <v>1</v>
      </c>
      <c r="Z232" s="228">
        <v>21</v>
      </c>
      <c r="AA232" s="255"/>
      <c r="AB232" s="255"/>
      <c r="AC232" s="255"/>
      <c r="AD232" s="280">
        <f t="shared" si="309"/>
        <v>0</v>
      </c>
      <c r="AE232" s="280">
        <f t="shared" si="310"/>
        <v>21</v>
      </c>
      <c r="AF232" s="281">
        <f t="shared" si="311"/>
        <v>1</v>
      </c>
      <c r="AG232" s="229">
        <v>18</v>
      </c>
      <c r="AH232" s="257"/>
      <c r="AI232" s="257"/>
      <c r="AJ232" s="257"/>
      <c r="AK232" s="305">
        <f t="shared" si="312"/>
        <v>0</v>
      </c>
      <c r="AL232" s="305">
        <f t="shared" si="313"/>
        <v>18</v>
      </c>
      <c r="AM232" s="306">
        <f t="shared" si="314"/>
        <v>1</v>
      </c>
      <c r="AN232" s="230">
        <v>14</v>
      </c>
      <c r="AO232" s="259"/>
      <c r="AP232" s="259"/>
      <c r="AQ232" s="259"/>
      <c r="AR232" s="307">
        <f t="shared" si="315"/>
        <v>0</v>
      </c>
      <c r="AS232" s="307">
        <f t="shared" si="316"/>
        <v>14</v>
      </c>
      <c r="AT232" s="308">
        <f t="shared" si="317"/>
        <v>1</v>
      </c>
      <c r="AU232" s="289">
        <f t="shared" si="318"/>
        <v>2</v>
      </c>
      <c r="AV232" s="289">
        <f t="shared" si="319"/>
        <v>4</v>
      </c>
      <c r="AW232" s="289">
        <f t="shared" si="320"/>
        <v>1</v>
      </c>
      <c r="AX232" s="290">
        <v>98</v>
      </c>
      <c r="AY232" s="289">
        <f t="shared" si="321"/>
        <v>91</v>
      </c>
      <c r="AZ232" s="291">
        <f t="shared" si="322"/>
        <v>0.9285714285714286</v>
      </c>
      <c r="BA232" s="344">
        <v>1</v>
      </c>
      <c r="BB232" s="383">
        <v>96</v>
      </c>
      <c r="BC232" s="379">
        <f t="shared" si="298"/>
        <v>2</v>
      </c>
      <c r="BD232" s="378">
        <f t="shared" si="299"/>
        <v>2</v>
      </c>
      <c r="BE232" s="381"/>
      <c r="BF232" s="378">
        <f t="shared" si="323"/>
        <v>92</v>
      </c>
    </row>
    <row r="233" spans="1:58" x14ac:dyDescent="0.35">
      <c r="A233" s="193" t="s">
        <v>27</v>
      </c>
      <c r="B233" s="35">
        <v>252610166</v>
      </c>
      <c r="C233" s="47" t="s">
        <v>1247</v>
      </c>
      <c r="D233" s="195" t="s">
        <v>8</v>
      </c>
      <c r="E233" s="215">
        <v>19</v>
      </c>
      <c r="F233" s="217"/>
      <c r="G233" s="217"/>
      <c r="H233" s="217"/>
      <c r="I233" s="326">
        <f t="shared" si="300"/>
        <v>0</v>
      </c>
      <c r="J233" s="326">
        <f t="shared" si="301"/>
        <v>19</v>
      </c>
      <c r="K233" s="327">
        <f t="shared" si="302"/>
        <v>1</v>
      </c>
      <c r="L233" s="221">
        <v>14</v>
      </c>
      <c r="M233" s="222"/>
      <c r="N233" s="222"/>
      <c r="O233" s="223"/>
      <c r="P233" s="328">
        <f t="shared" si="303"/>
        <v>0</v>
      </c>
      <c r="Q233" s="328">
        <f t="shared" si="304"/>
        <v>14</v>
      </c>
      <c r="R233" s="329">
        <f t="shared" si="305"/>
        <v>1</v>
      </c>
      <c r="S233" s="225">
        <v>12</v>
      </c>
      <c r="T233" s="226"/>
      <c r="U233" s="226"/>
      <c r="V233" s="226"/>
      <c r="W233" s="330">
        <f t="shared" si="306"/>
        <v>0</v>
      </c>
      <c r="X233" s="330">
        <f t="shared" si="307"/>
        <v>12</v>
      </c>
      <c r="Y233" s="331">
        <f t="shared" si="308"/>
        <v>1</v>
      </c>
      <c r="Z233" s="228">
        <v>21</v>
      </c>
      <c r="AA233" s="255"/>
      <c r="AB233" s="255"/>
      <c r="AC233" s="255"/>
      <c r="AD233" s="280">
        <f t="shared" si="309"/>
        <v>0</v>
      </c>
      <c r="AE233" s="280">
        <f t="shared" si="310"/>
        <v>21</v>
      </c>
      <c r="AF233" s="281">
        <f t="shared" si="311"/>
        <v>1</v>
      </c>
      <c r="AG233" s="229">
        <v>18</v>
      </c>
      <c r="AH233" s="257"/>
      <c r="AI233" s="257"/>
      <c r="AJ233" s="257"/>
      <c r="AK233" s="305">
        <f t="shared" si="312"/>
        <v>0</v>
      </c>
      <c r="AL233" s="305">
        <f t="shared" si="313"/>
        <v>18</v>
      </c>
      <c r="AM233" s="306">
        <f t="shared" si="314"/>
        <v>1</v>
      </c>
      <c r="AN233" s="230">
        <v>14</v>
      </c>
      <c r="AO233" s="259"/>
      <c r="AP233" s="259"/>
      <c r="AQ233" s="259"/>
      <c r="AR233" s="307">
        <f t="shared" si="315"/>
        <v>0</v>
      </c>
      <c r="AS233" s="307">
        <f t="shared" si="316"/>
        <v>14</v>
      </c>
      <c r="AT233" s="308">
        <f t="shared" si="317"/>
        <v>1</v>
      </c>
      <c r="AU233" s="289">
        <f t="shared" si="318"/>
        <v>0</v>
      </c>
      <c r="AV233" s="289">
        <f t="shared" si="319"/>
        <v>0</v>
      </c>
      <c r="AW233" s="289">
        <f t="shared" si="320"/>
        <v>0</v>
      </c>
      <c r="AX233" s="290">
        <v>98</v>
      </c>
      <c r="AY233" s="289">
        <f t="shared" si="321"/>
        <v>98</v>
      </c>
      <c r="AZ233" s="291">
        <f t="shared" si="322"/>
        <v>1</v>
      </c>
      <c r="BA233" s="344"/>
      <c r="BB233" s="383">
        <v>100</v>
      </c>
      <c r="BC233" s="379">
        <f t="shared" si="298"/>
        <v>0</v>
      </c>
      <c r="BD233" s="378">
        <f t="shared" si="299"/>
        <v>0</v>
      </c>
      <c r="BE233" s="381"/>
      <c r="BF233" s="378">
        <f t="shared" si="323"/>
        <v>100</v>
      </c>
    </row>
    <row r="234" spans="1:58" x14ac:dyDescent="0.35">
      <c r="A234" s="193" t="s">
        <v>28</v>
      </c>
      <c r="B234" s="35">
        <v>252610167</v>
      </c>
      <c r="C234" s="57" t="s">
        <v>1248</v>
      </c>
      <c r="D234" s="195" t="s">
        <v>8</v>
      </c>
      <c r="E234" s="215">
        <v>19</v>
      </c>
      <c r="F234" s="217"/>
      <c r="G234" s="217"/>
      <c r="H234" s="217"/>
      <c r="I234" s="326">
        <f t="shared" si="300"/>
        <v>0</v>
      </c>
      <c r="J234" s="326">
        <f t="shared" si="301"/>
        <v>19</v>
      </c>
      <c r="K234" s="327">
        <f t="shared" si="302"/>
        <v>1</v>
      </c>
      <c r="L234" s="221">
        <v>14</v>
      </c>
      <c r="M234" s="222">
        <v>1</v>
      </c>
      <c r="N234" s="223">
        <v>1</v>
      </c>
      <c r="O234" s="223"/>
      <c r="P234" s="328">
        <f t="shared" si="303"/>
        <v>2</v>
      </c>
      <c r="Q234" s="328">
        <f t="shared" si="304"/>
        <v>12</v>
      </c>
      <c r="R234" s="329">
        <f t="shared" si="305"/>
        <v>0.8571428571428571</v>
      </c>
      <c r="S234" s="225">
        <v>12</v>
      </c>
      <c r="T234" s="226"/>
      <c r="U234" s="226"/>
      <c r="V234" s="226"/>
      <c r="W234" s="330">
        <f t="shared" si="306"/>
        <v>0</v>
      </c>
      <c r="X234" s="330">
        <f t="shared" si="307"/>
        <v>12</v>
      </c>
      <c r="Y234" s="331">
        <f t="shared" si="308"/>
        <v>1</v>
      </c>
      <c r="Z234" s="228">
        <v>21</v>
      </c>
      <c r="AA234" s="255"/>
      <c r="AB234" s="255"/>
      <c r="AC234" s="255"/>
      <c r="AD234" s="280">
        <f t="shared" si="309"/>
        <v>0</v>
      </c>
      <c r="AE234" s="280">
        <f t="shared" si="310"/>
        <v>21</v>
      </c>
      <c r="AF234" s="281">
        <f t="shared" si="311"/>
        <v>1</v>
      </c>
      <c r="AG234" s="229">
        <v>18</v>
      </c>
      <c r="AH234" s="257"/>
      <c r="AI234" s="257"/>
      <c r="AJ234" s="257"/>
      <c r="AK234" s="305">
        <f t="shared" si="312"/>
        <v>0</v>
      </c>
      <c r="AL234" s="305">
        <f t="shared" si="313"/>
        <v>18</v>
      </c>
      <c r="AM234" s="306">
        <f t="shared" si="314"/>
        <v>1</v>
      </c>
      <c r="AN234" s="230">
        <v>14</v>
      </c>
      <c r="AO234" s="259"/>
      <c r="AP234" s="259"/>
      <c r="AQ234" s="259"/>
      <c r="AR234" s="307">
        <f t="shared" si="315"/>
        <v>0</v>
      </c>
      <c r="AS234" s="307">
        <f t="shared" si="316"/>
        <v>14</v>
      </c>
      <c r="AT234" s="308">
        <f t="shared" si="317"/>
        <v>1</v>
      </c>
      <c r="AU234" s="289">
        <f t="shared" si="318"/>
        <v>1</v>
      </c>
      <c r="AV234" s="289">
        <f t="shared" si="319"/>
        <v>1</v>
      </c>
      <c r="AW234" s="289">
        <f t="shared" si="320"/>
        <v>0</v>
      </c>
      <c r="AX234" s="290">
        <v>98</v>
      </c>
      <c r="AY234" s="289">
        <f t="shared" si="321"/>
        <v>96</v>
      </c>
      <c r="AZ234" s="291">
        <f t="shared" si="322"/>
        <v>0.97959183673469385</v>
      </c>
      <c r="BA234" s="344"/>
      <c r="BB234" s="383">
        <v>100</v>
      </c>
      <c r="BC234" s="379">
        <f t="shared" si="298"/>
        <v>0</v>
      </c>
      <c r="BD234" s="378">
        <f t="shared" si="299"/>
        <v>0</v>
      </c>
      <c r="BE234" s="381"/>
      <c r="BF234" s="378">
        <f t="shared" si="323"/>
        <v>100</v>
      </c>
    </row>
    <row r="235" spans="1:58" x14ac:dyDescent="0.35">
      <c r="A235" s="193" t="s">
        <v>29</v>
      </c>
      <c r="B235" s="35">
        <v>252610168</v>
      </c>
      <c r="C235" s="51" t="s">
        <v>1249</v>
      </c>
      <c r="D235" s="195" t="s">
        <v>6</v>
      </c>
      <c r="E235" s="215">
        <v>19</v>
      </c>
      <c r="F235" s="217">
        <v>1</v>
      </c>
      <c r="G235" s="217">
        <v>1</v>
      </c>
      <c r="H235" s="217"/>
      <c r="I235" s="326">
        <f t="shared" si="300"/>
        <v>2</v>
      </c>
      <c r="J235" s="326">
        <f t="shared" si="301"/>
        <v>17</v>
      </c>
      <c r="K235" s="327">
        <f t="shared" si="302"/>
        <v>0.89473684210526316</v>
      </c>
      <c r="L235" s="221">
        <v>14</v>
      </c>
      <c r="M235" s="223"/>
      <c r="N235" s="223">
        <v>1</v>
      </c>
      <c r="O235" s="223"/>
      <c r="P235" s="328">
        <f t="shared" si="303"/>
        <v>1</v>
      </c>
      <c r="Q235" s="328">
        <f t="shared" si="304"/>
        <v>13</v>
      </c>
      <c r="R235" s="329">
        <f t="shared" si="305"/>
        <v>0.9285714285714286</v>
      </c>
      <c r="S235" s="225">
        <v>12</v>
      </c>
      <c r="T235" s="226"/>
      <c r="U235" s="226"/>
      <c r="V235" s="226"/>
      <c r="W235" s="330">
        <f t="shared" si="306"/>
        <v>0</v>
      </c>
      <c r="X235" s="330">
        <f t="shared" si="307"/>
        <v>12</v>
      </c>
      <c r="Y235" s="331">
        <f t="shared" si="308"/>
        <v>1</v>
      </c>
      <c r="Z235" s="228">
        <v>21</v>
      </c>
      <c r="AA235" s="255"/>
      <c r="AB235" s="255"/>
      <c r="AC235" s="255"/>
      <c r="AD235" s="280">
        <f t="shared" si="309"/>
        <v>0</v>
      </c>
      <c r="AE235" s="280">
        <f t="shared" si="310"/>
        <v>21</v>
      </c>
      <c r="AF235" s="281">
        <f t="shared" si="311"/>
        <v>1</v>
      </c>
      <c r="AG235" s="229">
        <v>18</v>
      </c>
      <c r="AH235" s="257"/>
      <c r="AI235" s="257"/>
      <c r="AJ235" s="257"/>
      <c r="AK235" s="305">
        <f t="shared" si="312"/>
        <v>0</v>
      </c>
      <c r="AL235" s="305">
        <f t="shared" si="313"/>
        <v>18</v>
      </c>
      <c r="AM235" s="306">
        <f t="shared" si="314"/>
        <v>1</v>
      </c>
      <c r="AN235" s="230">
        <v>14</v>
      </c>
      <c r="AO235" s="259"/>
      <c r="AP235" s="259"/>
      <c r="AQ235" s="259"/>
      <c r="AR235" s="307">
        <f t="shared" si="315"/>
        <v>0</v>
      </c>
      <c r="AS235" s="307">
        <f t="shared" si="316"/>
        <v>14</v>
      </c>
      <c r="AT235" s="308">
        <f t="shared" si="317"/>
        <v>1</v>
      </c>
      <c r="AU235" s="289">
        <f t="shared" si="318"/>
        <v>1</v>
      </c>
      <c r="AV235" s="289">
        <f t="shared" si="319"/>
        <v>2</v>
      </c>
      <c r="AW235" s="289">
        <f t="shared" si="320"/>
        <v>0</v>
      </c>
      <c r="AX235" s="290">
        <v>98</v>
      </c>
      <c r="AY235" s="289">
        <f t="shared" si="321"/>
        <v>95</v>
      </c>
      <c r="AZ235" s="291">
        <f t="shared" si="322"/>
        <v>0.96938775510204078</v>
      </c>
      <c r="BA235" s="344"/>
      <c r="BB235" s="383">
        <v>100</v>
      </c>
      <c r="BC235" s="379">
        <f t="shared" si="298"/>
        <v>0</v>
      </c>
      <c r="BD235" s="378">
        <f t="shared" si="299"/>
        <v>0</v>
      </c>
      <c r="BE235" s="381"/>
      <c r="BF235" s="378">
        <f t="shared" si="323"/>
        <v>100</v>
      </c>
    </row>
    <row r="236" spans="1:58" x14ac:dyDescent="0.35">
      <c r="A236" s="193" t="s">
        <v>30</v>
      </c>
      <c r="B236" s="35">
        <v>252610170</v>
      </c>
      <c r="C236" s="47" t="s">
        <v>1250</v>
      </c>
      <c r="D236" s="195" t="s">
        <v>8</v>
      </c>
      <c r="E236" s="215">
        <v>19</v>
      </c>
      <c r="F236" s="217"/>
      <c r="G236" s="217"/>
      <c r="H236" s="218"/>
      <c r="I236" s="326">
        <f t="shared" si="300"/>
        <v>0</v>
      </c>
      <c r="J236" s="326">
        <f t="shared" si="301"/>
        <v>19</v>
      </c>
      <c r="K236" s="327">
        <f t="shared" si="302"/>
        <v>1</v>
      </c>
      <c r="L236" s="221">
        <v>14</v>
      </c>
      <c r="M236" s="222"/>
      <c r="N236" s="223">
        <v>2</v>
      </c>
      <c r="O236" s="223"/>
      <c r="P236" s="328">
        <f t="shared" si="303"/>
        <v>2</v>
      </c>
      <c r="Q236" s="328">
        <f t="shared" si="304"/>
        <v>12</v>
      </c>
      <c r="R236" s="329">
        <f t="shared" si="305"/>
        <v>0.8571428571428571</v>
      </c>
      <c r="S236" s="225">
        <v>12</v>
      </c>
      <c r="T236" s="226"/>
      <c r="U236" s="226"/>
      <c r="V236" s="226"/>
      <c r="W236" s="330">
        <f t="shared" si="306"/>
        <v>0</v>
      </c>
      <c r="X236" s="330">
        <f t="shared" si="307"/>
        <v>12</v>
      </c>
      <c r="Y236" s="331">
        <f t="shared" si="308"/>
        <v>1</v>
      </c>
      <c r="Z236" s="228">
        <v>21</v>
      </c>
      <c r="AA236" s="255"/>
      <c r="AB236" s="255"/>
      <c r="AC236" s="255"/>
      <c r="AD236" s="280">
        <f t="shared" si="309"/>
        <v>0</v>
      </c>
      <c r="AE236" s="280">
        <f t="shared" si="310"/>
        <v>21</v>
      </c>
      <c r="AF236" s="281">
        <f t="shared" si="311"/>
        <v>1</v>
      </c>
      <c r="AG236" s="229">
        <v>18</v>
      </c>
      <c r="AH236" s="257"/>
      <c r="AI236" s="257"/>
      <c r="AJ236" s="257"/>
      <c r="AK236" s="305">
        <f t="shared" si="312"/>
        <v>0</v>
      </c>
      <c r="AL236" s="305">
        <f t="shared" si="313"/>
        <v>18</v>
      </c>
      <c r="AM236" s="306">
        <f t="shared" si="314"/>
        <v>1</v>
      </c>
      <c r="AN236" s="230">
        <v>14</v>
      </c>
      <c r="AO236" s="259"/>
      <c r="AP236" s="259"/>
      <c r="AQ236" s="259"/>
      <c r="AR236" s="307">
        <f t="shared" si="315"/>
        <v>0</v>
      </c>
      <c r="AS236" s="307">
        <f t="shared" si="316"/>
        <v>14</v>
      </c>
      <c r="AT236" s="308">
        <f t="shared" si="317"/>
        <v>1</v>
      </c>
      <c r="AU236" s="289">
        <f t="shared" si="318"/>
        <v>0</v>
      </c>
      <c r="AV236" s="289">
        <f t="shared" si="319"/>
        <v>2</v>
      </c>
      <c r="AW236" s="289">
        <f t="shared" si="320"/>
        <v>0</v>
      </c>
      <c r="AX236" s="290">
        <v>98</v>
      </c>
      <c r="AY236" s="289">
        <f t="shared" si="321"/>
        <v>96</v>
      </c>
      <c r="AZ236" s="291">
        <f t="shared" si="322"/>
        <v>0.97959183673469385</v>
      </c>
      <c r="BA236" s="344"/>
      <c r="BB236" s="383">
        <v>100</v>
      </c>
      <c r="BC236" s="379">
        <f t="shared" si="298"/>
        <v>0</v>
      </c>
      <c r="BD236" s="378">
        <f t="shared" si="299"/>
        <v>0</v>
      </c>
      <c r="BE236" s="381"/>
      <c r="BF236" s="378">
        <f t="shared" si="323"/>
        <v>100</v>
      </c>
    </row>
    <row r="237" spans="1:58" x14ac:dyDescent="0.35">
      <c r="A237" s="193" t="s">
        <v>31</v>
      </c>
      <c r="B237" s="35">
        <v>252610171</v>
      </c>
      <c r="C237" s="351" t="s">
        <v>1251</v>
      </c>
      <c r="D237" s="35" t="s">
        <v>6</v>
      </c>
      <c r="E237" s="215">
        <v>19</v>
      </c>
      <c r="F237" s="217"/>
      <c r="G237" s="217"/>
      <c r="H237" s="217"/>
      <c r="I237" s="326">
        <f t="shared" si="300"/>
        <v>0</v>
      </c>
      <c r="J237" s="326">
        <f t="shared" si="301"/>
        <v>19</v>
      </c>
      <c r="K237" s="327">
        <f t="shared" si="302"/>
        <v>1</v>
      </c>
      <c r="L237" s="221">
        <v>14</v>
      </c>
      <c r="M237" s="222"/>
      <c r="N237" s="223"/>
      <c r="O237" s="222">
        <v>1</v>
      </c>
      <c r="P237" s="328">
        <f t="shared" si="303"/>
        <v>1</v>
      </c>
      <c r="Q237" s="328">
        <f t="shared" si="304"/>
        <v>13</v>
      </c>
      <c r="R237" s="329">
        <f t="shared" si="305"/>
        <v>0.9285714285714286</v>
      </c>
      <c r="S237" s="225">
        <v>12</v>
      </c>
      <c r="T237" s="226"/>
      <c r="U237" s="226"/>
      <c r="V237" s="226"/>
      <c r="W237" s="330">
        <f t="shared" si="306"/>
        <v>0</v>
      </c>
      <c r="X237" s="330">
        <f t="shared" si="307"/>
        <v>12</v>
      </c>
      <c r="Y237" s="331">
        <f t="shared" si="308"/>
        <v>1</v>
      </c>
      <c r="Z237" s="228">
        <v>21</v>
      </c>
      <c r="AA237" s="255"/>
      <c r="AB237" s="255"/>
      <c r="AC237" s="255"/>
      <c r="AD237" s="280">
        <f t="shared" si="309"/>
        <v>0</v>
      </c>
      <c r="AE237" s="280">
        <f t="shared" si="310"/>
        <v>21</v>
      </c>
      <c r="AF237" s="281">
        <f t="shared" si="311"/>
        <v>1</v>
      </c>
      <c r="AG237" s="229">
        <v>18</v>
      </c>
      <c r="AH237" s="257"/>
      <c r="AI237" s="257"/>
      <c r="AJ237" s="257"/>
      <c r="AK237" s="305">
        <f t="shared" si="312"/>
        <v>0</v>
      </c>
      <c r="AL237" s="305">
        <f t="shared" si="313"/>
        <v>18</v>
      </c>
      <c r="AM237" s="306">
        <f t="shared" si="314"/>
        <v>1</v>
      </c>
      <c r="AN237" s="230">
        <v>14</v>
      </c>
      <c r="AO237" s="259"/>
      <c r="AP237" s="259"/>
      <c r="AQ237" s="259"/>
      <c r="AR237" s="307">
        <f t="shared" si="315"/>
        <v>0</v>
      </c>
      <c r="AS237" s="307">
        <f t="shared" si="316"/>
        <v>14</v>
      </c>
      <c r="AT237" s="308">
        <f t="shared" si="317"/>
        <v>1</v>
      </c>
      <c r="AU237" s="289">
        <f t="shared" si="318"/>
        <v>0</v>
      </c>
      <c r="AV237" s="289">
        <f t="shared" si="319"/>
        <v>0</v>
      </c>
      <c r="AW237" s="289">
        <f t="shared" si="320"/>
        <v>1</v>
      </c>
      <c r="AX237" s="290">
        <v>98</v>
      </c>
      <c r="AY237" s="289">
        <f t="shared" si="321"/>
        <v>97</v>
      </c>
      <c r="AZ237" s="291">
        <f t="shared" si="322"/>
        <v>0.98979591836734693</v>
      </c>
      <c r="BA237" s="344"/>
      <c r="BB237" s="383">
        <v>98</v>
      </c>
      <c r="BC237" s="379">
        <f t="shared" si="298"/>
        <v>0</v>
      </c>
      <c r="BD237" s="378">
        <f t="shared" si="299"/>
        <v>2</v>
      </c>
      <c r="BE237" s="381"/>
      <c r="BF237" s="378">
        <f t="shared" si="323"/>
        <v>96</v>
      </c>
    </row>
    <row r="238" spans="1:58" x14ac:dyDescent="0.35">
      <c r="A238" s="193" t="s">
        <v>32</v>
      </c>
      <c r="B238" s="35">
        <v>252610172</v>
      </c>
      <c r="C238" s="47" t="s">
        <v>1252</v>
      </c>
      <c r="D238" s="195" t="s">
        <v>8</v>
      </c>
      <c r="E238" s="215">
        <v>19</v>
      </c>
      <c r="F238" s="217"/>
      <c r="G238" s="217"/>
      <c r="H238" s="217"/>
      <c r="I238" s="326">
        <f t="shared" si="300"/>
        <v>0</v>
      </c>
      <c r="J238" s="326">
        <f t="shared" si="301"/>
        <v>19</v>
      </c>
      <c r="K238" s="327">
        <f t="shared" si="302"/>
        <v>1</v>
      </c>
      <c r="L238" s="221">
        <v>14</v>
      </c>
      <c r="M238" s="223">
        <v>1</v>
      </c>
      <c r="N238" s="223"/>
      <c r="O238" s="223"/>
      <c r="P238" s="328">
        <f t="shared" si="303"/>
        <v>1</v>
      </c>
      <c r="Q238" s="328">
        <f t="shared" si="304"/>
        <v>13</v>
      </c>
      <c r="R238" s="329">
        <f t="shared" si="305"/>
        <v>0.9285714285714286</v>
      </c>
      <c r="S238" s="225">
        <v>12</v>
      </c>
      <c r="T238" s="226"/>
      <c r="U238" s="226"/>
      <c r="V238" s="226"/>
      <c r="W238" s="330">
        <f t="shared" si="306"/>
        <v>0</v>
      </c>
      <c r="X238" s="330">
        <f t="shared" si="307"/>
        <v>12</v>
      </c>
      <c r="Y238" s="331">
        <f t="shared" si="308"/>
        <v>1</v>
      </c>
      <c r="Z238" s="228">
        <v>21</v>
      </c>
      <c r="AA238" s="255"/>
      <c r="AB238" s="255"/>
      <c r="AC238" s="255"/>
      <c r="AD238" s="280">
        <f t="shared" si="309"/>
        <v>0</v>
      </c>
      <c r="AE238" s="280">
        <f t="shared" si="310"/>
        <v>21</v>
      </c>
      <c r="AF238" s="281">
        <f t="shared" si="311"/>
        <v>1</v>
      </c>
      <c r="AG238" s="229">
        <v>18</v>
      </c>
      <c r="AH238" s="257"/>
      <c r="AI238" s="257"/>
      <c r="AJ238" s="257"/>
      <c r="AK238" s="305">
        <f t="shared" si="312"/>
        <v>0</v>
      </c>
      <c r="AL238" s="305">
        <f t="shared" si="313"/>
        <v>18</v>
      </c>
      <c r="AM238" s="306">
        <f t="shared" si="314"/>
        <v>1</v>
      </c>
      <c r="AN238" s="230">
        <v>14</v>
      </c>
      <c r="AO238" s="259"/>
      <c r="AP238" s="259"/>
      <c r="AQ238" s="259"/>
      <c r="AR238" s="307">
        <f t="shared" si="315"/>
        <v>0</v>
      </c>
      <c r="AS238" s="307">
        <f t="shared" si="316"/>
        <v>14</v>
      </c>
      <c r="AT238" s="308">
        <f t="shared" si="317"/>
        <v>1</v>
      </c>
      <c r="AU238" s="289">
        <f t="shared" si="318"/>
        <v>1</v>
      </c>
      <c r="AV238" s="289">
        <f t="shared" si="319"/>
        <v>0</v>
      </c>
      <c r="AW238" s="289">
        <f t="shared" si="320"/>
        <v>0</v>
      </c>
      <c r="AX238" s="290">
        <v>98</v>
      </c>
      <c r="AY238" s="289">
        <f t="shared" si="321"/>
        <v>97</v>
      </c>
      <c r="AZ238" s="291">
        <f t="shared" si="322"/>
        <v>0.98979591836734693</v>
      </c>
      <c r="BA238" s="344"/>
      <c r="BB238" s="383">
        <v>98</v>
      </c>
      <c r="BC238" s="379">
        <f t="shared" si="298"/>
        <v>0</v>
      </c>
      <c r="BD238" s="378">
        <f t="shared" si="299"/>
        <v>0</v>
      </c>
      <c r="BE238" s="381"/>
      <c r="BF238" s="378">
        <f t="shared" si="323"/>
        <v>98</v>
      </c>
    </row>
    <row r="239" spans="1:58" x14ac:dyDescent="0.35">
      <c r="A239" s="193" t="s">
        <v>33</v>
      </c>
      <c r="B239" s="35">
        <v>252610173</v>
      </c>
      <c r="C239" s="58" t="s">
        <v>1253</v>
      </c>
      <c r="D239" s="195" t="s">
        <v>8</v>
      </c>
      <c r="E239" s="215">
        <v>19</v>
      </c>
      <c r="F239" s="217"/>
      <c r="G239" s="217">
        <v>1</v>
      </c>
      <c r="H239" s="217"/>
      <c r="I239" s="326">
        <f t="shared" si="300"/>
        <v>1</v>
      </c>
      <c r="J239" s="326">
        <f t="shared" si="301"/>
        <v>18</v>
      </c>
      <c r="K239" s="327">
        <f t="shared" si="302"/>
        <v>0.94736842105263153</v>
      </c>
      <c r="L239" s="221">
        <v>14</v>
      </c>
      <c r="M239" s="222"/>
      <c r="N239" s="222"/>
      <c r="O239" s="222"/>
      <c r="P239" s="328">
        <f t="shared" si="303"/>
        <v>0</v>
      </c>
      <c r="Q239" s="328">
        <f t="shared" si="304"/>
        <v>14</v>
      </c>
      <c r="R239" s="329">
        <f t="shared" si="305"/>
        <v>1</v>
      </c>
      <c r="S239" s="225">
        <v>12</v>
      </c>
      <c r="T239" s="226"/>
      <c r="U239" s="226"/>
      <c r="V239" s="226"/>
      <c r="W239" s="330">
        <f t="shared" si="306"/>
        <v>0</v>
      </c>
      <c r="X239" s="330">
        <f t="shared" si="307"/>
        <v>12</v>
      </c>
      <c r="Y239" s="331">
        <f t="shared" si="308"/>
        <v>1</v>
      </c>
      <c r="Z239" s="228">
        <v>21</v>
      </c>
      <c r="AA239" s="255"/>
      <c r="AB239" s="255"/>
      <c r="AC239" s="255"/>
      <c r="AD239" s="280">
        <f t="shared" si="309"/>
        <v>0</v>
      </c>
      <c r="AE239" s="280">
        <f t="shared" si="310"/>
        <v>21</v>
      </c>
      <c r="AF239" s="281">
        <f t="shared" si="311"/>
        <v>1</v>
      </c>
      <c r="AG239" s="229">
        <v>18</v>
      </c>
      <c r="AH239" s="257"/>
      <c r="AI239" s="257"/>
      <c r="AJ239" s="257"/>
      <c r="AK239" s="305">
        <f t="shared" si="312"/>
        <v>0</v>
      </c>
      <c r="AL239" s="305">
        <f t="shared" si="313"/>
        <v>18</v>
      </c>
      <c r="AM239" s="306">
        <f t="shared" si="314"/>
        <v>1</v>
      </c>
      <c r="AN239" s="230">
        <v>14</v>
      </c>
      <c r="AO239" s="259"/>
      <c r="AP239" s="259"/>
      <c r="AQ239" s="259"/>
      <c r="AR239" s="307">
        <f t="shared" si="315"/>
        <v>0</v>
      </c>
      <c r="AS239" s="307">
        <f t="shared" si="316"/>
        <v>14</v>
      </c>
      <c r="AT239" s="308">
        <f t="shared" si="317"/>
        <v>1</v>
      </c>
      <c r="AU239" s="289">
        <f t="shared" si="318"/>
        <v>0</v>
      </c>
      <c r="AV239" s="289">
        <f t="shared" si="319"/>
        <v>1</v>
      </c>
      <c r="AW239" s="289">
        <f t="shared" si="320"/>
        <v>0</v>
      </c>
      <c r="AX239" s="290">
        <v>98</v>
      </c>
      <c r="AY239" s="289">
        <f t="shared" si="321"/>
        <v>97</v>
      </c>
      <c r="AZ239" s="291">
        <f t="shared" si="322"/>
        <v>0.98979591836734693</v>
      </c>
      <c r="BA239" s="344"/>
      <c r="BB239" s="383">
        <v>100</v>
      </c>
      <c r="BC239" s="379">
        <f t="shared" si="298"/>
        <v>0</v>
      </c>
      <c r="BD239" s="378">
        <f t="shared" si="299"/>
        <v>0</v>
      </c>
      <c r="BE239" s="381"/>
      <c r="BF239" s="378">
        <f t="shared" si="323"/>
        <v>100</v>
      </c>
    </row>
    <row r="240" spans="1:58" x14ac:dyDescent="0.35">
      <c r="A240" s="193" t="s">
        <v>34</v>
      </c>
      <c r="B240" s="35">
        <v>252610174</v>
      </c>
      <c r="C240" s="47" t="s">
        <v>1254</v>
      </c>
      <c r="D240" s="195" t="s">
        <v>8</v>
      </c>
      <c r="E240" s="215">
        <v>19</v>
      </c>
      <c r="F240" s="217"/>
      <c r="G240" s="217"/>
      <c r="H240" s="217"/>
      <c r="I240" s="326">
        <f t="shared" si="300"/>
        <v>0</v>
      </c>
      <c r="J240" s="326">
        <f t="shared" si="301"/>
        <v>19</v>
      </c>
      <c r="K240" s="327">
        <f t="shared" si="302"/>
        <v>1</v>
      </c>
      <c r="L240" s="221">
        <v>14</v>
      </c>
      <c r="M240" s="222">
        <v>1</v>
      </c>
      <c r="N240" s="223"/>
      <c r="O240" s="222"/>
      <c r="P240" s="328">
        <f t="shared" si="303"/>
        <v>1</v>
      </c>
      <c r="Q240" s="328">
        <f t="shared" si="304"/>
        <v>13</v>
      </c>
      <c r="R240" s="329">
        <f t="shared" si="305"/>
        <v>0.9285714285714286</v>
      </c>
      <c r="S240" s="225">
        <v>12</v>
      </c>
      <c r="T240" s="226"/>
      <c r="U240" s="226"/>
      <c r="V240" s="226"/>
      <c r="W240" s="330">
        <f t="shared" si="306"/>
        <v>0</v>
      </c>
      <c r="X240" s="330">
        <f t="shared" si="307"/>
        <v>12</v>
      </c>
      <c r="Y240" s="331">
        <f t="shared" si="308"/>
        <v>1</v>
      </c>
      <c r="Z240" s="228">
        <v>21</v>
      </c>
      <c r="AA240" s="255"/>
      <c r="AB240" s="255"/>
      <c r="AC240" s="255"/>
      <c r="AD240" s="280">
        <f t="shared" si="309"/>
        <v>0</v>
      </c>
      <c r="AE240" s="280">
        <f t="shared" si="310"/>
        <v>21</v>
      </c>
      <c r="AF240" s="281">
        <f t="shared" si="311"/>
        <v>1</v>
      </c>
      <c r="AG240" s="229">
        <v>18</v>
      </c>
      <c r="AH240" s="257"/>
      <c r="AI240" s="257"/>
      <c r="AJ240" s="257"/>
      <c r="AK240" s="305">
        <f t="shared" si="312"/>
        <v>0</v>
      </c>
      <c r="AL240" s="305">
        <f t="shared" si="313"/>
        <v>18</v>
      </c>
      <c r="AM240" s="306">
        <f t="shared" si="314"/>
        <v>1</v>
      </c>
      <c r="AN240" s="230">
        <v>14</v>
      </c>
      <c r="AO240" s="259"/>
      <c r="AP240" s="259"/>
      <c r="AQ240" s="259"/>
      <c r="AR240" s="307">
        <f t="shared" si="315"/>
        <v>0</v>
      </c>
      <c r="AS240" s="307">
        <f t="shared" si="316"/>
        <v>14</v>
      </c>
      <c r="AT240" s="308">
        <f t="shared" si="317"/>
        <v>1</v>
      </c>
      <c r="AU240" s="289">
        <f t="shared" si="318"/>
        <v>1</v>
      </c>
      <c r="AV240" s="289">
        <f t="shared" si="319"/>
        <v>0</v>
      </c>
      <c r="AW240" s="289">
        <f t="shared" si="320"/>
        <v>0</v>
      </c>
      <c r="AX240" s="290">
        <v>98</v>
      </c>
      <c r="AY240" s="289">
        <f t="shared" si="321"/>
        <v>97</v>
      </c>
      <c r="AZ240" s="291">
        <f t="shared" si="322"/>
        <v>0.98979591836734693</v>
      </c>
      <c r="BA240" s="344"/>
      <c r="BB240" s="383">
        <v>100</v>
      </c>
      <c r="BC240" s="379">
        <f t="shared" si="298"/>
        <v>0</v>
      </c>
      <c r="BD240" s="378">
        <f t="shared" si="299"/>
        <v>0</v>
      </c>
      <c r="BE240" s="381"/>
      <c r="BF240" s="378">
        <f t="shared" si="323"/>
        <v>100</v>
      </c>
    </row>
    <row r="241" spans="1:58" x14ac:dyDescent="0.35">
      <c r="A241" s="193" t="s">
        <v>35</v>
      </c>
      <c r="B241" s="35">
        <v>252610175</v>
      </c>
      <c r="C241" s="46" t="s">
        <v>1255</v>
      </c>
      <c r="D241" s="195" t="s">
        <v>6</v>
      </c>
      <c r="E241" s="215">
        <v>19</v>
      </c>
      <c r="F241" s="217"/>
      <c r="G241" s="217"/>
      <c r="H241" s="217"/>
      <c r="I241" s="326">
        <f t="shared" si="300"/>
        <v>0</v>
      </c>
      <c r="J241" s="326">
        <f t="shared" si="301"/>
        <v>19</v>
      </c>
      <c r="K241" s="327">
        <f t="shared" si="302"/>
        <v>1</v>
      </c>
      <c r="L241" s="221">
        <v>14</v>
      </c>
      <c r="M241" s="222"/>
      <c r="N241" s="223"/>
      <c r="O241" s="222"/>
      <c r="P241" s="328">
        <f t="shared" si="303"/>
        <v>0</v>
      </c>
      <c r="Q241" s="328">
        <f t="shared" si="304"/>
        <v>14</v>
      </c>
      <c r="R241" s="329">
        <f t="shared" si="305"/>
        <v>1</v>
      </c>
      <c r="S241" s="225">
        <v>12</v>
      </c>
      <c r="T241" s="226"/>
      <c r="U241" s="226"/>
      <c r="V241" s="226"/>
      <c r="W241" s="330">
        <f t="shared" si="306"/>
        <v>0</v>
      </c>
      <c r="X241" s="330">
        <f t="shared" si="307"/>
        <v>12</v>
      </c>
      <c r="Y241" s="331">
        <f t="shared" si="308"/>
        <v>1</v>
      </c>
      <c r="Z241" s="228">
        <v>21</v>
      </c>
      <c r="AA241" s="255"/>
      <c r="AB241" s="255"/>
      <c r="AC241" s="255"/>
      <c r="AD241" s="280">
        <f t="shared" si="309"/>
        <v>0</v>
      </c>
      <c r="AE241" s="280">
        <f t="shared" si="310"/>
        <v>21</v>
      </c>
      <c r="AF241" s="281">
        <f t="shared" si="311"/>
        <v>1</v>
      </c>
      <c r="AG241" s="229">
        <v>18</v>
      </c>
      <c r="AH241" s="257"/>
      <c r="AI241" s="257"/>
      <c r="AJ241" s="257"/>
      <c r="AK241" s="305">
        <f t="shared" si="312"/>
        <v>0</v>
      </c>
      <c r="AL241" s="305">
        <f t="shared" si="313"/>
        <v>18</v>
      </c>
      <c r="AM241" s="306">
        <f t="shared" si="314"/>
        <v>1</v>
      </c>
      <c r="AN241" s="230">
        <v>14</v>
      </c>
      <c r="AO241" s="259"/>
      <c r="AP241" s="259"/>
      <c r="AQ241" s="259"/>
      <c r="AR241" s="307">
        <f t="shared" si="315"/>
        <v>0</v>
      </c>
      <c r="AS241" s="307">
        <f t="shared" si="316"/>
        <v>14</v>
      </c>
      <c r="AT241" s="308">
        <f t="shared" si="317"/>
        <v>1</v>
      </c>
      <c r="AU241" s="289">
        <f t="shared" si="318"/>
        <v>0</v>
      </c>
      <c r="AV241" s="289">
        <f t="shared" si="319"/>
        <v>0</v>
      </c>
      <c r="AW241" s="289">
        <f t="shared" si="320"/>
        <v>0</v>
      </c>
      <c r="AX241" s="290">
        <v>98</v>
      </c>
      <c r="AY241" s="289">
        <f t="shared" si="321"/>
        <v>98</v>
      </c>
      <c r="AZ241" s="291">
        <f t="shared" si="322"/>
        <v>1</v>
      </c>
      <c r="BA241" s="344"/>
      <c r="BB241" s="383">
        <v>100</v>
      </c>
      <c r="BC241" s="379">
        <f t="shared" si="298"/>
        <v>0</v>
      </c>
      <c r="BD241" s="378">
        <f t="shared" si="299"/>
        <v>0</v>
      </c>
      <c r="BE241" s="381"/>
      <c r="BF241" s="378">
        <f t="shared" si="323"/>
        <v>100</v>
      </c>
    </row>
    <row r="242" spans="1:58" x14ac:dyDescent="0.35">
      <c r="A242" s="193" t="s">
        <v>36</v>
      </c>
      <c r="B242" s="35">
        <v>252610176</v>
      </c>
      <c r="C242" s="46" t="s">
        <v>1256</v>
      </c>
      <c r="D242" s="195" t="s">
        <v>6</v>
      </c>
      <c r="E242" s="215">
        <v>19</v>
      </c>
      <c r="F242" s="217"/>
      <c r="G242" s="217"/>
      <c r="H242" s="217"/>
      <c r="I242" s="326">
        <f t="shared" si="300"/>
        <v>0</v>
      </c>
      <c r="J242" s="326">
        <f t="shared" si="301"/>
        <v>19</v>
      </c>
      <c r="K242" s="327">
        <f t="shared" si="302"/>
        <v>1</v>
      </c>
      <c r="L242" s="221">
        <v>14</v>
      </c>
      <c r="M242" s="222">
        <v>1</v>
      </c>
      <c r="N242" s="223"/>
      <c r="O242" s="222"/>
      <c r="P242" s="328">
        <f t="shared" si="303"/>
        <v>1</v>
      </c>
      <c r="Q242" s="328">
        <f t="shared" si="304"/>
        <v>13</v>
      </c>
      <c r="R242" s="329">
        <f t="shared" si="305"/>
        <v>0.9285714285714286</v>
      </c>
      <c r="S242" s="225">
        <v>12</v>
      </c>
      <c r="T242" s="226"/>
      <c r="U242" s="226"/>
      <c r="V242" s="226"/>
      <c r="W242" s="330">
        <f t="shared" si="306"/>
        <v>0</v>
      </c>
      <c r="X242" s="330">
        <f t="shared" si="307"/>
        <v>12</v>
      </c>
      <c r="Y242" s="331">
        <f t="shared" si="308"/>
        <v>1</v>
      </c>
      <c r="Z242" s="228">
        <v>21</v>
      </c>
      <c r="AA242" s="255"/>
      <c r="AB242" s="255"/>
      <c r="AC242" s="255"/>
      <c r="AD242" s="280">
        <f t="shared" si="309"/>
        <v>0</v>
      </c>
      <c r="AE242" s="280">
        <f t="shared" si="310"/>
        <v>21</v>
      </c>
      <c r="AF242" s="281">
        <f t="shared" si="311"/>
        <v>1</v>
      </c>
      <c r="AG242" s="229">
        <v>18</v>
      </c>
      <c r="AH242" s="257"/>
      <c r="AI242" s="257"/>
      <c r="AJ242" s="257"/>
      <c r="AK242" s="305">
        <f t="shared" si="312"/>
        <v>0</v>
      </c>
      <c r="AL242" s="305">
        <f t="shared" si="313"/>
        <v>18</v>
      </c>
      <c r="AM242" s="306">
        <f t="shared" si="314"/>
        <v>1</v>
      </c>
      <c r="AN242" s="230">
        <v>14</v>
      </c>
      <c r="AO242" s="259"/>
      <c r="AP242" s="259"/>
      <c r="AQ242" s="259"/>
      <c r="AR242" s="307">
        <f t="shared" si="315"/>
        <v>0</v>
      </c>
      <c r="AS242" s="307">
        <f t="shared" si="316"/>
        <v>14</v>
      </c>
      <c r="AT242" s="308">
        <f t="shared" si="317"/>
        <v>1</v>
      </c>
      <c r="AU242" s="289">
        <f t="shared" si="318"/>
        <v>1</v>
      </c>
      <c r="AV242" s="289">
        <f t="shared" si="319"/>
        <v>0</v>
      </c>
      <c r="AW242" s="289">
        <f t="shared" si="320"/>
        <v>0</v>
      </c>
      <c r="AX242" s="290">
        <v>98</v>
      </c>
      <c r="AY242" s="289">
        <f t="shared" si="321"/>
        <v>97</v>
      </c>
      <c r="AZ242" s="291">
        <f t="shared" si="322"/>
        <v>0.98979591836734693</v>
      </c>
      <c r="BA242" s="344"/>
      <c r="BB242" s="383">
        <v>100</v>
      </c>
      <c r="BC242" s="379">
        <f t="shared" si="298"/>
        <v>0</v>
      </c>
      <c r="BD242" s="378">
        <f t="shared" si="299"/>
        <v>0</v>
      </c>
      <c r="BE242" s="381"/>
      <c r="BF242" s="378">
        <f t="shared" si="323"/>
        <v>100</v>
      </c>
    </row>
    <row r="243" spans="1:58" x14ac:dyDescent="0.35">
      <c r="A243" s="193" t="s">
        <v>37</v>
      </c>
      <c r="B243" s="35">
        <v>252610177</v>
      </c>
      <c r="C243" s="58" t="s">
        <v>1257</v>
      </c>
      <c r="D243" s="195" t="s">
        <v>6</v>
      </c>
      <c r="E243" s="215">
        <v>19</v>
      </c>
      <c r="F243" s="217"/>
      <c r="G243" s="217"/>
      <c r="H243" s="217"/>
      <c r="I243" s="326">
        <f t="shared" si="300"/>
        <v>0</v>
      </c>
      <c r="J243" s="326">
        <f t="shared" si="301"/>
        <v>19</v>
      </c>
      <c r="K243" s="327">
        <f t="shared" si="302"/>
        <v>1</v>
      </c>
      <c r="L243" s="221">
        <v>14</v>
      </c>
      <c r="M243" s="222"/>
      <c r="N243" s="223">
        <v>1</v>
      </c>
      <c r="O243" s="222"/>
      <c r="P243" s="328">
        <f t="shared" si="303"/>
        <v>1</v>
      </c>
      <c r="Q243" s="328">
        <f t="shared" si="304"/>
        <v>13</v>
      </c>
      <c r="R243" s="329">
        <f t="shared" si="305"/>
        <v>0.9285714285714286</v>
      </c>
      <c r="S243" s="225">
        <v>12</v>
      </c>
      <c r="T243" s="226"/>
      <c r="U243" s="226"/>
      <c r="V243" s="226"/>
      <c r="W243" s="330">
        <f t="shared" si="306"/>
        <v>0</v>
      </c>
      <c r="X243" s="330">
        <f t="shared" si="307"/>
        <v>12</v>
      </c>
      <c r="Y243" s="331">
        <f t="shared" si="308"/>
        <v>1</v>
      </c>
      <c r="Z243" s="228">
        <v>21</v>
      </c>
      <c r="AA243" s="255"/>
      <c r="AB243" s="255"/>
      <c r="AC243" s="255"/>
      <c r="AD243" s="280">
        <f t="shared" si="309"/>
        <v>0</v>
      </c>
      <c r="AE243" s="280">
        <f t="shared" si="310"/>
        <v>21</v>
      </c>
      <c r="AF243" s="281">
        <f t="shared" si="311"/>
        <v>1</v>
      </c>
      <c r="AG243" s="229">
        <v>18</v>
      </c>
      <c r="AH243" s="257"/>
      <c r="AI243" s="257"/>
      <c r="AJ243" s="257"/>
      <c r="AK243" s="305">
        <f t="shared" si="312"/>
        <v>0</v>
      </c>
      <c r="AL243" s="305">
        <f t="shared" si="313"/>
        <v>18</v>
      </c>
      <c r="AM243" s="306">
        <f t="shared" si="314"/>
        <v>1</v>
      </c>
      <c r="AN243" s="230">
        <v>14</v>
      </c>
      <c r="AO243" s="259"/>
      <c r="AP243" s="259"/>
      <c r="AQ243" s="259"/>
      <c r="AR243" s="307">
        <f t="shared" si="315"/>
        <v>0</v>
      </c>
      <c r="AS243" s="307">
        <f t="shared" si="316"/>
        <v>14</v>
      </c>
      <c r="AT243" s="308">
        <f t="shared" si="317"/>
        <v>1</v>
      </c>
      <c r="AU243" s="289">
        <f t="shared" si="318"/>
        <v>0</v>
      </c>
      <c r="AV243" s="289">
        <f t="shared" si="319"/>
        <v>1</v>
      </c>
      <c r="AW243" s="289">
        <f t="shared" si="320"/>
        <v>0</v>
      </c>
      <c r="AX243" s="290">
        <v>98</v>
      </c>
      <c r="AY243" s="289">
        <f t="shared" si="321"/>
        <v>97</v>
      </c>
      <c r="AZ243" s="291">
        <f t="shared" si="322"/>
        <v>0.98979591836734693</v>
      </c>
      <c r="BA243" s="344"/>
      <c r="BB243" s="383">
        <v>100</v>
      </c>
      <c r="BC243" s="379">
        <f t="shared" si="298"/>
        <v>0</v>
      </c>
      <c r="BD243" s="378">
        <f t="shared" si="299"/>
        <v>0</v>
      </c>
      <c r="BE243" s="381"/>
      <c r="BF243" s="378">
        <f t="shared" si="323"/>
        <v>100</v>
      </c>
    </row>
    <row r="244" spans="1:58" x14ac:dyDescent="0.35">
      <c r="A244" s="193" t="s">
        <v>38</v>
      </c>
      <c r="B244" s="35">
        <v>252610178</v>
      </c>
      <c r="C244" s="47" t="s">
        <v>1258</v>
      </c>
      <c r="D244" s="195" t="s">
        <v>8</v>
      </c>
      <c r="E244" s="215">
        <v>19</v>
      </c>
      <c r="F244" s="217"/>
      <c r="G244" s="217"/>
      <c r="H244" s="217"/>
      <c r="I244" s="326">
        <f t="shared" si="300"/>
        <v>0</v>
      </c>
      <c r="J244" s="326">
        <f t="shared" si="301"/>
        <v>19</v>
      </c>
      <c r="K244" s="327">
        <f t="shared" si="302"/>
        <v>1</v>
      </c>
      <c r="L244" s="221">
        <v>14</v>
      </c>
      <c r="M244" s="222"/>
      <c r="N244" s="223"/>
      <c r="O244" s="222"/>
      <c r="P244" s="328">
        <f t="shared" si="303"/>
        <v>0</v>
      </c>
      <c r="Q244" s="328">
        <f t="shared" si="304"/>
        <v>14</v>
      </c>
      <c r="R244" s="329">
        <f t="shared" si="305"/>
        <v>1</v>
      </c>
      <c r="S244" s="225">
        <v>12</v>
      </c>
      <c r="T244" s="226"/>
      <c r="U244" s="226"/>
      <c r="V244" s="226"/>
      <c r="W244" s="330">
        <f t="shared" si="306"/>
        <v>0</v>
      </c>
      <c r="X244" s="330">
        <f t="shared" si="307"/>
        <v>12</v>
      </c>
      <c r="Y244" s="331">
        <f t="shared" si="308"/>
        <v>1</v>
      </c>
      <c r="Z244" s="228">
        <v>21</v>
      </c>
      <c r="AA244" s="255"/>
      <c r="AB244" s="255"/>
      <c r="AC244" s="255"/>
      <c r="AD244" s="280">
        <f t="shared" si="309"/>
        <v>0</v>
      </c>
      <c r="AE244" s="280">
        <f t="shared" si="310"/>
        <v>21</v>
      </c>
      <c r="AF244" s="281">
        <f t="shared" si="311"/>
        <v>1</v>
      </c>
      <c r="AG244" s="229">
        <v>18</v>
      </c>
      <c r="AH244" s="257"/>
      <c r="AI244" s="257"/>
      <c r="AJ244" s="257"/>
      <c r="AK244" s="305">
        <f t="shared" si="312"/>
        <v>0</v>
      </c>
      <c r="AL244" s="305">
        <f t="shared" si="313"/>
        <v>18</v>
      </c>
      <c r="AM244" s="306">
        <f t="shared" si="314"/>
        <v>1</v>
      </c>
      <c r="AN244" s="230">
        <v>14</v>
      </c>
      <c r="AO244" s="259"/>
      <c r="AP244" s="259"/>
      <c r="AQ244" s="259"/>
      <c r="AR244" s="307">
        <f t="shared" si="315"/>
        <v>0</v>
      </c>
      <c r="AS244" s="307">
        <f t="shared" si="316"/>
        <v>14</v>
      </c>
      <c r="AT244" s="308">
        <f t="shared" si="317"/>
        <v>1</v>
      </c>
      <c r="AU244" s="289">
        <f t="shared" si="318"/>
        <v>0</v>
      </c>
      <c r="AV244" s="289">
        <f t="shared" si="319"/>
        <v>0</v>
      </c>
      <c r="AW244" s="289">
        <f t="shared" si="320"/>
        <v>0</v>
      </c>
      <c r="AX244" s="290">
        <v>98</v>
      </c>
      <c r="AY244" s="289">
        <f t="shared" si="321"/>
        <v>98</v>
      </c>
      <c r="AZ244" s="291">
        <f t="shared" si="322"/>
        <v>1</v>
      </c>
      <c r="BA244" s="344"/>
      <c r="BB244" s="383">
        <v>100</v>
      </c>
      <c r="BC244" s="379">
        <f t="shared" si="298"/>
        <v>0</v>
      </c>
      <c r="BD244" s="378">
        <f t="shared" si="299"/>
        <v>0</v>
      </c>
      <c r="BE244" s="381"/>
      <c r="BF244" s="378">
        <f t="shared" si="323"/>
        <v>100</v>
      </c>
    </row>
    <row r="245" spans="1:58" x14ac:dyDescent="0.35">
      <c r="A245" s="193" t="s">
        <v>39</v>
      </c>
      <c r="B245" s="35">
        <v>252610179</v>
      </c>
      <c r="C245" s="47" t="s">
        <v>1259</v>
      </c>
      <c r="D245" s="195" t="s">
        <v>6</v>
      </c>
      <c r="E245" s="215">
        <v>19</v>
      </c>
      <c r="F245" s="217"/>
      <c r="G245" s="217"/>
      <c r="H245" s="217">
        <v>5</v>
      </c>
      <c r="I245" s="326">
        <f t="shared" si="300"/>
        <v>5</v>
      </c>
      <c r="J245" s="326">
        <f t="shared" si="301"/>
        <v>14</v>
      </c>
      <c r="K245" s="327">
        <f t="shared" si="302"/>
        <v>0.73684210526315785</v>
      </c>
      <c r="L245" s="221">
        <v>14</v>
      </c>
      <c r="M245" s="222">
        <v>1</v>
      </c>
      <c r="N245" s="223">
        <v>2</v>
      </c>
      <c r="O245" s="222">
        <v>2</v>
      </c>
      <c r="P245" s="328">
        <f t="shared" si="303"/>
        <v>5</v>
      </c>
      <c r="Q245" s="328">
        <f t="shared" si="304"/>
        <v>9</v>
      </c>
      <c r="R245" s="329">
        <f t="shared" si="305"/>
        <v>0.6428571428571429</v>
      </c>
      <c r="S245" s="225">
        <v>12</v>
      </c>
      <c r="T245" s="226"/>
      <c r="U245" s="226"/>
      <c r="V245" s="226"/>
      <c r="W245" s="330">
        <f t="shared" si="306"/>
        <v>0</v>
      </c>
      <c r="X245" s="330">
        <f t="shared" si="307"/>
        <v>12</v>
      </c>
      <c r="Y245" s="331">
        <f t="shared" si="308"/>
        <v>1</v>
      </c>
      <c r="Z245" s="228">
        <v>21</v>
      </c>
      <c r="AA245" s="255"/>
      <c r="AB245" s="255"/>
      <c r="AC245" s="255"/>
      <c r="AD245" s="280">
        <f t="shared" si="309"/>
        <v>0</v>
      </c>
      <c r="AE245" s="280">
        <f t="shared" si="310"/>
        <v>21</v>
      </c>
      <c r="AF245" s="281">
        <f t="shared" si="311"/>
        <v>1</v>
      </c>
      <c r="AG245" s="229">
        <v>18</v>
      </c>
      <c r="AH245" s="257"/>
      <c r="AI245" s="257"/>
      <c r="AJ245" s="257"/>
      <c r="AK245" s="305">
        <f t="shared" si="312"/>
        <v>0</v>
      </c>
      <c r="AL245" s="305">
        <f t="shared" si="313"/>
        <v>18</v>
      </c>
      <c r="AM245" s="306">
        <f t="shared" si="314"/>
        <v>1</v>
      </c>
      <c r="AN245" s="230">
        <v>14</v>
      </c>
      <c r="AO245" s="259"/>
      <c r="AP245" s="259"/>
      <c r="AQ245" s="259"/>
      <c r="AR245" s="307">
        <f t="shared" si="315"/>
        <v>0</v>
      </c>
      <c r="AS245" s="307">
        <f t="shared" si="316"/>
        <v>14</v>
      </c>
      <c r="AT245" s="308">
        <f t="shared" si="317"/>
        <v>1</v>
      </c>
      <c r="AU245" s="289">
        <f t="shared" si="318"/>
        <v>1</v>
      </c>
      <c r="AV245" s="289">
        <f t="shared" si="319"/>
        <v>2</v>
      </c>
      <c r="AW245" s="289">
        <f t="shared" si="320"/>
        <v>7</v>
      </c>
      <c r="AX245" s="290">
        <v>98</v>
      </c>
      <c r="AY245" s="289">
        <f t="shared" si="321"/>
        <v>88</v>
      </c>
      <c r="AZ245" s="291">
        <f t="shared" si="322"/>
        <v>0.89795918367346939</v>
      </c>
      <c r="BA245" s="344"/>
      <c r="BB245" s="383">
        <v>86</v>
      </c>
      <c r="BC245" s="379">
        <f t="shared" si="298"/>
        <v>0</v>
      </c>
      <c r="BD245" s="378">
        <f t="shared" si="299"/>
        <v>14</v>
      </c>
      <c r="BE245" s="381"/>
      <c r="BF245" s="378">
        <f t="shared" si="323"/>
        <v>72</v>
      </c>
    </row>
    <row r="246" spans="1:58" x14ac:dyDescent="0.35">
      <c r="A246" s="193" t="s">
        <v>40</v>
      </c>
      <c r="B246" s="35">
        <v>252610180</v>
      </c>
      <c r="C246" s="47" t="s">
        <v>1260</v>
      </c>
      <c r="D246" s="195" t="s">
        <v>6</v>
      </c>
      <c r="E246" s="215">
        <v>19</v>
      </c>
      <c r="F246" s="217">
        <v>1</v>
      </c>
      <c r="G246" s="217"/>
      <c r="H246" s="217"/>
      <c r="I246" s="326">
        <f t="shared" si="300"/>
        <v>1</v>
      </c>
      <c r="J246" s="326">
        <f t="shared" si="301"/>
        <v>18</v>
      </c>
      <c r="K246" s="327">
        <f t="shared" si="302"/>
        <v>0.94736842105263153</v>
      </c>
      <c r="L246" s="221">
        <v>14</v>
      </c>
      <c r="M246" s="222"/>
      <c r="N246" s="223"/>
      <c r="O246" s="222">
        <v>1</v>
      </c>
      <c r="P246" s="328">
        <f t="shared" si="303"/>
        <v>1</v>
      </c>
      <c r="Q246" s="328">
        <f t="shared" si="304"/>
        <v>13</v>
      </c>
      <c r="R246" s="329">
        <f t="shared" si="305"/>
        <v>0.9285714285714286</v>
      </c>
      <c r="S246" s="225">
        <v>12</v>
      </c>
      <c r="T246" s="226"/>
      <c r="U246" s="226"/>
      <c r="V246" s="226"/>
      <c r="W246" s="330">
        <f t="shared" si="306"/>
        <v>0</v>
      </c>
      <c r="X246" s="330">
        <f t="shared" si="307"/>
        <v>12</v>
      </c>
      <c r="Y246" s="331">
        <f t="shared" si="308"/>
        <v>1</v>
      </c>
      <c r="Z246" s="228">
        <v>21</v>
      </c>
      <c r="AA246" s="255"/>
      <c r="AB246" s="255"/>
      <c r="AC246" s="255"/>
      <c r="AD246" s="280">
        <f t="shared" si="309"/>
        <v>0</v>
      </c>
      <c r="AE246" s="280">
        <f t="shared" si="310"/>
        <v>21</v>
      </c>
      <c r="AF246" s="281">
        <f t="shared" si="311"/>
        <v>1</v>
      </c>
      <c r="AG246" s="229">
        <v>18</v>
      </c>
      <c r="AH246" s="257"/>
      <c r="AI246" s="257"/>
      <c r="AJ246" s="257"/>
      <c r="AK246" s="305">
        <f t="shared" si="312"/>
        <v>0</v>
      </c>
      <c r="AL246" s="305">
        <f t="shared" si="313"/>
        <v>18</v>
      </c>
      <c r="AM246" s="306">
        <f t="shared" si="314"/>
        <v>1</v>
      </c>
      <c r="AN246" s="230">
        <v>14</v>
      </c>
      <c r="AO246" s="259"/>
      <c r="AP246" s="259"/>
      <c r="AQ246" s="259"/>
      <c r="AR246" s="307">
        <f t="shared" si="315"/>
        <v>0</v>
      </c>
      <c r="AS246" s="307">
        <f t="shared" si="316"/>
        <v>14</v>
      </c>
      <c r="AT246" s="308">
        <f t="shared" si="317"/>
        <v>1</v>
      </c>
      <c r="AU246" s="289">
        <f t="shared" si="318"/>
        <v>1</v>
      </c>
      <c r="AV246" s="289">
        <f t="shared" si="319"/>
        <v>0</v>
      </c>
      <c r="AW246" s="289">
        <f t="shared" si="320"/>
        <v>1</v>
      </c>
      <c r="AX246" s="290">
        <v>98</v>
      </c>
      <c r="AY246" s="289">
        <f t="shared" si="321"/>
        <v>96</v>
      </c>
      <c r="AZ246" s="291">
        <f t="shared" si="322"/>
        <v>0.97959183673469385</v>
      </c>
      <c r="BA246" s="344"/>
      <c r="BB246" s="383">
        <v>98</v>
      </c>
      <c r="BC246" s="379">
        <f t="shared" si="298"/>
        <v>0</v>
      </c>
      <c r="BD246" s="378">
        <f t="shared" si="299"/>
        <v>2</v>
      </c>
      <c r="BE246" s="381"/>
      <c r="BF246" s="378">
        <f t="shared" si="323"/>
        <v>96</v>
      </c>
    </row>
    <row r="247" spans="1:58" x14ac:dyDescent="0.35">
      <c r="A247" s="193" t="s">
        <v>41</v>
      </c>
      <c r="B247" s="35">
        <v>252610181</v>
      </c>
      <c r="C247" s="47" t="s">
        <v>1261</v>
      </c>
      <c r="D247" s="195" t="s">
        <v>8</v>
      </c>
      <c r="E247" s="215">
        <v>19</v>
      </c>
      <c r="F247" s="217">
        <v>2</v>
      </c>
      <c r="G247" s="217"/>
      <c r="H247" s="217">
        <v>8</v>
      </c>
      <c r="I247" s="326">
        <f t="shared" si="300"/>
        <v>10</v>
      </c>
      <c r="J247" s="326">
        <f t="shared" si="301"/>
        <v>9</v>
      </c>
      <c r="K247" s="327">
        <f t="shared" si="302"/>
        <v>0.47368421052631576</v>
      </c>
      <c r="L247" s="221">
        <v>14</v>
      </c>
      <c r="M247" s="222"/>
      <c r="N247" s="223">
        <v>6</v>
      </c>
      <c r="O247" s="222">
        <v>2</v>
      </c>
      <c r="P247" s="328">
        <f t="shared" si="303"/>
        <v>8</v>
      </c>
      <c r="Q247" s="328">
        <f t="shared" si="304"/>
        <v>6</v>
      </c>
      <c r="R247" s="329">
        <f t="shared" si="305"/>
        <v>0.42857142857142855</v>
      </c>
      <c r="S247" s="225">
        <v>12</v>
      </c>
      <c r="T247" s="226"/>
      <c r="U247" s="226"/>
      <c r="V247" s="226"/>
      <c r="W247" s="330">
        <f t="shared" si="306"/>
        <v>0</v>
      </c>
      <c r="X247" s="330">
        <f t="shared" si="307"/>
        <v>12</v>
      </c>
      <c r="Y247" s="331">
        <f t="shared" si="308"/>
        <v>1</v>
      </c>
      <c r="Z247" s="228">
        <v>21</v>
      </c>
      <c r="AA247" s="255"/>
      <c r="AB247" s="255"/>
      <c r="AC247" s="255"/>
      <c r="AD247" s="280">
        <f t="shared" si="309"/>
        <v>0</v>
      </c>
      <c r="AE247" s="280">
        <f t="shared" si="310"/>
        <v>21</v>
      </c>
      <c r="AF247" s="281">
        <f t="shared" si="311"/>
        <v>1</v>
      </c>
      <c r="AG247" s="229">
        <v>18</v>
      </c>
      <c r="AH247" s="257"/>
      <c r="AI247" s="257"/>
      <c r="AJ247" s="257"/>
      <c r="AK247" s="305">
        <f t="shared" si="312"/>
        <v>0</v>
      </c>
      <c r="AL247" s="305">
        <f t="shared" si="313"/>
        <v>18</v>
      </c>
      <c r="AM247" s="306">
        <f t="shared" si="314"/>
        <v>1</v>
      </c>
      <c r="AN247" s="230">
        <v>14</v>
      </c>
      <c r="AO247" s="259"/>
      <c r="AP247" s="259"/>
      <c r="AQ247" s="259"/>
      <c r="AR247" s="307">
        <f t="shared" si="315"/>
        <v>0</v>
      </c>
      <c r="AS247" s="307">
        <f t="shared" si="316"/>
        <v>14</v>
      </c>
      <c r="AT247" s="308">
        <f t="shared" si="317"/>
        <v>1</v>
      </c>
      <c r="AU247" s="289">
        <f t="shared" si="318"/>
        <v>2</v>
      </c>
      <c r="AV247" s="289">
        <f t="shared" si="319"/>
        <v>6</v>
      </c>
      <c r="AW247" s="289">
        <f t="shared" si="320"/>
        <v>10</v>
      </c>
      <c r="AX247" s="290">
        <v>98</v>
      </c>
      <c r="AY247" s="289">
        <f t="shared" si="321"/>
        <v>80</v>
      </c>
      <c r="AZ247" s="291">
        <f t="shared" si="322"/>
        <v>0.81632653061224492</v>
      </c>
      <c r="BA247" s="344"/>
      <c r="BB247" s="383">
        <v>98</v>
      </c>
      <c r="BC247" s="379">
        <f t="shared" si="298"/>
        <v>0</v>
      </c>
      <c r="BD247" s="378">
        <f t="shared" si="299"/>
        <v>20</v>
      </c>
      <c r="BE247" s="381"/>
      <c r="BF247" s="378">
        <f t="shared" si="323"/>
        <v>78</v>
      </c>
    </row>
    <row r="248" spans="1:58" x14ac:dyDescent="0.35">
      <c r="A248" s="193" t="s">
        <v>42</v>
      </c>
      <c r="B248" s="38">
        <v>252610182</v>
      </c>
      <c r="C248" s="39" t="s">
        <v>1262</v>
      </c>
      <c r="D248" s="194" t="s">
        <v>8</v>
      </c>
      <c r="E248" s="215">
        <v>19</v>
      </c>
      <c r="F248" s="217">
        <v>4</v>
      </c>
      <c r="G248" s="217">
        <v>1</v>
      </c>
      <c r="H248" s="217"/>
      <c r="I248" s="326">
        <f t="shared" si="300"/>
        <v>5</v>
      </c>
      <c r="J248" s="326">
        <f t="shared" si="301"/>
        <v>14</v>
      </c>
      <c r="K248" s="327">
        <f t="shared" si="302"/>
        <v>0.73684210526315785</v>
      </c>
      <c r="L248" s="221">
        <v>14</v>
      </c>
      <c r="M248" s="222">
        <v>1</v>
      </c>
      <c r="N248" s="222">
        <v>3</v>
      </c>
      <c r="O248" s="222">
        <v>2</v>
      </c>
      <c r="P248" s="328">
        <f t="shared" si="303"/>
        <v>6</v>
      </c>
      <c r="Q248" s="328">
        <f t="shared" si="304"/>
        <v>8</v>
      </c>
      <c r="R248" s="329">
        <f t="shared" si="305"/>
        <v>0.5714285714285714</v>
      </c>
      <c r="S248" s="225">
        <v>12</v>
      </c>
      <c r="T248" s="226"/>
      <c r="U248" s="226"/>
      <c r="V248" s="226"/>
      <c r="W248" s="330">
        <f t="shared" si="306"/>
        <v>0</v>
      </c>
      <c r="X248" s="330">
        <f t="shared" si="307"/>
        <v>12</v>
      </c>
      <c r="Y248" s="331">
        <f t="shared" si="308"/>
        <v>1</v>
      </c>
      <c r="Z248" s="228">
        <v>21</v>
      </c>
      <c r="AA248" s="255"/>
      <c r="AB248" s="255"/>
      <c r="AC248" s="255"/>
      <c r="AD248" s="280">
        <f t="shared" si="309"/>
        <v>0</v>
      </c>
      <c r="AE248" s="280">
        <f t="shared" si="310"/>
        <v>21</v>
      </c>
      <c r="AF248" s="281">
        <f t="shared" si="311"/>
        <v>1</v>
      </c>
      <c r="AG248" s="229">
        <v>18</v>
      </c>
      <c r="AH248" s="257"/>
      <c r="AI248" s="257"/>
      <c r="AJ248" s="257"/>
      <c r="AK248" s="305">
        <f t="shared" si="312"/>
        <v>0</v>
      </c>
      <c r="AL248" s="305">
        <f t="shared" si="313"/>
        <v>18</v>
      </c>
      <c r="AM248" s="306">
        <f t="shared" si="314"/>
        <v>1</v>
      </c>
      <c r="AN248" s="230">
        <v>14</v>
      </c>
      <c r="AO248" s="259"/>
      <c r="AP248" s="259"/>
      <c r="AQ248" s="259"/>
      <c r="AR248" s="307">
        <f t="shared" si="315"/>
        <v>0</v>
      </c>
      <c r="AS248" s="307">
        <f t="shared" si="316"/>
        <v>14</v>
      </c>
      <c r="AT248" s="308">
        <f t="shared" si="317"/>
        <v>1</v>
      </c>
      <c r="AU248" s="289">
        <f t="shared" si="318"/>
        <v>5</v>
      </c>
      <c r="AV248" s="289">
        <f t="shared" si="319"/>
        <v>4</v>
      </c>
      <c r="AW248" s="289">
        <f t="shared" si="320"/>
        <v>2</v>
      </c>
      <c r="AX248" s="290">
        <v>98</v>
      </c>
      <c r="AY248" s="289">
        <f t="shared" si="321"/>
        <v>87</v>
      </c>
      <c r="AZ248" s="291">
        <f t="shared" si="322"/>
        <v>0.88775510204081631</v>
      </c>
      <c r="BA248" s="344"/>
      <c r="BB248" s="383">
        <v>100</v>
      </c>
      <c r="BC248" s="379">
        <f t="shared" si="298"/>
        <v>0</v>
      </c>
      <c r="BD248" s="378">
        <f t="shared" si="299"/>
        <v>4</v>
      </c>
      <c r="BE248" s="381"/>
      <c r="BF248" s="378">
        <f t="shared" si="323"/>
        <v>96</v>
      </c>
    </row>
    <row r="249" spans="1:58" x14ac:dyDescent="0.35">
      <c r="A249" s="193" t="s">
        <v>43</v>
      </c>
      <c r="B249" s="35">
        <v>252610183</v>
      </c>
      <c r="C249" s="47" t="s">
        <v>1263</v>
      </c>
      <c r="D249" s="195" t="s">
        <v>6</v>
      </c>
      <c r="E249" s="215">
        <v>19</v>
      </c>
      <c r="F249" s="217">
        <v>1</v>
      </c>
      <c r="G249" s="217">
        <v>2</v>
      </c>
      <c r="H249" s="217"/>
      <c r="I249" s="326">
        <f t="shared" si="300"/>
        <v>3</v>
      </c>
      <c r="J249" s="326">
        <f t="shared" si="301"/>
        <v>16</v>
      </c>
      <c r="K249" s="327">
        <f t="shared" si="302"/>
        <v>0.84210526315789469</v>
      </c>
      <c r="L249" s="221">
        <v>14</v>
      </c>
      <c r="M249" s="222">
        <v>1</v>
      </c>
      <c r="N249" s="223">
        <v>1</v>
      </c>
      <c r="O249" s="222">
        <v>3</v>
      </c>
      <c r="P249" s="328">
        <f t="shared" si="303"/>
        <v>5</v>
      </c>
      <c r="Q249" s="328">
        <f t="shared" si="304"/>
        <v>9</v>
      </c>
      <c r="R249" s="329">
        <f t="shared" si="305"/>
        <v>0.6428571428571429</v>
      </c>
      <c r="S249" s="225">
        <v>12</v>
      </c>
      <c r="T249" s="226"/>
      <c r="U249" s="226"/>
      <c r="V249" s="226"/>
      <c r="W249" s="330">
        <f t="shared" si="306"/>
        <v>0</v>
      </c>
      <c r="X249" s="330">
        <f t="shared" si="307"/>
        <v>12</v>
      </c>
      <c r="Y249" s="331">
        <f t="shared" si="308"/>
        <v>1</v>
      </c>
      <c r="Z249" s="228">
        <v>21</v>
      </c>
      <c r="AA249" s="255"/>
      <c r="AB249" s="255"/>
      <c r="AC249" s="255"/>
      <c r="AD249" s="280">
        <f t="shared" si="309"/>
        <v>0</v>
      </c>
      <c r="AE249" s="280">
        <f t="shared" si="310"/>
        <v>21</v>
      </c>
      <c r="AF249" s="281">
        <f t="shared" si="311"/>
        <v>1</v>
      </c>
      <c r="AG249" s="229">
        <v>18</v>
      </c>
      <c r="AH249" s="257"/>
      <c r="AI249" s="257"/>
      <c r="AJ249" s="257"/>
      <c r="AK249" s="305">
        <f t="shared" si="312"/>
        <v>0</v>
      </c>
      <c r="AL249" s="305">
        <f t="shared" si="313"/>
        <v>18</v>
      </c>
      <c r="AM249" s="306">
        <f t="shared" si="314"/>
        <v>1</v>
      </c>
      <c r="AN249" s="230">
        <v>14</v>
      </c>
      <c r="AO249" s="259"/>
      <c r="AP249" s="259"/>
      <c r="AQ249" s="259"/>
      <c r="AR249" s="307">
        <f t="shared" si="315"/>
        <v>0</v>
      </c>
      <c r="AS249" s="307">
        <f t="shared" si="316"/>
        <v>14</v>
      </c>
      <c r="AT249" s="308">
        <f t="shared" si="317"/>
        <v>1</v>
      </c>
      <c r="AU249" s="289">
        <f t="shared" si="318"/>
        <v>2</v>
      </c>
      <c r="AV249" s="289">
        <f t="shared" si="319"/>
        <v>3</v>
      </c>
      <c r="AW249" s="289">
        <f t="shared" si="320"/>
        <v>3</v>
      </c>
      <c r="AX249" s="290">
        <v>98</v>
      </c>
      <c r="AY249" s="289">
        <f t="shared" si="321"/>
        <v>90</v>
      </c>
      <c r="AZ249" s="291">
        <f t="shared" si="322"/>
        <v>0.91836734693877553</v>
      </c>
      <c r="BA249" s="344"/>
      <c r="BB249" s="383">
        <v>86</v>
      </c>
      <c r="BC249" s="379">
        <f t="shared" si="298"/>
        <v>0</v>
      </c>
      <c r="BD249" s="378">
        <f t="shared" si="299"/>
        <v>6</v>
      </c>
      <c r="BE249" s="381"/>
      <c r="BF249" s="378">
        <f t="shared" si="323"/>
        <v>80</v>
      </c>
    </row>
    <row r="250" spans="1:58" x14ac:dyDescent="0.35">
      <c r="A250" s="193" t="s">
        <v>44</v>
      </c>
      <c r="B250" s="35">
        <v>252610184</v>
      </c>
      <c r="C250" s="46" t="s">
        <v>1264</v>
      </c>
      <c r="D250" s="195" t="s">
        <v>8</v>
      </c>
      <c r="E250" s="215">
        <v>19</v>
      </c>
      <c r="F250" s="217"/>
      <c r="G250" s="217">
        <v>4</v>
      </c>
      <c r="H250" s="217"/>
      <c r="I250" s="326">
        <f t="shared" si="300"/>
        <v>4</v>
      </c>
      <c r="J250" s="326">
        <f t="shared" si="301"/>
        <v>15</v>
      </c>
      <c r="K250" s="327">
        <f t="shared" si="302"/>
        <v>0.78947368421052633</v>
      </c>
      <c r="L250" s="221">
        <v>14</v>
      </c>
      <c r="M250" s="222">
        <v>1</v>
      </c>
      <c r="N250" s="223">
        <v>3</v>
      </c>
      <c r="O250" s="222"/>
      <c r="P250" s="328">
        <f t="shared" si="303"/>
        <v>4</v>
      </c>
      <c r="Q250" s="328">
        <f t="shared" si="304"/>
        <v>10</v>
      </c>
      <c r="R250" s="329">
        <f t="shared" si="305"/>
        <v>0.7142857142857143</v>
      </c>
      <c r="S250" s="225">
        <v>12</v>
      </c>
      <c r="T250" s="226"/>
      <c r="U250" s="226"/>
      <c r="V250" s="226"/>
      <c r="W250" s="330">
        <f t="shared" si="306"/>
        <v>0</v>
      </c>
      <c r="X250" s="330">
        <f t="shared" si="307"/>
        <v>12</v>
      </c>
      <c r="Y250" s="331">
        <f t="shared" si="308"/>
        <v>1</v>
      </c>
      <c r="Z250" s="228">
        <v>21</v>
      </c>
      <c r="AA250" s="255"/>
      <c r="AB250" s="255"/>
      <c r="AC250" s="255"/>
      <c r="AD250" s="280">
        <f t="shared" si="309"/>
        <v>0</v>
      </c>
      <c r="AE250" s="280">
        <f t="shared" si="310"/>
        <v>21</v>
      </c>
      <c r="AF250" s="281">
        <f t="shared" si="311"/>
        <v>1</v>
      </c>
      <c r="AG250" s="229">
        <v>18</v>
      </c>
      <c r="AH250" s="257"/>
      <c r="AI250" s="257"/>
      <c r="AJ250" s="257"/>
      <c r="AK250" s="305">
        <f t="shared" si="312"/>
        <v>0</v>
      </c>
      <c r="AL250" s="305">
        <f t="shared" si="313"/>
        <v>18</v>
      </c>
      <c r="AM250" s="306">
        <f t="shared" si="314"/>
        <v>1</v>
      </c>
      <c r="AN250" s="230">
        <v>14</v>
      </c>
      <c r="AO250" s="259"/>
      <c r="AP250" s="259"/>
      <c r="AQ250" s="259"/>
      <c r="AR250" s="307">
        <f t="shared" si="315"/>
        <v>0</v>
      </c>
      <c r="AS250" s="307">
        <f t="shared" si="316"/>
        <v>14</v>
      </c>
      <c r="AT250" s="308">
        <f t="shared" si="317"/>
        <v>1</v>
      </c>
      <c r="AU250" s="289">
        <f t="shared" si="318"/>
        <v>1</v>
      </c>
      <c r="AV250" s="289">
        <f t="shared" si="319"/>
        <v>7</v>
      </c>
      <c r="AW250" s="289">
        <f t="shared" si="320"/>
        <v>0</v>
      </c>
      <c r="AX250" s="290">
        <v>98</v>
      </c>
      <c r="AY250" s="289">
        <f t="shared" si="321"/>
        <v>90</v>
      </c>
      <c r="AZ250" s="291">
        <f t="shared" si="322"/>
        <v>0.91836734693877553</v>
      </c>
      <c r="BA250" s="344"/>
      <c r="BB250" s="383">
        <v>96</v>
      </c>
      <c r="BC250" s="379">
        <f t="shared" si="298"/>
        <v>0</v>
      </c>
      <c r="BD250" s="378">
        <f t="shared" si="299"/>
        <v>0</v>
      </c>
      <c r="BE250" s="381"/>
      <c r="BF250" s="378">
        <f t="shared" si="323"/>
        <v>96</v>
      </c>
    </row>
    <row r="251" spans="1:58" x14ac:dyDescent="0.35">
      <c r="A251" s="193" t="s">
        <v>45</v>
      </c>
      <c r="B251" s="35">
        <v>252610185</v>
      </c>
      <c r="C251" s="47" t="s">
        <v>1265</v>
      </c>
      <c r="D251" s="195" t="s">
        <v>8</v>
      </c>
      <c r="E251" s="215">
        <v>19</v>
      </c>
      <c r="F251" s="217">
        <v>1</v>
      </c>
      <c r="G251" s="217"/>
      <c r="H251" s="217"/>
      <c r="I251" s="326">
        <f t="shared" si="300"/>
        <v>1</v>
      </c>
      <c r="J251" s="326">
        <f t="shared" si="301"/>
        <v>18</v>
      </c>
      <c r="K251" s="327">
        <f t="shared" si="302"/>
        <v>0.94736842105263153</v>
      </c>
      <c r="L251" s="221">
        <v>14</v>
      </c>
      <c r="M251" s="222"/>
      <c r="N251" s="223">
        <v>2</v>
      </c>
      <c r="O251" s="222"/>
      <c r="P251" s="328">
        <f t="shared" si="303"/>
        <v>2</v>
      </c>
      <c r="Q251" s="328">
        <f t="shared" si="304"/>
        <v>12</v>
      </c>
      <c r="R251" s="329">
        <f t="shared" si="305"/>
        <v>0.8571428571428571</v>
      </c>
      <c r="S251" s="225">
        <v>12</v>
      </c>
      <c r="T251" s="226"/>
      <c r="U251" s="226"/>
      <c r="V251" s="226"/>
      <c r="W251" s="330">
        <f t="shared" si="306"/>
        <v>0</v>
      </c>
      <c r="X251" s="330">
        <f t="shared" si="307"/>
        <v>12</v>
      </c>
      <c r="Y251" s="331">
        <f t="shared" si="308"/>
        <v>1</v>
      </c>
      <c r="Z251" s="228">
        <v>21</v>
      </c>
      <c r="AA251" s="255"/>
      <c r="AB251" s="255"/>
      <c r="AC251" s="255"/>
      <c r="AD251" s="280">
        <f t="shared" si="309"/>
        <v>0</v>
      </c>
      <c r="AE251" s="280">
        <f t="shared" si="310"/>
        <v>21</v>
      </c>
      <c r="AF251" s="281">
        <f t="shared" si="311"/>
        <v>1</v>
      </c>
      <c r="AG251" s="229">
        <v>18</v>
      </c>
      <c r="AH251" s="257"/>
      <c r="AI251" s="257"/>
      <c r="AJ251" s="257"/>
      <c r="AK251" s="305">
        <f t="shared" si="312"/>
        <v>0</v>
      </c>
      <c r="AL251" s="305">
        <f t="shared" si="313"/>
        <v>18</v>
      </c>
      <c r="AM251" s="306">
        <f t="shared" si="314"/>
        <v>1</v>
      </c>
      <c r="AN251" s="230">
        <v>14</v>
      </c>
      <c r="AO251" s="259"/>
      <c r="AP251" s="259"/>
      <c r="AQ251" s="259"/>
      <c r="AR251" s="307">
        <f t="shared" si="315"/>
        <v>0</v>
      </c>
      <c r="AS251" s="307">
        <f t="shared" si="316"/>
        <v>14</v>
      </c>
      <c r="AT251" s="308">
        <f t="shared" si="317"/>
        <v>1</v>
      </c>
      <c r="AU251" s="289">
        <f t="shared" si="318"/>
        <v>1</v>
      </c>
      <c r="AV251" s="289">
        <f t="shared" si="319"/>
        <v>2</v>
      </c>
      <c r="AW251" s="289">
        <f t="shared" si="320"/>
        <v>0</v>
      </c>
      <c r="AX251" s="290">
        <v>98</v>
      </c>
      <c r="AY251" s="289">
        <f t="shared" si="321"/>
        <v>95</v>
      </c>
      <c r="AZ251" s="291">
        <f t="shared" si="322"/>
        <v>0.96938775510204078</v>
      </c>
      <c r="BA251" s="344"/>
      <c r="BB251" s="383">
        <v>100</v>
      </c>
      <c r="BC251" s="379">
        <f t="shared" si="298"/>
        <v>0</v>
      </c>
      <c r="BD251" s="378">
        <f t="shared" si="299"/>
        <v>0</v>
      </c>
      <c r="BE251" s="381"/>
      <c r="BF251" s="378">
        <f t="shared" si="323"/>
        <v>100</v>
      </c>
    </row>
    <row r="252" spans="1:58" x14ac:dyDescent="0.35">
      <c r="A252" s="193" t="s">
        <v>46</v>
      </c>
      <c r="B252" s="35">
        <v>252610186</v>
      </c>
      <c r="C252" s="47" t="s">
        <v>1266</v>
      </c>
      <c r="D252" s="195" t="s">
        <v>8</v>
      </c>
      <c r="E252" s="215">
        <v>19</v>
      </c>
      <c r="F252" s="217"/>
      <c r="G252" s="217"/>
      <c r="H252" s="217"/>
      <c r="I252" s="326">
        <f t="shared" si="300"/>
        <v>0</v>
      </c>
      <c r="J252" s="326">
        <f t="shared" si="301"/>
        <v>19</v>
      </c>
      <c r="K252" s="327">
        <f t="shared" si="302"/>
        <v>1</v>
      </c>
      <c r="L252" s="221">
        <v>14</v>
      </c>
      <c r="M252" s="222"/>
      <c r="N252" s="223">
        <v>2</v>
      </c>
      <c r="O252" s="222"/>
      <c r="P252" s="328">
        <f t="shared" si="303"/>
        <v>2</v>
      </c>
      <c r="Q252" s="328">
        <f t="shared" si="304"/>
        <v>12</v>
      </c>
      <c r="R252" s="329">
        <f t="shared" si="305"/>
        <v>0.8571428571428571</v>
      </c>
      <c r="S252" s="225">
        <v>12</v>
      </c>
      <c r="T252" s="226"/>
      <c r="U252" s="226"/>
      <c r="V252" s="226"/>
      <c r="W252" s="330">
        <f t="shared" si="306"/>
        <v>0</v>
      </c>
      <c r="X252" s="330">
        <f t="shared" si="307"/>
        <v>12</v>
      </c>
      <c r="Y252" s="331">
        <f t="shared" si="308"/>
        <v>1</v>
      </c>
      <c r="Z252" s="228">
        <v>21</v>
      </c>
      <c r="AA252" s="255"/>
      <c r="AB252" s="255"/>
      <c r="AC252" s="255"/>
      <c r="AD252" s="280">
        <f t="shared" si="309"/>
        <v>0</v>
      </c>
      <c r="AE252" s="280">
        <f t="shared" si="310"/>
        <v>21</v>
      </c>
      <c r="AF252" s="281">
        <f t="shared" si="311"/>
        <v>1</v>
      </c>
      <c r="AG252" s="229">
        <v>18</v>
      </c>
      <c r="AH252" s="257"/>
      <c r="AI252" s="257"/>
      <c r="AJ252" s="257"/>
      <c r="AK252" s="305">
        <f t="shared" si="312"/>
        <v>0</v>
      </c>
      <c r="AL252" s="305">
        <f t="shared" si="313"/>
        <v>18</v>
      </c>
      <c r="AM252" s="306">
        <f t="shared" si="314"/>
        <v>1</v>
      </c>
      <c r="AN252" s="230">
        <v>14</v>
      </c>
      <c r="AO252" s="259"/>
      <c r="AP252" s="259"/>
      <c r="AQ252" s="259"/>
      <c r="AR252" s="307">
        <f t="shared" si="315"/>
        <v>0</v>
      </c>
      <c r="AS252" s="307">
        <f t="shared" si="316"/>
        <v>14</v>
      </c>
      <c r="AT252" s="308">
        <f t="shared" si="317"/>
        <v>1</v>
      </c>
      <c r="AU252" s="289">
        <f t="shared" si="318"/>
        <v>0</v>
      </c>
      <c r="AV252" s="289">
        <f t="shared" si="319"/>
        <v>2</v>
      </c>
      <c r="AW252" s="289">
        <f t="shared" si="320"/>
        <v>0</v>
      </c>
      <c r="AX252" s="290">
        <v>98</v>
      </c>
      <c r="AY252" s="289">
        <f t="shared" si="321"/>
        <v>96</v>
      </c>
      <c r="AZ252" s="291">
        <f t="shared" si="322"/>
        <v>0.97959183673469385</v>
      </c>
      <c r="BA252" s="344"/>
      <c r="BB252" s="383">
        <v>100</v>
      </c>
      <c r="BC252" s="379">
        <f t="shared" si="298"/>
        <v>0</v>
      </c>
      <c r="BD252" s="378">
        <f t="shared" si="299"/>
        <v>0</v>
      </c>
      <c r="BE252" s="381"/>
      <c r="BF252" s="378">
        <f t="shared" si="323"/>
        <v>100</v>
      </c>
    </row>
    <row r="253" spans="1:58" x14ac:dyDescent="0.35">
      <c r="A253" s="193" t="s">
        <v>47</v>
      </c>
      <c r="B253" s="35">
        <v>252610187</v>
      </c>
      <c r="C253" s="46" t="s">
        <v>1267</v>
      </c>
      <c r="D253" s="195" t="s">
        <v>6</v>
      </c>
      <c r="E253" s="215">
        <v>19</v>
      </c>
      <c r="F253" s="217"/>
      <c r="G253" s="217"/>
      <c r="H253" s="217"/>
      <c r="I253" s="326">
        <f t="shared" si="300"/>
        <v>0</v>
      </c>
      <c r="J253" s="326">
        <f t="shared" si="301"/>
        <v>19</v>
      </c>
      <c r="K253" s="327">
        <f t="shared" si="302"/>
        <v>1</v>
      </c>
      <c r="L253" s="221">
        <v>14</v>
      </c>
      <c r="M253" s="222"/>
      <c r="N253" s="222">
        <v>1</v>
      </c>
      <c r="O253" s="222"/>
      <c r="P253" s="328">
        <f t="shared" si="303"/>
        <v>1</v>
      </c>
      <c r="Q253" s="328">
        <f t="shared" si="304"/>
        <v>13</v>
      </c>
      <c r="R253" s="329">
        <f t="shared" si="305"/>
        <v>0.9285714285714286</v>
      </c>
      <c r="S253" s="225">
        <v>12</v>
      </c>
      <c r="T253" s="226"/>
      <c r="U253" s="226"/>
      <c r="V253" s="226"/>
      <c r="W253" s="330">
        <f t="shared" si="306"/>
        <v>0</v>
      </c>
      <c r="X253" s="330">
        <f t="shared" si="307"/>
        <v>12</v>
      </c>
      <c r="Y253" s="331">
        <f t="shared" si="308"/>
        <v>1</v>
      </c>
      <c r="Z253" s="228">
        <v>21</v>
      </c>
      <c r="AA253" s="255"/>
      <c r="AB253" s="255"/>
      <c r="AC253" s="255"/>
      <c r="AD253" s="280">
        <f t="shared" si="309"/>
        <v>0</v>
      </c>
      <c r="AE253" s="280">
        <f t="shared" si="310"/>
        <v>21</v>
      </c>
      <c r="AF253" s="281">
        <f t="shared" si="311"/>
        <v>1</v>
      </c>
      <c r="AG253" s="229">
        <v>18</v>
      </c>
      <c r="AH253" s="257"/>
      <c r="AI253" s="257"/>
      <c r="AJ253" s="257"/>
      <c r="AK253" s="305">
        <f t="shared" si="312"/>
        <v>0</v>
      </c>
      <c r="AL253" s="305">
        <f t="shared" si="313"/>
        <v>18</v>
      </c>
      <c r="AM253" s="306">
        <f t="shared" si="314"/>
        <v>1</v>
      </c>
      <c r="AN253" s="230">
        <v>14</v>
      </c>
      <c r="AO253" s="259"/>
      <c r="AP253" s="259"/>
      <c r="AQ253" s="259"/>
      <c r="AR253" s="307">
        <f t="shared" si="315"/>
        <v>0</v>
      </c>
      <c r="AS253" s="307">
        <f t="shared" si="316"/>
        <v>14</v>
      </c>
      <c r="AT253" s="308">
        <f t="shared" si="317"/>
        <v>1</v>
      </c>
      <c r="AU253" s="289">
        <f t="shared" si="318"/>
        <v>0</v>
      </c>
      <c r="AV253" s="289">
        <f t="shared" si="319"/>
        <v>1</v>
      </c>
      <c r="AW253" s="289">
        <f t="shared" si="320"/>
        <v>0</v>
      </c>
      <c r="AX253" s="290">
        <v>98</v>
      </c>
      <c r="AY253" s="289">
        <f t="shared" si="321"/>
        <v>97</v>
      </c>
      <c r="AZ253" s="291">
        <f t="shared" si="322"/>
        <v>0.98979591836734693</v>
      </c>
      <c r="BA253" s="344"/>
      <c r="BB253" s="383">
        <v>98</v>
      </c>
      <c r="BC253" s="379">
        <f t="shared" si="298"/>
        <v>0</v>
      </c>
      <c r="BD253" s="378">
        <f t="shared" si="299"/>
        <v>0</v>
      </c>
      <c r="BE253" s="381"/>
      <c r="BF253" s="378">
        <f t="shared" si="323"/>
        <v>98</v>
      </c>
    </row>
    <row r="254" spans="1:58" x14ac:dyDescent="0.35">
      <c r="A254" s="193" t="s">
        <v>48</v>
      </c>
      <c r="B254" s="35">
        <v>252610188</v>
      </c>
      <c r="C254" s="47" t="s">
        <v>1268</v>
      </c>
      <c r="D254" s="195" t="s">
        <v>6</v>
      </c>
      <c r="E254" s="215">
        <v>19</v>
      </c>
      <c r="F254" s="217"/>
      <c r="G254" s="217"/>
      <c r="H254" s="217"/>
      <c r="I254" s="326">
        <f t="shared" si="300"/>
        <v>0</v>
      </c>
      <c r="J254" s="326">
        <f t="shared" si="301"/>
        <v>19</v>
      </c>
      <c r="K254" s="327">
        <f t="shared" si="302"/>
        <v>1</v>
      </c>
      <c r="L254" s="221">
        <v>14</v>
      </c>
      <c r="M254" s="223"/>
      <c r="N254" s="223">
        <v>1</v>
      </c>
      <c r="O254" s="223"/>
      <c r="P254" s="328">
        <f t="shared" si="303"/>
        <v>1</v>
      </c>
      <c r="Q254" s="328">
        <f t="shared" si="304"/>
        <v>13</v>
      </c>
      <c r="R254" s="329">
        <f t="shared" si="305"/>
        <v>0.9285714285714286</v>
      </c>
      <c r="S254" s="225">
        <v>12</v>
      </c>
      <c r="T254" s="226"/>
      <c r="U254" s="226"/>
      <c r="V254" s="226"/>
      <c r="W254" s="330">
        <f t="shared" si="306"/>
        <v>0</v>
      </c>
      <c r="X254" s="330">
        <f t="shared" si="307"/>
        <v>12</v>
      </c>
      <c r="Y254" s="331">
        <f t="shared" si="308"/>
        <v>1</v>
      </c>
      <c r="Z254" s="228">
        <v>21</v>
      </c>
      <c r="AA254" s="255"/>
      <c r="AB254" s="255"/>
      <c r="AC254" s="255"/>
      <c r="AD254" s="280">
        <f t="shared" si="309"/>
        <v>0</v>
      </c>
      <c r="AE254" s="280">
        <f t="shared" si="310"/>
        <v>21</v>
      </c>
      <c r="AF254" s="281">
        <f t="shared" si="311"/>
        <v>1</v>
      </c>
      <c r="AG254" s="229">
        <v>18</v>
      </c>
      <c r="AH254" s="257"/>
      <c r="AI254" s="257"/>
      <c r="AJ254" s="257"/>
      <c r="AK254" s="305">
        <f t="shared" si="312"/>
        <v>0</v>
      </c>
      <c r="AL254" s="305">
        <f t="shared" si="313"/>
        <v>18</v>
      </c>
      <c r="AM254" s="306">
        <f t="shared" si="314"/>
        <v>1</v>
      </c>
      <c r="AN254" s="230">
        <v>14</v>
      </c>
      <c r="AO254" s="259"/>
      <c r="AP254" s="259"/>
      <c r="AQ254" s="259"/>
      <c r="AR254" s="307">
        <f t="shared" si="315"/>
        <v>0</v>
      </c>
      <c r="AS254" s="307">
        <f t="shared" si="316"/>
        <v>14</v>
      </c>
      <c r="AT254" s="308">
        <f t="shared" si="317"/>
        <v>1</v>
      </c>
      <c r="AU254" s="289">
        <f t="shared" si="318"/>
        <v>0</v>
      </c>
      <c r="AV254" s="289">
        <f t="shared" si="319"/>
        <v>1</v>
      </c>
      <c r="AW254" s="289">
        <f t="shared" si="320"/>
        <v>0</v>
      </c>
      <c r="AX254" s="290">
        <v>98</v>
      </c>
      <c r="AY254" s="289">
        <f t="shared" si="321"/>
        <v>97</v>
      </c>
      <c r="AZ254" s="291">
        <f t="shared" si="322"/>
        <v>0.98979591836734693</v>
      </c>
      <c r="BA254" s="344"/>
      <c r="BB254" s="383">
        <v>98</v>
      </c>
      <c r="BC254" s="379">
        <f t="shared" si="298"/>
        <v>0</v>
      </c>
      <c r="BD254" s="378">
        <f t="shared" si="299"/>
        <v>0</v>
      </c>
      <c r="BE254" s="381"/>
      <c r="BF254" s="378">
        <f t="shared" si="323"/>
        <v>98</v>
      </c>
    </row>
    <row r="255" spans="1:58" x14ac:dyDescent="0.35">
      <c r="A255" s="193" t="s">
        <v>49</v>
      </c>
      <c r="B255" s="35">
        <v>252610189</v>
      </c>
      <c r="C255" s="333" t="s">
        <v>1269</v>
      </c>
      <c r="D255" s="35" t="s">
        <v>6</v>
      </c>
      <c r="E255" s="215">
        <v>19</v>
      </c>
      <c r="F255" s="217">
        <v>1</v>
      </c>
      <c r="G255" s="217"/>
      <c r="H255" s="217"/>
      <c r="I255" s="326">
        <f t="shared" si="300"/>
        <v>1</v>
      </c>
      <c r="J255" s="326">
        <f t="shared" si="301"/>
        <v>18</v>
      </c>
      <c r="K255" s="327">
        <f t="shared" si="302"/>
        <v>0.94736842105263153</v>
      </c>
      <c r="L255" s="221">
        <v>14</v>
      </c>
      <c r="M255" s="222"/>
      <c r="N255" s="223"/>
      <c r="O255" s="223"/>
      <c r="P255" s="328">
        <f t="shared" si="303"/>
        <v>0</v>
      </c>
      <c r="Q255" s="328">
        <f t="shared" si="304"/>
        <v>14</v>
      </c>
      <c r="R255" s="329">
        <f t="shared" si="305"/>
        <v>1</v>
      </c>
      <c r="S255" s="225">
        <v>12</v>
      </c>
      <c r="T255" s="226"/>
      <c r="U255" s="226"/>
      <c r="V255" s="226"/>
      <c r="W255" s="330">
        <f t="shared" si="306"/>
        <v>0</v>
      </c>
      <c r="X255" s="330">
        <f t="shared" si="307"/>
        <v>12</v>
      </c>
      <c r="Y255" s="331">
        <f t="shared" si="308"/>
        <v>1</v>
      </c>
      <c r="Z255" s="228">
        <v>21</v>
      </c>
      <c r="AA255" s="255"/>
      <c r="AB255" s="255"/>
      <c r="AC255" s="255"/>
      <c r="AD255" s="280">
        <f t="shared" si="309"/>
        <v>0</v>
      </c>
      <c r="AE255" s="280">
        <f t="shared" si="310"/>
        <v>21</v>
      </c>
      <c r="AF255" s="281">
        <f t="shared" si="311"/>
        <v>1</v>
      </c>
      <c r="AG255" s="229">
        <v>18</v>
      </c>
      <c r="AH255" s="257"/>
      <c r="AI255" s="257"/>
      <c r="AJ255" s="257"/>
      <c r="AK255" s="305">
        <f t="shared" si="312"/>
        <v>0</v>
      </c>
      <c r="AL255" s="305">
        <f t="shared" si="313"/>
        <v>18</v>
      </c>
      <c r="AM255" s="306">
        <f t="shared" si="314"/>
        <v>1</v>
      </c>
      <c r="AN255" s="230">
        <v>14</v>
      </c>
      <c r="AO255" s="259"/>
      <c r="AP255" s="259"/>
      <c r="AQ255" s="259"/>
      <c r="AR255" s="307">
        <f t="shared" si="315"/>
        <v>0</v>
      </c>
      <c r="AS255" s="307">
        <f t="shared" si="316"/>
        <v>14</v>
      </c>
      <c r="AT255" s="308">
        <f t="shared" si="317"/>
        <v>1</v>
      </c>
      <c r="AU255" s="289">
        <f t="shared" si="318"/>
        <v>1</v>
      </c>
      <c r="AV255" s="289">
        <f t="shared" si="319"/>
        <v>0</v>
      </c>
      <c r="AW255" s="289">
        <f t="shared" si="320"/>
        <v>0</v>
      </c>
      <c r="AX255" s="290">
        <v>98</v>
      </c>
      <c r="AY255" s="289">
        <f t="shared" si="321"/>
        <v>97</v>
      </c>
      <c r="AZ255" s="291">
        <f t="shared" si="322"/>
        <v>0.98979591836734693</v>
      </c>
      <c r="BA255" s="344"/>
      <c r="BB255" s="383">
        <v>100</v>
      </c>
      <c r="BC255" s="379">
        <f t="shared" si="298"/>
        <v>0</v>
      </c>
      <c r="BD255" s="378">
        <f t="shared" si="299"/>
        <v>0</v>
      </c>
      <c r="BE255" s="381"/>
      <c r="BF255" s="378">
        <f t="shared" si="323"/>
        <v>100</v>
      </c>
    </row>
    <row r="256" spans="1:58" x14ac:dyDescent="0.35">
      <c r="A256" s="193" t="s">
        <v>50</v>
      </c>
      <c r="B256" s="35">
        <v>252610190</v>
      </c>
      <c r="C256" s="37" t="s">
        <v>1270</v>
      </c>
      <c r="D256" s="35" t="s">
        <v>6</v>
      </c>
      <c r="E256" s="215">
        <v>19</v>
      </c>
      <c r="F256" s="217"/>
      <c r="G256" s="217"/>
      <c r="H256" s="217"/>
      <c r="I256" s="326">
        <f t="shared" si="300"/>
        <v>0</v>
      </c>
      <c r="J256" s="326">
        <f t="shared" si="301"/>
        <v>19</v>
      </c>
      <c r="K256" s="327">
        <f t="shared" si="302"/>
        <v>1</v>
      </c>
      <c r="L256" s="221">
        <v>14</v>
      </c>
      <c r="M256" s="222"/>
      <c r="N256" s="222"/>
      <c r="O256" s="222"/>
      <c r="P256" s="328">
        <f t="shared" si="303"/>
        <v>0</v>
      </c>
      <c r="Q256" s="328">
        <f t="shared" si="304"/>
        <v>14</v>
      </c>
      <c r="R256" s="329">
        <f t="shared" si="305"/>
        <v>1</v>
      </c>
      <c r="S256" s="225">
        <v>12</v>
      </c>
      <c r="T256" s="226"/>
      <c r="U256" s="226"/>
      <c r="V256" s="226"/>
      <c r="W256" s="330">
        <f t="shared" si="306"/>
        <v>0</v>
      </c>
      <c r="X256" s="330">
        <f t="shared" si="307"/>
        <v>12</v>
      </c>
      <c r="Y256" s="331">
        <f t="shared" si="308"/>
        <v>1</v>
      </c>
      <c r="Z256" s="228">
        <v>21</v>
      </c>
      <c r="AA256" s="255"/>
      <c r="AB256" s="255"/>
      <c r="AC256" s="255"/>
      <c r="AD256" s="280">
        <f t="shared" si="309"/>
        <v>0</v>
      </c>
      <c r="AE256" s="280">
        <f t="shared" si="310"/>
        <v>21</v>
      </c>
      <c r="AF256" s="281">
        <f t="shared" si="311"/>
        <v>1</v>
      </c>
      <c r="AG256" s="229">
        <v>18</v>
      </c>
      <c r="AH256" s="257"/>
      <c r="AI256" s="257"/>
      <c r="AJ256" s="257"/>
      <c r="AK256" s="305">
        <f t="shared" si="312"/>
        <v>0</v>
      </c>
      <c r="AL256" s="305">
        <f t="shared" si="313"/>
        <v>18</v>
      </c>
      <c r="AM256" s="306">
        <f t="shared" si="314"/>
        <v>1</v>
      </c>
      <c r="AN256" s="230">
        <v>14</v>
      </c>
      <c r="AO256" s="259"/>
      <c r="AP256" s="259"/>
      <c r="AQ256" s="259"/>
      <c r="AR256" s="307">
        <f t="shared" si="315"/>
        <v>0</v>
      </c>
      <c r="AS256" s="307">
        <f t="shared" si="316"/>
        <v>14</v>
      </c>
      <c r="AT256" s="308">
        <f t="shared" si="317"/>
        <v>1</v>
      </c>
      <c r="AU256" s="289">
        <f t="shared" si="318"/>
        <v>0</v>
      </c>
      <c r="AV256" s="289">
        <f t="shared" si="319"/>
        <v>0</v>
      </c>
      <c r="AW256" s="289">
        <f t="shared" si="320"/>
        <v>0</v>
      </c>
      <c r="AX256" s="290">
        <v>98</v>
      </c>
      <c r="AY256" s="289">
        <f t="shared" si="321"/>
        <v>98</v>
      </c>
      <c r="AZ256" s="291">
        <f t="shared" si="322"/>
        <v>1</v>
      </c>
      <c r="BA256" s="344"/>
      <c r="BB256" s="383">
        <v>98</v>
      </c>
      <c r="BC256" s="379">
        <f t="shared" si="298"/>
        <v>0</v>
      </c>
      <c r="BD256" s="378">
        <f t="shared" si="299"/>
        <v>0</v>
      </c>
      <c r="BE256" s="381"/>
      <c r="BF256" s="378">
        <f t="shared" si="323"/>
        <v>98</v>
      </c>
    </row>
    <row r="257" spans="1:58" x14ac:dyDescent="0.35">
      <c r="A257" s="193" t="s">
        <v>51</v>
      </c>
      <c r="B257" s="35">
        <v>252610191</v>
      </c>
      <c r="C257" s="37" t="s">
        <v>1271</v>
      </c>
      <c r="D257" s="35" t="s">
        <v>8</v>
      </c>
      <c r="E257" s="215">
        <v>19</v>
      </c>
      <c r="F257" s="217"/>
      <c r="G257" s="217"/>
      <c r="H257" s="217"/>
      <c r="I257" s="326">
        <f t="shared" si="300"/>
        <v>0</v>
      </c>
      <c r="J257" s="326">
        <f t="shared" si="301"/>
        <v>19</v>
      </c>
      <c r="K257" s="327">
        <f t="shared" si="302"/>
        <v>1</v>
      </c>
      <c r="L257" s="221">
        <v>14</v>
      </c>
      <c r="M257" s="222"/>
      <c r="N257" s="222"/>
      <c r="O257" s="222"/>
      <c r="P257" s="328">
        <f t="shared" si="303"/>
        <v>0</v>
      </c>
      <c r="Q257" s="328">
        <f t="shared" si="304"/>
        <v>14</v>
      </c>
      <c r="R257" s="329">
        <f t="shared" si="305"/>
        <v>1</v>
      </c>
      <c r="S257" s="225">
        <v>12</v>
      </c>
      <c r="T257" s="226"/>
      <c r="U257" s="226"/>
      <c r="V257" s="226"/>
      <c r="W257" s="330">
        <f t="shared" si="306"/>
        <v>0</v>
      </c>
      <c r="X257" s="330">
        <f t="shared" si="307"/>
        <v>12</v>
      </c>
      <c r="Y257" s="331">
        <f t="shared" si="308"/>
        <v>1</v>
      </c>
      <c r="Z257" s="228">
        <v>21</v>
      </c>
      <c r="AA257" s="255"/>
      <c r="AB257" s="255"/>
      <c r="AC257" s="255"/>
      <c r="AD257" s="280">
        <f t="shared" si="309"/>
        <v>0</v>
      </c>
      <c r="AE257" s="280">
        <f t="shared" si="310"/>
        <v>21</v>
      </c>
      <c r="AF257" s="281">
        <f t="shared" si="311"/>
        <v>1</v>
      </c>
      <c r="AG257" s="229">
        <v>18</v>
      </c>
      <c r="AH257" s="257"/>
      <c r="AI257" s="257"/>
      <c r="AJ257" s="257"/>
      <c r="AK257" s="305">
        <f t="shared" si="312"/>
        <v>0</v>
      </c>
      <c r="AL257" s="305">
        <f t="shared" si="313"/>
        <v>18</v>
      </c>
      <c r="AM257" s="306">
        <f t="shared" si="314"/>
        <v>1</v>
      </c>
      <c r="AN257" s="230">
        <v>14</v>
      </c>
      <c r="AO257" s="259"/>
      <c r="AP257" s="259"/>
      <c r="AQ257" s="259"/>
      <c r="AR257" s="307">
        <f t="shared" si="315"/>
        <v>0</v>
      </c>
      <c r="AS257" s="307">
        <f t="shared" si="316"/>
        <v>14</v>
      </c>
      <c r="AT257" s="308">
        <f t="shared" si="317"/>
        <v>1</v>
      </c>
      <c r="AU257" s="289">
        <f t="shared" si="318"/>
        <v>0</v>
      </c>
      <c r="AV257" s="289">
        <f t="shared" si="319"/>
        <v>0</v>
      </c>
      <c r="AW257" s="289">
        <f t="shared" si="320"/>
        <v>0</v>
      </c>
      <c r="AX257" s="290">
        <v>98</v>
      </c>
      <c r="AY257" s="289">
        <f t="shared" si="321"/>
        <v>98</v>
      </c>
      <c r="AZ257" s="291">
        <f t="shared" si="322"/>
        <v>1</v>
      </c>
      <c r="BA257" s="344"/>
      <c r="BB257" s="383">
        <v>100</v>
      </c>
      <c r="BC257" s="379">
        <f t="shared" si="298"/>
        <v>0</v>
      </c>
      <c r="BD257" s="378">
        <f t="shared" si="299"/>
        <v>0</v>
      </c>
      <c r="BE257" s="381"/>
      <c r="BF257" s="378">
        <f t="shared" si="323"/>
        <v>100</v>
      </c>
    </row>
    <row r="258" spans="1:58" x14ac:dyDescent="0.35">
      <c r="A258" s="193"/>
      <c r="B258" s="35"/>
      <c r="C258" s="47"/>
      <c r="D258" s="42"/>
      <c r="E258" s="215"/>
      <c r="F258" s="217"/>
      <c r="G258" s="217"/>
      <c r="H258" s="217"/>
      <c r="I258" s="326"/>
      <c r="J258" s="326"/>
      <c r="K258" s="327"/>
      <c r="L258" s="221"/>
      <c r="M258" s="222"/>
      <c r="N258" s="223"/>
      <c r="O258" s="222"/>
      <c r="P258" s="328"/>
      <c r="Q258" s="328"/>
      <c r="R258" s="329"/>
      <c r="S258" s="225"/>
      <c r="T258" s="226"/>
      <c r="U258" s="226"/>
      <c r="V258" s="226"/>
      <c r="W258" s="330"/>
      <c r="X258" s="330"/>
      <c r="Y258" s="331"/>
      <c r="Z258" s="228"/>
      <c r="AA258" s="255"/>
      <c r="AB258" s="255"/>
      <c r="AC258" s="255"/>
      <c r="AD258" s="280"/>
      <c r="AE258" s="280"/>
      <c r="AF258" s="281"/>
      <c r="AG258" s="229"/>
      <c r="AH258" s="257"/>
      <c r="AI258" s="257"/>
      <c r="AJ258" s="257"/>
      <c r="AK258" s="305"/>
      <c r="AL258" s="305"/>
      <c r="AM258" s="306"/>
      <c r="AN258" s="230"/>
      <c r="AO258" s="259"/>
      <c r="AP258" s="259"/>
      <c r="AQ258" s="259"/>
      <c r="AR258" s="307"/>
      <c r="AS258" s="307"/>
      <c r="AT258" s="308"/>
      <c r="AU258" s="289"/>
      <c r="AV258" s="289"/>
      <c r="AW258" s="289"/>
      <c r="AX258" s="290"/>
      <c r="AY258" s="289"/>
      <c r="AZ258" s="291"/>
      <c r="BA258" s="344"/>
      <c r="BB258" s="383"/>
      <c r="BC258" s="379"/>
      <c r="BD258" s="378"/>
      <c r="BE258" s="381"/>
      <c r="BF258" s="378"/>
    </row>
    <row r="259" spans="1:58" x14ac:dyDescent="0.35">
      <c r="A259" s="193"/>
      <c r="B259" s="35"/>
      <c r="C259" s="47"/>
      <c r="D259" s="42"/>
      <c r="E259" s="215"/>
      <c r="F259" s="217"/>
      <c r="G259" s="217"/>
      <c r="H259" s="217"/>
      <c r="I259" s="326"/>
      <c r="J259" s="326"/>
      <c r="K259" s="327"/>
      <c r="L259" s="221"/>
      <c r="M259" s="222"/>
      <c r="N259" s="222"/>
      <c r="O259" s="222"/>
      <c r="P259" s="328"/>
      <c r="Q259" s="328"/>
      <c r="R259" s="329"/>
      <c r="S259" s="225"/>
      <c r="T259" s="226"/>
      <c r="U259" s="226"/>
      <c r="V259" s="226"/>
      <c r="W259" s="330"/>
      <c r="X259" s="330"/>
      <c r="Y259" s="331"/>
      <c r="Z259" s="228"/>
      <c r="AA259" s="255"/>
      <c r="AB259" s="255"/>
      <c r="AC259" s="255"/>
      <c r="AD259" s="280"/>
      <c r="AE259" s="280"/>
      <c r="AF259" s="281"/>
      <c r="AG259" s="229"/>
      <c r="AH259" s="257"/>
      <c r="AI259" s="257"/>
      <c r="AJ259" s="257"/>
      <c r="AK259" s="305"/>
      <c r="AL259" s="305"/>
      <c r="AM259" s="306"/>
      <c r="AN259" s="230"/>
      <c r="AO259" s="259"/>
      <c r="AP259" s="259"/>
      <c r="AQ259" s="259"/>
      <c r="AR259" s="307"/>
      <c r="AS259" s="307"/>
      <c r="AT259" s="308"/>
      <c r="AU259" s="289"/>
      <c r="AV259" s="289"/>
      <c r="AW259" s="289"/>
      <c r="AX259" s="290"/>
      <c r="AY259" s="289"/>
      <c r="AZ259" s="291"/>
      <c r="BA259" s="344"/>
      <c r="BB259" s="383"/>
      <c r="BC259" s="379"/>
      <c r="BD259" s="378"/>
      <c r="BE259" s="381"/>
      <c r="BF259" s="378"/>
    </row>
    <row r="260" spans="1:58" x14ac:dyDescent="0.35">
      <c r="A260" s="193"/>
      <c r="B260" s="35"/>
      <c r="C260" s="47"/>
      <c r="D260" s="42"/>
      <c r="E260" s="215"/>
      <c r="F260" s="217"/>
      <c r="G260" s="217"/>
      <c r="H260" s="217"/>
      <c r="I260" s="326"/>
      <c r="J260" s="326"/>
      <c r="K260" s="327"/>
      <c r="L260" s="221"/>
      <c r="M260" s="222"/>
      <c r="N260" s="223"/>
      <c r="O260" s="222"/>
      <c r="P260" s="328"/>
      <c r="Q260" s="328"/>
      <c r="R260" s="329"/>
      <c r="S260" s="225"/>
      <c r="T260" s="226"/>
      <c r="U260" s="226"/>
      <c r="V260" s="226"/>
      <c r="W260" s="330"/>
      <c r="X260" s="330"/>
      <c r="Y260" s="331"/>
      <c r="Z260" s="228"/>
      <c r="AA260" s="255"/>
      <c r="AB260" s="255"/>
      <c r="AC260" s="255"/>
      <c r="AD260" s="280"/>
      <c r="AE260" s="280"/>
      <c r="AF260" s="281"/>
      <c r="AG260" s="229"/>
      <c r="AH260" s="257"/>
      <c r="AI260" s="257"/>
      <c r="AJ260" s="257"/>
      <c r="AK260" s="305"/>
      <c r="AL260" s="305"/>
      <c r="AM260" s="306"/>
      <c r="AN260" s="230"/>
      <c r="AO260" s="259"/>
      <c r="AP260" s="259"/>
      <c r="AQ260" s="259"/>
      <c r="AR260" s="307"/>
      <c r="AS260" s="307"/>
      <c r="AT260" s="308"/>
      <c r="AU260" s="289"/>
      <c r="AV260" s="289"/>
      <c r="AW260" s="289"/>
      <c r="AX260" s="290"/>
      <c r="AY260" s="289"/>
      <c r="AZ260" s="291"/>
      <c r="BA260" s="344"/>
      <c r="BB260" s="383"/>
      <c r="BC260" s="379"/>
      <c r="BD260" s="378"/>
      <c r="BE260" s="381"/>
      <c r="BF260" s="378"/>
    </row>
    <row r="261" spans="1:58" x14ac:dyDescent="0.35">
      <c r="A261" s="193"/>
      <c r="B261" s="35"/>
      <c r="C261" s="43"/>
      <c r="D261" s="35"/>
      <c r="E261" s="215"/>
      <c r="F261" s="217"/>
      <c r="G261" s="217"/>
      <c r="H261" s="217"/>
      <c r="I261" s="326"/>
      <c r="J261" s="326"/>
      <c r="K261" s="327"/>
      <c r="L261" s="221"/>
      <c r="M261" s="222"/>
      <c r="N261" s="223"/>
      <c r="O261" s="222"/>
      <c r="P261" s="328"/>
      <c r="Q261" s="328"/>
      <c r="R261" s="329"/>
      <c r="S261" s="225"/>
      <c r="T261" s="226"/>
      <c r="U261" s="226"/>
      <c r="V261" s="226"/>
      <c r="W261" s="330"/>
      <c r="X261" s="330"/>
      <c r="Y261" s="331"/>
      <c r="Z261" s="228"/>
      <c r="AA261" s="255"/>
      <c r="AB261" s="255"/>
      <c r="AC261" s="255"/>
      <c r="AD261" s="280"/>
      <c r="AE261" s="280"/>
      <c r="AF261" s="281"/>
      <c r="AG261" s="229"/>
      <c r="AH261" s="257"/>
      <c r="AI261" s="257"/>
      <c r="AJ261" s="257"/>
      <c r="AK261" s="305"/>
      <c r="AL261" s="305"/>
      <c r="AM261" s="306"/>
      <c r="AN261" s="230"/>
      <c r="AO261" s="259"/>
      <c r="AP261" s="259"/>
      <c r="AQ261" s="259"/>
      <c r="AR261" s="307"/>
      <c r="AS261" s="307"/>
      <c r="AT261" s="308"/>
      <c r="AU261" s="289"/>
      <c r="AV261" s="289"/>
      <c r="AW261" s="289"/>
      <c r="AX261" s="290"/>
      <c r="AY261" s="289"/>
      <c r="AZ261" s="291"/>
      <c r="BA261" s="344"/>
      <c r="BB261" s="383"/>
      <c r="BC261" s="379"/>
      <c r="BD261" s="378"/>
      <c r="BE261" s="381"/>
      <c r="BF261" s="378"/>
    </row>
    <row r="262" spans="1:58" x14ac:dyDescent="0.35">
      <c r="A262" s="193"/>
      <c r="B262" s="35"/>
      <c r="C262" s="47"/>
      <c r="D262" s="42"/>
      <c r="E262" s="215"/>
      <c r="F262" s="217"/>
      <c r="G262" s="217"/>
      <c r="H262" s="217"/>
      <c r="I262" s="326"/>
      <c r="J262" s="326"/>
      <c r="K262" s="327"/>
      <c r="L262" s="221"/>
      <c r="M262" s="223"/>
      <c r="N262" s="222"/>
      <c r="O262" s="222"/>
      <c r="P262" s="328"/>
      <c r="Q262" s="328"/>
      <c r="R262" s="329"/>
      <c r="S262" s="225"/>
      <c r="T262" s="226"/>
      <c r="U262" s="226"/>
      <c r="V262" s="226"/>
      <c r="W262" s="330"/>
      <c r="X262" s="330"/>
      <c r="Y262" s="331"/>
      <c r="Z262" s="228"/>
      <c r="AA262" s="255"/>
      <c r="AB262" s="255"/>
      <c r="AC262" s="255"/>
      <c r="AD262" s="280"/>
      <c r="AE262" s="280"/>
      <c r="AF262" s="281"/>
      <c r="AG262" s="229"/>
      <c r="AH262" s="257"/>
      <c r="AI262" s="257"/>
      <c r="AJ262" s="257"/>
      <c r="AK262" s="305"/>
      <c r="AL262" s="305"/>
      <c r="AM262" s="306"/>
      <c r="AN262" s="230"/>
      <c r="AO262" s="259"/>
      <c r="AP262" s="259"/>
      <c r="AQ262" s="259"/>
      <c r="AR262" s="307"/>
      <c r="AS262" s="307"/>
      <c r="AT262" s="308"/>
      <c r="AU262" s="289"/>
      <c r="AV262" s="289"/>
      <c r="AW262" s="289"/>
      <c r="AX262" s="290"/>
      <c r="AY262" s="289"/>
      <c r="AZ262" s="291"/>
      <c r="BA262" s="344"/>
      <c r="BB262" s="383"/>
      <c r="BC262" s="379"/>
      <c r="BD262" s="378"/>
      <c r="BE262" s="381"/>
      <c r="BF262" s="378"/>
    </row>
    <row r="263" spans="1:58" x14ac:dyDescent="0.35">
      <c r="A263" s="193"/>
      <c r="B263" s="35"/>
      <c r="C263" s="54"/>
      <c r="D263" s="52"/>
      <c r="E263" s="215"/>
      <c r="F263" s="217"/>
      <c r="G263" s="217"/>
      <c r="H263" s="217"/>
      <c r="I263" s="326"/>
      <c r="J263" s="326"/>
      <c r="K263" s="327"/>
      <c r="L263" s="221"/>
      <c r="M263" s="223"/>
      <c r="N263" s="223"/>
      <c r="O263" s="222"/>
      <c r="P263" s="328"/>
      <c r="Q263" s="328"/>
      <c r="R263" s="329"/>
      <c r="S263" s="225"/>
      <c r="T263" s="226"/>
      <c r="U263" s="226"/>
      <c r="V263" s="226"/>
      <c r="W263" s="330"/>
      <c r="X263" s="330"/>
      <c r="Y263" s="331"/>
      <c r="Z263" s="228"/>
      <c r="AA263" s="255"/>
      <c r="AB263" s="255"/>
      <c r="AC263" s="255"/>
      <c r="AD263" s="280"/>
      <c r="AE263" s="280"/>
      <c r="AF263" s="281"/>
      <c r="AG263" s="229"/>
      <c r="AH263" s="257"/>
      <c r="AI263" s="257"/>
      <c r="AJ263" s="257"/>
      <c r="AK263" s="305"/>
      <c r="AL263" s="305"/>
      <c r="AM263" s="306"/>
      <c r="AN263" s="230"/>
      <c r="AO263" s="259"/>
      <c r="AP263" s="259"/>
      <c r="AQ263" s="259"/>
      <c r="AR263" s="307"/>
      <c r="AS263" s="307"/>
      <c r="AT263" s="308"/>
      <c r="AU263" s="289"/>
      <c r="AV263" s="289"/>
      <c r="AW263" s="289"/>
      <c r="AX263" s="290"/>
      <c r="AY263" s="289"/>
      <c r="AZ263" s="291"/>
      <c r="BA263" s="344"/>
      <c r="BB263" s="383"/>
      <c r="BC263" s="379"/>
      <c r="BD263" s="378"/>
      <c r="BE263" s="381"/>
      <c r="BF263" s="378"/>
    </row>
    <row r="264" spans="1:58" x14ac:dyDescent="0.35">
      <c r="A264" s="193"/>
      <c r="B264" s="35"/>
      <c r="C264" s="54"/>
      <c r="D264" s="52"/>
      <c r="E264" s="215"/>
      <c r="F264" s="217"/>
      <c r="G264" s="217"/>
      <c r="H264" s="217"/>
      <c r="I264" s="326"/>
      <c r="J264" s="326"/>
      <c r="K264" s="327"/>
      <c r="L264" s="221"/>
      <c r="M264" s="223"/>
      <c r="N264" s="223"/>
      <c r="O264" s="222"/>
      <c r="P264" s="328"/>
      <c r="Q264" s="328"/>
      <c r="R264" s="329"/>
      <c r="S264" s="225"/>
      <c r="T264" s="226"/>
      <c r="U264" s="226"/>
      <c r="V264" s="226"/>
      <c r="W264" s="330"/>
      <c r="X264" s="330"/>
      <c r="Y264" s="331"/>
      <c r="Z264" s="228"/>
      <c r="AA264" s="255"/>
      <c r="AB264" s="255"/>
      <c r="AC264" s="255"/>
      <c r="AD264" s="280"/>
      <c r="AE264" s="280"/>
      <c r="AF264" s="281"/>
      <c r="AG264" s="229"/>
      <c r="AH264" s="257"/>
      <c r="AI264" s="257"/>
      <c r="AJ264" s="257"/>
      <c r="AK264" s="305"/>
      <c r="AL264" s="305"/>
      <c r="AM264" s="306"/>
      <c r="AN264" s="230"/>
      <c r="AO264" s="259"/>
      <c r="AP264" s="259"/>
      <c r="AQ264" s="259"/>
      <c r="AR264" s="307"/>
      <c r="AS264" s="307"/>
      <c r="AT264" s="308"/>
      <c r="AU264" s="289"/>
      <c r="AV264" s="289"/>
      <c r="AW264" s="289"/>
      <c r="AX264" s="290"/>
      <c r="AY264" s="289"/>
      <c r="AZ264" s="291"/>
      <c r="BA264" s="344"/>
      <c r="BB264" s="383"/>
      <c r="BC264" s="379"/>
      <c r="BD264" s="378"/>
      <c r="BE264" s="381"/>
      <c r="BF264" s="378"/>
    </row>
    <row r="265" spans="1:58" x14ac:dyDescent="0.35">
      <c r="A265" s="193"/>
      <c r="B265" s="35"/>
      <c r="C265" s="47"/>
      <c r="D265" s="42"/>
      <c r="E265" s="215"/>
      <c r="F265" s="217"/>
      <c r="G265" s="217"/>
      <c r="H265" s="217"/>
      <c r="I265" s="326"/>
      <c r="J265" s="326"/>
      <c r="K265" s="327"/>
      <c r="L265" s="221"/>
      <c r="M265" s="222"/>
      <c r="N265" s="222"/>
      <c r="O265" s="222"/>
      <c r="P265" s="328"/>
      <c r="Q265" s="328"/>
      <c r="R265" s="329"/>
      <c r="S265" s="225"/>
      <c r="T265" s="226"/>
      <c r="U265" s="226"/>
      <c r="V265" s="226"/>
      <c r="W265" s="330"/>
      <c r="X265" s="330"/>
      <c r="Y265" s="331"/>
      <c r="Z265" s="228"/>
      <c r="AA265" s="255"/>
      <c r="AB265" s="255"/>
      <c r="AC265" s="255"/>
      <c r="AD265" s="280"/>
      <c r="AE265" s="280"/>
      <c r="AF265" s="281"/>
      <c r="AG265" s="229"/>
      <c r="AH265" s="257"/>
      <c r="AI265" s="257"/>
      <c r="AJ265" s="257"/>
      <c r="AK265" s="305"/>
      <c r="AL265" s="305"/>
      <c r="AM265" s="306"/>
      <c r="AN265" s="230"/>
      <c r="AO265" s="259"/>
      <c r="AP265" s="259"/>
      <c r="AQ265" s="259"/>
      <c r="AR265" s="307"/>
      <c r="AS265" s="307"/>
      <c r="AT265" s="308"/>
      <c r="AU265" s="289"/>
      <c r="AV265" s="289"/>
      <c r="AW265" s="289"/>
      <c r="AX265" s="290"/>
      <c r="AY265" s="289"/>
      <c r="AZ265" s="291"/>
      <c r="BA265" s="344"/>
      <c r="BB265" s="383"/>
      <c r="BC265" s="379"/>
      <c r="BD265" s="378"/>
      <c r="BE265" s="381"/>
      <c r="BF265" s="378"/>
    </row>
    <row r="266" spans="1:58" s="341" customFormat="1" x14ac:dyDescent="0.35">
      <c r="A266" s="232"/>
      <c r="B266" s="234"/>
      <c r="C266" s="361"/>
      <c r="D266" s="233"/>
      <c r="E266" s="233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315"/>
      <c r="AV266" s="315"/>
      <c r="AW266" s="315"/>
      <c r="AX266" s="315"/>
      <c r="AY266" s="315"/>
      <c r="AZ266" s="315"/>
      <c r="BA266" s="205"/>
      <c r="BB266" s="315"/>
      <c r="BC266" s="205"/>
      <c r="BD266" s="205"/>
      <c r="BE266" s="287"/>
      <c r="BF266" s="205"/>
    </row>
    <row r="267" spans="1:58" s="341" customFormat="1" x14ac:dyDescent="0.35"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87"/>
      <c r="BF267" s="287"/>
    </row>
    <row r="268" spans="1:58" s="341" customFormat="1" ht="16" thickBot="1" x14ac:dyDescent="0.4">
      <c r="A268" s="342" t="s">
        <v>230</v>
      </c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87"/>
      <c r="BF268" s="287"/>
    </row>
    <row r="269" spans="1:58" ht="25" customHeight="1" thickBot="1" x14ac:dyDescent="0.4">
      <c r="A269" s="447" t="s">
        <v>1072</v>
      </c>
      <c r="B269" s="447" t="s">
        <v>2</v>
      </c>
      <c r="C269" s="448" t="s">
        <v>1606</v>
      </c>
      <c r="D269" s="448" t="s">
        <v>4</v>
      </c>
      <c r="E269" s="431" t="s">
        <v>1612</v>
      </c>
      <c r="F269" s="431"/>
      <c r="G269" s="431"/>
      <c r="H269" s="431"/>
      <c r="I269" s="431"/>
      <c r="J269" s="431"/>
      <c r="K269" s="431"/>
      <c r="L269" s="432" t="s">
        <v>1613</v>
      </c>
      <c r="M269" s="432"/>
      <c r="N269" s="432"/>
      <c r="O269" s="432"/>
      <c r="P269" s="432"/>
      <c r="Q269" s="432"/>
      <c r="R269" s="432"/>
      <c r="S269" s="433" t="s">
        <v>1614</v>
      </c>
      <c r="T269" s="433"/>
      <c r="U269" s="433"/>
      <c r="V269" s="433"/>
      <c r="W269" s="433"/>
      <c r="X269" s="433"/>
      <c r="Y269" s="433"/>
      <c r="Z269" s="434" t="s">
        <v>1615</v>
      </c>
      <c r="AA269" s="434"/>
      <c r="AB269" s="434"/>
      <c r="AC269" s="434"/>
      <c r="AD269" s="434"/>
      <c r="AE269" s="434"/>
      <c r="AF269" s="434"/>
      <c r="AG269" s="435" t="s">
        <v>1616</v>
      </c>
      <c r="AH269" s="435"/>
      <c r="AI269" s="435"/>
      <c r="AJ269" s="435"/>
      <c r="AK269" s="435"/>
      <c r="AL269" s="435"/>
      <c r="AM269" s="435"/>
      <c r="AN269" s="436" t="s">
        <v>1617</v>
      </c>
      <c r="AO269" s="436"/>
      <c r="AP269" s="436"/>
      <c r="AQ269" s="436"/>
      <c r="AR269" s="436"/>
      <c r="AS269" s="436"/>
      <c r="AT269" s="436"/>
      <c r="AU269" s="438" t="s">
        <v>224</v>
      </c>
      <c r="AV269" s="438"/>
      <c r="AW269" s="438"/>
      <c r="AX269" s="437" t="s">
        <v>1602</v>
      </c>
      <c r="AY269" s="437" t="s">
        <v>1603</v>
      </c>
      <c r="AZ269" s="437" t="s">
        <v>1604</v>
      </c>
      <c r="BA269" s="443" t="s">
        <v>1076</v>
      </c>
      <c r="BB269" s="428" t="s">
        <v>883</v>
      </c>
      <c r="BC269" s="428" t="s">
        <v>880</v>
      </c>
      <c r="BD269" s="428"/>
      <c r="BE269" s="428"/>
      <c r="BF269" s="454" t="s">
        <v>884</v>
      </c>
    </row>
    <row r="270" spans="1:58" ht="55" customHeight="1" thickBot="1" x14ac:dyDescent="0.4">
      <c r="A270" s="447"/>
      <c r="B270" s="447"/>
      <c r="C270" s="448"/>
      <c r="D270" s="448"/>
      <c r="E270" s="235" t="s">
        <v>1598</v>
      </c>
      <c r="F270" s="236" t="s">
        <v>20</v>
      </c>
      <c r="G270" s="236" t="s">
        <v>19</v>
      </c>
      <c r="H270" s="236" t="s">
        <v>52</v>
      </c>
      <c r="I270" s="237" t="s">
        <v>1599</v>
      </c>
      <c r="J270" s="237" t="s">
        <v>1600</v>
      </c>
      <c r="K270" s="237" t="s">
        <v>1601</v>
      </c>
      <c r="L270" s="202" t="s">
        <v>1598</v>
      </c>
      <c r="M270" s="206" t="s">
        <v>20</v>
      </c>
      <c r="N270" s="206" t="s">
        <v>19</v>
      </c>
      <c r="O270" s="206" t="s">
        <v>52</v>
      </c>
      <c r="P270" s="207" t="s">
        <v>1599</v>
      </c>
      <c r="Q270" s="207" t="s">
        <v>1600</v>
      </c>
      <c r="R270" s="207" t="s">
        <v>1601</v>
      </c>
      <c r="S270" s="238" t="s">
        <v>1598</v>
      </c>
      <c r="T270" s="239" t="s">
        <v>20</v>
      </c>
      <c r="U270" s="239" t="s">
        <v>19</v>
      </c>
      <c r="V270" s="239" t="s">
        <v>52</v>
      </c>
      <c r="W270" s="224" t="s">
        <v>1599</v>
      </c>
      <c r="X270" s="224" t="s">
        <v>1600</v>
      </c>
      <c r="Y270" s="224" t="s">
        <v>1601</v>
      </c>
      <c r="Z270" s="240" t="s">
        <v>1598</v>
      </c>
      <c r="AA270" s="241" t="s">
        <v>20</v>
      </c>
      <c r="AB270" s="241" t="s">
        <v>19</v>
      </c>
      <c r="AC270" s="241" t="s">
        <v>52</v>
      </c>
      <c r="AD270" s="208" t="s">
        <v>1599</v>
      </c>
      <c r="AE270" s="208" t="s">
        <v>1600</v>
      </c>
      <c r="AF270" s="208" t="s">
        <v>1601</v>
      </c>
      <c r="AG270" s="209" t="s">
        <v>1598</v>
      </c>
      <c r="AH270" s="210" t="s">
        <v>20</v>
      </c>
      <c r="AI270" s="210" t="s">
        <v>19</v>
      </c>
      <c r="AJ270" s="210" t="s">
        <v>52</v>
      </c>
      <c r="AK270" s="211" t="s">
        <v>1599</v>
      </c>
      <c r="AL270" s="211" t="s">
        <v>1600</v>
      </c>
      <c r="AM270" s="211" t="s">
        <v>1601</v>
      </c>
      <c r="AN270" s="212" t="s">
        <v>1598</v>
      </c>
      <c r="AO270" s="213" t="s">
        <v>20</v>
      </c>
      <c r="AP270" s="213" t="s">
        <v>19</v>
      </c>
      <c r="AQ270" s="213" t="s">
        <v>52</v>
      </c>
      <c r="AR270" s="214" t="s">
        <v>1599</v>
      </c>
      <c r="AS270" s="214" t="s">
        <v>1600</v>
      </c>
      <c r="AT270" s="214" t="s">
        <v>1601</v>
      </c>
      <c r="AU270" s="203" t="s">
        <v>20</v>
      </c>
      <c r="AV270" s="204" t="s">
        <v>19</v>
      </c>
      <c r="AW270" s="204" t="s">
        <v>52</v>
      </c>
      <c r="AX270" s="437"/>
      <c r="AY270" s="437"/>
      <c r="AZ270" s="437"/>
      <c r="BA270" s="444"/>
      <c r="BB270" s="428"/>
      <c r="BC270" s="375" t="s">
        <v>881</v>
      </c>
      <c r="BD270" s="377" t="s">
        <v>885</v>
      </c>
      <c r="BE270" s="376" t="s">
        <v>882</v>
      </c>
      <c r="BF270" s="454"/>
    </row>
    <row r="271" spans="1:58" x14ac:dyDescent="0.35">
      <c r="A271" s="193" t="s">
        <v>21</v>
      </c>
      <c r="B271" s="199">
        <v>252610194</v>
      </c>
      <c r="C271" s="356" t="s">
        <v>1272</v>
      </c>
      <c r="D271" s="201" t="s">
        <v>8</v>
      </c>
      <c r="E271" s="215">
        <v>19</v>
      </c>
      <c r="F271" s="350"/>
      <c r="G271" s="350"/>
      <c r="H271" s="350"/>
      <c r="I271" s="326">
        <f t="shared" ref="I271" si="324">SUM(F271:H271)</f>
        <v>0</v>
      </c>
      <c r="J271" s="326">
        <f t="shared" ref="J271" si="325">E271-I271</f>
        <v>19</v>
      </c>
      <c r="K271" s="327">
        <f t="shared" ref="K271" si="326">J271/E271</f>
        <v>1</v>
      </c>
      <c r="L271" s="221">
        <v>14</v>
      </c>
      <c r="M271" s="222"/>
      <c r="N271" s="223"/>
      <c r="O271" s="222"/>
      <c r="P271" s="328">
        <f t="shared" ref="P271" si="327">SUM(M271:O271)</f>
        <v>0</v>
      </c>
      <c r="Q271" s="328">
        <f t="shared" ref="Q271" si="328">L271-P271</f>
        <v>14</v>
      </c>
      <c r="R271" s="329">
        <f t="shared" ref="R271" si="329">Q271/L271</f>
        <v>1</v>
      </c>
      <c r="S271" s="225">
        <v>12</v>
      </c>
      <c r="T271" s="226"/>
      <c r="U271" s="226"/>
      <c r="V271" s="226"/>
      <c r="W271" s="330">
        <f t="shared" ref="W271" si="330">SUM(T271:V271)</f>
        <v>0</v>
      </c>
      <c r="X271" s="330">
        <f t="shared" ref="X271" si="331">S271-W271</f>
        <v>12</v>
      </c>
      <c r="Y271" s="331">
        <f t="shared" ref="Y271" si="332">X271/S271</f>
        <v>1</v>
      </c>
      <c r="Z271" s="228">
        <v>21</v>
      </c>
      <c r="AA271" s="255"/>
      <c r="AB271" s="255"/>
      <c r="AC271" s="255"/>
      <c r="AD271" s="280">
        <f t="shared" ref="AD271" si="333">SUM(AA271:AC271)</f>
        <v>0</v>
      </c>
      <c r="AE271" s="280">
        <f t="shared" ref="AE271" si="334">Z271-AD271</f>
        <v>21</v>
      </c>
      <c r="AF271" s="281">
        <f t="shared" ref="AF271" si="335">AE271/Z271</f>
        <v>1</v>
      </c>
      <c r="AG271" s="229">
        <v>18</v>
      </c>
      <c r="AH271" s="257"/>
      <c r="AI271" s="257"/>
      <c r="AJ271" s="257"/>
      <c r="AK271" s="305">
        <f t="shared" ref="AK271" si="336">SUM(AH271:AJ271)</f>
        <v>0</v>
      </c>
      <c r="AL271" s="305">
        <f t="shared" ref="AL271" si="337">AG271-AK271</f>
        <v>18</v>
      </c>
      <c r="AM271" s="306">
        <f t="shared" ref="AM271" si="338">AL271/AG271</f>
        <v>1</v>
      </c>
      <c r="AN271" s="230">
        <v>14</v>
      </c>
      <c r="AO271" s="259"/>
      <c r="AP271" s="259"/>
      <c r="AQ271" s="259"/>
      <c r="AR271" s="307">
        <f t="shared" ref="AR271" si="339">SUM(AO271:AQ271)</f>
        <v>0</v>
      </c>
      <c r="AS271" s="307">
        <f t="shared" ref="AS271" si="340">AN271-AR271</f>
        <v>14</v>
      </c>
      <c r="AT271" s="308">
        <f t="shared" ref="AT271" si="341">AS271/AN271</f>
        <v>1</v>
      </c>
      <c r="AU271" s="289">
        <f t="shared" ref="AU271" si="342">F271+M271+T271+AA271+AH271+AO271</f>
        <v>0</v>
      </c>
      <c r="AV271" s="289">
        <f t="shared" ref="AV271" si="343">G271+N271+U271+AB271+AI271+AP271</f>
        <v>0</v>
      </c>
      <c r="AW271" s="289">
        <f t="shared" ref="AW271" si="344">H271+O271+V271+AC271+AJ271+AQ271</f>
        <v>0</v>
      </c>
      <c r="AX271" s="290">
        <v>98</v>
      </c>
      <c r="AY271" s="289">
        <f t="shared" ref="AY271" si="345">AX271-AU271-AV271-AW271</f>
        <v>98</v>
      </c>
      <c r="AZ271" s="291">
        <f t="shared" ref="AZ271" si="346">AY271/AX271</f>
        <v>1</v>
      </c>
      <c r="BA271" s="343"/>
      <c r="BB271" s="382" cm="1">
        <f t="array" ref="BB271:BB308">[1]X!$BF$271:$BF$308</f>
        <v>100</v>
      </c>
      <c r="BC271" s="379">
        <f t="shared" ref="BC271:BC308" si="347">BA271*2</f>
        <v>0</v>
      </c>
      <c r="BD271" s="378">
        <f t="shared" ref="BD271:BD308" si="348">AW271*2</f>
        <v>0</v>
      </c>
      <c r="BE271" s="380"/>
      <c r="BF271" s="378">
        <f t="shared" ref="BF271:BF308" si="349">BB271-BC271-BD271-BE271</f>
        <v>100</v>
      </c>
    </row>
    <row r="272" spans="1:58" x14ac:dyDescent="0.35">
      <c r="A272" s="193" t="s">
        <v>22</v>
      </c>
      <c r="B272" s="199">
        <v>252610192</v>
      </c>
      <c r="C272" s="356" t="s">
        <v>1273</v>
      </c>
      <c r="D272" s="201" t="s">
        <v>8</v>
      </c>
      <c r="E272" s="215">
        <v>19</v>
      </c>
      <c r="F272" s="217"/>
      <c r="G272" s="217"/>
      <c r="H272" s="217"/>
      <c r="I272" s="326">
        <f t="shared" ref="I272:I308" si="350">SUM(F272:H272)</f>
        <v>0</v>
      </c>
      <c r="J272" s="326">
        <f t="shared" ref="J272:J308" si="351">E272-I272</f>
        <v>19</v>
      </c>
      <c r="K272" s="327">
        <f t="shared" ref="K272:K308" si="352">J272/E272</f>
        <v>1</v>
      </c>
      <c r="L272" s="221">
        <v>14</v>
      </c>
      <c r="M272" s="222"/>
      <c r="N272" s="223"/>
      <c r="O272" s="222"/>
      <c r="P272" s="328">
        <f t="shared" ref="P272:P308" si="353">SUM(M272:O272)</f>
        <v>0</v>
      </c>
      <c r="Q272" s="328">
        <f t="shared" ref="Q272:Q308" si="354">L272-P272</f>
        <v>14</v>
      </c>
      <c r="R272" s="329">
        <f t="shared" ref="R272:R308" si="355">Q272/L272</f>
        <v>1</v>
      </c>
      <c r="S272" s="225">
        <v>12</v>
      </c>
      <c r="T272" s="226"/>
      <c r="U272" s="226"/>
      <c r="V272" s="226"/>
      <c r="W272" s="330">
        <f t="shared" ref="W272:W308" si="356">SUM(T272:V272)</f>
        <v>0</v>
      </c>
      <c r="X272" s="330">
        <f t="shared" ref="X272:X308" si="357">S272-W272</f>
        <v>12</v>
      </c>
      <c r="Y272" s="331">
        <f t="shared" ref="Y272:Y308" si="358">X272/S272</f>
        <v>1</v>
      </c>
      <c r="Z272" s="228">
        <v>21</v>
      </c>
      <c r="AA272" s="255"/>
      <c r="AB272" s="255"/>
      <c r="AC272" s="255"/>
      <c r="AD272" s="280">
        <f t="shared" ref="AD272:AD308" si="359">SUM(AA272:AC272)</f>
        <v>0</v>
      </c>
      <c r="AE272" s="280">
        <f t="shared" ref="AE272:AE308" si="360">Z272-AD272</f>
        <v>21</v>
      </c>
      <c r="AF272" s="281">
        <f t="shared" ref="AF272:AF308" si="361">AE272/Z272</f>
        <v>1</v>
      </c>
      <c r="AG272" s="229">
        <v>18</v>
      </c>
      <c r="AH272" s="257"/>
      <c r="AI272" s="257"/>
      <c r="AJ272" s="257"/>
      <c r="AK272" s="305">
        <f t="shared" ref="AK272:AK308" si="362">SUM(AH272:AJ272)</f>
        <v>0</v>
      </c>
      <c r="AL272" s="305">
        <f t="shared" ref="AL272:AL308" si="363">AG272-AK272</f>
        <v>18</v>
      </c>
      <c r="AM272" s="306">
        <f t="shared" ref="AM272:AM308" si="364">AL272/AG272</f>
        <v>1</v>
      </c>
      <c r="AN272" s="230">
        <v>14</v>
      </c>
      <c r="AO272" s="259"/>
      <c r="AP272" s="259"/>
      <c r="AQ272" s="259"/>
      <c r="AR272" s="307">
        <f t="shared" ref="AR272:AR308" si="365">SUM(AO272:AQ272)</f>
        <v>0</v>
      </c>
      <c r="AS272" s="307">
        <f t="shared" ref="AS272:AS308" si="366">AN272-AR272</f>
        <v>14</v>
      </c>
      <c r="AT272" s="308">
        <f t="shared" ref="AT272:AT308" si="367">AS272/AN272</f>
        <v>1</v>
      </c>
      <c r="AU272" s="289">
        <f t="shared" ref="AU272:AU308" si="368">F272+M272+T272+AA272+AH272+AO272</f>
        <v>0</v>
      </c>
      <c r="AV272" s="289">
        <f t="shared" ref="AV272:AV308" si="369">G272+N272+U272+AB272+AI272+AP272</f>
        <v>0</v>
      </c>
      <c r="AW272" s="289">
        <f t="shared" ref="AW272:AW308" si="370">H272+O272+V272+AC272+AJ272+AQ272</f>
        <v>0</v>
      </c>
      <c r="AX272" s="290">
        <v>98</v>
      </c>
      <c r="AY272" s="289">
        <f t="shared" ref="AY272:AY308" si="371">AX272-AU272-AV272-AW272</f>
        <v>98</v>
      </c>
      <c r="AZ272" s="291">
        <f t="shared" ref="AZ272:AZ308" si="372">AY272/AX272</f>
        <v>1</v>
      </c>
      <c r="BA272" s="344"/>
      <c r="BB272" s="383">
        <v>100</v>
      </c>
      <c r="BC272" s="379">
        <f t="shared" si="347"/>
        <v>0</v>
      </c>
      <c r="BD272" s="378">
        <f t="shared" si="348"/>
        <v>0</v>
      </c>
      <c r="BE272" s="381"/>
      <c r="BF272" s="378">
        <f t="shared" si="349"/>
        <v>100</v>
      </c>
    </row>
    <row r="273" spans="1:58" x14ac:dyDescent="0.35">
      <c r="A273" s="193" t="s">
        <v>23</v>
      </c>
      <c r="B273" s="199">
        <v>252610193</v>
      </c>
      <c r="C273" s="356" t="s">
        <v>1274</v>
      </c>
      <c r="D273" s="201" t="s">
        <v>8</v>
      </c>
      <c r="E273" s="215">
        <v>19</v>
      </c>
      <c r="F273" s="217"/>
      <c r="G273" s="218"/>
      <c r="H273" s="217"/>
      <c r="I273" s="326">
        <f t="shared" si="350"/>
        <v>0</v>
      </c>
      <c r="J273" s="326">
        <f t="shared" si="351"/>
        <v>19</v>
      </c>
      <c r="K273" s="327">
        <f t="shared" si="352"/>
        <v>1</v>
      </c>
      <c r="L273" s="221">
        <v>14</v>
      </c>
      <c r="M273" s="222"/>
      <c r="N273" s="223">
        <v>1</v>
      </c>
      <c r="O273" s="222"/>
      <c r="P273" s="328">
        <f t="shared" si="353"/>
        <v>1</v>
      </c>
      <c r="Q273" s="328">
        <f t="shared" si="354"/>
        <v>13</v>
      </c>
      <c r="R273" s="329">
        <f t="shared" si="355"/>
        <v>0.9285714285714286</v>
      </c>
      <c r="S273" s="225">
        <v>12</v>
      </c>
      <c r="T273" s="226"/>
      <c r="U273" s="226"/>
      <c r="V273" s="226"/>
      <c r="W273" s="330">
        <f t="shared" si="356"/>
        <v>0</v>
      </c>
      <c r="X273" s="330">
        <f t="shared" si="357"/>
        <v>12</v>
      </c>
      <c r="Y273" s="331">
        <f t="shared" si="358"/>
        <v>1</v>
      </c>
      <c r="Z273" s="228">
        <v>21</v>
      </c>
      <c r="AA273" s="255"/>
      <c r="AB273" s="255"/>
      <c r="AC273" s="255"/>
      <c r="AD273" s="280">
        <f t="shared" si="359"/>
        <v>0</v>
      </c>
      <c r="AE273" s="280">
        <f t="shared" si="360"/>
        <v>21</v>
      </c>
      <c r="AF273" s="281">
        <f t="shared" si="361"/>
        <v>1</v>
      </c>
      <c r="AG273" s="229">
        <v>18</v>
      </c>
      <c r="AH273" s="257"/>
      <c r="AI273" s="257"/>
      <c r="AJ273" s="257"/>
      <c r="AK273" s="305">
        <f t="shared" si="362"/>
        <v>0</v>
      </c>
      <c r="AL273" s="305">
        <f t="shared" si="363"/>
        <v>18</v>
      </c>
      <c r="AM273" s="306">
        <f t="shared" si="364"/>
        <v>1</v>
      </c>
      <c r="AN273" s="230">
        <v>14</v>
      </c>
      <c r="AO273" s="259"/>
      <c r="AP273" s="259"/>
      <c r="AQ273" s="259"/>
      <c r="AR273" s="307">
        <f t="shared" si="365"/>
        <v>0</v>
      </c>
      <c r="AS273" s="307">
        <f t="shared" si="366"/>
        <v>14</v>
      </c>
      <c r="AT273" s="308">
        <f t="shared" si="367"/>
        <v>1</v>
      </c>
      <c r="AU273" s="289">
        <f t="shared" si="368"/>
        <v>0</v>
      </c>
      <c r="AV273" s="289">
        <f t="shared" si="369"/>
        <v>1</v>
      </c>
      <c r="AW273" s="289">
        <f t="shared" si="370"/>
        <v>0</v>
      </c>
      <c r="AX273" s="290">
        <v>98</v>
      </c>
      <c r="AY273" s="289">
        <f t="shared" si="371"/>
        <v>97</v>
      </c>
      <c r="AZ273" s="291">
        <f t="shared" si="372"/>
        <v>0.98979591836734693</v>
      </c>
      <c r="BA273" s="344"/>
      <c r="BB273" s="383">
        <v>100</v>
      </c>
      <c r="BC273" s="379">
        <f t="shared" si="347"/>
        <v>0</v>
      </c>
      <c r="BD273" s="378">
        <f t="shared" si="348"/>
        <v>0</v>
      </c>
      <c r="BE273" s="381"/>
      <c r="BF273" s="378">
        <f t="shared" si="349"/>
        <v>100</v>
      </c>
    </row>
    <row r="274" spans="1:58" x14ac:dyDescent="0.35">
      <c r="A274" s="193" t="s">
        <v>24</v>
      </c>
      <c r="B274" s="199">
        <v>252610195</v>
      </c>
      <c r="C274" s="356" t="s">
        <v>1275</v>
      </c>
      <c r="D274" s="201" t="s">
        <v>8</v>
      </c>
      <c r="E274" s="215">
        <v>19</v>
      </c>
      <c r="F274" s="217"/>
      <c r="G274" s="217"/>
      <c r="H274" s="217"/>
      <c r="I274" s="326">
        <f t="shared" si="350"/>
        <v>0</v>
      </c>
      <c r="J274" s="326">
        <f t="shared" si="351"/>
        <v>19</v>
      </c>
      <c r="K274" s="327">
        <f t="shared" si="352"/>
        <v>1</v>
      </c>
      <c r="L274" s="221">
        <v>14</v>
      </c>
      <c r="M274" s="223"/>
      <c r="N274" s="223"/>
      <c r="O274" s="223"/>
      <c r="P274" s="328">
        <f t="shared" si="353"/>
        <v>0</v>
      </c>
      <c r="Q274" s="328">
        <f t="shared" si="354"/>
        <v>14</v>
      </c>
      <c r="R274" s="329">
        <f t="shared" si="355"/>
        <v>1</v>
      </c>
      <c r="S274" s="225">
        <v>12</v>
      </c>
      <c r="T274" s="226"/>
      <c r="U274" s="226"/>
      <c r="V274" s="226"/>
      <c r="W274" s="330">
        <f t="shared" si="356"/>
        <v>0</v>
      </c>
      <c r="X274" s="330">
        <f t="shared" si="357"/>
        <v>12</v>
      </c>
      <c r="Y274" s="331">
        <f t="shared" si="358"/>
        <v>1</v>
      </c>
      <c r="Z274" s="228">
        <v>21</v>
      </c>
      <c r="AA274" s="255"/>
      <c r="AB274" s="255"/>
      <c r="AC274" s="255"/>
      <c r="AD274" s="280">
        <f t="shared" si="359"/>
        <v>0</v>
      </c>
      <c r="AE274" s="280">
        <f t="shared" si="360"/>
        <v>21</v>
      </c>
      <c r="AF274" s="281">
        <f t="shared" si="361"/>
        <v>1</v>
      </c>
      <c r="AG274" s="229">
        <v>18</v>
      </c>
      <c r="AH274" s="257"/>
      <c r="AI274" s="257"/>
      <c r="AJ274" s="257"/>
      <c r="AK274" s="305">
        <f t="shared" si="362"/>
        <v>0</v>
      </c>
      <c r="AL274" s="305">
        <f t="shared" si="363"/>
        <v>18</v>
      </c>
      <c r="AM274" s="306">
        <f t="shared" si="364"/>
        <v>1</v>
      </c>
      <c r="AN274" s="230">
        <v>14</v>
      </c>
      <c r="AO274" s="259"/>
      <c r="AP274" s="259"/>
      <c r="AQ274" s="259"/>
      <c r="AR274" s="307">
        <f t="shared" si="365"/>
        <v>0</v>
      </c>
      <c r="AS274" s="307">
        <f t="shared" si="366"/>
        <v>14</v>
      </c>
      <c r="AT274" s="308">
        <f t="shared" si="367"/>
        <v>1</v>
      </c>
      <c r="AU274" s="289">
        <f t="shared" si="368"/>
        <v>0</v>
      </c>
      <c r="AV274" s="289">
        <f t="shared" si="369"/>
        <v>0</v>
      </c>
      <c r="AW274" s="289">
        <f t="shared" si="370"/>
        <v>0</v>
      </c>
      <c r="AX274" s="290">
        <v>98</v>
      </c>
      <c r="AY274" s="289">
        <f t="shared" si="371"/>
        <v>98</v>
      </c>
      <c r="AZ274" s="291">
        <f t="shared" si="372"/>
        <v>1</v>
      </c>
      <c r="BA274" s="344"/>
      <c r="BB274" s="383">
        <v>100</v>
      </c>
      <c r="BC274" s="379">
        <f t="shared" si="347"/>
        <v>0</v>
      </c>
      <c r="BD274" s="378">
        <f t="shared" si="348"/>
        <v>0</v>
      </c>
      <c r="BE274" s="381"/>
      <c r="BF274" s="378">
        <f t="shared" si="349"/>
        <v>100</v>
      </c>
    </row>
    <row r="275" spans="1:58" x14ac:dyDescent="0.35">
      <c r="A275" s="193" t="s">
        <v>25</v>
      </c>
      <c r="B275" s="199">
        <v>252610196</v>
      </c>
      <c r="C275" s="356" t="s">
        <v>1276</v>
      </c>
      <c r="D275" s="201" t="s">
        <v>6</v>
      </c>
      <c r="E275" s="215">
        <v>19</v>
      </c>
      <c r="F275" s="217">
        <v>1</v>
      </c>
      <c r="G275" s="217"/>
      <c r="H275" s="217"/>
      <c r="I275" s="326">
        <f t="shared" si="350"/>
        <v>1</v>
      </c>
      <c r="J275" s="326">
        <f t="shared" si="351"/>
        <v>18</v>
      </c>
      <c r="K275" s="327">
        <f t="shared" si="352"/>
        <v>0.94736842105263153</v>
      </c>
      <c r="L275" s="221">
        <v>14</v>
      </c>
      <c r="M275" s="222"/>
      <c r="N275" s="223"/>
      <c r="O275" s="223">
        <v>1</v>
      </c>
      <c r="P275" s="328">
        <f t="shared" si="353"/>
        <v>1</v>
      </c>
      <c r="Q275" s="328">
        <f t="shared" si="354"/>
        <v>13</v>
      </c>
      <c r="R275" s="329">
        <f t="shared" si="355"/>
        <v>0.9285714285714286</v>
      </c>
      <c r="S275" s="225">
        <v>12</v>
      </c>
      <c r="T275" s="226"/>
      <c r="U275" s="226"/>
      <c r="V275" s="226"/>
      <c r="W275" s="330">
        <f t="shared" si="356"/>
        <v>0</v>
      </c>
      <c r="X275" s="330">
        <f t="shared" si="357"/>
        <v>12</v>
      </c>
      <c r="Y275" s="331">
        <f t="shared" si="358"/>
        <v>1</v>
      </c>
      <c r="Z275" s="228">
        <v>21</v>
      </c>
      <c r="AA275" s="255"/>
      <c r="AB275" s="255"/>
      <c r="AC275" s="255"/>
      <c r="AD275" s="280">
        <f t="shared" si="359"/>
        <v>0</v>
      </c>
      <c r="AE275" s="280">
        <f t="shared" si="360"/>
        <v>21</v>
      </c>
      <c r="AF275" s="281">
        <f t="shared" si="361"/>
        <v>1</v>
      </c>
      <c r="AG275" s="229">
        <v>18</v>
      </c>
      <c r="AH275" s="257"/>
      <c r="AI275" s="257"/>
      <c r="AJ275" s="257"/>
      <c r="AK275" s="305">
        <f t="shared" si="362"/>
        <v>0</v>
      </c>
      <c r="AL275" s="305">
        <f t="shared" si="363"/>
        <v>18</v>
      </c>
      <c r="AM275" s="306">
        <f t="shared" si="364"/>
        <v>1</v>
      </c>
      <c r="AN275" s="230">
        <v>14</v>
      </c>
      <c r="AO275" s="259"/>
      <c r="AP275" s="259"/>
      <c r="AQ275" s="259"/>
      <c r="AR275" s="307">
        <f t="shared" si="365"/>
        <v>0</v>
      </c>
      <c r="AS275" s="307">
        <f t="shared" si="366"/>
        <v>14</v>
      </c>
      <c r="AT275" s="308">
        <f t="shared" si="367"/>
        <v>1</v>
      </c>
      <c r="AU275" s="289">
        <f t="shared" si="368"/>
        <v>1</v>
      </c>
      <c r="AV275" s="289">
        <f t="shared" si="369"/>
        <v>0</v>
      </c>
      <c r="AW275" s="289">
        <f t="shared" si="370"/>
        <v>1</v>
      </c>
      <c r="AX275" s="290">
        <v>98</v>
      </c>
      <c r="AY275" s="289">
        <f t="shared" si="371"/>
        <v>96</v>
      </c>
      <c r="AZ275" s="291">
        <f t="shared" si="372"/>
        <v>0.97959183673469385</v>
      </c>
      <c r="BA275" s="344"/>
      <c r="BB275" s="383">
        <v>90</v>
      </c>
      <c r="BC275" s="379">
        <f t="shared" si="347"/>
        <v>0</v>
      </c>
      <c r="BD275" s="378">
        <f t="shared" si="348"/>
        <v>2</v>
      </c>
      <c r="BE275" s="381"/>
      <c r="BF275" s="378">
        <f t="shared" si="349"/>
        <v>88</v>
      </c>
    </row>
    <row r="276" spans="1:58" x14ac:dyDescent="0.35">
      <c r="A276" s="193" t="s">
        <v>26</v>
      </c>
      <c r="B276" s="199">
        <v>252610197</v>
      </c>
      <c r="C276" s="356" t="s">
        <v>1277</v>
      </c>
      <c r="D276" s="201" t="s">
        <v>8</v>
      </c>
      <c r="E276" s="215">
        <v>19</v>
      </c>
      <c r="F276" s="217"/>
      <c r="G276" s="217">
        <v>1</v>
      </c>
      <c r="H276" s="217"/>
      <c r="I276" s="326">
        <f t="shared" si="350"/>
        <v>1</v>
      </c>
      <c r="J276" s="326">
        <f t="shared" si="351"/>
        <v>18</v>
      </c>
      <c r="K276" s="327">
        <f t="shared" si="352"/>
        <v>0.94736842105263153</v>
      </c>
      <c r="L276" s="221">
        <v>14</v>
      </c>
      <c r="M276" s="222">
        <v>1</v>
      </c>
      <c r="N276" s="223">
        <v>1</v>
      </c>
      <c r="O276" s="222"/>
      <c r="P276" s="328">
        <f t="shared" si="353"/>
        <v>2</v>
      </c>
      <c r="Q276" s="328">
        <f t="shared" si="354"/>
        <v>12</v>
      </c>
      <c r="R276" s="329">
        <f t="shared" si="355"/>
        <v>0.8571428571428571</v>
      </c>
      <c r="S276" s="225">
        <v>12</v>
      </c>
      <c r="T276" s="226"/>
      <c r="U276" s="226"/>
      <c r="V276" s="226"/>
      <c r="W276" s="330">
        <f t="shared" si="356"/>
        <v>0</v>
      </c>
      <c r="X276" s="330">
        <f t="shared" si="357"/>
        <v>12</v>
      </c>
      <c r="Y276" s="331">
        <f t="shared" si="358"/>
        <v>1</v>
      </c>
      <c r="Z276" s="228">
        <v>21</v>
      </c>
      <c r="AA276" s="255"/>
      <c r="AB276" s="255"/>
      <c r="AC276" s="255"/>
      <c r="AD276" s="280">
        <f t="shared" si="359"/>
        <v>0</v>
      </c>
      <c r="AE276" s="280">
        <f t="shared" si="360"/>
        <v>21</v>
      </c>
      <c r="AF276" s="281">
        <f t="shared" si="361"/>
        <v>1</v>
      </c>
      <c r="AG276" s="229">
        <v>18</v>
      </c>
      <c r="AH276" s="257"/>
      <c r="AI276" s="257"/>
      <c r="AJ276" s="257"/>
      <c r="AK276" s="305">
        <f t="shared" si="362"/>
        <v>0</v>
      </c>
      <c r="AL276" s="305">
        <f t="shared" si="363"/>
        <v>18</v>
      </c>
      <c r="AM276" s="306">
        <f t="shared" si="364"/>
        <v>1</v>
      </c>
      <c r="AN276" s="230">
        <v>14</v>
      </c>
      <c r="AO276" s="259"/>
      <c r="AP276" s="259"/>
      <c r="AQ276" s="259"/>
      <c r="AR276" s="307">
        <f t="shared" si="365"/>
        <v>0</v>
      </c>
      <c r="AS276" s="307">
        <f t="shared" si="366"/>
        <v>14</v>
      </c>
      <c r="AT276" s="308">
        <f t="shared" si="367"/>
        <v>1</v>
      </c>
      <c r="AU276" s="289">
        <f t="shared" si="368"/>
        <v>1</v>
      </c>
      <c r="AV276" s="289">
        <f t="shared" si="369"/>
        <v>2</v>
      </c>
      <c r="AW276" s="289">
        <f t="shared" si="370"/>
        <v>0</v>
      </c>
      <c r="AX276" s="290">
        <v>98</v>
      </c>
      <c r="AY276" s="289">
        <f t="shared" si="371"/>
        <v>95</v>
      </c>
      <c r="AZ276" s="291">
        <f t="shared" si="372"/>
        <v>0.96938775510204078</v>
      </c>
      <c r="BA276" s="344"/>
      <c r="BB276" s="383">
        <v>100</v>
      </c>
      <c r="BC276" s="379">
        <f t="shared" si="347"/>
        <v>0</v>
      </c>
      <c r="BD276" s="378">
        <f t="shared" si="348"/>
        <v>0</v>
      </c>
      <c r="BE276" s="381"/>
      <c r="BF276" s="378">
        <f t="shared" si="349"/>
        <v>100</v>
      </c>
    </row>
    <row r="277" spans="1:58" x14ac:dyDescent="0.35">
      <c r="A277" s="193" t="s">
        <v>27</v>
      </c>
      <c r="B277" s="199">
        <v>252610198</v>
      </c>
      <c r="C277" s="356" t="s">
        <v>1278</v>
      </c>
      <c r="D277" s="201" t="s">
        <v>8</v>
      </c>
      <c r="E277" s="215">
        <v>19</v>
      </c>
      <c r="F277" s="217"/>
      <c r="G277" s="217"/>
      <c r="H277" s="217"/>
      <c r="I277" s="326">
        <f t="shared" si="350"/>
        <v>0</v>
      </c>
      <c r="J277" s="326">
        <f t="shared" si="351"/>
        <v>19</v>
      </c>
      <c r="K277" s="327">
        <f t="shared" si="352"/>
        <v>1</v>
      </c>
      <c r="L277" s="221">
        <v>14</v>
      </c>
      <c r="M277" s="222"/>
      <c r="N277" s="222"/>
      <c r="O277" s="223">
        <v>1</v>
      </c>
      <c r="P277" s="328">
        <f t="shared" si="353"/>
        <v>1</v>
      </c>
      <c r="Q277" s="328">
        <f t="shared" si="354"/>
        <v>13</v>
      </c>
      <c r="R277" s="329">
        <f t="shared" si="355"/>
        <v>0.9285714285714286</v>
      </c>
      <c r="S277" s="225">
        <v>12</v>
      </c>
      <c r="T277" s="226"/>
      <c r="U277" s="226"/>
      <c r="V277" s="226"/>
      <c r="W277" s="330">
        <f t="shared" si="356"/>
        <v>0</v>
      </c>
      <c r="X277" s="330">
        <f t="shared" si="357"/>
        <v>12</v>
      </c>
      <c r="Y277" s="331">
        <f t="shared" si="358"/>
        <v>1</v>
      </c>
      <c r="Z277" s="228">
        <v>21</v>
      </c>
      <c r="AA277" s="255"/>
      <c r="AB277" s="255"/>
      <c r="AC277" s="255"/>
      <c r="AD277" s="280">
        <f t="shared" si="359"/>
        <v>0</v>
      </c>
      <c r="AE277" s="280">
        <f t="shared" si="360"/>
        <v>21</v>
      </c>
      <c r="AF277" s="281">
        <f t="shared" si="361"/>
        <v>1</v>
      </c>
      <c r="AG277" s="229">
        <v>18</v>
      </c>
      <c r="AH277" s="257"/>
      <c r="AI277" s="257"/>
      <c r="AJ277" s="257"/>
      <c r="AK277" s="305">
        <f t="shared" si="362"/>
        <v>0</v>
      </c>
      <c r="AL277" s="305">
        <f t="shared" si="363"/>
        <v>18</v>
      </c>
      <c r="AM277" s="306">
        <f t="shared" si="364"/>
        <v>1</v>
      </c>
      <c r="AN277" s="230">
        <v>14</v>
      </c>
      <c r="AO277" s="259"/>
      <c r="AP277" s="259"/>
      <c r="AQ277" s="259"/>
      <c r="AR277" s="307">
        <f t="shared" si="365"/>
        <v>0</v>
      </c>
      <c r="AS277" s="307">
        <f t="shared" si="366"/>
        <v>14</v>
      </c>
      <c r="AT277" s="308">
        <f t="shared" si="367"/>
        <v>1</v>
      </c>
      <c r="AU277" s="289">
        <f t="shared" si="368"/>
        <v>0</v>
      </c>
      <c r="AV277" s="289">
        <f t="shared" si="369"/>
        <v>0</v>
      </c>
      <c r="AW277" s="289">
        <f t="shared" si="370"/>
        <v>1</v>
      </c>
      <c r="AX277" s="290">
        <v>98</v>
      </c>
      <c r="AY277" s="289">
        <f t="shared" si="371"/>
        <v>97</v>
      </c>
      <c r="AZ277" s="291">
        <f t="shared" si="372"/>
        <v>0.98979591836734693</v>
      </c>
      <c r="BA277" s="344"/>
      <c r="BB277" s="383">
        <v>100</v>
      </c>
      <c r="BC277" s="379">
        <f t="shared" si="347"/>
        <v>0</v>
      </c>
      <c r="BD277" s="378">
        <f t="shared" si="348"/>
        <v>2</v>
      </c>
      <c r="BE277" s="381"/>
      <c r="BF277" s="378">
        <f t="shared" si="349"/>
        <v>98</v>
      </c>
    </row>
    <row r="278" spans="1:58" x14ac:dyDescent="0.35">
      <c r="A278" s="193" t="s">
        <v>28</v>
      </c>
      <c r="B278" s="199">
        <v>252610199</v>
      </c>
      <c r="C278" s="356" t="s">
        <v>1279</v>
      </c>
      <c r="D278" s="201" t="s">
        <v>8</v>
      </c>
      <c r="E278" s="215">
        <v>19</v>
      </c>
      <c r="F278" s="217"/>
      <c r="G278" s="217"/>
      <c r="H278" s="217"/>
      <c r="I278" s="326">
        <f t="shared" si="350"/>
        <v>0</v>
      </c>
      <c r="J278" s="326">
        <f t="shared" si="351"/>
        <v>19</v>
      </c>
      <c r="K278" s="327">
        <f t="shared" si="352"/>
        <v>1</v>
      </c>
      <c r="L278" s="221">
        <v>14</v>
      </c>
      <c r="M278" s="222"/>
      <c r="N278" s="223"/>
      <c r="O278" s="223"/>
      <c r="P278" s="328">
        <f t="shared" si="353"/>
        <v>0</v>
      </c>
      <c r="Q278" s="328">
        <f t="shared" si="354"/>
        <v>14</v>
      </c>
      <c r="R278" s="329">
        <f t="shared" si="355"/>
        <v>1</v>
      </c>
      <c r="S278" s="225">
        <v>12</v>
      </c>
      <c r="T278" s="226"/>
      <c r="U278" s="226"/>
      <c r="V278" s="226"/>
      <c r="W278" s="330">
        <f t="shared" si="356"/>
        <v>0</v>
      </c>
      <c r="X278" s="330">
        <f t="shared" si="357"/>
        <v>12</v>
      </c>
      <c r="Y278" s="331">
        <f t="shared" si="358"/>
        <v>1</v>
      </c>
      <c r="Z278" s="228">
        <v>21</v>
      </c>
      <c r="AA278" s="255"/>
      <c r="AB278" s="255"/>
      <c r="AC278" s="255"/>
      <c r="AD278" s="280">
        <f t="shared" si="359"/>
        <v>0</v>
      </c>
      <c r="AE278" s="280">
        <f t="shared" si="360"/>
        <v>21</v>
      </c>
      <c r="AF278" s="281">
        <f t="shared" si="361"/>
        <v>1</v>
      </c>
      <c r="AG278" s="229">
        <v>18</v>
      </c>
      <c r="AH278" s="257"/>
      <c r="AI278" s="257"/>
      <c r="AJ278" s="257"/>
      <c r="AK278" s="305">
        <f t="shared" si="362"/>
        <v>0</v>
      </c>
      <c r="AL278" s="305">
        <f t="shared" si="363"/>
        <v>18</v>
      </c>
      <c r="AM278" s="306">
        <f t="shared" si="364"/>
        <v>1</v>
      </c>
      <c r="AN278" s="230">
        <v>14</v>
      </c>
      <c r="AO278" s="259"/>
      <c r="AP278" s="259"/>
      <c r="AQ278" s="259"/>
      <c r="AR278" s="307">
        <f t="shared" si="365"/>
        <v>0</v>
      </c>
      <c r="AS278" s="307">
        <f t="shared" si="366"/>
        <v>14</v>
      </c>
      <c r="AT278" s="308">
        <f t="shared" si="367"/>
        <v>1</v>
      </c>
      <c r="AU278" s="289">
        <f t="shared" si="368"/>
        <v>0</v>
      </c>
      <c r="AV278" s="289">
        <f t="shared" si="369"/>
        <v>0</v>
      </c>
      <c r="AW278" s="289">
        <f t="shared" si="370"/>
        <v>0</v>
      </c>
      <c r="AX278" s="290">
        <v>98</v>
      </c>
      <c r="AY278" s="289">
        <f t="shared" si="371"/>
        <v>98</v>
      </c>
      <c r="AZ278" s="291">
        <f t="shared" si="372"/>
        <v>1</v>
      </c>
      <c r="BA278" s="344"/>
      <c r="BB278" s="383">
        <v>100</v>
      </c>
      <c r="BC278" s="379">
        <f t="shared" si="347"/>
        <v>0</v>
      </c>
      <c r="BD278" s="378">
        <f t="shared" si="348"/>
        <v>0</v>
      </c>
      <c r="BE278" s="381"/>
      <c r="BF278" s="378">
        <f t="shared" si="349"/>
        <v>100</v>
      </c>
    </row>
    <row r="279" spans="1:58" x14ac:dyDescent="0.35">
      <c r="A279" s="193" t="s">
        <v>29</v>
      </c>
      <c r="B279" s="199">
        <v>252610200</v>
      </c>
      <c r="C279" s="356" t="s">
        <v>1280</v>
      </c>
      <c r="D279" s="201" t="s">
        <v>8</v>
      </c>
      <c r="E279" s="215">
        <v>19</v>
      </c>
      <c r="F279" s="217"/>
      <c r="G279" s="217"/>
      <c r="H279" s="217"/>
      <c r="I279" s="326">
        <f t="shared" si="350"/>
        <v>0</v>
      </c>
      <c r="J279" s="326">
        <f t="shared" si="351"/>
        <v>19</v>
      </c>
      <c r="K279" s="327">
        <f t="shared" si="352"/>
        <v>1</v>
      </c>
      <c r="L279" s="221">
        <v>14</v>
      </c>
      <c r="M279" s="223"/>
      <c r="N279" s="223"/>
      <c r="O279" s="223"/>
      <c r="P279" s="328">
        <f t="shared" si="353"/>
        <v>0</v>
      </c>
      <c r="Q279" s="328">
        <f t="shared" si="354"/>
        <v>14</v>
      </c>
      <c r="R279" s="329">
        <f t="shared" si="355"/>
        <v>1</v>
      </c>
      <c r="S279" s="225">
        <v>12</v>
      </c>
      <c r="T279" s="226"/>
      <c r="U279" s="226"/>
      <c r="V279" s="226"/>
      <c r="W279" s="330">
        <f t="shared" si="356"/>
        <v>0</v>
      </c>
      <c r="X279" s="330">
        <f t="shared" si="357"/>
        <v>12</v>
      </c>
      <c r="Y279" s="331">
        <f t="shared" si="358"/>
        <v>1</v>
      </c>
      <c r="Z279" s="228">
        <v>21</v>
      </c>
      <c r="AA279" s="255"/>
      <c r="AB279" s="255"/>
      <c r="AC279" s="255"/>
      <c r="AD279" s="280">
        <f t="shared" si="359"/>
        <v>0</v>
      </c>
      <c r="AE279" s="280">
        <f t="shared" si="360"/>
        <v>21</v>
      </c>
      <c r="AF279" s="281">
        <f t="shared" si="361"/>
        <v>1</v>
      </c>
      <c r="AG279" s="229">
        <v>18</v>
      </c>
      <c r="AH279" s="257"/>
      <c r="AI279" s="257"/>
      <c r="AJ279" s="257"/>
      <c r="AK279" s="305">
        <f t="shared" si="362"/>
        <v>0</v>
      </c>
      <c r="AL279" s="305">
        <f t="shared" si="363"/>
        <v>18</v>
      </c>
      <c r="AM279" s="306">
        <f t="shared" si="364"/>
        <v>1</v>
      </c>
      <c r="AN279" s="230">
        <v>14</v>
      </c>
      <c r="AO279" s="259"/>
      <c r="AP279" s="259"/>
      <c r="AQ279" s="259"/>
      <c r="AR279" s="307">
        <f t="shared" si="365"/>
        <v>0</v>
      </c>
      <c r="AS279" s="307">
        <f t="shared" si="366"/>
        <v>14</v>
      </c>
      <c r="AT279" s="308">
        <f t="shared" si="367"/>
        <v>1</v>
      </c>
      <c r="AU279" s="289">
        <f t="shared" si="368"/>
        <v>0</v>
      </c>
      <c r="AV279" s="289">
        <f t="shared" si="369"/>
        <v>0</v>
      </c>
      <c r="AW279" s="289">
        <f t="shared" si="370"/>
        <v>0</v>
      </c>
      <c r="AX279" s="290">
        <v>98</v>
      </c>
      <c r="AY279" s="289">
        <f t="shared" si="371"/>
        <v>98</v>
      </c>
      <c r="AZ279" s="291">
        <f t="shared" si="372"/>
        <v>1</v>
      </c>
      <c r="BA279" s="344"/>
      <c r="BB279" s="383">
        <v>100</v>
      </c>
      <c r="BC279" s="379">
        <f t="shared" si="347"/>
        <v>0</v>
      </c>
      <c r="BD279" s="378">
        <f t="shared" si="348"/>
        <v>0</v>
      </c>
      <c r="BE279" s="381"/>
      <c r="BF279" s="378">
        <f t="shared" si="349"/>
        <v>100</v>
      </c>
    </row>
    <row r="280" spans="1:58" x14ac:dyDescent="0.35">
      <c r="A280" s="193" t="s">
        <v>30</v>
      </c>
      <c r="B280" s="199">
        <v>252610201</v>
      </c>
      <c r="C280" s="356" t="s">
        <v>1281</v>
      </c>
      <c r="D280" s="201" t="s">
        <v>8</v>
      </c>
      <c r="E280" s="215">
        <v>19</v>
      </c>
      <c r="F280" s="217"/>
      <c r="G280" s="217"/>
      <c r="H280" s="218"/>
      <c r="I280" s="326">
        <f t="shared" si="350"/>
        <v>0</v>
      </c>
      <c r="J280" s="326">
        <f t="shared" si="351"/>
        <v>19</v>
      </c>
      <c r="K280" s="327">
        <f t="shared" si="352"/>
        <v>1</v>
      </c>
      <c r="L280" s="221">
        <v>14</v>
      </c>
      <c r="M280" s="222"/>
      <c r="N280" s="223">
        <v>1</v>
      </c>
      <c r="O280" s="223"/>
      <c r="P280" s="328">
        <f t="shared" si="353"/>
        <v>1</v>
      </c>
      <c r="Q280" s="328">
        <f t="shared" si="354"/>
        <v>13</v>
      </c>
      <c r="R280" s="329">
        <f t="shared" si="355"/>
        <v>0.9285714285714286</v>
      </c>
      <c r="S280" s="225">
        <v>12</v>
      </c>
      <c r="T280" s="226"/>
      <c r="U280" s="226"/>
      <c r="V280" s="226"/>
      <c r="W280" s="330">
        <f t="shared" si="356"/>
        <v>0</v>
      </c>
      <c r="X280" s="330">
        <f t="shared" si="357"/>
        <v>12</v>
      </c>
      <c r="Y280" s="331">
        <f t="shared" si="358"/>
        <v>1</v>
      </c>
      <c r="Z280" s="228">
        <v>21</v>
      </c>
      <c r="AA280" s="255"/>
      <c r="AB280" s="255"/>
      <c r="AC280" s="255"/>
      <c r="AD280" s="280">
        <f t="shared" si="359"/>
        <v>0</v>
      </c>
      <c r="AE280" s="280">
        <f t="shared" si="360"/>
        <v>21</v>
      </c>
      <c r="AF280" s="281">
        <f t="shared" si="361"/>
        <v>1</v>
      </c>
      <c r="AG280" s="229">
        <v>18</v>
      </c>
      <c r="AH280" s="257"/>
      <c r="AI280" s="257"/>
      <c r="AJ280" s="257"/>
      <c r="AK280" s="305">
        <f t="shared" si="362"/>
        <v>0</v>
      </c>
      <c r="AL280" s="305">
        <f t="shared" si="363"/>
        <v>18</v>
      </c>
      <c r="AM280" s="306">
        <f t="shared" si="364"/>
        <v>1</v>
      </c>
      <c r="AN280" s="230">
        <v>14</v>
      </c>
      <c r="AO280" s="259"/>
      <c r="AP280" s="259"/>
      <c r="AQ280" s="259"/>
      <c r="AR280" s="307">
        <f t="shared" si="365"/>
        <v>0</v>
      </c>
      <c r="AS280" s="307">
        <f t="shared" si="366"/>
        <v>14</v>
      </c>
      <c r="AT280" s="308">
        <f t="shared" si="367"/>
        <v>1</v>
      </c>
      <c r="AU280" s="289">
        <f t="shared" si="368"/>
        <v>0</v>
      </c>
      <c r="AV280" s="289">
        <f t="shared" si="369"/>
        <v>1</v>
      </c>
      <c r="AW280" s="289">
        <f t="shared" si="370"/>
        <v>0</v>
      </c>
      <c r="AX280" s="290">
        <v>98</v>
      </c>
      <c r="AY280" s="289">
        <f t="shared" si="371"/>
        <v>97</v>
      </c>
      <c r="AZ280" s="291">
        <f t="shared" si="372"/>
        <v>0.98979591836734693</v>
      </c>
      <c r="BA280" s="344"/>
      <c r="BB280" s="383">
        <v>100</v>
      </c>
      <c r="BC280" s="379">
        <f t="shared" si="347"/>
        <v>0</v>
      </c>
      <c r="BD280" s="378">
        <f t="shared" si="348"/>
        <v>0</v>
      </c>
      <c r="BE280" s="381"/>
      <c r="BF280" s="378">
        <f t="shared" si="349"/>
        <v>100</v>
      </c>
    </row>
    <row r="281" spans="1:58" x14ac:dyDescent="0.35">
      <c r="A281" s="193" t="s">
        <v>31</v>
      </c>
      <c r="B281" s="199">
        <v>252610202</v>
      </c>
      <c r="C281" s="356" t="s">
        <v>1282</v>
      </c>
      <c r="D281" s="201" t="s">
        <v>8</v>
      </c>
      <c r="E281" s="215">
        <v>19</v>
      </c>
      <c r="F281" s="217"/>
      <c r="G281" s="217"/>
      <c r="H281" s="217"/>
      <c r="I281" s="326">
        <f t="shared" si="350"/>
        <v>0</v>
      </c>
      <c r="J281" s="326">
        <f t="shared" si="351"/>
        <v>19</v>
      </c>
      <c r="K281" s="327">
        <f t="shared" si="352"/>
        <v>1</v>
      </c>
      <c r="L281" s="221">
        <v>14</v>
      </c>
      <c r="M281" s="222"/>
      <c r="N281" s="223"/>
      <c r="O281" s="222"/>
      <c r="P281" s="328">
        <f t="shared" si="353"/>
        <v>0</v>
      </c>
      <c r="Q281" s="328">
        <f t="shared" si="354"/>
        <v>14</v>
      </c>
      <c r="R281" s="329">
        <f t="shared" si="355"/>
        <v>1</v>
      </c>
      <c r="S281" s="225">
        <v>12</v>
      </c>
      <c r="T281" s="226"/>
      <c r="U281" s="226"/>
      <c r="V281" s="226"/>
      <c r="W281" s="330">
        <f t="shared" si="356"/>
        <v>0</v>
      </c>
      <c r="X281" s="330">
        <f t="shared" si="357"/>
        <v>12</v>
      </c>
      <c r="Y281" s="331">
        <f t="shared" si="358"/>
        <v>1</v>
      </c>
      <c r="Z281" s="228">
        <v>21</v>
      </c>
      <c r="AA281" s="255"/>
      <c r="AB281" s="255"/>
      <c r="AC281" s="255"/>
      <c r="AD281" s="280">
        <f t="shared" si="359"/>
        <v>0</v>
      </c>
      <c r="AE281" s="280">
        <f t="shared" si="360"/>
        <v>21</v>
      </c>
      <c r="AF281" s="281">
        <f t="shared" si="361"/>
        <v>1</v>
      </c>
      <c r="AG281" s="229">
        <v>18</v>
      </c>
      <c r="AH281" s="257"/>
      <c r="AI281" s="257"/>
      <c r="AJ281" s="257"/>
      <c r="AK281" s="305">
        <f t="shared" si="362"/>
        <v>0</v>
      </c>
      <c r="AL281" s="305">
        <f t="shared" si="363"/>
        <v>18</v>
      </c>
      <c r="AM281" s="306">
        <f t="shared" si="364"/>
        <v>1</v>
      </c>
      <c r="AN281" s="230">
        <v>14</v>
      </c>
      <c r="AO281" s="259"/>
      <c r="AP281" s="259"/>
      <c r="AQ281" s="259"/>
      <c r="AR281" s="307">
        <f t="shared" si="365"/>
        <v>0</v>
      </c>
      <c r="AS281" s="307">
        <f t="shared" si="366"/>
        <v>14</v>
      </c>
      <c r="AT281" s="308">
        <f t="shared" si="367"/>
        <v>1</v>
      </c>
      <c r="AU281" s="289">
        <f t="shared" si="368"/>
        <v>0</v>
      </c>
      <c r="AV281" s="289">
        <f t="shared" si="369"/>
        <v>0</v>
      </c>
      <c r="AW281" s="289">
        <f t="shared" si="370"/>
        <v>0</v>
      </c>
      <c r="AX281" s="290">
        <v>98</v>
      </c>
      <c r="AY281" s="289">
        <f t="shared" si="371"/>
        <v>98</v>
      </c>
      <c r="AZ281" s="291">
        <f t="shared" si="372"/>
        <v>1</v>
      </c>
      <c r="BA281" s="344"/>
      <c r="BB281" s="383">
        <v>100</v>
      </c>
      <c r="BC281" s="379">
        <f t="shared" si="347"/>
        <v>0</v>
      </c>
      <c r="BD281" s="378">
        <f t="shared" si="348"/>
        <v>0</v>
      </c>
      <c r="BE281" s="381"/>
      <c r="BF281" s="378">
        <f t="shared" si="349"/>
        <v>100</v>
      </c>
    </row>
    <row r="282" spans="1:58" x14ac:dyDescent="0.35">
      <c r="A282" s="193" t="s">
        <v>32</v>
      </c>
      <c r="B282" s="199">
        <v>252610203</v>
      </c>
      <c r="C282" s="356" t="s">
        <v>1283</v>
      </c>
      <c r="D282" s="201" t="s">
        <v>8</v>
      </c>
      <c r="E282" s="215">
        <v>19</v>
      </c>
      <c r="F282" s="217"/>
      <c r="G282" s="217"/>
      <c r="H282" s="217"/>
      <c r="I282" s="326">
        <f t="shared" si="350"/>
        <v>0</v>
      </c>
      <c r="J282" s="326">
        <f t="shared" si="351"/>
        <v>19</v>
      </c>
      <c r="K282" s="327">
        <f t="shared" si="352"/>
        <v>1</v>
      </c>
      <c r="L282" s="221">
        <v>14</v>
      </c>
      <c r="M282" s="223"/>
      <c r="N282" s="223"/>
      <c r="O282" s="223"/>
      <c r="P282" s="328">
        <f t="shared" si="353"/>
        <v>0</v>
      </c>
      <c r="Q282" s="328">
        <f t="shared" si="354"/>
        <v>14</v>
      </c>
      <c r="R282" s="329">
        <f t="shared" si="355"/>
        <v>1</v>
      </c>
      <c r="S282" s="225">
        <v>12</v>
      </c>
      <c r="T282" s="226"/>
      <c r="U282" s="226"/>
      <c r="V282" s="226"/>
      <c r="W282" s="330">
        <f t="shared" si="356"/>
        <v>0</v>
      </c>
      <c r="X282" s="330">
        <f t="shared" si="357"/>
        <v>12</v>
      </c>
      <c r="Y282" s="331">
        <f t="shared" si="358"/>
        <v>1</v>
      </c>
      <c r="Z282" s="228">
        <v>21</v>
      </c>
      <c r="AA282" s="255"/>
      <c r="AB282" s="255"/>
      <c r="AC282" s="255"/>
      <c r="AD282" s="280">
        <f t="shared" si="359"/>
        <v>0</v>
      </c>
      <c r="AE282" s="280">
        <f t="shared" si="360"/>
        <v>21</v>
      </c>
      <c r="AF282" s="281">
        <f t="shared" si="361"/>
        <v>1</v>
      </c>
      <c r="AG282" s="229">
        <v>18</v>
      </c>
      <c r="AH282" s="257"/>
      <c r="AI282" s="257"/>
      <c r="AJ282" s="257"/>
      <c r="AK282" s="305">
        <f t="shared" si="362"/>
        <v>0</v>
      </c>
      <c r="AL282" s="305">
        <f t="shared" si="363"/>
        <v>18</v>
      </c>
      <c r="AM282" s="306">
        <f t="shared" si="364"/>
        <v>1</v>
      </c>
      <c r="AN282" s="230">
        <v>14</v>
      </c>
      <c r="AO282" s="259"/>
      <c r="AP282" s="259"/>
      <c r="AQ282" s="259"/>
      <c r="AR282" s="307">
        <f t="shared" si="365"/>
        <v>0</v>
      </c>
      <c r="AS282" s="307">
        <f t="shared" si="366"/>
        <v>14</v>
      </c>
      <c r="AT282" s="308">
        <f t="shared" si="367"/>
        <v>1</v>
      </c>
      <c r="AU282" s="289">
        <f t="shared" si="368"/>
        <v>0</v>
      </c>
      <c r="AV282" s="289">
        <f t="shared" si="369"/>
        <v>0</v>
      </c>
      <c r="AW282" s="289">
        <f t="shared" si="370"/>
        <v>0</v>
      </c>
      <c r="AX282" s="290">
        <v>98</v>
      </c>
      <c r="AY282" s="289">
        <f t="shared" si="371"/>
        <v>98</v>
      </c>
      <c r="AZ282" s="291">
        <f t="shared" si="372"/>
        <v>1</v>
      </c>
      <c r="BA282" s="344"/>
      <c r="BB282" s="383">
        <v>100</v>
      </c>
      <c r="BC282" s="379">
        <f t="shared" si="347"/>
        <v>0</v>
      </c>
      <c r="BD282" s="378">
        <f t="shared" si="348"/>
        <v>0</v>
      </c>
      <c r="BE282" s="381"/>
      <c r="BF282" s="378">
        <f t="shared" si="349"/>
        <v>100</v>
      </c>
    </row>
    <row r="283" spans="1:58" x14ac:dyDescent="0.35">
      <c r="A283" s="193" t="s">
        <v>33</v>
      </c>
      <c r="B283" s="35">
        <v>252610204</v>
      </c>
      <c r="C283" s="47" t="s">
        <v>1284</v>
      </c>
      <c r="D283" s="195" t="s">
        <v>8</v>
      </c>
      <c r="E283" s="215">
        <v>19</v>
      </c>
      <c r="F283" s="217"/>
      <c r="G283" s="217"/>
      <c r="H283" s="217"/>
      <c r="I283" s="326">
        <f t="shared" si="350"/>
        <v>0</v>
      </c>
      <c r="J283" s="326">
        <f t="shared" si="351"/>
        <v>19</v>
      </c>
      <c r="K283" s="327">
        <f t="shared" si="352"/>
        <v>1</v>
      </c>
      <c r="L283" s="221">
        <v>14</v>
      </c>
      <c r="M283" s="222"/>
      <c r="N283" s="222"/>
      <c r="O283" s="222"/>
      <c r="P283" s="328">
        <f t="shared" si="353"/>
        <v>0</v>
      </c>
      <c r="Q283" s="328">
        <f t="shared" si="354"/>
        <v>14</v>
      </c>
      <c r="R283" s="329">
        <f t="shared" si="355"/>
        <v>1</v>
      </c>
      <c r="S283" s="225">
        <v>12</v>
      </c>
      <c r="T283" s="226"/>
      <c r="U283" s="226"/>
      <c r="V283" s="226"/>
      <c r="W283" s="330">
        <f t="shared" si="356"/>
        <v>0</v>
      </c>
      <c r="X283" s="330">
        <f t="shared" si="357"/>
        <v>12</v>
      </c>
      <c r="Y283" s="331">
        <f t="shared" si="358"/>
        <v>1</v>
      </c>
      <c r="Z283" s="228">
        <v>21</v>
      </c>
      <c r="AA283" s="255"/>
      <c r="AB283" s="255"/>
      <c r="AC283" s="255"/>
      <c r="AD283" s="280">
        <f t="shared" si="359"/>
        <v>0</v>
      </c>
      <c r="AE283" s="280">
        <f t="shared" si="360"/>
        <v>21</v>
      </c>
      <c r="AF283" s="281">
        <f t="shared" si="361"/>
        <v>1</v>
      </c>
      <c r="AG283" s="229">
        <v>18</v>
      </c>
      <c r="AH283" s="257"/>
      <c r="AI283" s="257"/>
      <c r="AJ283" s="257"/>
      <c r="AK283" s="305">
        <f t="shared" si="362"/>
        <v>0</v>
      </c>
      <c r="AL283" s="305">
        <f t="shared" si="363"/>
        <v>18</v>
      </c>
      <c r="AM283" s="306">
        <f t="shared" si="364"/>
        <v>1</v>
      </c>
      <c r="AN283" s="230">
        <v>14</v>
      </c>
      <c r="AO283" s="259"/>
      <c r="AP283" s="259"/>
      <c r="AQ283" s="259"/>
      <c r="AR283" s="307">
        <f t="shared" si="365"/>
        <v>0</v>
      </c>
      <c r="AS283" s="307">
        <f t="shared" si="366"/>
        <v>14</v>
      </c>
      <c r="AT283" s="308">
        <f t="shared" si="367"/>
        <v>1</v>
      </c>
      <c r="AU283" s="289">
        <f t="shared" si="368"/>
        <v>0</v>
      </c>
      <c r="AV283" s="289">
        <f t="shared" si="369"/>
        <v>0</v>
      </c>
      <c r="AW283" s="289">
        <f t="shared" si="370"/>
        <v>0</v>
      </c>
      <c r="AX283" s="290">
        <v>98</v>
      </c>
      <c r="AY283" s="289">
        <f t="shared" si="371"/>
        <v>98</v>
      </c>
      <c r="AZ283" s="291">
        <f t="shared" si="372"/>
        <v>1</v>
      </c>
      <c r="BA283" s="344"/>
      <c r="BB283" s="383">
        <v>100</v>
      </c>
      <c r="BC283" s="379">
        <f t="shared" si="347"/>
        <v>0</v>
      </c>
      <c r="BD283" s="378">
        <f t="shared" si="348"/>
        <v>0</v>
      </c>
      <c r="BE283" s="381"/>
      <c r="BF283" s="378">
        <f t="shared" si="349"/>
        <v>100</v>
      </c>
    </row>
    <row r="284" spans="1:58" x14ac:dyDescent="0.35">
      <c r="A284" s="193" t="s">
        <v>34</v>
      </c>
      <c r="B284" s="35">
        <v>252610205</v>
      </c>
      <c r="C284" s="47" t="s">
        <v>1285</v>
      </c>
      <c r="D284" s="195" t="s">
        <v>8</v>
      </c>
      <c r="E284" s="215">
        <v>19</v>
      </c>
      <c r="F284" s="217"/>
      <c r="G284" s="217">
        <v>1</v>
      </c>
      <c r="H284" s="217"/>
      <c r="I284" s="326">
        <f t="shared" si="350"/>
        <v>1</v>
      </c>
      <c r="J284" s="326">
        <f t="shared" si="351"/>
        <v>18</v>
      </c>
      <c r="K284" s="327">
        <f t="shared" si="352"/>
        <v>0.94736842105263153</v>
      </c>
      <c r="L284" s="221">
        <v>14</v>
      </c>
      <c r="M284" s="222">
        <v>1</v>
      </c>
      <c r="N284" s="223">
        <v>1</v>
      </c>
      <c r="O284" s="222"/>
      <c r="P284" s="328">
        <f t="shared" si="353"/>
        <v>2</v>
      </c>
      <c r="Q284" s="328">
        <f t="shared" si="354"/>
        <v>12</v>
      </c>
      <c r="R284" s="329">
        <f t="shared" si="355"/>
        <v>0.8571428571428571</v>
      </c>
      <c r="S284" s="225">
        <v>12</v>
      </c>
      <c r="T284" s="226"/>
      <c r="U284" s="226"/>
      <c r="V284" s="226"/>
      <c r="W284" s="330">
        <f t="shared" si="356"/>
        <v>0</v>
      </c>
      <c r="X284" s="330">
        <f t="shared" si="357"/>
        <v>12</v>
      </c>
      <c r="Y284" s="331">
        <f t="shared" si="358"/>
        <v>1</v>
      </c>
      <c r="Z284" s="228">
        <v>21</v>
      </c>
      <c r="AA284" s="255"/>
      <c r="AB284" s="255"/>
      <c r="AC284" s="255"/>
      <c r="AD284" s="280">
        <f t="shared" si="359"/>
        <v>0</v>
      </c>
      <c r="AE284" s="280">
        <f t="shared" si="360"/>
        <v>21</v>
      </c>
      <c r="AF284" s="281">
        <f t="shared" si="361"/>
        <v>1</v>
      </c>
      <c r="AG284" s="229">
        <v>18</v>
      </c>
      <c r="AH284" s="257"/>
      <c r="AI284" s="257"/>
      <c r="AJ284" s="257"/>
      <c r="AK284" s="305">
        <f t="shared" si="362"/>
        <v>0</v>
      </c>
      <c r="AL284" s="305">
        <f t="shared" si="363"/>
        <v>18</v>
      </c>
      <c r="AM284" s="306">
        <f t="shared" si="364"/>
        <v>1</v>
      </c>
      <c r="AN284" s="230">
        <v>14</v>
      </c>
      <c r="AO284" s="259"/>
      <c r="AP284" s="259"/>
      <c r="AQ284" s="259"/>
      <c r="AR284" s="307">
        <f t="shared" si="365"/>
        <v>0</v>
      </c>
      <c r="AS284" s="307">
        <f t="shared" si="366"/>
        <v>14</v>
      </c>
      <c r="AT284" s="308">
        <f t="shared" si="367"/>
        <v>1</v>
      </c>
      <c r="AU284" s="289">
        <f t="shared" si="368"/>
        <v>1</v>
      </c>
      <c r="AV284" s="289">
        <f t="shared" si="369"/>
        <v>2</v>
      </c>
      <c r="AW284" s="289">
        <f t="shared" si="370"/>
        <v>0</v>
      </c>
      <c r="AX284" s="290">
        <v>98</v>
      </c>
      <c r="AY284" s="289">
        <f t="shared" si="371"/>
        <v>95</v>
      </c>
      <c r="AZ284" s="291">
        <f t="shared" si="372"/>
        <v>0.96938775510204078</v>
      </c>
      <c r="BA284" s="344"/>
      <c r="BB284" s="383">
        <v>100</v>
      </c>
      <c r="BC284" s="379">
        <f t="shared" si="347"/>
        <v>0</v>
      </c>
      <c r="BD284" s="378">
        <f t="shared" si="348"/>
        <v>0</v>
      </c>
      <c r="BE284" s="381"/>
      <c r="BF284" s="378">
        <f t="shared" si="349"/>
        <v>100</v>
      </c>
    </row>
    <row r="285" spans="1:58" x14ac:dyDescent="0.35">
      <c r="A285" s="193" t="s">
        <v>35</v>
      </c>
      <c r="B285" s="35">
        <v>252610206</v>
      </c>
      <c r="C285" s="36" t="s">
        <v>1286</v>
      </c>
      <c r="D285" s="35" t="s">
        <v>8</v>
      </c>
      <c r="E285" s="215">
        <v>19</v>
      </c>
      <c r="F285" s="217"/>
      <c r="G285" s="217"/>
      <c r="H285" s="217"/>
      <c r="I285" s="326">
        <f t="shared" si="350"/>
        <v>0</v>
      </c>
      <c r="J285" s="326">
        <f t="shared" si="351"/>
        <v>19</v>
      </c>
      <c r="K285" s="327">
        <f t="shared" si="352"/>
        <v>1</v>
      </c>
      <c r="L285" s="221">
        <v>14</v>
      </c>
      <c r="M285" s="222"/>
      <c r="N285" s="223">
        <v>1</v>
      </c>
      <c r="O285" s="222"/>
      <c r="P285" s="328">
        <f t="shared" si="353"/>
        <v>1</v>
      </c>
      <c r="Q285" s="328">
        <f t="shared" si="354"/>
        <v>13</v>
      </c>
      <c r="R285" s="329">
        <f t="shared" si="355"/>
        <v>0.9285714285714286</v>
      </c>
      <c r="S285" s="225">
        <v>12</v>
      </c>
      <c r="T285" s="226"/>
      <c r="U285" s="226"/>
      <c r="V285" s="226"/>
      <c r="W285" s="330">
        <f t="shared" si="356"/>
        <v>0</v>
      </c>
      <c r="X285" s="330">
        <f t="shared" si="357"/>
        <v>12</v>
      </c>
      <c r="Y285" s="331">
        <f t="shared" si="358"/>
        <v>1</v>
      </c>
      <c r="Z285" s="228">
        <v>21</v>
      </c>
      <c r="AA285" s="255"/>
      <c r="AB285" s="255"/>
      <c r="AC285" s="255"/>
      <c r="AD285" s="280">
        <f t="shared" si="359"/>
        <v>0</v>
      </c>
      <c r="AE285" s="280">
        <f t="shared" si="360"/>
        <v>21</v>
      </c>
      <c r="AF285" s="281">
        <f t="shared" si="361"/>
        <v>1</v>
      </c>
      <c r="AG285" s="229">
        <v>18</v>
      </c>
      <c r="AH285" s="257"/>
      <c r="AI285" s="257"/>
      <c r="AJ285" s="257"/>
      <c r="AK285" s="305">
        <f t="shared" si="362"/>
        <v>0</v>
      </c>
      <c r="AL285" s="305">
        <f t="shared" si="363"/>
        <v>18</v>
      </c>
      <c r="AM285" s="306">
        <f t="shared" si="364"/>
        <v>1</v>
      </c>
      <c r="AN285" s="230">
        <v>14</v>
      </c>
      <c r="AO285" s="259"/>
      <c r="AP285" s="259"/>
      <c r="AQ285" s="259"/>
      <c r="AR285" s="307">
        <f t="shared" si="365"/>
        <v>0</v>
      </c>
      <c r="AS285" s="307">
        <f t="shared" si="366"/>
        <v>14</v>
      </c>
      <c r="AT285" s="308">
        <f t="shared" si="367"/>
        <v>1</v>
      </c>
      <c r="AU285" s="289">
        <f t="shared" si="368"/>
        <v>0</v>
      </c>
      <c r="AV285" s="289">
        <f t="shared" si="369"/>
        <v>1</v>
      </c>
      <c r="AW285" s="289">
        <f t="shared" si="370"/>
        <v>0</v>
      </c>
      <c r="AX285" s="290">
        <v>98</v>
      </c>
      <c r="AY285" s="289">
        <f t="shared" si="371"/>
        <v>97</v>
      </c>
      <c r="AZ285" s="291">
        <f t="shared" si="372"/>
        <v>0.98979591836734693</v>
      </c>
      <c r="BA285" s="344"/>
      <c r="BB285" s="383">
        <v>100</v>
      </c>
      <c r="BC285" s="379">
        <f t="shared" si="347"/>
        <v>0</v>
      </c>
      <c r="BD285" s="378">
        <f t="shared" si="348"/>
        <v>0</v>
      </c>
      <c r="BE285" s="381"/>
      <c r="BF285" s="378">
        <f t="shared" si="349"/>
        <v>100</v>
      </c>
    </row>
    <row r="286" spans="1:58" x14ac:dyDescent="0.35">
      <c r="A286" s="193" t="s">
        <v>36</v>
      </c>
      <c r="B286" s="35">
        <v>252610207</v>
      </c>
      <c r="C286" s="47" t="s">
        <v>1287</v>
      </c>
      <c r="D286" s="195" t="s">
        <v>8</v>
      </c>
      <c r="E286" s="215">
        <v>19</v>
      </c>
      <c r="F286" s="217"/>
      <c r="G286" s="217"/>
      <c r="H286" s="217"/>
      <c r="I286" s="326">
        <f t="shared" si="350"/>
        <v>0</v>
      </c>
      <c r="J286" s="326">
        <f t="shared" si="351"/>
        <v>19</v>
      </c>
      <c r="K286" s="327">
        <f t="shared" si="352"/>
        <v>1</v>
      </c>
      <c r="L286" s="221">
        <v>14</v>
      </c>
      <c r="M286" s="222"/>
      <c r="N286" s="223"/>
      <c r="O286" s="222"/>
      <c r="P286" s="328">
        <f t="shared" si="353"/>
        <v>0</v>
      </c>
      <c r="Q286" s="328">
        <f t="shared" si="354"/>
        <v>14</v>
      </c>
      <c r="R286" s="329">
        <f t="shared" si="355"/>
        <v>1</v>
      </c>
      <c r="S286" s="225">
        <v>12</v>
      </c>
      <c r="T286" s="226"/>
      <c r="U286" s="226"/>
      <c r="V286" s="226"/>
      <c r="W286" s="330">
        <f t="shared" si="356"/>
        <v>0</v>
      </c>
      <c r="X286" s="330">
        <f t="shared" si="357"/>
        <v>12</v>
      </c>
      <c r="Y286" s="331">
        <f t="shared" si="358"/>
        <v>1</v>
      </c>
      <c r="Z286" s="228">
        <v>21</v>
      </c>
      <c r="AA286" s="255"/>
      <c r="AB286" s="255"/>
      <c r="AC286" s="255"/>
      <c r="AD286" s="280">
        <f t="shared" si="359"/>
        <v>0</v>
      </c>
      <c r="AE286" s="280">
        <f t="shared" si="360"/>
        <v>21</v>
      </c>
      <c r="AF286" s="281">
        <f t="shared" si="361"/>
        <v>1</v>
      </c>
      <c r="AG286" s="229">
        <v>18</v>
      </c>
      <c r="AH286" s="257"/>
      <c r="AI286" s="257"/>
      <c r="AJ286" s="257"/>
      <c r="AK286" s="305">
        <f t="shared" si="362"/>
        <v>0</v>
      </c>
      <c r="AL286" s="305">
        <f t="shared" si="363"/>
        <v>18</v>
      </c>
      <c r="AM286" s="306">
        <f t="shared" si="364"/>
        <v>1</v>
      </c>
      <c r="AN286" s="230">
        <v>14</v>
      </c>
      <c r="AO286" s="259"/>
      <c r="AP286" s="259"/>
      <c r="AQ286" s="259"/>
      <c r="AR286" s="307">
        <f t="shared" si="365"/>
        <v>0</v>
      </c>
      <c r="AS286" s="307">
        <f t="shared" si="366"/>
        <v>14</v>
      </c>
      <c r="AT286" s="308">
        <f t="shared" si="367"/>
        <v>1</v>
      </c>
      <c r="AU286" s="289">
        <f t="shared" si="368"/>
        <v>0</v>
      </c>
      <c r="AV286" s="289">
        <f t="shared" si="369"/>
        <v>0</v>
      </c>
      <c r="AW286" s="289">
        <f t="shared" si="370"/>
        <v>0</v>
      </c>
      <c r="AX286" s="290">
        <v>98</v>
      </c>
      <c r="AY286" s="289">
        <f t="shared" si="371"/>
        <v>98</v>
      </c>
      <c r="AZ286" s="291">
        <f t="shared" si="372"/>
        <v>1</v>
      </c>
      <c r="BA286" s="344"/>
      <c r="BB286" s="383">
        <v>100</v>
      </c>
      <c r="BC286" s="379">
        <f t="shared" si="347"/>
        <v>0</v>
      </c>
      <c r="BD286" s="378">
        <f t="shared" si="348"/>
        <v>0</v>
      </c>
      <c r="BE286" s="381"/>
      <c r="BF286" s="378">
        <f t="shared" si="349"/>
        <v>100</v>
      </c>
    </row>
    <row r="287" spans="1:58" x14ac:dyDescent="0.35">
      <c r="A287" s="193" t="s">
        <v>37</v>
      </c>
      <c r="B287" s="35">
        <v>252610208</v>
      </c>
      <c r="C287" s="47" t="s">
        <v>1288</v>
      </c>
      <c r="D287" s="195" t="s">
        <v>8</v>
      </c>
      <c r="E287" s="215">
        <v>19</v>
      </c>
      <c r="F287" s="217"/>
      <c r="G287" s="217"/>
      <c r="H287" s="217"/>
      <c r="I287" s="326">
        <f t="shared" si="350"/>
        <v>0</v>
      </c>
      <c r="J287" s="326">
        <f t="shared" si="351"/>
        <v>19</v>
      </c>
      <c r="K287" s="327">
        <f t="shared" si="352"/>
        <v>1</v>
      </c>
      <c r="L287" s="221">
        <v>14</v>
      </c>
      <c r="M287" s="222"/>
      <c r="N287" s="223"/>
      <c r="O287" s="222"/>
      <c r="P287" s="328">
        <f t="shared" si="353"/>
        <v>0</v>
      </c>
      <c r="Q287" s="328">
        <f t="shared" si="354"/>
        <v>14</v>
      </c>
      <c r="R287" s="329">
        <f t="shared" si="355"/>
        <v>1</v>
      </c>
      <c r="S287" s="225">
        <v>12</v>
      </c>
      <c r="T287" s="226"/>
      <c r="U287" s="226"/>
      <c r="V287" s="226"/>
      <c r="W287" s="330">
        <f t="shared" si="356"/>
        <v>0</v>
      </c>
      <c r="X287" s="330">
        <f t="shared" si="357"/>
        <v>12</v>
      </c>
      <c r="Y287" s="331">
        <f t="shared" si="358"/>
        <v>1</v>
      </c>
      <c r="Z287" s="228">
        <v>21</v>
      </c>
      <c r="AA287" s="255"/>
      <c r="AB287" s="255"/>
      <c r="AC287" s="255"/>
      <c r="AD287" s="280">
        <f t="shared" si="359"/>
        <v>0</v>
      </c>
      <c r="AE287" s="280">
        <f t="shared" si="360"/>
        <v>21</v>
      </c>
      <c r="AF287" s="281">
        <f t="shared" si="361"/>
        <v>1</v>
      </c>
      <c r="AG287" s="229">
        <v>18</v>
      </c>
      <c r="AH287" s="257"/>
      <c r="AI287" s="257"/>
      <c r="AJ287" s="257"/>
      <c r="AK287" s="305">
        <f t="shared" si="362"/>
        <v>0</v>
      </c>
      <c r="AL287" s="305">
        <f t="shared" si="363"/>
        <v>18</v>
      </c>
      <c r="AM287" s="306">
        <f t="shared" si="364"/>
        <v>1</v>
      </c>
      <c r="AN287" s="230">
        <v>14</v>
      </c>
      <c r="AO287" s="259"/>
      <c r="AP287" s="259"/>
      <c r="AQ287" s="259"/>
      <c r="AR287" s="307">
        <f t="shared" si="365"/>
        <v>0</v>
      </c>
      <c r="AS287" s="307">
        <f t="shared" si="366"/>
        <v>14</v>
      </c>
      <c r="AT287" s="308">
        <f t="shared" si="367"/>
        <v>1</v>
      </c>
      <c r="AU287" s="289">
        <f t="shared" si="368"/>
        <v>0</v>
      </c>
      <c r="AV287" s="289">
        <f t="shared" si="369"/>
        <v>0</v>
      </c>
      <c r="AW287" s="289">
        <f t="shared" si="370"/>
        <v>0</v>
      </c>
      <c r="AX287" s="290">
        <v>98</v>
      </c>
      <c r="AY287" s="289">
        <f t="shared" si="371"/>
        <v>98</v>
      </c>
      <c r="AZ287" s="291">
        <f t="shared" si="372"/>
        <v>1</v>
      </c>
      <c r="BA287" s="344"/>
      <c r="BB287" s="383">
        <v>100</v>
      </c>
      <c r="BC287" s="379">
        <f t="shared" si="347"/>
        <v>0</v>
      </c>
      <c r="BD287" s="378">
        <f t="shared" si="348"/>
        <v>0</v>
      </c>
      <c r="BE287" s="381"/>
      <c r="BF287" s="378">
        <f t="shared" si="349"/>
        <v>100</v>
      </c>
    </row>
    <row r="288" spans="1:58" x14ac:dyDescent="0.35">
      <c r="A288" s="193" t="s">
        <v>38</v>
      </c>
      <c r="B288" s="35">
        <v>252610209</v>
      </c>
      <c r="C288" s="47" t="s">
        <v>1289</v>
      </c>
      <c r="D288" s="195" t="s">
        <v>8</v>
      </c>
      <c r="E288" s="215">
        <v>19</v>
      </c>
      <c r="F288" s="217"/>
      <c r="G288" s="217"/>
      <c r="H288" s="217"/>
      <c r="I288" s="326">
        <f t="shared" si="350"/>
        <v>0</v>
      </c>
      <c r="J288" s="326">
        <f t="shared" si="351"/>
        <v>19</v>
      </c>
      <c r="K288" s="327">
        <f t="shared" si="352"/>
        <v>1</v>
      </c>
      <c r="L288" s="221">
        <v>14</v>
      </c>
      <c r="M288" s="222"/>
      <c r="N288" s="223"/>
      <c r="O288" s="222"/>
      <c r="P288" s="328">
        <f t="shared" si="353"/>
        <v>0</v>
      </c>
      <c r="Q288" s="328">
        <f t="shared" si="354"/>
        <v>14</v>
      </c>
      <c r="R288" s="329">
        <f t="shared" si="355"/>
        <v>1</v>
      </c>
      <c r="S288" s="225">
        <v>12</v>
      </c>
      <c r="T288" s="226"/>
      <c r="U288" s="226"/>
      <c r="V288" s="226"/>
      <c r="W288" s="330">
        <f t="shared" si="356"/>
        <v>0</v>
      </c>
      <c r="X288" s="330">
        <f t="shared" si="357"/>
        <v>12</v>
      </c>
      <c r="Y288" s="331">
        <f t="shared" si="358"/>
        <v>1</v>
      </c>
      <c r="Z288" s="228">
        <v>21</v>
      </c>
      <c r="AA288" s="255"/>
      <c r="AB288" s="255"/>
      <c r="AC288" s="255"/>
      <c r="AD288" s="280">
        <f t="shared" si="359"/>
        <v>0</v>
      </c>
      <c r="AE288" s="280">
        <f t="shared" si="360"/>
        <v>21</v>
      </c>
      <c r="AF288" s="281">
        <f t="shared" si="361"/>
        <v>1</v>
      </c>
      <c r="AG288" s="229">
        <v>18</v>
      </c>
      <c r="AH288" s="257"/>
      <c r="AI288" s="257"/>
      <c r="AJ288" s="257"/>
      <c r="AK288" s="305">
        <f t="shared" si="362"/>
        <v>0</v>
      </c>
      <c r="AL288" s="305">
        <f t="shared" si="363"/>
        <v>18</v>
      </c>
      <c r="AM288" s="306">
        <f t="shared" si="364"/>
        <v>1</v>
      </c>
      <c r="AN288" s="230">
        <v>14</v>
      </c>
      <c r="AO288" s="259"/>
      <c r="AP288" s="259"/>
      <c r="AQ288" s="259"/>
      <c r="AR288" s="307">
        <f t="shared" si="365"/>
        <v>0</v>
      </c>
      <c r="AS288" s="307">
        <f t="shared" si="366"/>
        <v>14</v>
      </c>
      <c r="AT288" s="308">
        <f t="shared" si="367"/>
        <v>1</v>
      </c>
      <c r="AU288" s="289">
        <f t="shared" si="368"/>
        <v>0</v>
      </c>
      <c r="AV288" s="289">
        <f t="shared" si="369"/>
        <v>0</v>
      </c>
      <c r="AW288" s="289">
        <f t="shared" si="370"/>
        <v>0</v>
      </c>
      <c r="AX288" s="290">
        <v>98</v>
      </c>
      <c r="AY288" s="289">
        <f t="shared" si="371"/>
        <v>98</v>
      </c>
      <c r="AZ288" s="291">
        <f t="shared" si="372"/>
        <v>1</v>
      </c>
      <c r="BA288" s="344"/>
      <c r="BB288" s="383">
        <v>100</v>
      </c>
      <c r="BC288" s="379">
        <f t="shared" si="347"/>
        <v>0</v>
      </c>
      <c r="BD288" s="378">
        <f t="shared" si="348"/>
        <v>0</v>
      </c>
      <c r="BE288" s="381"/>
      <c r="BF288" s="378">
        <f t="shared" si="349"/>
        <v>100</v>
      </c>
    </row>
    <row r="289" spans="1:58" x14ac:dyDescent="0.35">
      <c r="A289" s="193" t="s">
        <v>39</v>
      </c>
      <c r="B289" s="35">
        <v>252610210</v>
      </c>
      <c r="C289" s="47" t="s">
        <v>1290</v>
      </c>
      <c r="D289" s="195" t="s">
        <v>8</v>
      </c>
      <c r="E289" s="215">
        <v>19</v>
      </c>
      <c r="F289" s="217"/>
      <c r="G289" s="217"/>
      <c r="H289" s="217"/>
      <c r="I289" s="326">
        <f t="shared" si="350"/>
        <v>0</v>
      </c>
      <c r="J289" s="326">
        <f t="shared" si="351"/>
        <v>19</v>
      </c>
      <c r="K289" s="327">
        <f t="shared" si="352"/>
        <v>1</v>
      </c>
      <c r="L289" s="221">
        <v>14</v>
      </c>
      <c r="M289" s="222"/>
      <c r="N289" s="223"/>
      <c r="O289" s="222"/>
      <c r="P289" s="328">
        <f t="shared" si="353"/>
        <v>0</v>
      </c>
      <c r="Q289" s="328">
        <f t="shared" si="354"/>
        <v>14</v>
      </c>
      <c r="R289" s="329">
        <f t="shared" si="355"/>
        <v>1</v>
      </c>
      <c r="S289" s="225">
        <v>12</v>
      </c>
      <c r="T289" s="226"/>
      <c r="U289" s="226"/>
      <c r="V289" s="226"/>
      <c r="W289" s="330">
        <f t="shared" si="356"/>
        <v>0</v>
      </c>
      <c r="X289" s="330">
        <f t="shared" si="357"/>
        <v>12</v>
      </c>
      <c r="Y289" s="331">
        <f t="shared" si="358"/>
        <v>1</v>
      </c>
      <c r="Z289" s="228">
        <v>21</v>
      </c>
      <c r="AA289" s="255"/>
      <c r="AB289" s="255"/>
      <c r="AC289" s="255"/>
      <c r="AD289" s="280">
        <f t="shared" si="359"/>
        <v>0</v>
      </c>
      <c r="AE289" s="280">
        <f t="shared" si="360"/>
        <v>21</v>
      </c>
      <c r="AF289" s="281">
        <f t="shared" si="361"/>
        <v>1</v>
      </c>
      <c r="AG289" s="229">
        <v>18</v>
      </c>
      <c r="AH289" s="257"/>
      <c r="AI289" s="257"/>
      <c r="AJ289" s="257"/>
      <c r="AK289" s="305">
        <f t="shared" si="362"/>
        <v>0</v>
      </c>
      <c r="AL289" s="305">
        <f t="shared" si="363"/>
        <v>18</v>
      </c>
      <c r="AM289" s="306">
        <f t="shared" si="364"/>
        <v>1</v>
      </c>
      <c r="AN289" s="230">
        <v>14</v>
      </c>
      <c r="AO289" s="259"/>
      <c r="AP289" s="259"/>
      <c r="AQ289" s="259"/>
      <c r="AR289" s="307">
        <f t="shared" si="365"/>
        <v>0</v>
      </c>
      <c r="AS289" s="307">
        <f t="shared" si="366"/>
        <v>14</v>
      </c>
      <c r="AT289" s="308">
        <f t="shared" si="367"/>
        <v>1</v>
      </c>
      <c r="AU289" s="289">
        <f t="shared" si="368"/>
        <v>0</v>
      </c>
      <c r="AV289" s="289">
        <f t="shared" si="369"/>
        <v>0</v>
      </c>
      <c r="AW289" s="289">
        <f t="shared" si="370"/>
        <v>0</v>
      </c>
      <c r="AX289" s="290">
        <v>98</v>
      </c>
      <c r="AY289" s="289">
        <f t="shared" si="371"/>
        <v>98</v>
      </c>
      <c r="AZ289" s="291">
        <f t="shared" si="372"/>
        <v>1</v>
      </c>
      <c r="BA289" s="344"/>
      <c r="BB289" s="383">
        <v>100</v>
      </c>
      <c r="BC289" s="379">
        <f t="shared" si="347"/>
        <v>0</v>
      </c>
      <c r="BD289" s="378">
        <f t="shared" si="348"/>
        <v>0</v>
      </c>
      <c r="BE289" s="381"/>
      <c r="BF289" s="378">
        <f t="shared" si="349"/>
        <v>100</v>
      </c>
    </row>
    <row r="290" spans="1:58" x14ac:dyDescent="0.35">
      <c r="A290" s="193" t="s">
        <v>40</v>
      </c>
      <c r="B290" s="35">
        <v>252610211</v>
      </c>
      <c r="C290" s="47" t="s">
        <v>1291</v>
      </c>
      <c r="D290" s="195" t="s">
        <v>6</v>
      </c>
      <c r="E290" s="215">
        <v>19</v>
      </c>
      <c r="F290" s="217">
        <v>1</v>
      </c>
      <c r="G290" s="217"/>
      <c r="H290" s="217"/>
      <c r="I290" s="326">
        <f t="shared" si="350"/>
        <v>1</v>
      </c>
      <c r="J290" s="326">
        <f t="shared" si="351"/>
        <v>18</v>
      </c>
      <c r="K290" s="327">
        <f t="shared" si="352"/>
        <v>0.94736842105263153</v>
      </c>
      <c r="L290" s="221">
        <v>14</v>
      </c>
      <c r="M290" s="222"/>
      <c r="N290" s="223">
        <v>1</v>
      </c>
      <c r="O290" s="222">
        <v>1</v>
      </c>
      <c r="P290" s="328">
        <f t="shared" si="353"/>
        <v>2</v>
      </c>
      <c r="Q290" s="328">
        <f t="shared" si="354"/>
        <v>12</v>
      </c>
      <c r="R290" s="329">
        <f t="shared" si="355"/>
        <v>0.8571428571428571</v>
      </c>
      <c r="S290" s="225">
        <v>12</v>
      </c>
      <c r="T290" s="226"/>
      <c r="U290" s="226"/>
      <c r="V290" s="226"/>
      <c r="W290" s="330">
        <f t="shared" si="356"/>
        <v>0</v>
      </c>
      <c r="X290" s="330">
        <f t="shared" si="357"/>
        <v>12</v>
      </c>
      <c r="Y290" s="331">
        <f t="shared" si="358"/>
        <v>1</v>
      </c>
      <c r="Z290" s="228">
        <v>21</v>
      </c>
      <c r="AA290" s="255"/>
      <c r="AB290" s="255"/>
      <c r="AC290" s="255"/>
      <c r="AD290" s="280">
        <f t="shared" si="359"/>
        <v>0</v>
      </c>
      <c r="AE290" s="280">
        <f t="shared" si="360"/>
        <v>21</v>
      </c>
      <c r="AF290" s="281">
        <f t="shared" si="361"/>
        <v>1</v>
      </c>
      <c r="AG290" s="229">
        <v>18</v>
      </c>
      <c r="AH290" s="257"/>
      <c r="AI290" s="257"/>
      <c r="AJ290" s="257"/>
      <c r="AK290" s="305">
        <f t="shared" si="362"/>
        <v>0</v>
      </c>
      <c r="AL290" s="305">
        <f t="shared" si="363"/>
        <v>18</v>
      </c>
      <c r="AM290" s="306">
        <f t="shared" si="364"/>
        <v>1</v>
      </c>
      <c r="AN290" s="230">
        <v>14</v>
      </c>
      <c r="AO290" s="259"/>
      <c r="AP290" s="259"/>
      <c r="AQ290" s="259"/>
      <c r="AR290" s="307">
        <f t="shared" si="365"/>
        <v>0</v>
      </c>
      <c r="AS290" s="307">
        <f t="shared" si="366"/>
        <v>14</v>
      </c>
      <c r="AT290" s="308">
        <f t="shared" si="367"/>
        <v>1</v>
      </c>
      <c r="AU290" s="289">
        <f t="shared" si="368"/>
        <v>1</v>
      </c>
      <c r="AV290" s="289">
        <f t="shared" si="369"/>
        <v>1</v>
      </c>
      <c r="AW290" s="289">
        <f t="shared" si="370"/>
        <v>1</v>
      </c>
      <c r="AX290" s="290">
        <v>98</v>
      </c>
      <c r="AY290" s="289">
        <f t="shared" si="371"/>
        <v>95</v>
      </c>
      <c r="AZ290" s="291">
        <f t="shared" si="372"/>
        <v>0.96938775510204078</v>
      </c>
      <c r="BA290" s="344"/>
      <c r="BB290" s="383">
        <v>96</v>
      </c>
      <c r="BC290" s="379">
        <f t="shared" si="347"/>
        <v>0</v>
      </c>
      <c r="BD290" s="378">
        <f t="shared" si="348"/>
        <v>2</v>
      </c>
      <c r="BE290" s="381"/>
      <c r="BF290" s="378">
        <f t="shared" si="349"/>
        <v>94</v>
      </c>
    </row>
    <row r="291" spans="1:58" x14ac:dyDescent="0.35">
      <c r="A291" s="193" t="s">
        <v>41</v>
      </c>
      <c r="B291" s="35">
        <v>252610212</v>
      </c>
      <c r="C291" s="47" t="s">
        <v>1292</v>
      </c>
      <c r="D291" s="195" t="s">
        <v>8</v>
      </c>
      <c r="E291" s="215">
        <v>19</v>
      </c>
      <c r="F291" s="217">
        <v>1</v>
      </c>
      <c r="G291" s="217">
        <v>1</v>
      </c>
      <c r="H291" s="217">
        <v>3</v>
      </c>
      <c r="I291" s="326">
        <f t="shared" si="350"/>
        <v>5</v>
      </c>
      <c r="J291" s="326">
        <f t="shared" si="351"/>
        <v>14</v>
      </c>
      <c r="K291" s="327">
        <f t="shared" si="352"/>
        <v>0.73684210526315785</v>
      </c>
      <c r="L291" s="221">
        <v>14</v>
      </c>
      <c r="M291" s="222">
        <v>1</v>
      </c>
      <c r="N291" s="223"/>
      <c r="O291" s="222">
        <v>2</v>
      </c>
      <c r="P291" s="328">
        <f t="shared" si="353"/>
        <v>3</v>
      </c>
      <c r="Q291" s="328">
        <f t="shared" si="354"/>
        <v>11</v>
      </c>
      <c r="R291" s="329">
        <f t="shared" si="355"/>
        <v>0.7857142857142857</v>
      </c>
      <c r="S291" s="225">
        <v>12</v>
      </c>
      <c r="T291" s="226"/>
      <c r="U291" s="226"/>
      <c r="V291" s="226"/>
      <c r="W291" s="330">
        <f t="shared" si="356"/>
        <v>0</v>
      </c>
      <c r="X291" s="330">
        <f t="shared" si="357"/>
        <v>12</v>
      </c>
      <c r="Y291" s="331">
        <f t="shared" si="358"/>
        <v>1</v>
      </c>
      <c r="Z291" s="228">
        <v>21</v>
      </c>
      <c r="AA291" s="255"/>
      <c r="AB291" s="255"/>
      <c r="AC291" s="255"/>
      <c r="AD291" s="280">
        <f t="shared" si="359"/>
        <v>0</v>
      </c>
      <c r="AE291" s="280">
        <f t="shared" si="360"/>
        <v>21</v>
      </c>
      <c r="AF291" s="281">
        <f t="shared" si="361"/>
        <v>1</v>
      </c>
      <c r="AG291" s="229">
        <v>18</v>
      </c>
      <c r="AH291" s="257"/>
      <c r="AI291" s="257"/>
      <c r="AJ291" s="257"/>
      <c r="AK291" s="305">
        <f t="shared" si="362"/>
        <v>0</v>
      </c>
      <c r="AL291" s="305">
        <f t="shared" si="363"/>
        <v>18</v>
      </c>
      <c r="AM291" s="306">
        <f t="shared" si="364"/>
        <v>1</v>
      </c>
      <c r="AN291" s="230">
        <v>14</v>
      </c>
      <c r="AO291" s="259"/>
      <c r="AP291" s="259"/>
      <c r="AQ291" s="259"/>
      <c r="AR291" s="307">
        <f t="shared" si="365"/>
        <v>0</v>
      </c>
      <c r="AS291" s="307">
        <f t="shared" si="366"/>
        <v>14</v>
      </c>
      <c r="AT291" s="308">
        <f t="shared" si="367"/>
        <v>1</v>
      </c>
      <c r="AU291" s="289">
        <f t="shared" si="368"/>
        <v>2</v>
      </c>
      <c r="AV291" s="289">
        <f t="shared" si="369"/>
        <v>1</v>
      </c>
      <c r="AW291" s="289">
        <f t="shared" si="370"/>
        <v>5</v>
      </c>
      <c r="AX291" s="290">
        <v>98</v>
      </c>
      <c r="AY291" s="289">
        <f t="shared" si="371"/>
        <v>90</v>
      </c>
      <c r="AZ291" s="291">
        <f t="shared" si="372"/>
        <v>0.91836734693877553</v>
      </c>
      <c r="BA291" s="344"/>
      <c r="BB291" s="383">
        <v>84</v>
      </c>
      <c r="BC291" s="379">
        <f t="shared" si="347"/>
        <v>0</v>
      </c>
      <c r="BD291" s="378">
        <f t="shared" si="348"/>
        <v>10</v>
      </c>
      <c r="BE291" s="381"/>
      <c r="BF291" s="378">
        <f t="shared" si="349"/>
        <v>74</v>
      </c>
    </row>
    <row r="292" spans="1:58" x14ac:dyDescent="0.35">
      <c r="A292" s="193" t="s">
        <v>42</v>
      </c>
      <c r="B292" s="35">
        <v>252610213</v>
      </c>
      <c r="C292" s="47" t="s">
        <v>1293</v>
      </c>
      <c r="D292" s="195" t="s">
        <v>8</v>
      </c>
      <c r="E292" s="215">
        <v>19</v>
      </c>
      <c r="F292" s="217"/>
      <c r="G292" s="217">
        <v>1</v>
      </c>
      <c r="H292" s="217"/>
      <c r="I292" s="326">
        <f t="shared" si="350"/>
        <v>1</v>
      </c>
      <c r="J292" s="326">
        <f t="shared" si="351"/>
        <v>18</v>
      </c>
      <c r="K292" s="327">
        <f t="shared" si="352"/>
        <v>0.94736842105263153</v>
      </c>
      <c r="L292" s="221">
        <v>14</v>
      </c>
      <c r="M292" s="222"/>
      <c r="N292" s="223"/>
      <c r="O292" s="222">
        <v>1</v>
      </c>
      <c r="P292" s="328">
        <f t="shared" si="353"/>
        <v>1</v>
      </c>
      <c r="Q292" s="328">
        <f t="shared" si="354"/>
        <v>13</v>
      </c>
      <c r="R292" s="329">
        <f t="shared" si="355"/>
        <v>0.9285714285714286</v>
      </c>
      <c r="S292" s="225">
        <v>12</v>
      </c>
      <c r="T292" s="226"/>
      <c r="U292" s="226"/>
      <c r="V292" s="226"/>
      <c r="W292" s="330">
        <f t="shared" si="356"/>
        <v>0</v>
      </c>
      <c r="X292" s="330">
        <f t="shared" si="357"/>
        <v>12</v>
      </c>
      <c r="Y292" s="331">
        <f t="shared" si="358"/>
        <v>1</v>
      </c>
      <c r="Z292" s="228">
        <v>21</v>
      </c>
      <c r="AA292" s="255"/>
      <c r="AB292" s="255"/>
      <c r="AC292" s="255"/>
      <c r="AD292" s="280">
        <f t="shared" si="359"/>
        <v>0</v>
      </c>
      <c r="AE292" s="280">
        <f t="shared" si="360"/>
        <v>21</v>
      </c>
      <c r="AF292" s="281">
        <f t="shared" si="361"/>
        <v>1</v>
      </c>
      <c r="AG292" s="229">
        <v>18</v>
      </c>
      <c r="AH292" s="257"/>
      <c r="AI292" s="257"/>
      <c r="AJ292" s="257"/>
      <c r="AK292" s="305">
        <f t="shared" si="362"/>
        <v>0</v>
      </c>
      <c r="AL292" s="305">
        <f t="shared" si="363"/>
        <v>18</v>
      </c>
      <c r="AM292" s="306">
        <f t="shared" si="364"/>
        <v>1</v>
      </c>
      <c r="AN292" s="230">
        <v>14</v>
      </c>
      <c r="AO292" s="259"/>
      <c r="AP292" s="259"/>
      <c r="AQ292" s="259"/>
      <c r="AR292" s="307">
        <f t="shared" si="365"/>
        <v>0</v>
      </c>
      <c r="AS292" s="307">
        <f t="shared" si="366"/>
        <v>14</v>
      </c>
      <c r="AT292" s="308">
        <f t="shared" si="367"/>
        <v>1</v>
      </c>
      <c r="AU292" s="289">
        <f t="shared" si="368"/>
        <v>0</v>
      </c>
      <c r="AV292" s="289">
        <f t="shared" si="369"/>
        <v>1</v>
      </c>
      <c r="AW292" s="289">
        <f t="shared" si="370"/>
        <v>1</v>
      </c>
      <c r="AX292" s="290">
        <v>98</v>
      </c>
      <c r="AY292" s="289">
        <f t="shared" si="371"/>
        <v>96</v>
      </c>
      <c r="AZ292" s="291">
        <f t="shared" si="372"/>
        <v>0.97959183673469385</v>
      </c>
      <c r="BA292" s="344"/>
      <c r="BB292" s="383">
        <v>90</v>
      </c>
      <c r="BC292" s="379">
        <f t="shared" si="347"/>
        <v>0</v>
      </c>
      <c r="BD292" s="378">
        <f t="shared" si="348"/>
        <v>2</v>
      </c>
      <c r="BE292" s="381"/>
      <c r="BF292" s="378">
        <f t="shared" si="349"/>
        <v>88</v>
      </c>
    </row>
    <row r="293" spans="1:58" x14ac:dyDescent="0.35">
      <c r="A293" s="193" t="s">
        <v>43</v>
      </c>
      <c r="B293" s="35">
        <v>252610214</v>
      </c>
      <c r="C293" s="47" t="s">
        <v>1294</v>
      </c>
      <c r="D293" s="195" t="s">
        <v>8</v>
      </c>
      <c r="E293" s="215">
        <v>19</v>
      </c>
      <c r="F293" s="217"/>
      <c r="G293" s="217"/>
      <c r="H293" s="217"/>
      <c r="I293" s="326">
        <f t="shared" si="350"/>
        <v>0</v>
      </c>
      <c r="J293" s="326">
        <f t="shared" si="351"/>
        <v>19</v>
      </c>
      <c r="K293" s="327">
        <f t="shared" si="352"/>
        <v>1</v>
      </c>
      <c r="L293" s="221">
        <v>14</v>
      </c>
      <c r="M293" s="222"/>
      <c r="N293" s="223"/>
      <c r="O293" s="222"/>
      <c r="P293" s="328">
        <f t="shared" si="353"/>
        <v>0</v>
      </c>
      <c r="Q293" s="328">
        <f t="shared" si="354"/>
        <v>14</v>
      </c>
      <c r="R293" s="329">
        <f t="shared" si="355"/>
        <v>1</v>
      </c>
      <c r="S293" s="225">
        <v>12</v>
      </c>
      <c r="T293" s="226"/>
      <c r="U293" s="226"/>
      <c r="V293" s="226"/>
      <c r="W293" s="330">
        <f t="shared" si="356"/>
        <v>0</v>
      </c>
      <c r="X293" s="330">
        <f t="shared" si="357"/>
        <v>12</v>
      </c>
      <c r="Y293" s="331">
        <f t="shared" si="358"/>
        <v>1</v>
      </c>
      <c r="Z293" s="228">
        <v>21</v>
      </c>
      <c r="AA293" s="255"/>
      <c r="AB293" s="255"/>
      <c r="AC293" s="255"/>
      <c r="AD293" s="280">
        <f t="shared" si="359"/>
        <v>0</v>
      </c>
      <c r="AE293" s="280">
        <f t="shared" si="360"/>
        <v>21</v>
      </c>
      <c r="AF293" s="281">
        <f t="shared" si="361"/>
        <v>1</v>
      </c>
      <c r="AG293" s="229">
        <v>18</v>
      </c>
      <c r="AH293" s="257"/>
      <c r="AI293" s="257"/>
      <c r="AJ293" s="257"/>
      <c r="AK293" s="305">
        <f t="shared" si="362"/>
        <v>0</v>
      </c>
      <c r="AL293" s="305">
        <f t="shared" si="363"/>
        <v>18</v>
      </c>
      <c r="AM293" s="306">
        <f t="shared" si="364"/>
        <v>1</v>
      </c>
      <c r="AN293" s="230">
        <v>14</v>
      </c>
      <c r="AO293" s="259"/>
      <c r="AP293" s="259"/>
      <c r="AQ293" s="259"/>
      <c r="AR293" s="307">
        <f t="shared" si="365"/>
        <v>0</v>
      </c>
      <c r="AS293" s="307">
        <f t="shared" si="366"/>
        <v>14</v>
      </c>
      <c r="AT293" s="308">
        <f t="shared" si="367"/>
        <v>1</v>
      </c>
      <c r="AU293" s="289">
        <f t="shared" si="368"/>
        <v>0</v>
      </c>
      <c r="AV293" s="289">
        <f t="shared" si="369"/>
        <v>0</v>
      </c>
      <c r="AW293" s="289">
        <f t="shared" si="370"/>
        <v>0</v>
      </c>
      <c r="AX293" s="290">
        <v>98</v>
      </c>
      <c r="AY293" s="289">
        <f t="shared" si="371"/>
        <v>98</v>
      </c>
      <c r="AZ293" s="291">
        <f t="shared" si="372"/>
        <v>1</v>
      </c>
      <c r="BA293" s="344"/>
      <c r="BB293" s="383">
        <v>100</v>
      </c>
      <c r="BC293" s="379">
        <f t="shared" si="347"/>
        <v>0</v>
      </c>
      <c r="BD293" s="378">
        <f t="shared" si="348"/>
        <v>0</v>
      </c>
      <c r="BE293" s="381"/>
      <c r="BF293" s="378">
        <f t="shared" si="349"/>
        <v>100</v>
      </c>
    </row>
    <row r="294" spans="1:58" x14ac:dyDescent="0.35">
      <c r="A294" s="193" t="s">
        <v>44</v>
      </c>
      <c r="B294" s="35">
        <v>252610215</v>
      </c>
      <c r="C294" s="58" t="s">
        <v>1295</v>
      </c>
      <c r="D294" s="195" t="s">
        <v>8</v>
      </c>
      <c r="E294" s="215">
        <v>19</v>
      </c>
      <c r="F294" s="217"/>
      <c r="G294" s="217"/>
      <c r="H294" s="217"/>
      <c r="I294" s="326">
        <f t="shared" si="350"/>
        <v>0</v>
      </c>
      <c r="J294" s="326">
        <f t="shared" si="351"/>
        <v>19</v>
      </c>
      <c r="K294" s="327">
        <f t="shared" si="352"/>
        <v>1</v>
      </c>
      <c r="L294" s="221">
        <v>14</v>
      </c>
      <c r="M294" s="222"/>
      <c r="N294" s="223"/>
      <c r="O294" s="222"/>
      <c r="P294" s="328">
        <f t="shared" si="353"/>
        <v>0</v>
      </c>
      <c r="Q294" s="328">
        <f t="shared" si="354"/>
        <v>14</v>
      </c>
      <c r="R294" s="329">
        <f t="shared" si="355"/>
        <v>1</v>
      </c>
      <c r="S294" s="225">
        <v>12</v>
      </c>
      <c r="T294" s="226"/>
      <c r="U294" s="226"/>
      <c r="V294" s="226"/>
      <c r="W294" s="330">
        <f t="shared" si="356"/>
        <v>0</v>
      </c>
      <c r="X294" s="330">
        <f t="shared" si="357"/>
        <v>12</v>
      </c>
      <c r="Y294" s="331">
        <f t="shared" si="358"/>
        <v>1</v>
      </c>
      <c r="Z294" s="228">
        <v>21</v>
      </c>
      <c r="AA294" s="255"/>
      <c r="AB294" s="255"/>
      <c r="AC294" s="255"/>
      <c r="AD294" s="280">
        <f t="shared" si="359"/>
        <v>0</v>
      </c>
      <c r="AE294" s="280">
        <f t="shared" si="360"/>
        <v>21</v>
      </c>
      <c r="AF294" s="281">
        <f t="shared" si="361"/>
        <v>1</v>
      </c>
      <c r="AG294" s="229">
        <v>18</v>
      </c>
      <c r="AH294" s="257"/>
      <c r="AI294" s="257"/>
      <c r="AJ294" s="257"/>
      <c r="AK294" s="305">
        <f t="shared" si="362"/>
        <v>0</v>
      </c>
      <c r="AL294" s="305">
        <f t="shared" si="363"/>
        <v>18</v>
      </c>
      <c r="AM294" s="306">
        <f t="shared" si="364"/>
        <v>1</v>
      </c>
      <c r="AN294" s="230">
        <v>14</v>
      </c>
      <c r="AO294" s="259"/>
      <c r="AP294" s="259"/>
      <c r="AQ294" s="259"/>
      <c r="AR294" s="307">
        <f t="shared" si="365"/>
        <v>0</v>
      </c>
      <c r="AS294" s="307">
        <f t="shared" si="366"/>
        <v>14</v>
      </c>
      <c r="AT294" s="308">
        <f t="shared" si="367"/>
        <v>1</v>
      </c>
      <c r="AU294" s="289">
        <f t="shared" si="368"/>
        <v>0</v>
      </c>
      <c r="AV294" s="289">
        <f t="shared" si="369"/>
        <v>0</v>
      </c>
      <c r="AW294" s="289">
        <f t="shared" si="370"/>
        <v>0</v>
      </c>
      <c r="AX294" s="290">
        <v>98</v>
      </c>
      <c r="AY294" s="289">
        <f t="shared" si="371"/>
        <v>98</v>
      </c>
      <c r="AZ294" s="291">
        <f t="shared" si="372"/>
        <v>1</v>
      </c>
      <c r="BA294" s="344"/>
      <c r="BB294" s="383">
        <v>100</v>
      </c>
      <c r="BC294" s="379">
        <f t="shared" si="347"/>
        <v>0</v>
      </c>
      <c r="BD294" s="378">
        <f t="shared" si="348"/>
        <v>0</v>
      </c>
      <c r="BE294" s="381"/>
      <c r="BF294" s="378">
        <f t="shared" si="349"/>
        <v>100</v>
      </c>
    </row>
    <row r="295" spans="1:58" x14ac:dyDescent="0.35">
      <c r="A295" s="193" t="s">
        <v>45</v>
      </c>
      <c r="B295" s="35">
        <v>252610216</v>
      </c>
      <c r="C295" s="47" t="s">
        <v>1296</v>
      </c>
      <c r="D295" s="195" t="s">
        <v>8</v>
      </c>
      <c r="E295" s="215">
        <v>19</v>
      </c>
      <c r="F295" s="217"/>
      <c r="G295" s="217"/>
      <c r="H295" s="217"/>
      <c r="I295" s="326">
        <f t="shared" si="350"/>
        <v>0</v>
      </c>
      <c r="J295" s="326">
        <f t="shared" si="351"/>
        <v>19</v>
      </c>
      <c r="K295" s="327">
        <f t="shared" si="352"/>
        <v>1</v>
      </c>
      <c r="L295" s="221">
        <v>14</v>
      </c>
      <c r="M295" s="222">
        <v>1</v>
      </c>
      <c r="N295" s="223"/>
      <c r="O295" s="222"/>
      <c r="P295" s="328">
        <f t="shared" si="353"/>
        <v>1</v>
      </c>
      <c r="Q295" s="328">
        <f t="shared" si="354"/>
        <v>13</v>
      </c>
      <c r="R295" s="329">
        <f t="shared" si="355"/>
        <v>0.9285714285714286</v>
      </c>
      <c r="S295" s="225">
        <v>12</v>
      </c>
      <c r="T295" s="226"/>
      <c r="U295" s="226"/>
      <c r="V295" s="226"/>
      <c r="W295" s="330">
        <f t="shared" si="356"/>
        <v>0</v>
      </c>
      <c r="X295" s="330">
        <f t="shared" si="357"/>
        <v>12</v>
      </c>
      <c r="Y295" s="331">
        <f t="shared" si="358"/>
        <v>1</v>
      </c>
      <c r="Z295" s="228">
        <v>21</v>
      </c>
      <c r="AA295" s="255"/>
      <c r="AB295" s="255"/>
      <c r="AC295" s="255"/>
      <c r="AD295" s="280">
        <f t="shared" si="359"/>
        <v>0</v>
      </c>
      <c r="AE295" s="280">
        <f t="shared" si="360"/>
        <v>21</v>
      </c>
      <c r="AF295" s="281">
        <f t="shared" si="361"/>
        <v>1</v>
      </c>
      <c r="AG295" s="229">
        <v>18</v>
      </c>
      <c r="AH295" s="257"/>
      <c r="AI295" s="257"/>
      <c r="AJ295" s="257"/>
      <c r="AK295" s="305">
        <f t="shared" si="362"/>
        <v>0</v>
      </c>
      <c r="AL295" s="305">
        <f t="shared" si="363"/>
        <v>18</v>
      </c>
      <c r="AM295" s="306">
        <f t="shared" si="364"/>
        <v>1</v>
      </c>
      <c r="AN295" s="230">
        <v>14</v>
      </c>
      <c r="AO295" s="259"/>
      <c r="AP295" s="259"/>
      <c r="AQ295" s="259"/>
      <c r="AR295" s="307">
        <f t="shared" si="365"/>
        <v>0</v>
      </c>
      <c r="AS295" s="307">
        <f t="shared" si="366"/>
        <v>14</v>
      </c>
      <c r="AT295" s="308">
        <f t="shared" si="367"/>
        <v>1</v>
      </c>
      <c r="AU295" s="289">
        <f t="shared" si="368"/>
        <v>1</v>
      </c>
      <c r="AV295" s="289">
        <f t="shared" si="369"/>
        <v>0</v>
      </c>
      <c r="AW295" s="289">
        <f t="shared" si="370"/>
        <v>0</v>
      </c>
      <c r="AX295" s="290">
        <v>98</v>
      </c>
      <c r="AY295" s="289">
        <f t="shared" si="371"/>
        <v>97</v>
      </c>
      <c r="AZ295" s="291">
        <f t="shared" si="372"/>
        <v>0.98979591836734693</v>
      </c>
      <c r="BA295" s="344"/>
      <c r="BB295" s="383">
        <v>100</v>
      </c>
      <c r="BC295" s="379">
        <f t="shared" si="347"/>
        <v>0</v>
      </c>
      <c r="BD295" s="378">
        <f t="shared" si="348"/>
        <v>0</v>
      </c>
      <c r="BE295" s="381"/>
      <c r="BF295" s="378">
        <f t="shared" si="349"/>
        <v>100</v>
      </c>
    </row>
    <row r="296" spans="1:58" x14ac:dyDescent="0.35">
      <c r="A296" s="193">
        <v>26</v>
      </c>
      <c r="B296" s="35">
        <v>252610218</v>
      </c>
      <c r="C296" s="362" t="s">
        <v>1297</v>
      </c>
      <c r="D296" s="195" t="s">
        <v>8</v>
      </c>
      <c r="E296" s="215">
        <v>19</v>
      </c>
      <c r="F296" s="217">
        <v>1</v>
      </c>
      <c r="G296" s="217"/>
      <c r="H296" s="217"/>
      <c r="I296" s="326">
        <f t="shared" si="350"/>
        <v>1</v>
      </c>
      <c r="J296" s="326">
        <f t="shared" si="351"/>
        <v>18</v>
      </c>
      <c r="K296" s="327">
        <f t="shared" si="352"/>
        <v>0.94736842105263153</v>
      </c>
      <c r="L296" s="221">
        <v>14</v>
      </c>
      <c r="M296" s="222"/>
      <c r="N296" s="222"/>
      <c r="O296" s="222"/>
      <c r="P296" s="328">
        <f t="shared" si="353"/>
        <v>0</v>
      </c>
      <c r="Q296" s="328">
        <f t="shared" si="354"/>
        <v>14</v>
      </c>
      <c r="R296" s="329">
        <f t="shared" si="355"/>
        <v>1</v>
      </c>
      <c r="S296" s="225">
        <v>12</v>
      </c>
      <c r="T296" s="226"/>
      <c r="U296" s="226"/>
      <c r="V296" s="226"/>
      <c r="W296" s="330">
        <f t="shared" si="356"/>
        <v>0</v>
      </c>
      <c r="X296" s="330">
        <f t="shared" si="357"/>
        <v>12</v>
      </c>
      <c r="Y296" s="331">
        <f t="shared" si="358"/>
        <v>1</v>
      </c>
      <c r="Z296" s="228">
        <v>21</v>
      </c>
      <c r="AA296" s="255"/>
      <c r="AB296" s="255"/>
      <c r="AC296" s="255"/>
      <c r="AD296" s="280">
        <f t="shared" si="359"/>
        <v>0</v>
      </c>
      <c r="AE296" s="280">
        <f t="shared" si="360"/>
        <v>21</v>
      </c>
      <c r="AF296" s="281">
        <f t="shared" si="361"/>
        <v>1</v>
      </c>
      <c r="AG296" s="229">
        <v>18</v>
      </c>
      <c r="AH296" s="257"/>
      <c r="AI296" s="257"/>
      <c r="AJ296" s="257"/>
      <c r="AK296" s="305">
        <f t="shared" si="362"/>
        <v>0</v>
      </c>
      <c r="AL296" s="305">
        <f t="shared" si="363"/>
        <v>18</v>
      </c>
      <c r="AM296" s="306">
        <f t="shared" si="364"/>
        <v>1</v>
      </c>
      <c r="AN296" s="230">
        <v>14</v>
      </c>
      <c r="AO296" s="259"/>
      <c r="AP296" s="259"/>
      <c r="AQ296" s="259"/>
      <c r="AR296" s="307">
        <f t="shared" si="365"/>
        <v>0</v>
      </c>
      <c r="AS296" s="307">
        <f t="shared" si="366"/>
        <v>14</v>
      </c>
      <c r="AT296" s="308">
        <f t="shared" si="367"/>
        <v>1</v>
      </c>
      <c r="AU296" s="289">
        <f t="shared" si="368"/>
        <v>1</v>
      </c>
      <c r="AV296" s="289">
        <f t="shared" si="369"/>
        <v>0</v>
      </c>
      <c r="AW296" s="289">
        <f t="shared" si="370"/>
        <v>0</v>
      </c>
      <c r="AX296" s="290">
        <v>98</v>
      </c>
      <c r="AY296" s="289">
        <f t="shared" si="371"/>
        <v>97</v>
      </c>
      <c r="AZ296" s="291">
        <f t="shared" si="372"/>
        <v>0.98979591836734693</v>
      </c>
      <c r="BA296" s="344"/>
      <c r="BB296" s="383">
        <v>100</v>
      </c>
      <c r="BC296" s="379">
        <f t="shared" si="347"/>
        <v>0</v>
      </c>
      <c r="BD296" s="378">
        <f t="shared" si="348"/>
        <v>0</v>
      </c>
      <c r="BE296" s="381"/>
      <c r="BF296" s="378">
        <f t="shared" si="349"/>
        <v>100</v>
      </c>
    </row>
    <row r="297" spans="1:58" x14ac:dyDescent="0.35">
      <c r="A297" s="193">
        <v>27</v>
      </c>
      <c r="B297" s="35">
        <v>252610219</v>
      </c>
      <c r="C297" s="47" t="s">
        <v>1298</v>
      </c>
      <c r="D297" s="195" t="s">
        <v>8</v>
      </c>
      <c r="E297" s="215">
        <v>19</v>
      </c>
      <c r="F297" s="217"/>
      <c r="G297" s="217"/>
      <c r="H297" s="217"/>
      <c r="I297" s="326">
        <f t="shared" si="350"/>
        <v>0</v>
      </c>
      <c r="J297" s="326">
        <f t="shared" si="351"/>
        <v>19</v>
      </c>
      <c r="K297" s="327">
        <f t="shared" si="352"/>
        <v>1</v>
      </c>
      <c r="L297" s="221">
        <v>14</v>
      </c>
      <c r="M297" s="223"/>
      <c r="N297" s="223"/>
      <c r="O297" s="223"/>
      <c r="P297" s="328">
        <f t="shared" si="353"/>
        <v>0</v>
      </c>
      <c r="Q297" s="328">
        <f t="shared" si="354"/>
        <v>14</v>
      </c>
      <c r="R297" s="329">
        <f t="shared" si="355"/>
        <v>1</v>
      </c>
      <c r="S297" s="225">
        <v>12</v>
      </c>
      <c r="T297" s="226"/>
      <c r="U297" s="226"/>
      <c r="V297" s="226"/>
      <c r="W297" s="330">
        <f t="shared" si="356"/>
        <v>0</v>
      </c>
      <c r="X297" s="330">
        <f t="shared" si="357"/>
        <v>12</v>
      </c>
      <c r="Y297" s="331">
        <f t="shared" si="358"/>
        <v>1</v>
      </c>
      <c r="Z297" s="228">
        <v>21</v>
      </c>
      <c r="AA297" s="255"/>
      <c r="AB297" s="255"/>
      <c r="AC297" s="255"/>
      <c r="AD297" s="280">
        <f t="shared" si="359"/>
        <v>0</v>
      </c>
      <c r="AE297" s="280">
        <f t="shared" si="360"/>
        <v>21</v>
      </c>
      <c r="AF297" s="281">
        <f t="shared" si="361"/>
        <v>1</v>
      </c>
      <c r="AG297" s="229">
        <v>18</v>
      </c>
      <c r="AH297" s="257"/>
      <c r="AI297" s="257"/>
      <c r="AJ297" s="257"/>
      <c r="AK297" s="305">
        <f t="shared" si="362"/>
        <v>0</v>
      </c>
      <c r="AL297" s="305">
        <f t="shared" si="363"/>
        <v>18</v>
      </c>
      <c r="AM297" s="306">
        <f t="shared" si="364"/>
        <v>1</v>
      </c>
      <c r="AN297" s="230">
        <v>14</v>
      </c>
      <c r="AO297" s="259"/>
      <c r="AP297" s="259"/>
      <c r="AQ297" s="259"/>
      <c r="AR297" s="307">
        <f t="shared" si="365"/>
        <v>0</v>
      </c>
      <c r="AS297" s="307">
        <f t="shared" si="366"/>
        <v>14</v>
      </c>
      <c r="AT297" s="308">
        <f t="shared" si="367"/>
        <v>1</v>
      </c>
      <c r="AU297" s="289">
        <f t="shared" si="368"/>
        <v>0</v>
      </c>
      <c r="AV297" s="289">
        <f t="shared" si="369"/>
        <v>0</v>
      </c>
      <c r="AW297" s="289">
        <f t="shared" si="370"/>
        <v>0</v>
      </c>
      <c r="AX297" s="290">
        <v>98</v>
      </c>
      <c r="AY297" s="289">
        <f t="shared" si="371"/>
        <v>98</v>
      </c>
      <c r="AZ297" s="291">
        <f t="shared" si="372"/>
        <v>1</v>
      </c>
      <c r="BA297" s="344"/>
      <c r="BB297" s="383">
        <v>98</v>
      </c>
      <c r="BC297" s="379">
        <f t="shared" si="347"/>
        <v>0</v>
      </c>
      <c r="BD297" s="378">
        <f t="shared" si="348"/>
        <v>0</v>
      </c>
      <c r="BE297" s="381"/>
      <c r="BF297" s="378">
        <f t="shared" si="349"/>
        <v>98</v>
      </c>
    </row>
    <row r="298" spans="1:58" x14ac:dyDescent="0.35">
      <c r="A298" s="193">
        <v>28</v>
      </c>
      <c r="B298" s="35">
        <v>252610220</v>
      </c>
      <c r="C298" s="47" t="s">
        <v>1299</v>
      </c>
      <c r="D298" s="195" t="s">
        <v>8</v>
      </c>
      <c r="E298" s="215">
        <v>19</v>
      </c>
      <c r="F298" s="217"/>
      <c r="G298" s="217">
        <v>1</v>
      </c>
      <c r="H298" s="217"/>
      <c r="I298" s="326">
        <f t="shared" si="350"/>
        <v>1</v>
      </c>
      <c r="J298" s="326">
        <f t="shared" si="351"/>
        <v>18</v>
      </c>
      <c r="K298" s="327">
        <f t="shared" si="352"/>
        <v>0.94736842105263153</v>
      </c>
      <c r="L298" s="221">
        <v>14</v>
      </c>
      <c r="M298" s="222"/>
      <c r="N298" s="223"/>
      <c r="O298" s="223"/>
      <c r="P298" s="328">
        <f t="shared" si="353"/>
        <v>0</v>
      </c>
      <c r="Q298" s="328">
        <f t="shared" si="354"/>
        <v>14</v>
      </c>
      <c r="R298" s="329">
        <f t="shared" si="355"/>
        <v>1</v>
      </c>
      <c r="S298" s="225">
        <v>12</v>
      </c>
      <c r="T298" s="226"/>
      <c r="U298" s="226"/>
      <c r="V298" s="226"/>
      <c r="W298" s="330">
        <f t="shared" si="356"/>
        <v>0</v>
      </c>
      <c r="X298" s="330">
        <f t="shared" si="357"/>
        <v>12</v>
      </c>
      <c r="Y298" s="331">
        <f t="shared" si="358"/>
        <v>1</v>
      </c>
      <c r="Z298" s="228">
        <v>21</v>
      </c>
      <c r="AA298" s="255"/>
      <c r="AB298" s="255"/>
      <c r="AC298" s="255"/>
      <c r="AD298" s="280">
        <f t="shared" si="359"/>
        <v>0</v>
      </c>
      <c r="AE298" s="280">
        <f t="shared" si="360"/>
        <v>21</v>
      </c>
      <c r="AF298" s="281">
        <f t="shared" si="361"/>
        <v>1</v>
      </c>
      <c r="AG298" s="229">
        <v>18</v>
      </c>
      <c r="AH298" s="257"/>
      <c r="AI298" s="257"/>
      <c r="AJ298" s="257"/>
      <c r="AK298" s="305">
        <f t="shared" si="362"/>
        <v>0</v>
      </c>
      <c r="AL298" s="305">
        <f t="shared" si="363"/>
        <v>18</v>
      </c>
      <c r="AM298" s="306">
        <f t="shared" si="364"/>
        <v>1</v>
      </c>
      <c r="AN298" s="230">
        <v>14</v>
      </c>
      <c r="AO298" s="259"/>
      <c r="AP298" s="259"/>
      <c r="AQ298" s="259"/>
      <c r="AR298" s="307">
        <f t="shared" si="365"/>
        <v>0</v>
      </c>
      <c r="AS298" s="307">
        <f t="shared" si="366"/>
        <v>14</v>
      </c>
      <c r="AT298" s="308">
        <f t="shared" si="367"/>
        <v>1</v>
      </c>
      <c r="AU298" s="289">
        <f t="shared" si="368"/>
        <v>0</v>
      </c>
      <c r="AV298" s="289">
        <f t="shared" si="369"/>
        <v>1</v>
      </c>
      <c r="AW298" s="289">
        <f t="shared" si="370"/>
        <v>0</v>
      </c>
      <c r="AX298" s="290">
        <v>98</v>
      </c>
      <c r="AY298" s="289">
        <f t="shared" si="371"/>
        <v>97</v>
      </c>
      <c r="AZ298" s="291">
        <f t="shared" si="372"/>
        <v>0.98979591836734693</v>
      </c>
      <c r="BA298" s="344"/>
      <c r="BB298" s="383">
        <v>100</v>
      </c>
      <c r="BC298" s="379">
        <f t="shared" si="347"/>
        <v>0</v>
      </c>
      <c r="BD298" s="378">
        <f t="shared" si="348"/>
        <v>0</v>
      </c>
      <c r="BE298" s="381"/>
      <c r="BF298" s="378">
        <f t="shared" si="349"/>
        <v>100</v>
      </c>
    </row>
    <row r="299" spans="1:58" x14ac:dyDescent="0.35">
      <c r="A299" s="193">
        <v>29</v>
      </c>
      <c r="B299" s="35">
        <v>252610221</v>
      </c>
      <c r="C299" s="58" t="s">
        <v>1300</v>
      </c>
      <c r="D299" s="195" t="s">
        <v>8</v>
      </c>
      <c r="E299" s="215">
        <v>19</v>
      </c>
      <c r="F299" s="217">
        <v>1</v>
      </c>
      <c r="G299" s="217"/>
      <c r="H299" s="217"/>
      <c r="I299" s="326">
        <f t="shared" si="350"/>
        <v>1</v>
      </c>
      <c r="J299" s="326">
        <f t="shared" si="351"/>
        <v>18</v>
      </c>
      <c r="K299" s="327">
        <f t="shared" si="352"/>
        <v>0.94736842105263153</v>
      </c>
      <c r="L299" s="221">
        <v>14</v>
      </c>
      <c r="M299" s="222"/>
      <c r="N299" s="222"/>
      <c r="O299" s="222"/>
      <c r="P299" s="328">
        <f t="shared" si="353"/>
        <v>0</v>
      </c>
      <c r="Q299" s="328">
        <f t="shared" si="354"/>
        <v>14</v>
      </c>
      <c r="R299" s="329">
        <f t="shared" si="355"/>
        <v>1</v>
      </c>
      <c r="S299" s="225">
        <v>12</v>
      </c>
      <c r="T299" s="226"/>
      <c r="U299" s="226"/>
      <c r="V299" s="226"/>
      <c r="W299" s="330">
        <f t="shared" si="356"/>
        <v>0</v>
      </c>
      <c r="X299" s="330">
        <f t="shared" si="357"/>
        <v>12</v>
      </c>
      <c r="Y299" s="331">
        <f t="shared" si="358"/>
        <v>1</v>
      </c>
      <c r="Z299" s="228">
        <v>21</v>
      </c>
      <c r="AA299" s="255"/>
      <c r="AB299" s="255"/>
      <c r="AC299" s="255"/>
      <c r="AD299" s="280">
        <f t="shared" si="359"/>
        <v>0</v>
      </c>
      <c r="AE299" s="280">
        <f t="shared" si="360"/>
        <v>21</v>
      </c>
      <c r="AF299" s="281">
        <f t="shared" si="361"/>
        <v>1</v>
      </c>
      <c r="AG299" s="229">
        <v>18</v>
      </c>
      <c r="AH299" s="257"/>
      <c r="AI299" s="257"/>
      <c r="AJ299" s="257"/>
      <c r="AK299" s="305">
        <f t="shared" si="362"/>
        <v>0</v>
      </c>
      <c r="AL299" s="305">
        <f t="shared" si="363"/>
        <v>18</v>
      </c>
      <c r="AM299" s="306">
        <f t="shared" si="364"/>
        <v>1</v>
      </c>
      <c r="AN299" s="230">
        <v>14</v>
      </c>
      <c r="AO299" s="259"/>
      <c r="AP299" s="259"/>
      <c r="AQ299" s="259"/>
      <c r="AR299" s="307">
        <f t="shared" si="365"/>
        <v>0</v>
      </c>
      <c r="AS299" s="307">
        <f t="shared" si="366"/>
        <v>14</v>
      </c>
      <c r="AT299" s="308">
        <f t="shared" si="367"/>
        <v>1</v>
      </c>
      <c r="AU299" s="289">
        <f t="shared" si="368"/>
        <v>1</v>
      </c>
      <c r="AV299" s="289">
        <f t="shared" si="369"/>
        <v>0</v>
      </c>
      <c r="AW299" s="289">
        <f t="shared" si="370"/>
        <v>0</v>
      </c>
      <c r="AX299" s="290">
        <v>98</v>
      </c>
      <c r="AY299" s="289">
        <f t="shared" si="371"/>
        <v>97</v>
      </c>
      <c r="AZ299" s="291">
        <f t="shared" si="372"/>
        <v>0.98979591836734693</v>
      </c>
      <c r="BA299" s="344"/>
      <c r="BB299" s="383">
        <v>100</v>
      </c>
      <c r="BC299" s="379">
        <f t="shared" si="347"/>
        <v>0</v>
      </c>
      <c r="BD299" s="378">
        <f t="shared" si="348"/>
        <v>0</v>
      </c>
      <c r="BE299" s="381"/>
      <c r="BF299" s="378">
        <f t="shared" si="349"/>
        <v>100</v>
      </c>
    </row>
    <row r="300" spans="1:58" x14ac:dyDescent="0.35">
      <c r="A300" s="193">
        <v>30</v>
      </c>
      <c r="B300" s="35">
        <v>252610222</v>
      </c>
      <c r="C300" s="47" t="s">
        <v>1301</v>
      </c>
      <c r="D300" s="195" t="s">
        <v>8</v>
      </c>
      <c r="E300" s="215">
        <v>19</v>
      </c>
      <c r="F300" s="217"/>
      <c r="G300" s="217">
        <v>1</v>
      </c>
      <c r="H300" s="217"/>
      <c r="I300" s="326">
        <f t="shared" si="350"/>
        <v>1</v>
      </c>
      <c r="J300" s="326">
        <f t="shared" si="351"/>
        <v>18</v>
      </c>
      <c r="K300" s="327">
        <f t="shared" si="352"/>
        <v>0.94736842105263153</v>
      </c>
      <c r="L300" s="221">
        <v>14</v>
      </c>
      <c r="M300" s="222"/>
      <c r="N300" s="222"/>
      <c r="O300" s="222"/>
      <c r="P300" s="328">
        <f t="shared" si="353"/>
        <v>0</v>
      </c>
      <c r="Q300" s="328">
        <f t="shared" si="354"/>
        <v>14</v>
      </c>
      <c r="R300" s="329">
        <f t="shared" si="355"/>
        <v>1</v>
      </c>
      <c r="S300" s="225">
        <v>12</v>
      </c>
      <c r="T300" s="226"/>
      <c r="U300" s="226"/>
      <c r="V300" s="226"/>
      <c r="W300" s="330">
        <f t="shared" si="356"/>
        <v>0</v>
      </c>
      <c r="X300" s="330">
        <f t="shared" si="357"/>
        <v>12</v>
      </c>
      <c r="Y300" s="331">
        <f t="shared" si="358"/>
        <v>1</v>
      </c>
      <c r="Z300" s="228">
        <v>21</v>
      </c>
      <c r="AA300" s="255"/>
      <c r="AB300" s="255"/>
      <c r="AC300" s="255"/>
      <c r="AD300" s="280">
        <f t="shared" si="359"/>
        <v>0</v>
      </c>
      <c r="AE300" s="280">
        <f t="shared" si="360"/>
        <v>21</v>
      </c>
      <c r="AF300" s="281">
        <f t="shared" si="361"/>
        <v>1</v>
      </c>
      <c r="AG300" s="229">
        <v>18</v>
      </c>
      <c r="AH300" s="257"/>
      <c r="AI300" s="257"/>
      <c r="AJ300" s="257"/>
      <c r="AK300" s="305">
        <f t="shared" si="362"/>
        <v>0</v>
      </c>
      <c r="AL300" s="305">
        <f t="shared" si="363"/>
        <v>18</v>
      </c>
      <c r="AM300" s="306">
        <f t="shared" si="364"/>
        <v>1</v>
      </c>
      <c r="AN300" s="230">
        <v>14</v>
      </c>
      <c r="AO300" s="259"/>
      <c r="AP300" s="259"/>
      <c r="AQ300" s="259"/>
      <c r="AR300" s="307">
        <f t="shared" si="365"/>
        <v>0</v>
      </c>
      <c r="AS300" s="307">
        <f t="shared" si="366"/>
        <v>14</v>
      </c>
      <c r="AT300" s="308">
        <f t="shared" si="367"/>
        <v>1</v>
      </c>
      <c r="AU300" s="289">
        <f t="shared" si="368"/>
        <v>0</v>
      </c>
      <c r="AV300" s="289">
        <f t="shared" si="369"/>
        <v>1</v>
      </c>
      <c r="AW300" s="289">
        <f t="shared" si="370"/>
        <v>0</v>
      </c>
      <c r="AX300" s="290">
        <v>98</v>
      </c>
      <c r="AY300" s="289">
        <f t="shared" si="371"/>
        <v>97</v>
      </c>
      <c r="AZ300" s="291">
        <f t="shared" si="372"/>
        <v>0.98979591836734693</v>
      </c>
      <c r="BA300" s="344"/>
      <c r="BB300" s="383">
        <v>100</v>
      </c>
      <c r="BC300" s="379">
        <f t="shared" si="347"/>
        <v>0</v>
      </c>
      <c r="BD300" s="378">
        <f t="shared" si="348"/>
        <v>0</v>
      </c>
      <c r="BE300" s="381"/>
      <c r="BF300" s="378">
        <f t="shared" si="349"/>
        <v>100</v>
      </c>
    </row>
    <row r="301" spans="1:58" x14ac:dyDescent="0.35">
      <c r="A301" s="193">
        <v>31</v>
      </c>
      <c r="B301" s="35">
        <v>252610223</v>
      </c>
      <c r="C301" s="47" t="s">
        <v>1302</v>
      </c>
      <c r="D301" s="195" t="s">
        <v>6</v>
      </c>
      <c r="E301" s="215">
        <v>19</v>
      </c>
      <c r="F301" s="217">
        <v>1</v>
      </c>
      <c r="G301" s="217">
        <v>2</v>
      </c>
      <c r="H301" s="217"/>
      <c r="I301" s="326">
        <f t="shared" si="350"/>
        <v>3</v>
      </c>
      <c r="J301" s="326">
        <f t="shared" si="351"/>
        <v>16</v>
      </c>
      <c r="K301" s="327">
        <f t="shared" si="352"/>
        <v>0.84210526315789469</v>
      </c>
      <c r="L301" s="221">
        <v>14</v>
      </c>
      <c r="M301" s="222"/>
      <c r="N301" s="223">
        <v>1</v>
      </c>
      <c r="O301" s="222">
        <v>2</v>
      </c>
      <c r="P301" s="328">
        <f t="shared" si="353"/>
        <v>3</v>
      </c>
      <c r="Q301" s="328">
        <f t="shared" si="354"/>
        <v>11</v>
      </c>
      <c r="R301" s="329">
        <f t="shared" si="355"/>
        <v>0.7857142857142857</v>
      </c>
      <c r="S301" s="225">
        <v>12</v>
      </c>
      <c r="T301" s="226"/>
      <c r="U301" s="226"/>
      <c r="V301" s="226"/>
      <c r="W301" s="330">
        <f t="shared" si="356"/>
        <v>0</v>
      </c>
      <c r="X301" s="330">
        <f t="shared" si="357"/>
        <v>12</v>
      </c>
      <c r="Y301" s="331">
        <f t="shared" si="358"/>
        <v>1</v>
      </c>
      <c r="Z301" s="228">
        <v>21</v>
      </c>
      <c r="AA301" s="255"/>
      <c r="AB301" s="255"/>
      <c r="AC301" s="255"/>
      <c r="AD301" s="280">
        <f t="shared" si="359"/>
        <v>0</v>
      </c>
      <c r="AE301" s="280">
        <f t="shared" si="360"/>
        <v>21</v>
      </c>
      <c r="AF301" s="281">
        <f t="shared" si="361"/>
        <v>1</v>
      </c>
      <c r="AG301" s="229">
        <v>18</v>
      </c>
      <c r="AH301" s="257"/>
      <c r="AI301" s="257"/>
      <c r="AJ301" s="257"/>
      <c r="AK301" s="305">
        <f t="shared" si="362"/>
        <v>0</v>
      </c>
      <c r="AL301" s="305">
        <f t="shared" si="363"/>
        <v>18</v>
      </c>
      <c r="AM301" s="306">
        <f t="shared" si="364"/>
        <v>1</v>
      </c>
      <c r="AN301" s="230">
        <v>14</v>
      </c>
      <c r="AO301" s="259"/>
      <c r="AP301" s="259"/>
      <c r="AQ301" s="259"/>
      <c r="AR301" s="307">
        <f t="shared" si="365"/>
        <v>0</v>
      </c>
      <c r="AS301" s="307">
        <f t="shared" si="366"/>
        <v>14</v>
      </c>
      <c r="AT301" s="308">
        <f t="shared" si="367"/>
        <v>1</v>
      </c>
      <c r="AU301" s="289">
        <f t="shared" si="368"/>
        <v>1</v>
      </c>
      <c r="AV301" s="289">
        <f t="shared" si="369"/>
        <v>3</v>
      </c>
      <c r="AW301" s="289">
        <f t="shared" si="370"/>
        <v>2</v>
      </c>
      <c r="AX301" s="290">
        <v>98</v>
      </c>
      <c r="AY301" s="289">
        <f t="shared" si="371"/>
        <v>92</v>
      </c>
      <c r="AZ301" s="291">
        <f t="shared" si="372"/>
        <v>0.93877551020408168</v>
      </c>
      <c r="BA301" s="344">
        <v>2</v>
      </c>
      <c r="BB301" s="383">
        <v>100</v>
      </c>
      <c r="BC301" s="379">
        <f t="shared" si="347"/>
        <v>4</v>
      </c>
      <c r="BD301" s="378">
        <f t="shared" si="348"/>
        <v>4</v>
      </c>
      <c r="BE301" s="381"/>
      <c r="BF301" s="378">
        <f t="shared" si="349"/>
        <v>92</v>
      </c>
    </row>
    <row r="302" spans="1:58" x14ac:dyDescent="0.35">
      <c r="A302" s="193">
        <v>32</v>
      </c>
      <c r="B302" s="35">
        <v>252610224</v>
      </c>
      <c r="C302" s="47" t="s">
        <v>1303</v>
      </c>
      <c r="D302" s="195" t="s">
        <v>8</v>
      </c>
      <c r="E302" s="215">
        <v>19</v>
      </c>
      <c r="F302" s="217"/>
      <c r="G302" s="217"/>
      <c r="H302" s="217"/>
      <c r="I302" s="326">
        <f t="shared" si="350"/>
        <v>0</v>
      </c>
      <c r="J302" s="326">
        <f t="shared" si="351"/>
        <v>19</v>
      </c>
      <c r="K302" s="327">
        <f t="shared" si="352"/>
        <v>1</v>
      </c>
      <c r="L302" s="221">
        <v>14</v>
      </c>
      <c r="M302" s="222"/>
      <c r="N302" s="223"/>
      <c r="O302" s="222"/>
      <c r="P302" s="328">
        <f t="shared" si="353"/>
        <v>0</v>
      </c>
      <c r="Q302" s="328">
        <f t="shared" si="354"/>
        <v>14</v>
      </c>
      <c r="R302" s="329">
        <f t="shared" si="355"/>
        <v>1</v>
      </c>
      <c r="S302" s="225">
        <v>12</v>
      </c>
      <c r="T302" s="226"/>
      <c r="U302" s="226"/>
      <c r="V302" s="226"/>
      <c r="W302" s="330">
        <f t="shared" si="356"/>
        <v>0</v>
      </c>
      <c r="X302" s="330">
        <f t="shared" si="357"/>
        <v>12</v>
      </c>
      <c r="Y302" s="331">
        <f t="shared" si="358"/>
        <v>1</v>
      </c>
      <c r="Z302" s="228">
        <v>21</v>
      </c>
      <c r="AA302" s="255"/>
      <c r="AB302" s="255"/>
      <c r="AC302" s="255"/>
      <c r="AD302" s="280">
        <f t="shared" si="359"/>
        <v>0</v>
      </c>
      <c r="AE302" s="280">
        <f t="shared" si="360"/>
        <v>21</v>
      </c>
      <c r="AF302" s="281">
        <f t="shared" si="361"/>
        <v>1</v>
      </c>
      <c r="AG302" s="229">
        <v>18</v>
      </c>
      <c r="AH302" s="257"/>
      <c r="AI302" s="257"/>
      <c r="AJ302" s="257"/>
      <c r="AK302" s="305">
        <f t="shared" si="362"/>
        <v>0</v>
      </c>
      <c r="AL302" s="305">
        <f t="shared" si="363"/>
        <v>18</v>
      </c>
      <c r="AM302" s="306">
        <f t="shared" si="364"/>
        <v>1</v>
      </c>
      <c r="AN302" s="230">
        <v>14</v>
      </c>
      <c r="AO302" s="259"/>
      <c r="AP302" s="259"/>
      <c r="AQ302" s="259"/>
      <c r="AR302" s="307">
        <f t="shared" si="365"/>
        <v>0</v>
      </c>
      <c r="AS302" s="307">
        <f t="shared" si="366"/>
        <v>14</v>
      </c>
      <c r="AT302" s="308">
        <f t="shared" si="367"/>
        <v>1</v>
      </c>
      <c r="AU302" s="289">
        <f t="shared" si="368"/>
        <v>0</v>
      </c>
      <c r="AV302" s="289">
        <f t="shared" si="369"/>
        <v>0</v>
      </c>
      <c r="AW302" s="289">
        <f t="shared" si="370"/>
        <v>0</v>
      </c>
      <c r="AX302" s="290">
        <v>98</v>
      </c>
      <c r="AY302" s="289">
        <f t="shared" si="371"/>
        <v>98</v>
      </c>
      <c r="AZ302" s="291">
        <f t="shared" si="372"/>
        <v>1</v>
      </c>
      <c r="BA302" s="344"/>
      <c r="BB302" s="383">
        <v>100</v>
      </c>
      <c r="BC302" s="379">
        <f t="shared" si="347"/>
        <v>0</v>
      </c>
      <c r="BD302" s="378">
        <f t="shared" si="348"/>
        <v>0</v>
      </c>
      <c r="BE302" s="381"/>
      <c r="BF302" s="378">
        <f t="shared" si="349"/>
        <v>100</v>
      </c>
    </row>
    <row r="303" spans="1:58" x14ac:dyDescent="0.35">
      <c r="A303" s="193">
        <v>33</v>
      </c>
      <c r="B303" s="35">
        <v>252610225</v>
      </c>
      <c r="C303" s="47" t="s">
        <v>1304</v>
      </c>
      <c r="D303" s="195" t="s">
        <v>8</v>
      </c>
      <c r="E303" s="215">
        <v>19</v>
      </c>
      <c r="F303" s="217"/>
      <c r="G303" s="217"/>
      <c r="H303" s="217"/>
      <c r="I303" s="326">
        <f t="shared" si="350"/>
        <v>0</v>
      </c>
      <c r="J303" s="326">
        <f t="shared" si="351"/>
        <v>19</v>
      </c>
      <c r="K303" s="327">
        <f t="shared" si="352"/>
        <v>1</v>
      </c>
      <c r="L303" s="221">
        <v>14</v>
      </c>
      <c r="M303" s="222"/>
      <c r="N303" s="222"/>
      <c r="O303" s="222"/>
      <c r="P303" s="328">
        <f t="shared" si="353"/>
        <v>0</v>
      </c>
      <c r="Q303" s="328">
        <f t="shared" si="354"/>
        <v>14</v>
      </c>
      <c r="R303" s="329">
        <f t="shared" si="355"/>
        <v>1</v>
      </c>
      <c r="S303" s="225">
        <v>12</v>
      </c>
      <c r="T303" s="226"/>
      <c r="U303" s="226"/>
      <c r="V303" s="226"/>
      <c r="W303" s="330">
        <f t="shared" si="356"/>
        <v>0</v>
      </c>
      <c r="X303" s="330">
        <f t="shared" si="357"/>
        <v>12</v>
      </c>
      <c r="Y303" s="331">
        <f t="shared" si="358"/>
        <v>1</v>
      </c>
      <c r="Z303" s="228">
        <v>21</v>
      </c>
      <c r="AA303" s="255"/>
      <c r="AB303" s="255"/>
      <c r="AC303" s="255"/>
      <c r="AD303" s="280">
        <f t="shared" si="359"/>
        <v>0</v>
      </c>
      <c r="AE303" s="280">
        <f t="shared" si="360"/>
        <v>21</v>
      </c>
      <c r="AF303" s="281">
        <f t="shared" si="361"/>
        <v>1</v>
      </c>
      <c r="AG303" s="229">
        <v>18</v>
      </c>
      <c r="AH303" s="257"/>
      <c r="AI303" s="257"/>
      <c r="AJ303" s="257"/>
      <c r="AK303" s="305">
        <f t="shared" si="362"/>
        <v>0</v>
      </c>
      <c r="AL303" s="305">
        <f t="shared" si="363"/>
        <v>18</v>
      </c>
      <c r="AM303" s="306">
        <f t="shared" si="364"/>
        <v>1</v>
      </c>
      <c r="AN303" s="230">
        <v>14</v>
      </c>
      <c r="AO303" s="259"/>
      <c r="AP303" s="259"/>
      <c r="AQ303" s="259"/>
      <c r="AR303" s="307">
        <f t="shared" si="365"/>
        <v>0</v>
      </c>
      <c r="AS303" s="307">
        <f t="shared" si="366"/>
        <v>14</v>
      </c>
      <c r="AT303" s="308">
        <f t="shared" si="367"/>
        <v>1</v>
      </c>
      <c r="AU303" s="289">
        <f t="shared" si="368"/>
        <v>0</v>
      </c>
      <c r="AV303" s="289">
        <f t="shared" si="369"/>
        <v>0</v>
      </c>
      <c r="AW303" s="289">
        <f t="shared" si="370"/>
        <v>0</v>
      </c>
      <c r="AX303" s="290">
        <v>98</v>
      </c>
      <c r="AY303" s="289">
        <f t="shared" si="371"/>
        <v>98</v>
      </c>
      <c r="AZ303" s="291">
        <f t="shared" si="372"/>
        <v>1</v>
      </c>
      <c r="BA303" s="344"/>
      <c r="BB303" s="383">
        <v>100</v>
      </c>
      <c r="BC303" s="379">
        <f t="shared" si="347"/>
        <v>0</v>
      </c>
      <c r="BD303" s="378">
        <f t="shared" si="348"/>
        <v>0</v>
      </c>
      <c r="BE303" s="381"/>
      <c r="BF303" s="378">
        <f t="shared" si="349"/>
        <v>100</v>
      </c>
    </row>
    <row r="304" spans="1:58" x14ac:dyDescent="0.35">
      <c r="A304" s="193">
        <v>34</v>
      </c>
      <c r="B304" s="35">
        <v>252610227</v>
      </c>
      <c r="C304" s="47" t="s">
        <v>1305</v>
      </c>
      <c r="D304" s="195" t="s">
        <v>8</v>
      </c>
      <c r="E304" s="215">
        <v>19</v>
      </c>
      <c r="F304" s="217"/>
      <c r="G304" s="217"/>
      <c r="H304" s="217"/>
      <c r="I304" s="326">
        <f t="shared" si="350"/>
        <v>0</v>
      </c>
      <c r="J304" s="326">
        <f t="shared" si="351"/>
        <v>19</v>
      </c>
      <c r="K304" s="327">
        <f t="shared" si="352"/>
        <v>1</v>
      </c>
      <c r="L304" s="221">
        <v>14</v>
      </c>
      <c r="M304" s="222">
        <v>1</v>
      </c>
      <c r="N304" s="223"/>
      <c r="O304" s="222"/>
      <c r="P304" s="328">
        <f t="shared" si="353"/>
        <v>1</v>
      </c>
      <c r="Q304" s="328">
        <f t="shared" si="354"/>
        <v>13</v>
      </c>
      <c r="R304" s="329">
        <f t="shared" si="355"/>
        <v>0.9285714285714286</v>
      </c>
      <c r="S304" s="225">
        <v>12</v>
      </c>
      <c r="T304" s="226"/>
      <c r="U304" s="226"/>
      <c r="V304" s="226"/>
      <c r="W304" s="330">
        <f t="shared" si="356"/>
        <v>0</v>
      </c>
      <c r="X304" s="330">
        <f t="shared" si="357"/>
        <v>12</v>
      </c>
      <c r="Y304" s="331">
        <f t="shared" si="358"/>
        <v>1</v>
      </c>
      <c r="Z304" s="228">
        <v>21</v>
      </c>
      <c r="AA304" s="255"/>
      <c r="AB304" s="255"/>
      <c r="AC304" s="255"/>
      <c r="AD304" s="280">
        <f t="shared" si="359"/>
        <v>0</v>
      </c>
      <c r="AE304" s="280">
        <f t="shared" si="360"/>
        <v>21</v>
      </c>
      <c r="AF304" s="281">
        <f t="shared" si="361"/>
        <v>1</v>
      </c>
      <c r="AG304" s="229">
        <v>18</v>
      </c>
      <c r="AH304" s="257"/>
      <c r="AI304" s="257"/>
      <c r="AJ304" s="257"/>
      <c r="AK304" s="305">
        <f t="shared" si="362"/>
        <v>0</v>
      </c>
      <c r="AL304" s="305">
        <f t="shared" si="363"/>
        <v>18</v>
      </c>
      <c r="AM304" s="306">
        <f t="shared" si="364"/>
        <v>1</v>
      </c>
      <c r="AN304" s="230">
        <v>14</v>
      </c>
      <c r="AO304" s="259"/>
      <c r="AP304" s="259"/>
      <c r="AQ304" s="259"/>
      <c r="AR304" s="307">
        <f t="shared" si="365"/>
        <v>0</v>
      </c>
      <c r="AS304" s="307">
        <f t="shared" si="366"/>
        <v>14</v>
      </c>
      <c r="AT304" s="308">
        <f t="shared" si="367"/>
        <v>1</v>
      </c>
      <c r="AU304" s="289">
        <f t="shared" si="368"/>
        <v>1</v>
      </c>
      <c r="AV304" s="289">
        <f t="shared" si="369"/>
        <v>0</v>
      </c>
      <c r="AW304" s="289">
        <f t="shared" si="370"/>
        <v>0</v>
      </c>
      <c r="AX304" s="290">
        <v>98</v>
      </c>
      <c r="AY304" s="289">
        <f t="shared" si="371"/>
        <v>97</v>
      </c>
      <c r="AZ304" s="291">
        <f t="shared" si="372"/>
        <v>0.98979591836734693</v>
      </c>
      <c r="BA304" s="344"/>
      <c r="BB304" s="383">
        <v>100</v>
      </c>
      <c r="BC304" s="379">
        <f t="shared" si="347"/>
        <v>0</v>
      </c>
      <c r="BD304" s="378">
        <f t="shared" si="348"/>
        <v>0</v>
      </c>
      <c r="BE304" s="381"/>
      <c r="BF304" s="378">
        <f t="shared" si="349"/>
        <v>100</v>
      </c>
    </row>
    <row r="305" spans="1:58" x14ac:dyDescent="0.35">
      <c r="A305" s="193">
        <v>35</v>
      </c>
      <c r="B305" s="35">
        <v>252610228</v>
      </c>
      <c r="C305" s="351" t="s">
        <v>1306</v>
      </c>
      <c r="D305" s="35" t="s">
        <v>8</v>
      </c>
      <c r="E305" s="215">
        <v>19</v>
      </c>
      <c r="F305" s="217"/>
      <c r="G305" s="217">
        <v>2</v>
      </c>
      <c r="H305" s="217"/>
      <c r="I305" s="326">
        <f t="shared" si="350"/>
        <v>2</v>
      </c>
      <c r="J305" s="326">
        <f t="shared" si="351"/>
        <v>17</v>
      </c>
      <c r="K305" s="327">
        <f t="shared" si="352"/>
        <v>0.89473684210526316</v>
      </c>
      <c r="L305" s="221">
        <v>14</v>
      </c>
      <c r="M305" s="223"/>
      <c r="N305" s="222"/>
      <c r="O305" s="222">
        <v>1</v>
      </c>
      <c r="P305" s="328">
        <f t="shared" si="353"/>
        <v>1</v>
      </c>
      <c r="Q305" s="328">
        <f t="shared" si="354"/>
        <v>13</v>
      </c>
      <c r="R305" s="329">
        <f t="shared" si="355"/>
        <v>0.9285714285714286</v>
      </c>
      <c r="S305" s="225">
        <v>12</v>
      </c>
      <c r="T305" s="226"/>
      <c r="U305" s="226"/>
      <c r="V305" s="226"/>
      <c r="W305" s="330">
        <f t="shared" si="356"/>
        <v>0</v>
      </c>
      <c r="X305" s="330">
        <f t="shared" si="357"/>
        <v>12</v>
      </c>
      <c r="Y305" s="331">
        <f t="shared" si="358"/>
        <v>1</v>
      </c>
      <c r="Z305" s="228">
        <v>21</v>
      </c>
      <c r="AA305" s="255"/>
      <c r="AB305" s="255"/>
      <c r="AC305" s="255"/>
      <c r="AD305" s="280">
        <f t="shared" si="359"/>
        <v>0</v>
      </c>
      <c r="AE305" s="280">
        <f t="shared" si="360"/>
        <v>21</v>
      </c>
      <c r="AF305" s="281">
        <f t="shared" si="361"/>
        <v>1</v>
      </c>
      <c r="AG305" s="229">
        <v>18</v>
      </c>
      <c r="AH305" s="257"/>
      <c r="AI305" s="257"/>
      <c r="AJ305" s="257"/>
      <c r="AK305" s="305">
        <f t="shared" si="362"/>
        <v>0</v>
      </c>
      <c r="AL305" s="305">
        <f t="shared" si="363"/>
        <v>18</v>
      </c>
      <c r="AM305" s="306">
        <f t="shared" si="364"/>
        <v>1</v>
      </c>
      <c r="AN305" s="230">
        <v>14</v>
      </c>
      <c r="AO305" s="259"/>
      <c r="AP305" s="259"/>
      <c r="AQ305" s="259"/>
      <c r="AR305" s="307">
        <f t="shared" si="365"/>
        <v>0</v>
      </c>
      <c r="AS305" s="307">
        <f t="shared" si="366"/>
        <v>14</v>
      </c>
      <c r="AT305" s="308">
        <f t="shared" si="367"/>
        <v>1</v>
      </c>
      <c r="AU305" s="289">
        <f t="shared" si="368"/>
        <v>0</v>
      </c>
      <c r="AV305" s="289">
        <f t="shared" si="369"/>
        <v>2</v>
      </c>
      <c r="AW305" s="289">
        <f t="shared" si="370"/>
        <v>1</v>
      </c>
      <c r="AX305" s="290">
        <v>98</v>
      </c>
      <c r="AY305" s="289">
        <f t="shared" si="371"/>
        <v>95</v>
      </c>
      <c r="AZ305" s="291">
        <f t="shared" si="372"/>
        <v>0.96938775510204078</v>
      </c>
      <c r="BA305" s="344"/>
      <c r="BB305" s="383">
        <v>100</v>
      </c>
      <c r="BC305" s="379">
        <f t="shared" si="347"/>
        <v>0</v>
      </c>
      <c r="BD305" s="378">
        <f t="shared" si="348"/>
        <v>2</v>
      </c>
      <c r="BE305" s="381"/>
      <c r="BF305" s="378">
        <f t="shared" si="349"/>
        <v>98</v>
      </c>
    </row>
    <row r="306" spans="1:58" x14ac:dyDescent="0.35">
      <c r="A306" s="193">
        <v>36</v>
      </c>
      <c r="B306" s="35">
        <v>252610230</v>
      </c>
      <c r="C306" s="47" t="s">
        <v>1307</v>
      </c>
      <c r="D306" s="195" t="s">
        <v>8</v>
      </c>
      <c r="E306" s="215">
        <v>19</v>
      </c>
      <c r="F306" s="217"/>
      <c r="G306" s="217"/>
      <c r="H306" s="217"/>
      <c r="I306" s="326">
        <f t="shared" si="350"/>
        <v>0</v>
      </c>
      <c r="J306" s="326">
        <f t="shared" si="351"/>
        <v>19</v>
      </c>
      <c r="K306" s="327">
        <f t="shared" si="352"/>
        <v>1</v>
      </c>
      <c r="L306" s="221">
        <v>14</v>
      </c>
      <c r="M306" s="223"/>
      <c r="N306" s="223"/>
      <c r="O306" s="222"/>
      <c r="P306" s="328">
        <f t="shared" si="353"/>
        <v>0</v>
      </c>
      <c r="Q306" s="328">
        <f t="shared" si="354"/>
        <v>14</v>
      </c>
      <c r="R306" s="329">
        <f t="shared" si="355"/>
        <v>1</v>
      </c>
      <c r="S306" s="225">
        <v>12</v>
      </c>
      <c r="T306" s="226"/>
      <c r="U306" s="226"/>
      <c r="V306" s="226"/>
      <c r="W306" s="330">
        <f t="shared" si="356"/>
        <v>0</v>
      </c>
      <c r="X306" s="330">
        <f t="shared" si="357"/>
        <v>12</v>
      </c>
      <c r="Y306" s="331">
        <f t="shared" si="358"/>
        <v>1</v>
      </c>
      <c r="Z306" s="228">
        <v>21</v>
      </c>
      <c r="AA306" s="255"/>
      <c r="AB306" s="255"/>
      <c r="AC306" s="255"/>
      <c r="AD306" s="280">
        <f t="shared" si="359"/>
        <v>0</v>
      </c>
      <c r="AE306" s="280">
        <f t="shared" si="360"/>
        <v>21</v>
      </c>
      <c r="AF306" s="281">
        <f t="shared" si="361"/>
        <v>1</v>
      </c>
      <c r="AG306" s="229">
        <v>18</v>
      </c>
      <c r="AH306" s="257"/>
      <c r="AI306" s="257"/>
      <c r="AJ306" s="257"/>
      <c r="AK306" s="305">
        <f t="shared" si="362"/>
        <v>0</v>
      </c>
      <c r="AL306" s="305">
        <f t="shared" si="363"/>
        <v>18</v>
      </c>
      <c r="AM306" s="306">
        <f t="shared" si="364"/>
        <v>1</v>
      </c>
      <c r="AN306" s="230">
        <v>14</v>
      </c>
      <c r="AO306" s="259"/>
      <c r="AP306" s="259"/>
      <c r="AQ306" s="259"/>
      <c r="AR306" s="307">
        <f t="shared" si="365"/>
        <v>0</v>
      </c>
      <c r="AS306" s="307">
        <f t="shared" si="366"/>
        <v>14</v>
      </c>
      <c r="AT306" s="308">
        <f t="shared" si="367"/>
        <v>1</v>
      </c>
      <c r="AU306" s="289">
        <f t="shared" si="368"/>
        <v>0</v>
      </c>
      <c r="AV306" s="289">
        <f t="shared" si="369"/>
        <v>0</v>
      </c>
      <c r="AW306" s="289">
        <f t="shared" si="370"/>
        <v>0</v>
      </c>
      <c r="AX306" s="290">
        <v>98</v>
      </c>
      <c r="AY306" s="289">
        <f t="shared" si="371"/>
        <v>98</v>
      </c>
      <c r="AZ306" s="291">
        <f t="shared" si="372"/>
        <v>1</v>
      </c>
      <c r="BA306" s="344"/>
      <c r="BB306" s="383">
        <v>100</v>
      </c>
      <c r="BC306" s="379">
        <f t="shared" si="347"/>
        <v>0</v>
      </c>
      <c r="BD306" s="378">
        <f t="shared" si="348"/>
        <v>0</v>
      </c>
      <c r="BE306" s="381"/>
      <c r="BF306" s="378">
        <f t="shared" si="349"/>
        <v>100</v>
      </c>
    </row>
    <row r="307" spans="1:58" x14ac:dyDescent="0.35">
      <c r="A307" s="193">
        <v>37</v>
      </c>
      <c r="B307" s="35">
        <v>252610231</v>
      </c>
      <c r="C307" s="47" t="s">
        <v>1308</v>
      </c>
      <c r="D307" s="52" t="s">
        <v>8</v>
      </c>
      <c r="E307" s="215">
        <v>19</v>
      </c>
      <c r="F307" s="217"/>
      <c r="G307" s="217">
        <v>1</v>
      </c>
      <c r="H307" s="217"/>
      <c r="I307" s="326">
        <f t="shared" si="350"/>
        <v>1</v>
      </c>
      <c r="J307" s="326">
        <f t="shared" si="351"/>
        <v>18</v>
      </c>
      <c r="K307" s="327">
        <f t="shared" si="352"/>
        <v>0.94736842105263153</v>
      </c>
      <c r="L307" s="221">
        <v>14</v>
      </c>
      <c r="M307" s="223">
        <v>1</v>
      </c>
      <c r="N307" s="223">
        <v>1</v>
      </c>
      <c r="O307" s="222"/>
      <c r="P307" s="328">
        <f t="shared" si="353"/>
        <v>2</v>
      </c>
      <c r="Q307" s="328">
        <f t="shared" si="354"/>
        <v>12</v>
      </c>
      <c r="R307" s="329">
        <f t="shared" si="355"/>
        <v>0.8571428571428571</v>
      </c>
      <c r="S307" s="225">
        <v>12</v>
      </c>
      <c r="T307" s="226"/>
      <c r="U307" s="226"/>
      <c r="V307" s="226"/>
      <c r="W307" s="330">
        <f t="shared" si="356"/>
        <v>0</v>
      </c>
      <c r="X307" s="330">
        <f t="shared" si="357"/>
        <v>12</v>
      </c>
      <c r="Y307" s="331">
        <f t="shared" si="358"/>
        <v>1</v>
      </c>
      <c r="Z307" s="228">
        <v>21</v>
      </c>
      <c r="AA307" s="255"/>
      <c r="AB307" s="255"/>
      <c r="AC307" s="255"/>
      <c r="AD307" s="280">
        <f t="shared" si="359"/>
        <v>0</v>
      </c>
      <c r="AE307" s="280">
        <f t="shared" si="360"/>
        <v>21</v>
      </c>
      <c r="AF307" s="281">
        <f t="shared" si="361"/>
        <v>1</v>
      </c>
      <c r="AG307" s="229">
        <v>18</v>
      </c>
      <c r="AH307" s="257"/>
      <c r="AI307" s="257"/>
      <c r="AJ307" s="257"/>
      <c r="AK307" s="305">
        <f t="shared" si="362"/>
        <v>0</v>
      </c>
      <c r="AL307" s="305">
        <f t="shared" si="363"/>
        <v>18</v>
      </c>
      <c r="AM307" s="306">
        <f t="shared" si="364"/>
        <v>1</v>
      </c>
      <c r="AN307" s="230">
        <v>14</v>
      </c>
      <c r="AO307" s="259"/>
      <c r="AP307" s="259"/>
      <c r="AQ307" s="259"/>
      <c r="AR307" s="307">
        <f t="shared" si="365"/>
        <v>0</v>
      </c>
      <c r="AS307" s="307">
        <f t="shared" si="366"/>
        <v>14</v>
      </c>
      <c r="AT307" s="308">
        <f t="shared" si="367"/>
        <v>1</v>
      </c>
      <c r="AU307" s="289">
        <f t="shared" si="368"/>
        <v>1</v>
      </c>
      <c r="AV307" s="289">
        <f t="shared" si="369"/>
        <v>2</v>
      </c>
      <c r="AW307" s="289">
        <f t="shared" si="370"/>
        <v>0</v>
      </c>
      <c r="AX307" s="290">
        <v>98</v>
      </c>
      <c r="AY307" s="289">
        <f t="shared" si="371"/>
        <v>95</v>
      </c>
      <c r="AZ307" s="291">
        <f t="shared" si="372"/>
        <v>0.96938775510204078</v>
      </c>
      <c r="BA307" s="344"/>
      <c r="BB307" s="383">
        <v>100</v>
      </c>
      <c r="BC307" s="379">
        <f t="shared" si="347"/>
        <v>0</v>
      </c>
      <c r="BD307" s="378">
        <f t="shared" si="348"/>
        <v>0</v>
      </c>
      <c r="BE307" s="381"/>
      <c r="BF307" s="378">
        <f t="shared" si="349"/>
        <v>100</v>
      </c>
    </row>
    <row r="308" spans="1:58" x14ac:dyDescent="0.35">
      <c r="A308" s="193">
        <v>38</v>
      </c>
      <c r="B308" s="35">
        <v>252610232</v>
      </c>
      <c r="C308" s="47" t="s">
        <v>1309</v>
      </c>
      <c r="D308" s="195" t="s">
        <v>8</v>
      </c>
      <c r="E308" s="215">
        <v>19</v>
      </c>
      <c r="F308" s="217">
        <v>1</v>
      </c>
      <c r="G308" s="217"/>
      <c r="H308" s="217"/>
      <c r="I308" s="326">
        <f t="shared" si="350"/>
        <v>1</v>
      </c>
      <c r="J308" s="326">
        <f t="shared" si="351"/>
        <v>18</v>
      </c>
      <c r="K308" s="327">
        <f t="shared" si="352"/>
        <v>0.94736842105263153</v>
      </c>
      <c r="L308" s="221">
        <v>14</v>
      </c>
      <c r="M308" s="222">
        <v>1</v>
      </c>
      <c r="N308" s="222">
        <v>1</v>
      </c>
      <c r="O308" s="222"/>
      <c r="P308" s="328">
        <f t="shared" si="353"/>
        <v>2</v>
      </c>
      <c r="Q308" s="328">
        <f t="shared" si="354"/>
        <v>12</v>
      </c>
      <c r="R308" s="329">
        <f t="shared" si="355"/>
        <v>0.8571428571428571</v>
      </c>
      <c r="S308" s="225">
        <v>12</v>
      </c>
      <c r="T308" s="226"/>
      <c r="U308" s="226"/>
      <c r="V308" s="226"/>
      <c r="W308" s="330">
        <f t="shared" si="356"/>
        <v>0</v>
      </c>
      <c r="X308" s="330">
        <f t="shared" si="357"/>
        <v>12</v>
      </c>
      <c r="Y308" s="331">
        <f t="shared" si="358"/>
        <v>1</v>
      </c>
      <c r="Z308" s="228">
        <v>21</v>
      </c>
      <c r="AA308" s="255"/>
      <c r="AB308" s="255"/>
      <c r="AC308" s="255"/>
      <c r="AD308" s="280">
        <f t="shared" si="359"/>
        <v>0</v>
      </c>
      <c r="AE308" s="280">
        <f t="shared" si="360"/>
        <v>21</v>
      </c>
      <c r="AF308" s="281">
        <f t="shared" si="361"/>
        <v>1</v>
      </c>
      <c r="AG308" s="229">
        <v>18</v>
      </c>
      <c r="AH308" s="257"/>
      <c r="AI308" s="257"/>
      <c r="AJ308" s="257"/>
      <c r="AK308" s="305">
        <f t="shared" si="362"/>
        <v>0</v>
      </c>
      <c r="AL308" s="305">
        <f t="shared" si="363"/>
        <v>18</v>
      </c>
      <c r="AM308" s="306">
        <f t="shared" si="364"/>
        <v>1</v>
      </c>
      <c r="AN308" s="230">
        <v>14</v>
      </c>
      <c r="AO308" s="259"/>
      <c r="AP308" s="259"/>
      <c r="AQ308" s="259"/>
      <c r="AR308" s="307">
        <f t="shared" si="365"/>
        <v>0</v>
      </c>
      <c r="AS308" s="307">
        <f t="shared" si="366"/>
        <v>14</v>
      </c>
      <c r="AT308" s="308">
        <f t="shared" si="367"/>
        <v>1</v>
      </c>
      <c r="AU308" s="289">
        <f t="shared" si="368"/>
        <v>2</v>
      </c>
      <c r="AV308" s="289">
        <f t="shared" si="369"/>
        <v>1</v>
      </c>
      <c r="AW308" s="289">
        <f t="shared" si="370"/>
        <v>0</v>
      </c>
      <c r="AX308" s="290">
        <v>98</v>
      </c>
      <c r="AY308" s="289">
        <f t="shared" si="371"/>
        <v>95</v>
      </c>
      <c r="AZ308" s="291">
        <f t="shared" si="372"/>
        <v>0.96938775510204078</v>
      </c>
      <c r="BA308" s="344"/>
      <c r="BB308" s="383">
        <v>100</v>
      </c>
      <c r="BC308" s="379">
        <f t="shared" si="347"/>
        <v>0</v>
      </c>
      <c r="BD308" s="378">
        <f t="shared" si="348"/>
        <v>0</v>
      </c>
      <c r="BE308" s="381"/>
      <c r="BF308" s="378">
        <f t="shared" si="349"/>
        <v>100</v>
      </c>
    </row>
    <row r="309" spans="1:58" s="371" customFormat="1" x14ac:dyDescent="0.35">
      <c r="F309" s="372"/>
      <c r="G309" s="372"/>
      <c r="H309" s="372"/>
      <c r="I309" s="372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  <c r="AA309" s="372"/>
      <c r="AB309" s="372"/>
      <c r="AC309" s="372"/>
      <c r="AD309" s="372"/>
      <c r="AE309" s="372"/>
      <c r="AF309" s="372"/>
      <c r="AG309" s="372"/>
      <c r="AH309" s="372"/>
      <c r="AI309" s="372"/>
      <c r="AJ309" s="372"/>
      <c r="AK309" s="372"/>
      <c r="AL309" s="372"/>
      <c r="AM309" s="372"/>
      <c r="AN309" s="372"/>
      <c r="AO309" s="372"/>
      <c r="AP309" s="372"/>
      <c r="AQ309" s="372"/>
      <c r="AR309" s="372"/>
      <c r="AS309" s="372"/>
      <c r="AT309" s="372"/>
      <c r="AU309" s="372"/>
      <c r="AV309" s="372"/>
      <c r="AW309" s="372"/>
      <c r="AX309" s="372"/>
      <c r="AY309" s="372"/>
      <c r="AZ309" s="372"/>
      <c r="BA309" s="372"/>
      <c r="BB309" s="372"/>
      <c r="BC309" s="372"/>
      <c r="BD309" s="372"/>
      <c r="BE309" s="373"/>
      <c r="BF309" s="373"/>
    </row>
    <row r="310" spans="1:58" s="371" customFormat="1" x14ac:dyDescent="0.35">
      <c r="F310" s="372"/>
      <c r="G310" s="372"/>
      <c r="H310" s="372"/>
      <c r="I310" s="372"/>
      <c r="J310" s="372"/>
      <c r="K310" s="372"/>
      <c r="L310" s="372"/>
      <c r="M310" s="372"/>
      <c r="N310" s="372"/>
      <c r="O310" s="372"/>
      <c r="P310" s="372"/>
      <c r="Q310" s="372"/>
      <c r="R310" s="372"/>
      <c r="S310" s="372"/>
      <c r="T310" s="372"/>
      <c r="U310" s="372"/>
      <c r="V310" s="372"/>
      <c r="W310" s="372"/>
      <c r="X310" s="372"/>
      <c r="Y310" s="372"/>
      <c r="Z310" s="372"/>
      <c r="AA310" s="372"/>
      <c r="AB310" s="372"/>
      <c r="AC310" s="372"/>
      <c r="AD310" s="372"/>
      <c r="AE310" s="372"/>
      <c r="AF310" s="372"/>
      <c r="AG310" s="372"/>
      <c r="AH310" s="372"/>
      <c r="AI310" s="372"/>
      <c r="AJ310" s="372"/>
      <c r="AK310" s="372"/>
      <c r="AL310" s="372"/>
      <c r="AM310" s="372"/>
      <c r="AN310" s="372"/>
      <c r="AO310" s="372"/>
      <c r="AP310" s="372"/>
      <c r="AQ310" s="372"/>
      <c r="AR310" s="372"/>
      <c r="AS310" s="372"/>
      <c r="AT310" s="372"/>
      <c r="AU310" s="372"/>
      <c r="AV310" s="372"/>
      <c r="AW310" s="372"/>
      <c r="AX310" s="372"/>
      <c r="AY310" s="372"/>
      <c r="AZ310" s="372"/>
      <c r="BA310" s="372"/>
      <c r="BB310" s="372"/>
      <c r="BC310" s="372"/>
      <c r="BD310" s="372"/>
      <c r="BE310" s="373"/>
      <c r="BF310" s="373"/>
    </row>
    <row r="311" spans="1:58" s="371" customFormat="1" x14ac:dyDescent="0.35">
      <c r="F311" s="372"/>
      <c r="G311" s="372"/>
      <c r="H311" s="372"/>
      <c r="I311" s="372"/>
      <c r="J311" s="372"/>
      <c r="K311" s="372"/>
      <c r="L311" s="372"/>
      <c r="M311" s="372"/>
      <c r="N311" s="372"/>
      <c r="O311" s="372"/>
      <c r="P311" s="372"/>
      <c r="Q311" s="372"/>
      <c r="R311" s="372"/>
      <c r="S311" s="372"/>
      <c r="T311" s="372"/>
      <c r="U311" s="372"/>
      <c r="V311" s="372"/>
      <c r="W311" s="372"/>
      <c r="X311" s="372"/>
      <c r="Y311" s="372"/>
      <c r="Z311" s="372"/>
      <c r="AA311" s="372"/>
      <c r="AB311" s="372"/>
      <c r="AC311" s="372"/>
      <c r="AD311" s="372"/>
      <c r="AE311" s="372"/>
      <c r="AF311" s="372"/>
      <c r="AG311" s="372"/>
      <c r="AH311" s="372"/>
      <c r="AI311" s="372"/>
      <c r="AJ311" s="372"/>
      <c r="AK311" s="372"/>
      <c r="AL311" s="372"/>
      <c r="AM311" s="372"/>
      <c r="AN311" s="372"/>
      <c r="AO311" s="372"/>
      <c r="AP311" s="372"/>
      <c r="AQ311" s="372"/>
      <c r="AR311" s="372"/>
      <c r="AS311" s="372"/>
      <c r="AT311" s="372"/>
      <c r="AU311" s="372"/>
      <c r="AV311" s="372"/>
      <c r="AW311" s="372"/>
      <c r="AX311" s="372"/>
      <c r="AY311" s="372"/>
      <c r="AZ311" s="372"/>
      <c r="BA311" s="372"/>
      <c r="BB311" s="372"/>
      <c r="BC311" s="372"/>
      <c r="BD311" s="372"/>
      <c r="BE311" s="373"/>
      <c r="BF311" s="373"/>
    </row>
  </sheetData>
  <mergeCells count="134">
    <mergeCell ref="AZ7:AZ8"/>
    <mergeCell ref="AU269:AW269"/>
    <mergeCell ref="BA269:BA270"/>
    <mergeCell ref="BB269:BB270"/>
    <mergeCell ref="BC269:BE269"/>
    <mergeCell ref="BF269:BF270"/>
    <mergeCell ref="BA225:BA226"/>
    <mergeCell ref="BA7:BA8"/>
    <mergeCell ref="BA35:BA36"/>
    <mergeCell ref="BA85:BA86"/>
    <mergeCell ref="BA135:BA136"/>
    <mergeCell ref="BA180:BA181"/>
    <mergeCell ref="AU7:AW7"/>
    <mergeCell ref="AU35:AW35"/>
    <mergeCell ref="AU135:AW135"/>
    <mergeCell ref="BC7:BE7"/>
    <mergeCell ref="BC35:BE35"/>
    <mergeCell ref="AX7:AX8"/>
    <mergeCell ref="AY7:AY8"/>
    <mergeCell ref="AU225:AW225"/>
    <mergeCell ref="AU180:AW180"/>
    <mergeCell ref="BF225:BF226"/>
    <mergeCell ref="BF180:BF181"/>
    <mergeCell ref="BB180:BB181"/>
    <mergeCell ref="E269:K269"/>
    <mergeCell ref="E7:K7"/>
    <mergeCell ref="L7:R7"/>
    <mergeCell ref="S7:Y7"/>
    <mergeCell ref="Z7:AF7"/>
    <mergeCell ref="AG7:AM7"/>
    <mergeCell ref="AN7:AT7"/>
    <mergeCell ref="E35:K35"/>
    <mergeCell ref="L35:R35"/>
    <mergeCell ref="S35:Y35"/>
    <mergeCell ref="Z35:AF35"/>
    <mergeCell ref="E180:K180"/>
    <mergeCell ref="L269:R269"/>
    <mergeCell ref="S269:Y269"/>
    <mergeCell ref="Z269:AF269"/>
    <mergeCell ref="AG269:AM269"/>
    <mergeCell ref="AN269:AT269"/>
    <mergeCell ref="Z180:AF180"/>
    <mergeCell ref="AG180:AM180"/>
    <mergeCell ref="AN180:AT180"/>
    <mergeCell ref="A269:A270"/>
    <mergeCell ref="B269:B270"/>
    <mergeCell ref="C269:C270"/>
    <mergeCell ref="D269:D270"/>
    <mergeCell ref="C135:C136"/>
    <mergeCell ref="D135:D136"/>
    <mergeCell ref="A85:A86"/>
    <mergeCell ref="B85:B86"/>
    <mergeCell ref="C85:C86"/>
    <mergeCell ref="D85:D86"/>
    <mergeCell ref="A180:A181"/>
    <mergeCell ref="B180:B181"/>
    <mergeCell ref="C180:C181"/>
    <mergeCell ref="D180:D181"/>
    <mergeCell ref="A135:A136"/>
    <mergeCell ref="B135:B136"/>
    <mergeCell ref="A225:A226"/>
    <mergeCell ref="B225:B226"/>
    <mergeCell ref="C225:C226"/>
    <mergeCell ref="D225:D226"/>
    <mergeCell ref="A1:AW1"/>
    <mergeCell ref="A2:AW2"/>
    <mergeCell ref="A3:AW3"/>
    <mergeCell ref="A7:A8"/>
    <mergeCell ref="B7:B8"/>
    <mergeCell ref="C7:C8"/>
    <mergeCell ref="D7:D8"/>
    <mergeCell ref="AU85:AW85"/>
    <mergeCell ref="AG35:AM35"/>
    <mergeCell ref="AN35:AT35"/>
    <mergeCell ref="L85:R85"/>
    <mergeCell ref="S85:Y85"/>
    <mergeCell ref="Z85:AF85"/>
    <mergeCell ref="AG85:AM85"/>
    <mergeCell ref="AN85:AT85"/>
    <mergeCell ref="A35:A36"/>
    <mergeCell ref="B35:B36"/>
    <mergeCell ref="C35:C36"/>
    <mergeCell ref="D35:D36"/>
    <mergeCell ref="E85:K85"/>
    <mergeCell ref="BB1:BD1"/>
    <mergeCell ref="BB2:BC2"/>
    <mergeCell ref="BB3:BC3"/>
    <mergeCell ref="BB4:BC4"/>
    <mergeCell ref="BB5:BC5"/>
    <mergeCell ref="BF35:BF36"/>
    <mergeCell ref="BF7:BF8"/>
    <mergeCell ref="BF85:BF86"/>
    <mergeCell ref="BF135:BF136"/>
    <mergeCell ref="BC135:BE135"/>
    <mergeCell ref="BB7:BB8"/>
    <mergeCell ref="BB35:BB36"/>
    <mergeCell ref="BB85:BB86"/>
    <mergeCell ref="BB135:BB136"/>
    <mergeCell ref="BC180:BE180"/>
    <mergeCell ref="BC225:BE225"/>
    <mergeCell ref="BB225:BB226"/>
    <mergeCell ref="BC85:BE85"/>
    <mergeCell ref="E135:K135"/>
    <mergeCell ref="L135:R135"/>
    <mergeCell ref="S135:Y135"/>
    <mergeCell ref="Z135:AF135"/>
    <mergeCell ref="AG135:AM135"/>
    <mergeCell ref="AN135:AT135"/>
    <mergeCell ref="AX135:AX136"/>
    <mergeCell ref="AY135:AY136"/>
    <mergeCell ref="AZ135:AZ136"/>
    <mergeCell ref="E225:K225"/>
    <mergeCell ref="L225:R225"/>
    <mergeCell ref="S225:Y225"/>
    <mergeCell ref="Z225:AF225"/>
    <mergeCell ref="AG225:AM225"/>
    <mergeCell ref="AN225:AT225"/>
    <mergeCell ref="AX225:AX226"/>
    <mergeCell ref="AY225:AY226"/>
    <mergeCell ref="AZ225:AZ226"/>
    <mergeCell ref="L180:R180"/>
    <mergeCell ref="S180:Y180"/>
    <mergeCell ref="AX269:AX270"/>
    <mergeCell ref="AY269:AY270"/>
    <mergeCell ref="AZ269:AZ270"/>
    <mergeCell ref="AX35:AX36"/>
    <mergeCell ref="AY35:AY36"/>
    <mergeCell ref="AZ35:AZ36"/>
    <mergeCell ref="AX85:AX86"/>
    <mergeCell ref="AY85:AY86"/>
    <mergeCell ref="AZ85:AZ86"/>
    <mergeCell ref="AX180:AX181"/>
    <mergeCell ref="AY180:AY181"/>
    <mergeCell ref="AZ180:AZ181"/>
  </mergeCells>
  <phoneticPr fontId="12" type="noConversion"/>
  <conditionalFormatting sqref="C9:C29">
    <cfRule type="duplicateValues" dxfId="87" priority="1"/>
    <cfRule type="duplicateValues" dxfId="86" priority="2"/>
  </conditionalFormatting>
  <pageMargins left="0.7" right="0.7" top="0.75" bottom="0.75" header="0.3" footer="0.3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7FF4-9BDC-4BA3-B18B-FE2AD28DE411}">
  <dimension ref="A1:BZ188"/>
  <sheetViews>
    <sheetView topLeftCell="A169" zoomScale="50" zoomScaleNormal="50" workbookViewId="0">
      <selection activeCell="B178" sqref="B178:H188"/>
    </sheetView>
  </sheetViews>
  <sheetFormatPr defaultRowHeight="14.5" x14ac:dyDescent="0.35"/>
  <cols>
    <col min="1" max="1" width="5.36328125" customWidth="1"/>
    <col min="2" max="2" width="9.54296875" customWidth="1"/>
    <col min="3" max="3" width="34.81640625" customWidth="1"/>
    <col min="4" max="4" width="16.36328125" style="17" customWidth="1"/>
    <col min="5" max="5" width="6.1796875" customWidth="1"/>
    <col min="6" max="23" width="5.6328125" style="22" customWidth="1"/>
    <col min="24" max="26" width="5.6328125" style="105" customWidth="1"/>
    <col min="29" max="29" width="34.81640625" customWidth="1"/>
    <col min="30" max="30" width="16.36328125" style="17" customWidth="1"/>
    <col min="31" max="31" width="6.1796875" customWidth="1"/>
    <col min="32" max="49" width="5.6328125" style="22" customWidth="1"/>
    <col min="50" max="52" width="5.6328125" style="105" customWidth="1"/>
    <col min="55" max="55" width="34.81640625" customWidth="1"/>
    <col min="56" max="56" width="16.36328125" style="17" customWidth="1"/>
    <col min="57" max="57" width="6.1796875" customWidth="1"/>
    <col min="58" max="75" width="5.6328125" style="22" customWidth="1"/>
    <col min="76" max="78" width="5.6328125" style="105" customWidth="1"/>
  </cols>
  <sheetData>
    <row r="1" spans="1:78" ht="38" customHeight="1" thickBot="1" x14ac:dyDescent="0.4">
      <c r="A1" t="s">
        <v>1031</v>
      </c>
      <c r="AC1" t="s">
        <v>1032</v>
      </c>
      <c r="BC1" t="s">
        <v>1033</v>
      </c>
    </row>
    <row r="2" spans="1:78" ht="25" customHeight="1" thickBot="1" x14ac:dyDescent="0.4">
      <c r="A2" s="466" t="s">
        <v>1</v>
      </c>
      <c r="B2" s="466" t="s">
        <v>2</v>
      </c>
      <c r="C2" s="461" t="s">
        <v>3</v>
      </c>
      <c r="D2" s="459" t="s">
        <v>897</v>
      </c>
      <c r="E2" s="462" t="s">
        <v>4</v>
      </c>
      <c r="F2" s="458" t="s">
        <v>221</v>
      </c>
      <c r="G2" s="458"/>
      <c r="H2" s="458"/>
      <c r="I2" s="458" t="s">
        <v>222</v>
      </c>
      <c r="J2" s="458"/>
      <c r="K2" s="458"/>
      <c r="L2" s="458" t="s">
        <v>223</v>
      </c>
      <c r="M2" s="458"/>
      <c r="N2" s="458"/>
      <c r="O2" s="458" t="s">
        <v>233</v>
      </c>
      <c r="P2" s="458"/>
      <c r="Q2" s="458"/>
      <c r="R2" s="458" t="s">
        <v>234</v>
      </c>
      <c r="S2" s="458"/>
      <c r="T2" s="458"/>
      <c r="U2" s="458" t="s">
        <v>235</v>
      </c>
      <c r="V2" s="458"/>
      <c r="W2" s="458"/>
      <c r="X2" s="458" t="s">
        <v>224</v>
      </c>
      <c r="Y2" s="458"/>
      <c r="Z2" s="458"/>
      <c r="AC2" s="461" t="s">
        <v>3</v>
      </c>
      <c r="AD2" s="459" t="s">
        <v>897</v>
      </c>
      <c r="AE2" s="462" t="s">
        <v>4</v>
      </c>
      <c r="AF2" s="458" t="s">
        <v>221</v>
      </c>
      <c r="AG2" s="458"/>
      <c r="AH2" s="458"/>
      <c r="AI2" s="458" t="s">
        <v>222</v>
      </c>
      <c r="AJ2" s="458"/>
      <c r="AK2" s="458"/>
      <c r="AL2" s="458" t="s">
        <v>223</v>
      </c>
      <c r="AM2" s="458"/>
      <c r="AN2" s="458"/>
      <c r="AO2" s="458" t="s">
        <v>233</v>
      </c>
      <c r="AP2" s="458"/>
      <c r="AQ2" s="458"/>
      <c r="AR2" s="458" t="s">
        <v>234</v>
      </c>
      <c r="AS2" s="458"/>
      <c r="AT2" s="458"/>
      <c r="AU2" s="458" t="s">
        <v>235</v>
      </c>
      <c r="AV2" s="458"/>
      <c r="AW2" s="458"/>
      <c r="AX2" s="458" t="s">
        <v>224</v>
      </c>
      <c r="AY2" s="458"/>
      <c r="AZ2" s="458"/>
      <c r="BC2" s="461" t="s">
        <v>3</v>
      </c>
      <c r="BD2" s="459" t="s">
        <v>897</v>
      </c>
      <c r="BE2" s="462" t="s">
        <v>4</v>
      </c>
      <c r="BF2" s="458" t="s">
        <v>221</v>
      </c>
      <c r="BG2" s="458"/>
      <c r="BH2" s="458"/>
      <c r="BI2" s="458" t="s">
        <v>222</v>
      </c>
      <c r="BJ2" s="458"/>
      <c r="BK2" s="458"/>
      <c r="BL2" s="458" t="s">
        <v>223</v>
      </c>
      <c r="BM2" s="458"/>
      <c r="BN2" s="458"/>
      <c r="BO2" s="458" t="s">
        <v>233</v>
      </c>
      <c r="BP2" s="458"/>
      <c r="BQ2" s="458"/>
      <c r="BR2" s="458" t="s">
        <v>234</v>
      </c>
      <c r="BS2" s="458"/>
      <c r="BT2" s="458"/>
      <c r="BU2" s="458" t="s">
        <v>235</v>
      </c>
      <c r="BV2" s="458"/>
      <c r="BW2" s="458"/>
      <c r="BX2" s="458" t="s">
        <v>224</v>
      </c>
      <c r="BY2" s="458"/>
      <c r="BZ2" s="458"/>
    </row>
    <row r="3" spans="1:78" ht="25" customHeight="1" thickBot="1" x14ac:dyDescent="0.4">
      <c r="A3" s="466"/>
      <c r="B3" s="466"/>
      <c r="C3" s="461"/>
      <c r="D3" s="460"/>
      <c r="E3" s="462"/>
      <c r="F3" s="118" t="s">
        <v>20</v>
      </c>
      <c r="G3" s="118" t="s">
        <v>19</v>
      </c>
      <c r="H3" s="118" t="s">
        <v>52</v>
      </c>
      <c r="I3" s="118" t="s">
        <v>20</v>
      </c>
      <c r="J3" s="118" t="s">
        <v>19</v>
      </c>
      <c r="K3" s="118" t="s">
        <v>52</v>
      </c>
      <c r="L3" s="118" t="s">
        <v>20</v>
      </c>
      <c r="M3" s="118" t="s">
        <v>19</v>
      </c>
      <c r="N3" s="118" t="s">
        <v>52</v>
      </c>
      <c r="O3" s="118" t="s">
        <v>20</v>
      </c>
      <c r="P3" s="118" t="s">
        <v>19</v>
      </c>
      <c r="Q3" s="118" t="s">
        <v>52</v>
      </c>
      <c r="R3" s="118" t="s">
        <v>20</v>
      </c>
      <c r="S3" s="118" t="s">
        <v>19</v>
      </c>
      <c r="T3" s="118" t="s">
        <v>52</v>
      </c>
      <c r="U3" s="118" t="s">
        <v>20</v>
      </c>
      <c r="V3" s="118" t="s">
        <v>19</v>
      </c>
      <c r="W3" s="118" t="s">
        <v>52</v>
      </c>
      <c r="X3" s="116" t="s">
        <v>20</v>
      </c>
      <c r="Y3" s="118" t="s">
        <v>19</v>
      </c>
      <c r="Z3" s="118" t="s">
        <v>52</v>
      </c>
      <c r="AC3" s="461"/>
      <c r="AD3" s="460"/>
      <c r="AE3" s="462"/>
      <c r="AF3" s="118" t="s">
        <v>20</v>
      </c>
      <c r="AG3" s="118" t="s">
        <v>19</v>
      </c>
      <c r="AH3" s="118" t="s">
        <v>52</v>
      </c>
      <c r="AI3" s="118" t="s">
        <v>20</v>
      </c>
      <c r="AJ3" s="118" t="s">
        <v>19</v>
      </c>
      <c r="AK3" s="118" t="s">
        <v>52</v>
      </c>
      <c r="AL3" s="118" t="s">
        <v>20</v>
      </c>
      <c r="AM3" s="118" t="s">
        <v>19</v>
      </c>
      <c r="AN3" s="118" t="s">
        <v>52</v>
      </c>
      <c r="AO3" s="118" t="s">
        <v>20</v>
      </c>
      <c r="AP3" s="118" t="s">
        <v>19</v>
      </c>
      <c r="AQ3" s="118" t="s">
        <v>52</v>
      </c>
      <c r="AR3" s="118" t="s">
        <v>20</v>
      </c>
      <c r="AS3" s="118" t="s">
        <v>19</v>
      </c>
      <c r="AT3" s="118" t="s">
        <v>52</v>
      </c>
      <c r="AU3" s="118" t="s">
        <v>20</v>
      </c>
      <c r="AV3" s="118" t="s">
        <v>19</v>
      </c>
      <c r="AW3" s="118" t="s">
        <v>52</v>
      </c>
      <c r="AX3" s="116" t="s">
        <v>20</v>
      </c>
      <c r="AY3" s="118" t="s">
        <v>19</v>
      </c>
      <c r="AZ3" s="118" t="s">
        <v>52</v>
      </c>
      <c r="BC3" s="461"/>
      <c r="BD3" s="460"/>
      <c r="BE3" s="462"/>
      <c r="BF3" s="118" t="s">
        <v>20</v>
      </c>
      <c r="BG3" s="118" t="s">
        <v>19</v>
      </c>
      <c r="BH3" s="118" t="s">
        <v>52</v>
      </c>
      <c r="BI3" s="118" t="s">
        <v>20</v>
      </c>
      <c r="BJ3" s="118" t="s">
        <v>19</v>
      </c>
      <c r="BK3" s="118" t="s">
        <v>52</v>
      </c>
      <c r="BL3" s="118" t="s">
        <v>20</v>
      </c>
      <c r="BM3" s="118" t="s">
        <v>19</v>
      </c>
      <c r="BN3" s="118" t="s">
        <v>52</v>
      </c>
      <c r="BO3" s="118" t="s">
        <v>20</v>
      </c>
      <c r="BP3" s="118" t="s">
        <v>19</v>
      </c>
      <c r="BQ3" s="118" t="s">
        <v>52</v>
      </c>
      <c r="BR3" s="118" t="s">
        <v>20</v>
      </c>
      <c r="BS3" s="118" t="s">
        <v>19</v>
      </c>
      <c r="BT3" s="118" t="s">
        <v>52</v>
      </c>
      <c r="BU3" s="118" t="s">
        <v>20</v>
      </c>
      <c r="BV3" s="118" t="s">
        <v>19</v>
      </c>
      <c r="BW3" s="118" t="s">
        <v>52</v>
      </c>
      <c r="BX3" s="116" t="s">
        <v>20</v>
      </c>
      <c r="BY3" s="118" t="s">
        <v>19</v>
      </c>
      <c r="BZ3" s="118" t="s">
        <v>52</v>
      </c>
    </row>
    <row r="4" spans="1:78" ht="15.5" x14ac:dyDescent="0.35">
      <c r="A4" s="31" t="s">
        <v>21</v>
      </c>
      <c r="B4" s="131">
        <v>242510001</v>
      </c>
      <c r="C4" s="132" t="s">
        <v>426</v>
      </c>
      <c r="D4" s="139" t="s">
        <v>225</v>
      </c>
      <c r="E4" s="127" t="s">
        <v>6</v>
      </c>
      <c r="F4" s="125"/>
      <c r="G4" s="125"/>
      <c r="H4" s="125"/>
      <c r="I4" s="122"/>
      <c r="J4" s="122">
        <v>1</v>
      </c>
      <c r="K4" s="122"/>
      <c r="L4" s="122"/>
      <c r="M4" s="122"/>
      <c r="N4" s="122"/>
      <c r="O4" s="122"/>
      <c r="P4" s="122"/>
      <c r="Q4" s="122">
        <v>1</v>
      </c>
      <c r="R4" s="122"/>
      <c r="S4" s="122">
        <v>1</v>
      </c>
      <c r="T4" s="122"/>
      <c r="U4" s="122"/>
      <c r="V4" s="122"/>
      <c r="W4" s="122"/>
      <c r="X4" s="109">
        <f t="shared" ref="X4:X35" si="0">SUM(F4,I4,L4,O4,R4,U4)</f>
        <v>0</v>
      </c>
      <c r="Y4" s="109">
        <f t="shared" ref="Y4:Y35" si="1">SUM(G4,J4,M4,P4,S4,V4)</f>
        <v>2</v>
      </c>
      <c r="Z4" s="109">
        <f t="shared" ref="Z4:Z35" si="2">SUM(H4,K4,N4,Q4,T4,W4)</f>
        <v>1</v>
      </c>
      <c r="AC4" s="129" t="s">
        <v>439</v>
      </c>
      <c r="AD4" s="127" t="s">
        <v>226</v>
      </c>
      <c r="AE4" s="127" t="s">
        <v>6</v>
      </c>
      <c r="AF4" s="130"/>
      <c r="AG4" s="130"/>
      <c r="AH4" s="130"/>
      <c r="AI4" s="108"/>
      <c r="AJ4" s="113"/>
      <c r="AK4" s="108"/>
      <c r="AL4" s="113"/>
      <c r="AM4" s="108"/>
      <c r="AN4" s="113"/>
      <c r="AO4" s="122"/>
      <c r="AP4" s="108"/>
      <c r="AQ4" s="113"/>
      <c r="AR4" s="108"/>
      <c r="AS4" s="108"/>
      <c r="AT4" s="113"/>
      <c r="AU4" s="108"/>
      <c r="AV4" s="108"/>
      <c r="AW4" s="113"/>
      <c r="AX4" s="109">
        <f t="shared" ref="AX4:AX35" si="3">SUM(AF4,AI4,AL4,AO4,AR4,AU4)</f>
        <v>0</v>
      </c>
      <c r="AY4" s="109">
        <f t="shared" ref="AY4:AY35" si="4">SUM(AG4,AJ4,AM4,AP4,AS4,AV4)</f>
        <v>0</v>
      </c>
      <c r="AZ4" s="109">
        <f t="shared" ref="AZ4:AZ35" si="5">SUM(AH4,AK4,AN4,AQ4,AT4,AW4)</f>
        <v>0</v>
      </c>
      <c r="BC4" s="132" t="s">
        <v>428</v>
      </c>
      <c r="BD4" s="139" t="s">
        <v>225</v>
      </c>
      <c r="BE4" s="127" t="s">
        <v>6</v>
      </c>
      <c r="BF4" s="125"/>
      <c r="BG4" s="125"/>
      <c r="BH4" s="125"/>
      <c r="BI4" s="122"/>
      <c r="BJ4" s="122">
        <v>2</v>
      </c>
      <c r="BK4" s="122"/>
      <c r="BL4" s="122"/>
      <c r="BM4" s="128"/>
      <c r="BN4" s="122"/>
      <c r="BO4" s="122"/>
      <c r="BP4" s="128"/>
      <c r="BQ4" s="122"/>
      <c r="BR4" s="122"/>
      <c r="BS4" s="128">
        <v>4</v>
      </c>
      <c r="BT4" s="122"/>
      <c r="BU4" s="122"/>
      <c r="BV4" s="128">
        <v>1</v>
      </c>
      <c r="BW4" s="122"/>
      <c r="BX4" s="109">
        <f t="shared" ref="BX4:BX35" si="6">SUM(BF4,BI4,BL4,BO4,BR4,BU4)</f>
        <v>0</v>
      </c>
      <c r="BY4" s="109">
        <f t="shared" ref="BY4:BY35" si="7">SUM(BG4,BJ4,BM4,BP4,BS4,BV4)</f>
        <v>7</v>
      </c>
      <c r="BZ4" s="109">
        <f t="shared" ref="BZ4:BZ35" si="8">SUM(BH4,BK4,BN4,BQ4,BT4,BW4)</f>
        <v>0</v>
      </c>
    </row>
    <row r="5" spans="1:78" ht="15.5" x14ac:dyDescent="0.35">
      <c r="A5" s="31" t="s">
        <v>22</v>
      </c>
      <c r="B5" s="35">
        <v>242510002</v>
      </c>
      <c r="C5" s="36" t="s">
        <v>427</v>
      </c>
      <c r="D5" s="139" t="s">
        <v>225</v>
      </c>
      <c r="E5" s="35" t="s">
        <v>8</v>
      </c>
      <c r="F5" s="19"/>
      <c r="G5" s="19"/>
      <c r="H5" s="19"/>
      <c r="I5" s="13"/>
      <c r="J5" s="13">
        <v>1</v>
      </c>
      <c r="K5" s="13"/>
      <c r="L5" s="13"/>
      <c r="M5" s="13"/>
      <c r="N5" s="13"/>
      <c r="O5" s="13"/>
      <c r="P5" s="13">
        <v>2</v>
      </c>
      <c r="Q5" s="13">
        <v>1</v>
      </c>
      <c r="R5" s="13"/>
      <c r="S5" s="13">
        <v>2</v>
      </c>
      <c r="T5" s="13">
        <v>1</v>
      </c>
      <c r="U5" s="13"/>
      <c r="V5" s="13"/>
      <c r="W5" s="13"/>
      <c r="X5" s="30">
        <f t="shared" si="0"/>
        <v>0</v>
      </c>
      <c r="Y5" s="30">
        <f t="shared" si="1"/>
        <v>5</v>
      </c>
      <c r="Z5" s="30">
        <f t="shared" si="2"/>
        <v>2</v>
      </c>
      <c r="AC5" s="36" t="s">
        <v>446</v>
      </c>
      <c r="AD5" s="127" t="s">
        <v>226</v>
      </c>
      <c r="AE5" s="35" t="s">
        <v>6</v>
      </c>
      <c r="AF5" s="3"/>
      <c r="AG5" s="3"/>
      <c r="AH5" s="3"/>
      <c r="AI5" s="4"/>
      <c r="AJ5" s="5"/>
      <c r="AK5" s="5"/>
      <c r="AL5" s="4"/>
      <c r="AM5" s="4"/>
      <c r="AN5" s="4"/>
      <c r="AO5" s="13"/>
      <c r="AP5" s="5"/>
      <c r="AQ5" s="5"/>
      <c r="AR5" s="4"/>
      <c r="AS5" s="5"/>
      <c r="AT5" s="5"/>
      <c r="AU5" s="4"/>
      <c r="AV5" s="5"/>
      <c r="AW5" s="5"/>
      <c r="AX5" s="30">
        <f t="shared" si="3"/>
        <v>0</v>
      </c>
      <c r="AY5" s="30">
        <f t="shared" si="4"/>
        <v>0</v>
      </c>
      <c r="AZ5" s="30">
        <f t="shared" si="5"/>
        <v>0</v>
      </c>
      <c r="BC5" s="36" t="s">
        <v>432</v>
      </c>
      <c r="BD5" s="139" t="s">
        <v>225</v>
      </c>
      <c r="BE5" s="35" t="s">
        <v>8</v>
      </c>
      <c r="BF5" s="19"/>
      <c r="BG5" s="19"/>
      <c r="BH5" s="19"/>
      <c r="BI5" s="13"/>
      <c r="BJ5" s="13">
        <v>1</v>
      </c>
      <c r="BK5" s="14"/>
      <c r="BL5" s="13"/>
      <c r="BM5" s="14">
        <v>1</v>
      </c>
      <c r="BN5" s="14"/>
      <c r="BO5" s="13"/>
      <c r="BP5" s="14"/>
      <c r="BQ5" s="14"/>
      <c r="BR5" s="13">
        <v>1</v>
      </c>
      <c r="BS5" s="14"/>
      <c r="BT5" s="14"/>
      <c r="BU5" s="13"/>
      <c r="BV5" s="14"/>
      <c r="BW5" s="14"/>
      <c r="BX5" s="30">
        <f t="shared" si="6"/>
        <v>1</v>
      </c>
      <c r="BY5" s="30">
        <f t="shared" si="7"/>
        <v>2</v>
      </c>
      <c r="BZ5" s="30">
        <f t="shared" si="8"/>
        <v>0</v>
      </c>
    </row>
    <row r="6" spans="1:78" ht="15.5" x14ac:dyDescent="0.35">
      <c r="A6" s="31" t="s">
        <v>23</v>
      </c>
      <c r="B6" s="33">
        <v>242510003</v>
      </c>
      <c r="C6" s="34" t="s">
        <v>428</v>
      </c>
      <c r="D6" s="139" t="s">
        <v>225</v>
      </c>
      <c r="E6" s="35" t="s">
        <v>6</v>
      </c>
      <c r="F6" s="19"/>
      <c r="G6" s="19"/>
      <c r="H6" s="19"/>
      <c r="I6" s="13"/>
      <c r="J6" s="13">
        <v>2</v>
      </c>
      <c r="K6" s="13"/>
      <c r="L6" s="13"/>
      <c r="M6" s="14"/>
      <c r="N6" s="13"/>
      <c r="O6" s="13"/>
      <c r="P6" s="14"/>
      <c r="Q6" s="13"/>
      <c r="R6" s="13"/>
      <c r="S6" s="14">
        <v>4</v>
      </c>
      <c r="T6" s="13"/>
      <c r="U6" s="13"/>
      <c r="V6" s="14">
        <v>1</v>
      </c>
      <c r="W6" s="13"/>
      <c r="X6" s="30">
        <f t="shared" si="0"/>
        <v>0</v>
      </c>
      <c r="Y6" s="30">
        <f t="shared" si="1"/>
        <v>7</v>
      </c>
      <c r="Z6" s="30">
        <f t="shared" si="2"/>
        <v>0</v>
      </c>
      <c r="AC6" s="43" t="s">
        <v>451</v>
      </c>
      <c r="AD6" s="127" t="s">
        <v>226</v>
      </c>
      <c r="AE6" s="35" t="s">
        <v>6</v>
      </c>
      <c r="AF6" s="3"/>
      <c r="AG6" s="3"/>
      <c r="AH6" s="3"/>
      <c r="AI6" s="4"/>
      <c r="AJ6" s="5"/>
      <c r="AK6" s="5"/>
      <c r="AL6" s="4"/>
      <c r="AM6" s="4"/>
      <c r="AN6" s="4"/>
      <c r="AO6" s="13"/>
      <c r="AP6" s="5"/>
      <c r="AQ6" s="5"/>
      <c r="AR6" s="4"/>
      <c r="AS6" s="5"/>
      <c r="AT6" s="5"/>
      <c r="AU6" s="4"/>
      <c r="AV6" s="5"/>
      <c r="AW6" s="5"/>
      <c r="AX6" s="30">
        <f t="shared" si="3"/>
        <v>0</v>
      </c>
      <c r="AY6" s="30">
        <f t="shared" si="4"/>
        <v>0</v>
      </c>
      <c r="AZ6" s="30">
        <f t="shared" si="5"/>
        <v>0</v>
      </c>
      <c r="BC6" s="37" t="s">
        <v>433</v>
      </c>
      <c r="BD6" s="139" t="s">
        <v>225</v>
      </c>
      <c r="BE6" s="38" t="s">
        <v>6</v>
      </c>
      <c r="BF6" s="19"/>
      <c r="BG6" s="19"/>
      <c r="BH6" s="19"/>
      <c r="BI6" s="13"/>
      <c r="BJ6" s="14">
        <v>1</v>
      </c>
      <c r="BK6" s="14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30">
        <f t="shared" si="6"/>
        <v>0</v>
      </c>
      <c r="BY6" s="30">
        <f t="shared" si="7"/>
        <v>1</v>
      </c>
      <c r="BZ6" s="30">
        <f t="shared" si="8"/>
        <v>0</v>
      </c>
    </row>
    <row r="7" spans="1:78" ht="15.5" x14ac:dyDescent="0.35">
      <c r="A7" s="31" t="s">
        <v>24</v>
      </c>
      <c r="B7" s="35">
        <v>242510004</v>
      </c>
      <c r="C7" s="36" t="s">
        <v>429</v>
      </c>
      <c r="D7" s="139" t="s">
        <v>225</v>
      </c>
      <c r="E7" s="35" t="s">
        <v>8</v>
      </c>
      <c r="F7" s="19"/>
      <c r="G7" s="19"/>
      <c r="H7" s="19"/>
      <c r="I7" s="13"/>
      <c r="J7" s="14"/>
      <c r="K7" s="13"/>
      <c r="L7" s="13"/>
      <c r="M7" s="13">
        <v>2</v>
      </c>
      <c r="N7" s="13"/>
      <c r="O7" s="13"/>
      <c r="P7" s="13">
        <v>4</v>
      </c>
      <c r="Q7" s="13">
        <v>1</v>
      </c>
      <c r="R7" s="13"/>
      <c r="S7" s="13">
        <v>1</v>
      </c>
      <c r="T7" s="13"/>
      <c r="U7" s="13"/>
      <c r="V7" s="13"/>
      <c r="W7" s="13"/>
      <c r="X7" s="30">
        <f t="shared" si="0"/>
        <v>0</v>
      </c>
      <c r="Y7" s="30">
        <f t="shared" si="1"/>
        <v>7</v>
      </c>
      <c r="Z7" s="30">
        <f t="shared" si="2"/>
        <v>1</v>
      </c>
      <c r="AC7" s="43" t="s">
        <v>452</v>
      </c>
      <c r="AD7" s="127" t="s">
        <v>226</v>
      </c>
      <c r="AE7" s="35" t="s">
        <v>6</v>
      </c>
      <c r="AF7" s="3"/>
      <c r="AG7" s="3"/>
      <c r="AH7" s="3"/>
      <c r="AI7" s="4"/>
      <c r="AJ7" s="5"/>
      <c r="AK7" s="5"/>
      <c r="AL7" s="4"/>
      <c r="AM7" s="4"/>
      <c r="AN7" s="4"/>
      <c r="AO7" s="13"/>
      <c r="AP7" s="5"/>
      <c r="AQ7" s="5"/>
      <c r="AR7" s="4"/>
      <c r="AS7" s="5"/>
      <c r="AT7" s="5"/>
      <c r="AU7" s="4"/>
      <c r="AV7" s="5"/>
      <c r="AW7" s="5"/>
      <c r="AX7" s="30">
        <f t="shared" si="3"/>
        <v>0</v>
      </c>
      <c r="AY7" s="30">
        <f t="shared" si="4"/>
        <v>0</v>
      </c>
      <c r="AZ7" s="30">
        <f t="shared" si="5"/>
        <v>0</v>
      </c>
      <c r="BC7" s="36" t="s">
        <v>438</v>
      </c>
      <c r="BD7" s="127" t="s">
        <v>226</v>
      </c>
      <c r="BE7" s="35" t="s">
        <v>6</v>
      </c>
      <c r="BF7" s="3"/>
      <c r="BG7" s="3"/>
      <c r="BH7" s="3"/>
      <c r="BI7" s="4"/>
      <c r="BJ7" s="5">
        <v>1</v>
      </c>
      <c r="BK7" s="5"/>
      <c r="BL7" s="4"/>
      <c r="BM7" s="5"/>
      <c r="BN7" s="4"/>
      <c r="BO7" s="13"/>
      <c r="BP7" s="5"/>
      <c r="BQ7" s="4"/>
      <c r="BR7" s="4"/>
      <c r="BS7" s="5"/>
      <c r="BT7" s="4"/>
      <c r="BU7" s="4"/>
      <c r="BV7" s="5">
        <v>1</v>
      </c>
      <c r="BW7" s="4"/>
      <c r="BX7" s="30">
        <f t="shared" si="6"/>
        <v>0</v>
      </c>
      <c r="BY7" s="30">
        <f t="shared" si="7"/>
        <v>2</v>
      </c>
      <c r="BZ7" s="30">
        <f t="shared" si="8"/>
        <v>0</v>
      </c>
    </row>
    <row r="8" spans="1:78" ht="15.5" x14ac:dyDescent="0.35">
      <c r="A8" s="31" t="s">
        <v>26</v>
      </c>
      <c r="B8" s="35">
        <v>242510006</v>
      </c>
      <c r="C8" s="36" t="s">
        <v>431</v>
      </c>
      <c r="D8" s="139" t="s">
        <v>225</v>
      </c>
      <c r="E8" s="35" t="s">
        <v>6</v>
      </c>
      <c r="F8" s="19"/>
      <c r="G8" s="19"/>
      <c r="H8" s="19"/>
      <c r="I8" s="13"/>
      <c r="J8" s="13"/>
      <c r="K8" s="13"/>
      <c r="L8" s="13"/>
      <c r="M8" s="13"/>
      <c r="N8" s="13"/>
      <c r="O8" s="13"/>
      <c r="P8" s="13">
        <v>5</v>
      </c>
      <c r="Q8" s="13"/>
      <c r="R8" s="13"/>
      <c r="S8" s="13">
        <v>1</v>
      </c>
      <c r="T8" s="13">
        <v>1</v>
      </c>
      <c r="U8" s="13"/>
      <c r="V8" s="13"/>
      <c r="W8" s="13"/>
      <c r="X8" s="30">
        <f t="shared" si="0"/>
        <v>0</v>
      </c>
      <c r="Y8" s="30">
        <f t="shared" si="1"/>
        <v>6</v>
      </c>
      <c r="Z8" s="30">
        <f t="shared" si="2"/>
        <v>1</v>
      </c>
      <c r="AC8" s="47" t="s">
        <v>459</v>
      </c>
      <c r="AD8" s="127" t="s">
        <v>226</v>
      </c>
      <c r="AE8" s="38" t="s">
        <v>6</v>
      </c>
      <c r="AF8" s="3"/>
      <c r="AG8" s="3"/>
      <c r="AH8" s="3"/>
      <c r="AI8" s="4"/>
      <c r="AJ8" s="5"/>
      <c r="AK8" s="4"/>
      <c r="AL8" s="4"/>
      <c r="AM8" s="4"/>
      <c r="AN8" s="4"/>
      <c r="AO8" s="13"/>
      <c r="AP8" s="4"/>
      <c r="AQ8" s="4"/>
      <c r="AR8" s="4"/>
      <c r="AS8" s="4"/>
      <c r="AT8" s="4"/>
      <c r="AU8" s="4"/>
      <c r="AV8" s="4"/>
      <c r="AW8" s="4"/>
      <c r="AX8" s="30">
        <f t="shared" si="3"/>
        <v>0</v>
      </c>
      <c r="AY8" s="30">
        <f t="shared" si="4"/>
        <v>0</v>
      </c>
      <c r="AZ8" s="30">
        <f t="shared" si="5"/>
        <v>0</v>
      </c>
      <c r="BC8" s="36" t="s">
        <v>439</v>
      </c>
      <c r="BD8" s="127" t="s">
        <v>226</v>
      </c>
      <c r="BE8" s="35" t="s">
        <v>6</v>
      </c>
      <c r="BF8" s="3"/>
      <c r="BG8" s="3"/>
      <c r="BH8" s="3"/>
      <c r="BI8" s="4"/>
      <c r="BJ8" s="5"/>
      <c r="BK8" s="4"/>
      <c r="BL8" s="5"/>
      <c r="BM8" s="4"/>
      <c r="BN8" s="5"/>
      <c r="BO8" s="13"/>
      <c r="BP8" s="4"/>
      <c r="BQ8" s="5"/>
      <c r="BR8" s="4"/>
      <c r="BS8" s="4"/>
      <c r="BT8" s="5"/>
      <c r="BU8" s="4"/>
      <c r="BV8" s="4"/>
      <c r="BW8" s="5"/>
      <c r="BX8" s="30">
        <f t="shared" si="6"/>
        <v>0</v>
      </c>
      <c r="BY8" s="30">
        <f t="shared" si="7"/>
        <v>0</v>
      </c>
      <c r="BZ8" s="30">
        <f t="shared" si="8"/>
        <v>0</v>
      </c>
    </row>
    <row r="9" spans="1:78" ht="15.5" x14ac:dyDescent="0.35">
      <c r="A9" s="31" t="s">
        <v>28</v>
      </c>
      <c r="B9" s="35">
        <v>242510008</v>
      </c>
      <c r="C9" s="37" t="s">
        <v>433</v>
      </c>
      <c r="D9" s="139" t="s">
        <v>225</v>
      </c>
      <c r="E9" s="38" t="s">
        <v>6</v>
      </c>
      <c r="F9" s="19"/>
      <c r="G9" s="19"/>
      <c r="H9" s="19"/>
      <c r="I9" s="13"/>
      <c r="J9" s="14">
        <v>1</v>
      </c>
      <c r="K9" s="14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30">
        <f t="shared" si="0"/>
        <v>0</v>
      </c>
      <c r="Y9" s="30">
        <f t="shared" si="1"/>
        <v>1</v>
      </c>
      <c r="Z9" s="30">
        <f t="shared" si="2"/>
        <v>0</v>
      </c>
      <c r="AC9" s="36" t="s">
        <v>461</v>
      </c>
      <c r="AD9" s="127" t="s">
        <v>226</v>
      </c>
      <c r="AE9" s="38" t="s">
        <v>6</v>
      </c>
      <c r="AF9" s="3"/>
      <c r="AG9" s="3"/>
      <c r="AH9" s="3"/>
      <c r="AI9" s="4"/>
      <c r="AJ9" s="4"/>
      <c r="AK9" s="5"/>
      <c r="AL9" s="4"/>
      <c r="AM9" s="4"/>
      <c r="AN9" s="4"/>
      <c r="AO9" s="13"/>
      <c r="AP9" s="4"/>
      <c r="AQ9" s="4"/>
      <c r="AR9" s="4"/>
      <c r="AS9" s="4"/>
      <c r="AT9" s="4"/>
      <c r="AU9" s="4"/>
      <c r="AV9" s="4"/>
      <c r="AW9" s="4"/>
      <c r="AX9" s="30">
        <f t="shared" si="3"/>
        <v>0</v>
      </c>
      <c r="AY9" s="30">
        <f t="shared" si="4"/>
        <v>0</v>
      </c>
      <c r="AZ9" s="30">
        <f t="shared" si="5"/>
        <v>0</v>
      </c>
      <c r="BC9" s="44" t="s">
        <v>441</v>
      </c>
      <c r="BD9" s="127" t="s">
        <v>226</v>
      </c>
      <c r="BE9" s="35" t="s">
        <v>6</v>
      </c>
      <c r="BF9" s="3"/>
      <c r="BG9" s="3"/>
      <c r="BH9" s="3"/>
      <c r="BI9" s="4"/>
      <c r="BJ9" s="5"/>
      <c r="BK9" s="5"/>
      <c r="BL9" s="4"/>
      <c r="BM9" s="4"/>
      <c r="BN9" s="5"/>
      <c r="BO9" s="13"/>
      <c r="BP9" s="4"/>
      <c r="BQ9" s="4"/>
      <c r="BR9" s="4"/>
      <c r="BS9" s="4"/>
      <c r="BT9" s="4"/>
      <c r="BU9" s="4"/>
      <c r="BV9" s="4">
        <v>2</v>
      </c>
      <c r="BW9" s="4"/>
      <c r="BX9" s="30">
        <f t="shared" si="6"/>
        <v>0</v>
      </c>
      <c r="BY9" s="30">
        <f t="shared" si="7"/>
        <v>2</v>
      </c>
      <c r="BZ9" s="30">
        <f t="shared" si="8"/>
        <v>0</v>
      </c>
    </row>
    <row r="10" spans="1:78" ht="15.5" x14ac:dyDescent="0.35">
      <c r="A10" s="31" t="s">
        <v>30</v>
      </c>
      <c r="B10" s="35">
        <v>242510010</v>
      </c>
      <c r="C10" s="41" t="s">
        <v>435</v>
      </c>
      <c r="D10" s="139" t="s">
        <v>225</v>
      </c>
      <c r="E10" s="42" t="s">
        <v>8</v>
      </c>
      <c r="F10" s="19"/>
      <c r="G10" s="19"/>
      <c r="H10" s="20"/>
      <c r="I10" s="13"/>
      <c r="J10" s="13">
        <v>1</v>
      </c>
      <c r="K10" s="14"/>
      <c r="L10" s="13"/>
      <c r="M10" s="13"/>
      <c r="N10" s="14"/>
      <c r="O10" s="13"/>
      <c r="P10" s="13">
        <v>1</v>
      </c>
      <c r="Q10" s="14"/>
      <c r="R10" s="13"/>
      <c r="S10" s="13">
        <v>1</v>
      </c>
      <c r="T10" s="14">
        <v>1</v>
      </c>
      <c r="U10" s="13"/>
      <c r="V10" s="13"/>
      <c r="W10" s="14"/>
      <c r="X10" s="30">
        <f t="shared" si="0"/>
        <v>0</v>
      </c>
      <c r="Y10" s="30">
        <f t="shared" si="1"/>
        <v>3</v>
      </c>
      <c r="Z10" s="30">
        <f t="shared" si="2"/>
        <v>1</v>
      </c>
      <c r="AC10" s="48" t="s">
        <v>462</v>
      </c>
      <c r="AD10" s="127" t="s">
        <v>226</v>
      </c>
      <c r="AE10" s="38" t="s">
        <v>6</v>
      </c>
      <c r="AF10" s="3"/>
      <c r="AG10" s="6"/>
      <c r="AH10" s="3"/>
      <c r="AI10" s="4"/>
      <c r="AJ10" s="5"/>
      <c r="AK10" s="5"/>
      <c r="AL10" s="4"/>
      <c r="AM10" s="4"/>
      <c r="AN10" s="4"/>
      <c r="AO10" s="14"/>
      <c r="AP10" s="5"/>
      <c r="AQ10" s="5"/>
      <c r="AR10" s="5"/>
      <c r="AS10" s="5"/>
      <c r="AT10" s="5"/>
      <c r="AU10" s="5"/>
      <c r="AV10" s="5"/>
      <c r="AW10" s="5"/>
      <c r="AX10" s="30">
        <f t="shared" si="3"/>
        <v>0</v>
      </c>
      <c r="AY10" s="30">
        <f t="shared" si="4"/>
        <v>0</v>
      </c>
      <c r="AZ10" s="30">
        <f t="shared" si="5"/>
        <v>0</v>
      </c>
      <c r="BC10" s="34" t="s">
        <v>443</v>
      </c>
      <c r="BD10" s="127" t="s">
        <v>226</v>
      </c>
      <c r="BE10" s="35" t="s">
        <v>6</v>
      </c>
      <c r="BF10" s="3"/>
      <c r="BG10" s="6"/>
      <c r="BH10" s="3"/>
      <c r="BI10" s="4"/>
      <c r="BJ10" s="5"/>
      <c r="BK10" s="5"/>
      <c r="BL10" s="4"/>
      <c r="BM10" s="4">
        <v>1</v>
      </c>
      <c r="BN10" s="4"/>
      <c r="BO10" s="13"/>
      <c r="BP10" s="5"/>
      <c r="BQ10" s="4"/>
      <c r="BR10" s="4"/>
      <c r="BS10" s="5">
        <v>2</v>
      </c>
      <c r="BT10" s="4"/>
      <c r="BU10" s="4"/>
      <c r="BV10" s="5"/>
      <c r="BW10" s="4"/>
      <c r="BX10" s="30">
        <f t="shared" si="6"/>
        <v>0</v>
      </c>
      <c r="BY10" s="30">
        <f t="shared" si="7"/>
        <v>3</v>
      </c>
      <c r="BZ10" s="30">
        <f t="shared" si="8"/>
        <v>0</v>
      </c>
    </row>
    <row r="11" spans="1:78" ht="15.5" x14ac:dyDescent="0.35">
      <c r="A11" s="31" t="s">
        <v>33</v>
      </c>
      <c r="B11" s="35">
        <v>242510013</v>
      </c>
      <c r="C11" s="36" t="s">
        <v>438</v>
      </c>
      <c r="D11" s="127" t="s">
        <v>226</v>
      </c>
      <c r="E11" s="35" t="s">
        <v>6</v>
      </c>
      <c r="F11" s="3"/>
      <c r="G11" s="3"/>
      <c r="H11" s="3"/>
      <c r="I11" s="4"/>
      <c r="J11" s="5">
        <v>1</v>
      </c>
      <c r="K11" s="5"/>
      <c r="L11" s="4"/>
      <c r="M11" s="5"/>
      <c r="N11" s="4"/>
      <c r="O11" s="13"/>
      <c r="P11" s="5"/>
      <c r="Q11" s="4"/>
      <c r="R11" s="4"/>
      <c r="S11" s="5"/>
      <c r="T11" s="4"/>
      <c r="U11" s="4"/>
      <c r="V11" s="5">
        <v>1</v>
      </c>
      <c r="W11" s="4"/>
      <c r="X11" s="30">
        <f t="shared" si="0"/>
        <v>0</v>
      </c>
      <c r="Y11" s="30">
        <f t="shared" si="1"/>
        <v>2</v>
      </c>
      <c r="Z11" s="30">
        <f t="shared" si="2"/>
        <v>0</v>
      </c>
      <c r="AC11" s="44" t="s">
        <v>465</v>
      </c>
      <c r="AD11" s="127" t="s">
        <v>226</v>
      </c>
      <c r="AE11" s="38" t="s">
        <v>6</v>
      </c>
      <c r="AF11" s="3"/>
      <c r="AG11" s="6"/>
      <c r="AH11" s="3"/>
      <c r="AI11" s="4"/>
      <c r="AJ11" s="5"/>
      <c r="AK11" s="5"/>
      <c r="AL11" s="4"/>
      <c r="AM11" s="4"/>
      <c r="AN11" s="4"/>
      <c r="AO11" s="14"/>
      <c r="AP11" s="5"/>
      <c r="AQ11" s="5"/>
      <c r="AR11" s="5"/>
      <c r="AS11" s="5"/>
      <c r="AT11" s="5"/>
      <c r="AU11" s="5"/>
      <c r="AV11" s="5"/>
      <c r="AW11" s="5"/>
      <c r="AX11" s="30">
        <f t="shared" si="3"/>
        <v>0</v>
      </c>
      <c r="AY11" s="30">
        <f t="shared" si="4"/>
        <v>0</v>
      </c>
      <c r="AZ11" s="30">
        <f t="shared" si="5"/>
        <v>0</v>
      </c>
      <c r="BC11" s="36" t="s">
        <v>446</v>
      </c>
      <c r="BD11" s="127" t="s">
        <v>226</v>
      </c>
      <c r="BE11" s="35" t="s">
        <v>6</v>
      </c>
      <c r="BF11" s="3"/>
      <c r="BG11" s="3"/>
      <c r="BH11" s="3"/>
      <c r="BI11" s="4"/>
      <c r="BJ11" s="5"/>
      <c r="BK11" s="5"/>
      <c r="BL11" s="4"/>
      <c r="BM11" s="4"/>
      <c r="BN11" s="4"/>
      <c r="BO11" s="13"/>
      <c r="BP11" s="5"/>
      <c r="BQ11" s="5"/>
      <c r="BR11" s="4"/>
      <c r="BS11" s="5"/>
      <c r="BT11" s="5"/>
      <c r="BU11" s="4"/>
      <c r="BV11" s="5"/>
      <c r="BW11" s="5"/>
      <c r="BX11" s="30">
        <f t="shared" si="6"/>
        <v>0</v>
      </c>
      <c r="BY11" s="30">
        <f t="shared" si="7"/>
        <v>0</v>
      </c>
      <c r="BZ11" s="30">
        <f t="shared" si="8"/>
        <v>0</v>
      </c>
    </row>
    <row r="12" spans="1:78" ht="15.5" x14ac:dyDescent="0.35">
      <c r="A12" s="31" t="s">
        <v>34</v>
      </c>
      <c r="B12" s="35">
        <v>242510014</v>
      </c>
      <c r="C12" s="36" t="s">
        <v>439</v>
      </c>
      <c r="D12" s="127" t="s">
        <v>226</v>
      </c>
      <c r="E12" s="35" t="s">
        <v>6</v>
      </c>
      <c r="F12" s="3"/>
      <c r="G12" s="3"/>
      <c r="H12" s="3"/>
      <c r="I12" s="4"/>
      <c r="J12" s="5"/>
      <c r="K12" s="4"/>
      <c r="L12" s="5"/>
      <c r="M12" s="4"/>
      <c r="N12" s="5"/>
      <c r="O12" s="13"/>
      <c r="P12" s="4"/>
      <c r="Q12" s="5"/>
      <c r="R12" s="4"/>
      <c r="S12" s="4"/>
      <c r="T12" s="5"/>
      <c r="U12" s="4"/>
      <c r="V12" s="4"/>
      <c r="W12" s="5"/>
      <c r="X12" s="30">
        <f t="shared" si="0"/>
        <v>0</v>
      </c>
      <c r="Y12" s="30">
        <f t="shared" si="1"/>
        <v>0</v>
      </c>
      <c r="Z12" s="30">
        <f t="shared" si="2"/>
        <v>0</v>
      </c>
      <c r="AC12" s="34" t="s">
        <v>466</v>
      </c>
      <c r="AD12" s="127" t="s">
        <v>226</v>
      </c>
      <c r="AE12" s="40" t="s">
        <v>6</v>
      </c>
      <c r="AF12" s="3"/>
      <c r="AG12" s="6"/>
      <c r="AH12" s="3"/>
      <c r="AI12" s="4"/>
      <c r="AJ12" s="5"/>
      <c r="AK12" s="5"/>
      <c r="AL12" s="4"/>
      <c r="AM12" s="4"/>
      <c r="AN12" s="4"/>
      <c r="AO12" s="14"/>
      <c r="AP12" s="5"/>
      <c r="AQ12" s="5"/>
      <c r="AR12" s="5"/>
      <c r="AS12" s="5"/>
      <c r="AT12" s="5"/>
      <c r="AU12" s="5"/>
      <c r="AV12" s="5"/>
      <c r="AW12" s="5"/>
      <c r="AX12" s="30">
        <f t="shared" si="3"/>
        <v>0</v>
      </c>
      <c r="AY12" s="30">
        <f t="shared" si="4"/>
        <v>0</v>
      </c>
      <c r="AZ12" s="30">
        <f t="shared" si="5"/>
        <v>0</v>
      </c>
      <c r="BC12" s="36" t="s">
        <v>447</v>
      </c>
      <c r="BD12" s="127" t="s">
        <v>226</v>
      </c>
      <c r="BE12" s="35" t="s">
        <v>6</v>
      </c>
      <c r="BF12" s="3"/>
      <c r="BG12" s="3"/>
      <c r="BH12" s="3"/>
      <c r="BI12" s="4"/>
      <c r="BJ12" s="5"/>
      <c r="BK12" s="5"/>
      <c r="BL12" s="4"/>
      <c r="BM12" s="4"/>
      <c r="BN12" s="4"/>
      <c r="BO12" s="13"/>
      <c r="BP12" s="5"/>
      <c r="BQ12" s="5"/>
      <c r="BR12" s="4"/>
      <c r="BS12" s="5">
        <v>1</v>
      </c>
      <c r="BT12" s="5"/>
      <c r="BU12" s="4"/>
      <c r="BV12" s="5">
        <v>1</v>
      </c>
      <c r="BW12" s="5"/>
      <c r="BX12" s="30">
        <f t="shared" si="6"/>
        <v>0</v>
      </c>
      <c r="BY12" s="30">
        <f t="shared" si="7"/>
        <v>2</v>
      </c>
      <c r="BZ12" s="30">
        <f t="shared" si="8"/>
        <v>0</v>
      </c>
    </row>
    <row r="13" spans="1:78" ht="15.5" x14ac:dyDescent="0.35">
      <c r="A13" s="31" t="s">
        <v>36</v>
      </c>
      <c r="B13" s="35">
        <v>242510016</v>
      </c>
      <c r="C13" s="44" t="s">
        <v>441</v>
      </c>
      <c r="D13" s="127" t="s">
        <v>226</v>
      </c>
      <c r="E13" s="35" t="s">
        <v>6</v>
      </c>
      <c r="F13" s="3"/>
      <c r="G13" s="3"/>
      <c r="H13" s="3"/>
      <c r="I13" s="4"/>
      <c r="J13" s="5"/>
      <c r="K13" s="5"/>
      <c r="L13" s="4"/>
      <c r="M13" s="4"/>
      <c r="N13" s="5"/>
      <c r="O13" s="13"/>
      <c r="P13" s="4"/>
      <c r="Q13" s="4"/>
      <c r="R13" s="4"/>
      <c r="S13" s="4"/>
      <c r="T13" s="4"/>
      <c r="U13" s="4"/>
      <c r="V13" s="4">
        <v>2</v>
      </c>
      <c r="W13" s="4"/>
      <c r="X13" s="30">
        <f t="shared" si="0"/>
        <v>0</v>
      </c>
      <c r="Y13" s="30">
        <f t="shared" si="1"/>
        <v>2</v>
      </c>
      <c r="Z13" s="30">
        <f t="shared" si="2"/>
        <v>0</v>
      </c>
      <c r="AC13" s="45" t="s">
        <v>469</v>
      </c>
      <c r="AD13" s="139" t="s">
        <v>227</v>
      </c>
      <c r="AE13" s="35" t="s">
        <v>6</v>
      </c>
      <c r="AF13" s="3"/>
      <c r="AG13" s="3"/>
      <c r="AH13" s="3"/>
      <c r="AI13" s="4"/>
      <c r="AJ13" s="5"/>
      <c r="AK13" s="4"/>
      <c r="AL13" s="4"/>
      <c r="AM13" s="4"/>
      <c r="AN13" s="4">
        <v>1</v>
      </c>
      <c r="AO13" s="13"/>
      <c r="AP13" s="4"/>
      <c r="AQ13" s="4"/>
      <c r="AR13" s="4"/>
      <c r="AS13" s="4"/>
      <c r="AT13" s="4"/>
      <c r="AU13" s="4"/>
      <c r="AV13" s="4"/>
      <c r="AW13" s="4"/>
      <c r="AX13" s="30">
        <f t="shared" si="3"/>
        <v>0</v>
      </c>
      <c r="AY13" s="30">
        <f t="shared" si="4"/>
        <v>0</v>
      </c>
      <c r="AZ13" s="30">
        <f t="shared" si="5"/>
        <v>1</v>
      </c>
      <c r="BC13" s="43" t="s">
        <v>449</v>
      </c>
      <c r="BD13" s="127" t="s">
        <v>226</v>
      </c>
      <c r="BE13" s="35" t="s">
        <v>6</v>
      </c>
      <c r="BF13" s="3"/>
      <c r="BG13" s="3"/>
      <c r="BH13" s="3"/>
      <c r="BI13" s="4"/>
      <c r="BJ13" s="5">
        <v>3</v>
      </c>
      <c r="BK13" s="5"/>
      <c r="BL13" s="4"/>
      <c r="BM13" s="4"/>
      <c r="BN13" s="4"/>
      <c r="BO13" s="13"/>
      <c r="BP13" s="5"/>
      <c r="BQ13" s="5"/>
      <c r="BR13" s="4"/>
      <c r="BS13" s="5"/>
      <c r="BT13" s="5"/>
      <c r="BU13" s="4"/>
      <c r="BV13" s="5">
        <v>1</v>
      </c>
      <c r="BW13" s="5"/>
      <c r="BX13" s="30">
        <f t="shared" si="6"/>
        <v>0</v>
      </c>
      <c r="BY13" s="30">
        <f t="shared" si="7"/>
        <v>4</v>
      </c>
      <c r="BZ13" s="30">
        <f t="shared" si="8"/>
        <v>0</v>
      </c>
    </row>
    <row r="14" spans="1:78" ht="15.5" x14ac:dyDescent="0.35">
      <c r="A14" s="31" t="s">
        <v>38</v>
      </c>
      <c r="B14" s="35">
        <v>242510018</v>
      </c>
      <c r="C14" s="145" t="s">
        <v>443</v>
      </c>
      <c r="D14" s="127" t="s">
        <v>226</v>
      </c>
      <c r="E14" s="35" t="s">
        <v>6</v>
      </c>
      <c r="F14" s="3"/>
      <c r="G14" s="6"/>
      <c r="H14" s="3"/>
      <c r="I14" s="4"/>
      <c r="J14" s="5"/>
      <c r="K14" s="5"/>
      <c r="L14" s="4"/>
      <c r="M14" s="4">
        <v>1</v>
      </c>
      <c r="N14" s="4"/>
      <c r="O14" s="13"/>
      <c r="P14" s="5"/>
      <c r="Q14" s="4"/>
      <c r="R14" s="4"/>
      <c r="S14" s="5">
        <v>2</v>
      </c>
      <c r="T14" s="4"/>
      <c r="U14" s="4"/>
      <c r="V14" s="5"/>
      <c r="W14" s="4"/>
      <c r="X14" s="30">
        <f t="shared" si="0"/>
        <v>0</v>
      </c>
      <c r="Y14" s="30">
        <f t="shared" si="1"/>
        <v>3</v>
      </c>
      <c r="Z14" s="30">
        <f t="shared" si="2"/>
        <v>0</v>
      </c>
      <c r="AC14" s="136" t="s">
        <v>482</v>
      </c>
      <c r="AD14" s="139" t="s">
        <v>227</v>
      </c>
      <c r="AE14" s="35" t="s">
        <v>6</v>
      </c>
      <c r="AF14" s="3"/>
      <c r="AG14" s="3"/>
      <c r="AH14" s="3"/>
      <c r="AI14" s="4"/>
      <c r="AJ14" s="5"/>
      <c r="AK14" s="4"/>
      <c r="AL14" s="4"/>
      <c r="AM14" s="4"/>
      <c r="AN14" s="4"/>
      <c r="AO14" s="13"/>
      <c r="AP14" s="4"/>
      <c r="AQ14" s="4"/>
      <c r="AR14" s="4"/>
      <c r="AS14" s="4"/>
      <c r="AT14" s="4"/>
      <c r="AU14" s="4"/>
      <c r="AV14" s="4"/>
      <c r="AW14" s="4"/>
      <c r="AX14" s="30">
        <f t="shared" si="3"/>
        <v>0</v>
      </c>
      <c r="AY14" s="30">
        <f t="shared" si="4"/>
        <v>0</v>
      </c>
      <c r="AZ14" s="30">
        <f t="shared" si="5"/>
        <v>0</v>
      </c>
      <c r="BC14" s="153" t="s">
        <v>451</v>
      </c>
      <c r="BD14" s="127" t="s">
        <v>226</v>
      </c>
      <c r="BE14" s="35" t="s">
        <v>6</v>
      </c>
      <c r="BF14" s="3"/>
      <c r="BG14" s="3"/>
      <c r="BH14" s="3"/>
      <c r="BI14" s="4"/>
      <c r="BJ14" s="5"/>
      <c r="BK14" s="5"/>
      <c r="BL14" s="4"/>
      <c r="BM14" s="4"/>
      <c r="BN14" s="4"/>
      <c r="BO14" s="13"/>
      <c r="BP14" s="5"/>
      <c r="BQ14" s="5"/>
      <c r="BR14" s="4"/>
      <c r="BS14" s="5"/>
      <c r="BT14" s="5"/>
      <c r="BU14" s="4"/>
      <c r="BV14" s="5"/>
      <c r="BW14" s="5"/>
      <c r="BX14" s="30">
        <f t="shared" si="6"/>
        <v>0</v>
      </c>
      <c r="BY14" s="30">
        <f t="shared" si="7"/>
        <v>0</v>
      </c>
      <c r="BZ14" s="30">
        <f t="shared" si="8"/>
        <v>0</v>
      </c>
    </row>
    <row r="15" spans="1:78" ht="15.5" x14ac:dyDescent="0.35">
      <c r="A15" s="31" t="s">
        <v>40</v>
      </c>
      <c r="B15" s="35">
        <v>242510020</v>
      </c>
      <c r="C15" s="44" t="s">
        <v>445</v>
      </c>
      <c r="D15" s="127" t="s">
        <v>226</v>
      </c>
      <c r="E15" s="35" t="s">
        <v>6</v>
      </c>
      <c r="F15" s="3"/>
      <c r="G15" s="3"/>
      <c r="H15" s="3"/>
      <c r="I15" s="4"/>
      <c r="J15" s="5"/>
      <c r="K15" s="5"/>
      <c r="L15" s="4"/>
      <c r="M15" s="4"/>
      <c r="N15" s="4">
        <v>2</v>
      </c>
      <c r="O15" s="13"/>
      <c r="P15" s="5"/>
      <c r="Q15" s="5"/>
      <c r="R15" s="4"/>
      <c r="S15" s="5">
        <v>2</v>
      </c>
      <c r="T15" s="5"/>
      <c r="U15" s="4"/>
      <c r="V15" s="5"/>
      <c r="W15" s="5"/>
      <c r="X15" s="30">
        <f t="shared" si="0"/>
        <v>0</v>
      </c>
      <c r="Y15" s="30">
        <f t="shared" si="1"/>
        <v>2</v>
      </c>
      <c r="Z15" s="30">
        <f t="shared" si="2"/>
        <v>2</v>
      </c>
      <c r="AC15" s="44" t="s">
        <v>492</v>
      </c>
      <c r="AD15" s="140" t="s">
        <v>228</v>
      </c>
      <c r="AE15" s="35" t="s">
        <v>6</v>
      </c>
      <c r="AF15" s="19"/>
      <c r="AG15" s="19"/>
      <c r="AH15" s="19"/>
      <c r="AI15" s="13"/>
      <c r="AJ15" s="14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30">
        <f t="shared" si="3"/>
        <v>0</v>
      </c>
      <c r="AY15" s="30">
        <f t="shared" si="4"/>
        <v>0</v>
      </c>
      <c r="AZ15" s="30">
        <f t="shared" si="5"/>
        <v>0</v>
      </c>
      <c r="BC15" s="43" t="s">
        <v>452</v>
      </c>
      <c r="BD15" s="127" t="s">
        <v>226</v>
      </c>
      <c r="BE15" s="35" t="s">
        <v>6</v>
      </c>
      <c r="BF15" s="3"/>
      <c r="BG15" s="3"/>
      <c r="BH15" s="3"/>
      <c r="BI15" s="4"/>
      <c r="BJ15" s="5"/>
      <c r="BK15" s="5"/>
      <c r="BL15" s="4"/>
      <c r="BM15" s="4"/>
      <c r="BN15" s="4"/>
      <c r="BO15" s="13"/>
      <c r="BP15" s="5"/>
      <c r="BQ15" s="5"/>
      <c r="BR15" s="4"/>
      <c r="BS15" s="5"/>
      <c r="BT15" s="5"/>
      <c r="BU15" s="4"/>
      <c r="BV15" s="5"/>
      <c r="BW15" s="5"/>
      <c r="BX15" s="30">
        <f t="shared" si="6"/>
        <v>0</v>
      </c>
      <c r="BY15" s="30">
        <f t="shared" si="7"/>
        <v>0</v>
      </c>
      <c r="BZ15" s="30">
        <f t="shared" si="8"/>
        <v>0</v>
      </c>
    </row>
    <row r="16" spans="1:78" ht="15.5" x14ac:dyDescent="0.35">
      <c r="A16" s="31" t="s">
        <v>41</v>
      </c>
      <c r="B16" s="127">
        <v>242510021</v>
      </c>
      <c r="C16" s="129" t="s">
        <v>446</v>
      </c>
      <c r="D16" s="127" t="s">
        <v>226</v>
      </c>
      <c r="E16" s="127" t="s">
        <v>6</v>
      </c>
      <c r="F16" s="130"/>
      <c r="G16" s="130"/>
      <c r="H16" s="130"/>
      <c r="I16" s="108"/>
      <c r="J16" s="113"/>
      <c r="K16" s="113"/>
      <c r="L16" s="108"/>
      <c r="M16" s="108"/>
      <c r="N16" s="108"/>
      <c r="O16" s="122"/>
      <c r="P16" s="113"/>
      <c r="Q16" s="113"/>
      <c r="R16" s="108"/>
      <c r="S16" s="113"/>
      <c r="T16" s="113"/>
      <c r="U16" s="108"/>
      <c r="V16" s="113"/>
      <c r="W16" s="113"/>
      <c r="X16" s="109">
        <f t="shared" si="0"/>
        <v>0</v>
      </c>
      <c r="Y16" s="109">
        <f t="shared" si="1"/>
        <v>0</v>
      </c>
      <c r="Z16" s="109">
        <f t="shared" si="2"/>
        <v>0</v>
      </c>
      <c r="AC16" s="133" t="s">
        <v>500</v>
      </c>
      <c r="AD16" s="140" t="s">
        <v>228</v>
      </c>
      <c r="AE16" s="127" t="s">
        <v>6</v>
      </c>
      <c r="AF16" s="125"/>
      <c r="AG16" s="151"/>
      <c r="AH16" s="125"/>
      <c r="AI16" s="128"/>
      <c r="AJ16" s="128"/>
      <c r="AK16" s="128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09">
        <f t="shared" si="3"/>
        <v>0</v>
      </c>
      <c r="AY16" s="109">
        <f t="shared" si="4"/>
        <v>0</v>
      </c>
      <c r="AZ16" s="109">
        <f t="shared" si="5"/>
        <v>0</v>
      </c>
      <c r="BC16" s="149" t="s">
        <v>454</v>
      </c>
      <c r="BD16" s="127" t="s">
        <v>226</v>
      </c>
      <c r="BE16" s="139" t="s">
        <v>6</v>
      </c>
      <c r="BF16" s="130"/>
      <c r="BG16" s="130">
        <v>1</v>
      </c>
      <c r="BH16" s="130"/>
      <c r="BI16" s="108"/>
      <c r="BJ16" s="113">
        <v>2</v>
      </c>
      <c r="BK16" s="113"/>
      <c r="BL16" s="108"/>
      <c r="BM16" s="108">
        <v>3</v>
      </c>
      <c r="BN16" s="108"/>
      <c r="BO16" s="122"/>
      <c r="BP16" s="113">
        <v>1</v>
      </c>
      <c r="BQ16" s="113"/>
      <c r="BR16" s="108"/>
      <c r="BS16" s="113">
        <v>2</v>
      </c>
      <c r="BT16" s="113"/>
      <c r="BU16" s="108"/>
      <c r="BV16" s="113">
        <v>2</v>
      </c>
      <c r="BW16" s="113"/>
      <c r="BX16" s="109">
        <f t="shared" si="6"/>
        <v>0</v>
      </c>
      <c r="BY16" s="109">
        <f t="shared" si="7"/>
        <v>11</v>
      </c>
      <c r="BZ16" s="109">
        <f t="shared" si="8"/>
        <v>0</v>
      </c>
    </row>
    <row r="17" spans="1:78" ht="15.5" x14ac:dyDescent="0.35">
      <c r="A17" s="31" t="s">
        <v>42</v>
      </c>
      <c r="B17" s="35">
        <v>242510022</v>
      </c>
      <c r="C17" s="36" t="s">
        <v>447</v>
      </c>
      <c r="D17" s="127" t="s">
        <v>226</v>
      </c>
      <c r="E17" s="35" t="s">
        <v>6</v>
      </c>
      <c r="F17" s="3"/>
      <c r="G17" s="3"/>
      <c r="H17" s="3"/>
      <c r="I17" s="4"/>
      <c r="J17" s="5"/>
      <c r="K17" s="5"/>
      <c r="L17" s="4"/>
      <c r="M17" s="4"/>
      <c r="N17" s="4"/>
      <c r="O17" s="13"/>
      <c r="P17" s="5"/>
      <c r="Q17" s="5"/>
      <c r="R17" s="4"/>
      <c r="S17" s="5">
        <v>1</v>
      </c>
      <c r="T17" s="5"/>
      <c r="U17" s="4"/>
      <c r="V17" s="5">
        <v>1</v>
      </c>
      <c r="W17" s="5"/>
      <c r="X17" s="30">
        <f t="shared" si="0"/>
        <v>0</v>
      </c>
      <c r="Y17" s="30">
        <f t="shared" si="1"/>
        <v>2</v>
      </c>
      <c r="Z17" s="30">
        <f t="shared" si="2"/>
        <v>0</v>
      </c>
      <c r="AC17" s="36" t="s">
        <v>506</v>
      </c>
      <c r="AD17" s="140" t="s">
        <v>228</v>
      </c>
      <c r="AE17" s="35" t="s">
        <v>6</v>
      </c>
      <c r="AF17" s="19"/>
      <c r="AG17" s="19"/>
      <c r="AH17" s="19"/>
      <c r="AI17" s="13"/>
      <c r="AJ17" s="14"/>
      <c r="AK17" s="14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30">
        <f t="shared" si="3"/>
        <v>0</v>
      </c>
      <c r="AY17" s="30">
        <f t="shared" si="4"/>
        <v>0</v>
      </c>
      <c r="AZ17" s="30">
        <f t="shared" si="5"/>
        <v>0</v>
      </c>
      <c r="BC17" s="46" t="s">
        <v>455</v>
      </c>
      <c r="BD17" s="127" t="s">
        <v>226</v>
      </c>
      <c r="BE17" s="40" t="s">
        <v>6</v>
      </c>
      <c r="BF17" s="3"/>
      <c r="BG17" s="3"/>
      <c r="BH17" s="3"/>
      <c r="BI17" s="4"/>
      <c r="BJ17" s="5"/>
      <c r="BK17" s="5"/>
      <c r="BL17" s="4"/>
      <c r="BM17" s="4">
        <v>1</v>
      </c>
      <c r="BN17" s="4"/>
      <c r="BO17" s="13"/>
      <c r="BP17" s="5"/>
      <c r="BQ17" s="5"/>
      <c r="BR17" s="4"/>
      <c r="BS17" s="5">
        <v>1</v>
      </c>
      <c r="BT17" s="5"/>
      <c r="BU17" s="4"/>
      <c r="BV17" s="5"/>
      <c r="BW17" s="5"/>
      <c r="BX17" s="30">
        <f t="shared" si="6"/>
        <v>0</v>
      </c>
      <c r="BY17" s="30">
        <f t="shared" si="7"/>
        <v>2</v>
      </c>
      <c r="BZ17" s="30">
        <f t="shared" si="8"/>
        <v>0</v>
      </c>
    </row>
    <row r="18" spans="1:78" ht="15.5" x14ac:dyDescent="0.35">
      <c r="A18" s="31" t="s">
        <v>44</v>
      </c>
      <c r="B18" s="35">
        <v>242510024</v>
      </c>
      <c r="C18" s="43" t="s">
        <v>449</v>
      </c>
      <c r="D18" s="127" t="s">
        <v>226</v>
      </c>
      <c r="E18" s="35" t="s">
        <v>6</v>
      </c>
      <c r="F18" s="3"/>
      <c r="G18" s="3"/>
      <c r="H18" s="3"/>
      <c r="I18" s="4"/>
      <c r="J18" s="5">
        <v>3</v>
      </c>
      <c r="K18" s="5"/>
      <c r="L18" s="4"/>
      <c r="M18" s="4"/>
      <c r="N18" s="4"/>
      <c r="O18" s="13"/>
      <c r="P18" s="5"/>
      <c r="Q18" s="5"/>
      <c r="R18" s="4"/>
      <c r="S18" s="5"/>
      <c r="T18" s="5"/>
      <c r="U18" s="4"/>
      <c r="V18" s="5">
        <v>1</v>
      </c>
      <c r="W18" s="5"/>
      <c r="X18" s="30">
        <f t="shared" si="0"/>
        <v>0</v>
      </c>
      <c r="Y18" s="30">
        <f t="shared" si="1"/>
        <v>4</v>
      </c>
      <c r="Z18" s="30">
        <f t="shared" si="2"/>
        <v>0</v>
      </c>
      <c r="AC18" s="41" t="s">
        <v>516</v>
      </c>
      <c r="AD18" s="140" t="s">
        <v>228</v>
      </c>
      <c r="AE18" s="42" t="s">
        <v>6</v>
      </c>
      <c r="AF18" s="19"/>
      <c r="AG18" s="19"/>
      <c r="AH18" s="19"/>
      <c r="AI18" s="13"/>
      <c r="AJ18" s="14"/>
      <c r="AK18" s="14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30">
        <f t="shared" si="3"/>
        <v>0</v>
      </c>
      <c r="AY18" s="30">
        <f t="shared" si="4"/>
        <v>0</v>
      </c>
      <c r="AZ18" s="30">
        <f t="shared" si="5"/>
        <v>0</v>
      </c>
      <c r="BC18" s="44" t="s">
        <v>456</v>
      </c>
      <c r="BD18" s="127" t="s">
        <v>226</v>
      </c>
      <c r="BE18" s="38" t="s">
        <v>6</v>
      </c>
      <c r="BF18" s="3"/>
      <c r="BG18" s="3"/>
      <c r="BH18" s="3"/>
      <c r="BI18" s="4"/>
      <c r="BJ18" s="5"/>
      <c r="BK18" s="5"/>
      <c r="BL18" s="4"/>
      <c r="BM18" s="4"/>
      <c r="BN18" s="4"/>
      <c r="BO18" s="13"/>
      <c r="BP18" s="5"/>
      <c r="BQ18" s="5"/>
      <c r="BR18" s="4"/>
      <c r="BS18" s="5">
        <v>3</v>
      </c>
      <c r="BT18" s="5"/>
      <c r="BU18" s="4"/>
      <c r="BV18" s="5"/>
      <c r="BW18" s="5"/>
      <c r="BX18" s="30">
        <f t="shared" si="6"/>
        <v>0</v>
      </c>
      <c r="BY18" s="30">
        <f t="shared" si="7"/>
        <v>3</v>
      </c>
      <c r="BZ18" s="30">
        <f t="shared" si="8"/>
        <v>0</v>
      </c>
    </row>
    <row r="19" spans="1:78" ht="15.5" x14ac:dyDescent="0.35">
      <c r="A19" s="31" t="s">
        <v>46</v>
      </c>
      <c r="B19" s="35">
        <v>242510026</v>
      </c>
      <c r="C19" s="43" t="s">
        <v>451</v>
      </c>
      <c r="D19" s="127" t="s">
        <v>226</v>
      </c>
      <c r="E19" s="35" t="s">
        <v>6</v>
      </c>
      <c r="F19" s="3"/>
      <c r="G19" s="3"/>
      <c r="H19" s="3"/>
      <c r="I19" s="4"/>
      <c r="J19" s="5"/>
      <c r="K19" s="5"/>
      <c r="L19" s="4"/>
      <c r="M19" s="4"/>
      <c r="N19" s="4"/>
      <c r="O19" s="13"/>
      <c r="P19" s="5"/>
      <c r="Q19" s="5"/>
      <c r="R19" s="4"/>
      <c r="S19" s="5"/>
      <c r="T19" s="5"/>
      <c r="U19" s="4"/>
      <c r="V19" s="5"/>
      <c r="W19" s="5"/>
      <c r="X19" s="30">
        <f t="shared" si="0"/>
        <v>0</v>
      </c>
      <c r="Y19" s="30">
        <f t="shared" si="1"/>
        <v>0</v>
      </c>
      <c r="Z19" s="30">
        <f t="shared" si="2"/>
        <v>0</v>
      </c>
      <c r="AC19" s="41" t="s">
        <v>528</v>
      </c>
      <c r="AD19" s="140" t="s">
        <v>228</v>
      </c>
      <c r="AE19" s="42" t="s">
        <v>8</v>
      </c>
      <c r="AF19" s="19"/>
      <c r="AG19" s="19"/>
      <c r="AH19" s="19"/>
      <c r="AI19" s="13"/>
      <c r="AJ19" s="14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30">
        <f t="shared" si="3"/>
        <v>0</v>
      </c>
      <c r="AY19" s="30">
        <f t="shared" si="4"/>
        <v>0</v>
      </c>
      <c r="AZ19" s="30">
        <f t="shared" si="5"/>
        <v>0</v>
      </c>
      <c r="BC19" s="47" t="s">
        <v>459</v>
      </c>
      <c r="BD19" s="127" t="s">
        <v>226</v>
      </c>
      <c r="BE19" s="38" t="s">
        <v>6</v>
      </c>
      <c r="BF19" s="3"/>
      <c r="BG19" s="3"/>
      <c r="BH19" s="3"/>
      <c r="BI19" s="4"/>
      <c r="BJ19" s="5"/>
      <c r="BK19" s="4"/>
      <c r="BL19" s="4"/>
      <c r="BM19" s="4"/>
      <c r="BN19" s="4"/>
      <c r="BO19" s="13"/>
      <c r="BP19" s="4"/>
      <c r="BQ19" s="4"/>
      <c r="BR19" s="4"/>
      <c r="BS19" s="4"/>
      <c r="BT19" s="4"/>
      <c r="BU19" s="4"/>
      <c r="BV19" s="4"/>
      <c r="BW19" s="4"/>
      <c r="BX19" s="30">
        <f t="shared" si="6"/>
        <v>0</v>
      </c>
      <c r="BY19" s="30">
        <f t="shared" si="7"/>
        <v>0</v>
      </c>
      <c r="BZ19" s="30">
        <f t="shared" si="8"/>
        <v>0</v>
      </c>
    </row>
    <row r="20" spans="1:78" ht="15.5" x14ac:dyDescent="0.35">
      <c r="A20" s="31" t="s">
        <v>47</v>
      </c>
      <c r="B20" s="33">
        <v>242510027</v>
      </c>
      <c r="C20" s="43" t="s">
        <v>452</v>
      </c>
      <c r="D20" s="127" t="s">
        <v>226</v>
      </c>
      <c r="E20" s="35" t="s">
        <v>6</v>
      </c>
      <c r="F20" s="3"/>
      <c r="G20" s="3"/>
      <c r="H20" s="3"/>
      <c r="I20" s="4"/>
      <c r="J20" s="5"/>
      <c r="K20" s="5"/>
      <c r="L20" s="4"/>
      <c r="M20" s="4"/>
      <c r="N20" s="4"/>
      <c r="O20" s="13"/>
      <c r="P20" s="5"/>
      <c r="Q20" s="5"/>
      <c r="R20" s="4"/>
      <c r="S20" s="5"/>
      <c r="T20" s="5"/>
      <c r="U20" s="4"/>
      <c r="V20" s="5"/>
      <c r="W20" s="5"/>
      <c r="X20" s="30">
        <f t="shared" si="0"/>
        <v>0</v>
      </c>
      <c r="Y20" s="30">
        <f t="shared" si="1"/>
        <v>0</v>
      </c>
      <c r="Z20" s="30">
        <f t="shared" si="2"/>
        <v>0</v>
      </c>
      <c r="AC20" s="53" t="s">
        <v>530</v>
      </c>
      <c r="AD20" s="140" t="s">
        <v>228</v>
      </c>
      <c r="AE20" s="42" t="s">
        <v>8</v>
      </c>
      <c r="AF20" s="19"/>
      <c r="AG20" s="19"/>
      <c r="AH20" s="19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30">
        <f t="shared" si="3"/>
        <v>0</v>
      </c>
      <c r="AY20" s="30">
        <f t="shared" si="4"/>
        <v>0</v>
      </c>
      <c r="AZ20" s="30">
        <f t="shared" si="5"/>
        <v>0</v>
      </c>
      <c r="BC20" s="36" t="s">
        <v>460</v>
      </c>
      <c r="BD20" s="127" t="s">
        <v>226</v>
      </c>
      <c r="BE20" s="38" t="s">
        <v>6</v>
      </c>
      <c r="BF20" s="3"/>
      <c r="BG20" s="3"/>
      <c r="BH20" s="3"/>
      <c r="BI20" s="5"/>
      <c r="BJ20" s="4"/>
      <c r="BK20" s="5"/>
      <c r="BL20" s="4"/>
      <c r="BM20" s="4">
        <v>1</v>
      </c>
      <c r="BN20" s="4"/>
      <c r="BO20" s="13"/>
      <c r="BP20" s="5"/>
      <c r="BQ20" s="4"/>
      <c r="BR20" s="4"/>
      <c r="BS20" s="5">
        <v>1</v>
      </c>
      <c r="BT20" s="4"/>
      <c r="BU20" s="4"/>
      <c r="BV20" s="5"/>
      <c r="BW20" s="4"/>
      <c r="BX20" s="30">
        <f t="shared" si="6"/>
        <v>0</v>
      </c>
      <c r="BY20" s="30">
        <f t="shared" si="7"/>
        <v>2</v>
      </c>
      <c r="BZ20" s="30">
        <f t="shared" si="8"/>
        <v>0</v>
      </c>
    </row>
    <row r="21" spans="1:78" ht="15.5" x14ac:dyDescent="0.35">
      <c r="A21" s="31" t="s">
        <v>48</v>
      </c>
      <c r="B21" s="33">
        <v>242510028</v>
      </c>
      <c r="C21" s="36" t="s">
        <v>453</v>
      </c>
      <c r="D21" s="127" t="s">
        <v>226</v>
      </c>
      <c r="E21" s="35" t="s">
        <v>6</v>
      </c>
      <c r="F21" s="3"/>
      <c r="G21" s="3"/>
      <c r="H21" s="3"/>
      <c r="I21" s="4"/>
      <c r="J21" s="5"/>
      <c r="K21" s="5"/>
      <c r="L21" s="4"/>
      <c r="M21" s="4"/>
      <c r="N21" s="4"/>
      <c r="O21" s="13"/>
      <c r="P21" s="5"/>
      <c r="Q21" s="5"/>
      <c r="R21" s="4"/>
      <c r="S21" s="5">
        <v>1</v>
      </c>
      <c r="T21" s="5">
        <v>2</v>
      </c>
      <c r="U21" s="4"/>
      <c r="V21" s="5"/>
      <c r="W21" s="5"/>
      <c r="X21" s="30">
        <f t="shared" si="0"/>
        <v>0</v>
      </c>
      <c r="Y21" s="30">
        <f t="shared" si="1"/>
        <v>1</v>
      </c>
      <c r="Z21" s="30">
        <f t="shared" si="2"/>
        <v>2</v>
      </c>
      <c r="AC21" s="41" t="s">
        <v>546</v>
      </c>
      <c r="AD21" s="140" t="s">
        <v>228</v>
      </c>
      <c r="AE21" s="42" t="s">
        <v>6</v>
      </c>
      <c r="AF21" s="19"/>
      <c r="AG21" s="19"/>
      <c r="AH21" s="19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>
        <v>1</v>
      </c>
      <c r="AX21" s="30">
        <f t="shared" si="3"/>
        <v>0</v>
      </c>
      <c r="AY21" s="30">
        <f t="shared" si="4"/>
        <v>0</v>
      </c>
      <c r="AZ21" s="30">
        <f t="shared" si="5"/>
        <v>1</v>
      </c>
      <c r="BC21" s="36" t="s">
        <v>461</v>
      </c>
      <c r="BD21" s="127" t="s">
        <v>226</v>
      </c>
      <c r="BE21" s="38" t="s">
        <v>6</v>
      </c>
      <c r="BF21" s="3"/>
      <c r="BG21" s="3"/>
      <c r="BH21" s="3"/>
      <c r="BI21" s="4"/>
      <c r="BJ21" s="4"/>
      <c r="BK21" s="5"/>
      <c r="BL21" s="4"/>
      <c r="BM21" s="4"/>
      <c r="BN21" s="4"/>
      <c r="BO21" s="13"/>
      <c r="BP21" s="4"/>
      <c r="BQ21" s="4"/>
      <c r="BR21" s="4"/>
      <c r="BS21" s="4"/>
      <c r="BT21" s="4"/>
      <c r="BU21" s="4"/>
      <c r="BV21" s="4"/>
      <c r="BW21" s="4"/>
      <c r="BX21" s="30">
        <f t="shared" si="6"/>
        <v>0</v>
      </c>
      <c r="BY21" s="30">
        <f t="shared" si="7"/>
        <v>0</v>
      </c>
      <c r="BZ21" s="30">
        <f t="shared" si="8"/>
        <v>0</v>
      </c>
    </row>
    <row r="22" spans="1:78" ht="15.5" x14ac:dyDescent="0.35">
      <c r="A22" s="31" t="s">
        <v>49</v>
      </c>
      <c r="B22" s="35">
        <v>242510029</v>
      </c>
      <c r="C22" s="45" t="s">
        <v>454</v>
      </c>
      <c r="D22" s="127" t="s">
        <v>226</v>
      </c>
      <c r="E22" s="38" t="s">
        <v>6</v>
      </c>
      <c r="F22" s="3"/>
      <c r="G22" s="3">
        <v>1</v>
      </c>
      <c r="H22" s="3"/>
      <c r="I22" s="4"/>
      <c r="J22" s="5">
        <v>2</v>
      </c>
      <c r="K22" s="5"/>
      <c r="L22" s="4"/>
      <c r="M22" s="4">
        <v>3</v>
      </c>
      <c r="N22" s="4"/>
      <c r="O22" s="13"/>
      <c r="P22" s="5">
        <v>1</v>
      </c>
      <c r="Q22" s="5"/>
      <c r="R22" s="4"/>
      <c r="S22" s="5">
        <v>2</v>
      </c>
      <c r="T22" s="5"/>
      <c r="U22" s="4"/>
      <c r="V22" s="5">
        <v>2</v>
      </c>
      <c r="W22" s="5"/>
      <c r="X22" s="30">
        <f t="shared" si="0"/>
        <v>0</v>
      </c>
      <c r="Y22" s="30">
        <f t="shared" si="1"/>
        <v>11</v>
      </c>
      <c r="Z22" s="30">
        <f t="shared" si="2"/>
        <v>0</v>
      </c>
      <c r="AC22" s="37" t="s">
        <v>554</v>
      </c>
      <c r="AD22" s="140" t="s">
        <v>228</v>
      </c>
      <c r="AE22" s="55" t="s">
        <v>8</v>
      </c>
      <c r="AF22" s="19"/>
      <c r="AG22" s="19"/>
      <c r="AH22" s="19"/>
      <c r="AI22" s="13"/>
      <c r="AJ22" s="14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30">
        <f t="shared" si="3"/>
        <v>0</v>
      </c>
      <c r="AY22" s="30">
        <f t="shared" si="4"/>
        <v>0</v>
      </c>
      <c r="AZ22" s="30">
        <f t="shared" si="5"/>
        <v>0</v>
      </c>
      <c r="BC22" s="48" t="s">
        <v>462</v>
      </c>
      <c r="BD22" s="127" t="s">
        <v>226</v>
      </c>
      <c r="BE22" s="38" t="s">
        <v>6</v>
      </c>
      <c r="BF22" s="3"/>
      <c r="BG22" s="6"/>
      <c r="BH22" s="3"/>
      <c r="BI22" s="4"/>
      <c r="BJ22" s="5"/>
      <c r="BK22" s="5"/>
      <c r="BL22" s="4"/>
      <c r="BM22" s="4"/>
      <c r="BN22" s="4"/>
      <c r="BO22" s="14"/>
      <c r="BP22" s="5"/>
      <c r="BQ22" s="5"/>
      <c r="BR22" s="5"/>
      <c r="BS22" s="5"/>
      <c r="BT22" s="5"/>
      <c r="BU22" s="5"/>
      <c r="BV22" s="5"/>
      <c r="BW22" s="5"/>
      <c r="BX22" s="30">
        <f t="shared" si="6"/>
        <v>0</v>
      </c>
      <c r="BY22" s="30">
        <f t="shared" si="7"/>
        <v>0</v>
      </c>
      <c r="BZ22" s="30">
        <f t="shared" si="8"/>
        <v>0</v>
      </c>
    </row>
    <row r="23" spans="1:78" ht="15.5" x14ac:dyDescent="0.35">
      <c r="A23" s="31" t="s">
        <v>50</v>
      </c>
      <c r="B23" s="33">
        <v>242510030</v>
      </c>
      <c r="C23" s="46" t="s">
        <v>455</v>
      </c>
      <c r="D23" s="127" t="s">
        <v>226</v>
      </c>
      <c r="E23" s="40" t="s">
        <v>6</v>
      </c>
      <c r="F23" s="3"/>
      <c r="G23" s="3"/>
      <c r="H23" s="3"/>
      <c r="I23" s="4"/>
      <c r="J23" s="5"/>
      <c r="K23" s="5"/>
      <c r="L23" s="4"/>
      <c r="M23" s="4">
        <v>1</v>
      </c>
      <c r="N23" s="4"/>
      <c r="O23" s="13"/>
      <c r="P23" s="5"/>
      <c r="Q23" s="5"/>
      <c r="R23" s="4"/>
      <c r="S23" s="5">
        <v>1</v>
      </c>
      <c r="T23" s="5"/>
      <c r="U23" s="4"/>
      <c r="V23" s="5"/>
      <c r="W23" s="5"/>
      <c r="X23" s="30">
        <f t="shared" si="0"/>
        <v>0</v>
      </c>
      <c r="Y23" s="30">
        <f t="shared" si="1"/>
        <v>2</v>
      </c>
      <c r="Z23" s="30">
        <f t="shared" si="2"/>
        <v>0</v>
      </c>
      <c r="AC23" s="56" t="s">
        <v>556</v>
      </c>
      <c r="AD23" s="140" t="s">
        <v>228</v>
      </c>
      <c r="AE23" s="35" t="s">
        <v>8</v>
      </c>
      <c r="AF23" s="19"/>
      <c r="AG23" s="19"/>
      <c r="AH23" s="19"/>
      <c r="AI23" s="13"/>
      <c r="AJ23" s="1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30">
        <f t="shared" si="3"/>
        <v>0</v>
      </c>
      <c r="AY23" s="30">
        <f t="shared" si="4"/>
        <v>0</v>
      </c>
      <c r="AZ23" s="30">
        <f t="shared" si="5"/>
        <v>0</v>
      </c>
      <c r="BC23" s="36" t="s">
        <v>463</v>
      </c>
      <c r="BD23" s="127" t="s">
        <v>226</v>
      </c>
      <c r="BE23" s="38" t="s">
        <v>6</v>
      </c>
      <c r="BF23" s="3"/>
      <c r="BG23" s="6"/>
      <c r="BH23" s="3"/>
      <c r="BI23" s="4"/>
      <c r="BJ23" s="5">
        <v>1</v>
      </c>
      <c r="BK23" s="5"/>
      <c r="BL23" s="4"/>
      <c r="BM23" s="4"/>
      <c r="BN23" s="4"/>
      <c r="BO23" s="14"/>
      <c r="BP23" s="5"/>
      <c r="BQ23" s="5"/>
      <c r="BR23" s="5"/>
      <c r="BS23" s="5"/>
      <c r="BT23" s="5"/>
      <c r="BU23" s="5"/>
      <c r="BV23" s="5"/>
      <c r="BW23" s="5"/>
      <c r="BX23" s="30">
        <f t="shared" si="6"/>
        <v>0</v>
      </c>
      <c r="BY23" s="30">
        <f t="shared" si="7"/>
        <v>1</v>
      </c>
      <c r="BZ23" s="30">
        <f t="shared" si="8"/>
        <v>0</v>
      </c>
    </row>
    <row r="24" spans="1:78" ht="15.5" x14ac:dyDescent="0.35">
      <c r="A24" s="31" t="s">
        <v>51</v>
      </c>
      <c r="B24" s="35">
        <v>242510031</v>
      </c>
      <c r="C24" s="44" t="s">
        <v>456</v>
      </c>
      <c r="D24" s="127" t="s">
        <v>226</v>
      </c>
      <c r="E24" s="38" t="s">
        <v>6</v>
      </c>
      <c r="F24" s="3"/>
      <c r="G24" s="3"/>
      <c r="H24" s="3"/>
      <c r="I24" s="4"/>
      <c r="J24" s="5"/>
      <c r="K24" s="5"/>
      <c r="L24" s="4"/>
      <c r="M24" s="4"/>
      <c r="N24" s="4"/>
      <c r="O24" s="13"/>
      <c r="P24" s="5"/>
      <c r="Q24" s="5"/>
      <c r="R24" s="4"/>
      <c r="S24" s="5">
        <v>3</v>
      </c>
      <c r="T24" s="5"/>
      <c r="U24" s="4"/>
      <c r="V24" s="5"/>
      <c r="W24" s="5"/>
      <c r="X24" s="30">
        <f t="shared" si="0"/>
        <v>0</v>
      </c>
      <c r="Y24" s="30">
        <f t="shared" si="1"/>
        <v>3</v>
      </c>
      <c r="Z24" s="30">
        <f t="shared" si="2"/>
        <v>0</v>
      </c>
      <c r="AC24" s="53" t="s">
        <v>564</v>
      </c>
      <c r="AD24" s="140" t="s">
        <v>228</v>
      </c>
      <c r="AE24" s="42" t="s">
        <v>8</v>
      </c>
      <c r="AF24" s="19"/>
      <c r="AG24" s="19"/>
      <c r="AH24" s="19"/>
      <c r="AI24" s="13"/>
      <c r="AJ24" s="14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30">
        <f t="shared" si="3"/>
        <v>0</v>
      </c>
      <c r="AY24" s="30">
        <f t="shared" si="4"/>
        <v>0</v>
      </c>
      <c r="AZ24" s="30">
        <f t="shared" si="5"/>
        <v>0</v>
      </c>
      <c r="BC24" s="44" t="s">
        <v>465</v>
      </c>
      <c r="BD24" s="127" t="s">
        <v>226</v>
      </c>
      <c r="BE24" s="38" t="s">
        <v>6</v>
      </c>
      <c r="BF24" s="3"/>
      <c r="BG24" s="6"/>
      <c r="BH24" s="3"/>
      <c r="BI24" s="4"/>
      <c r="BJ24" s="5"/>
      <c r="BK24" s="5"/>
      <c r="BL24" s="4"/>
      <c r="BM24" s="4"/>
      <c r="BN24" s="4"/>
      <c r="BO24" s="14"/>
      <c r="BP24" s="5"/>
      <c r="BQ24" s="5"/>
      <c r="BR24" s="5"/>
      <c r="BS24" s="5"/>
      <c r="BT24" s="5"/>
      <c r="BU24" s="5"/>
      <c r="BV24" s="5"/>
      <c r="BW24" s="5"/>
      <c r="BX24" s="30">
        <f t="shared" si="6"/>
        <v>0</v>
      </c>
      <c r="BY24" s="30">
        <f t="shared" si="7"/>
        <v>0</v>
      </c>
      <c r="BZ24" s="30">
        <f t="shared" si="8"/>
        <v>0</v>
      </c>
    </row>
    <row r="25" spans="1:78" ht="15.5" x14ac:dyDescent="0.35">
      <c r="A25" s="31" t="s">
        <v>122</v>
      </c>
      <c r="B25" s="35">
        <v>242510032</v>
      </c>
      <c r="C25" s="41" t="s">
        <v>457</v>
      </c>
      <c r="D25" s="127" t="s">
        <v>226</v>
      </c>
      <c r="E25" s="40" t="s">
        <v>6</v>
      </c>
      <c r="F25" s="3"/>
      <c r="G25" s="3"/>
      <c r="H25" s="3"/>
      <c r="I25" s="4"/>
      <c r="J25" s="5"/>
      <c r="K25" s="5"/>
      <c r="L25" s="4"/>
      <c r="M25" s="4"/>
      <c r="N25" s="4"/>
      <c r="O25" s="13"/>
      <c r="P25" s="5"/>
      <c r="Q25" s="5"/>
      <c r="R25" s="4"/>
      <c r="S25" s="5">
        <v>3</v>
      </c>
      <c r="T25" s="5">
        <v>2</v>
      </c>
      <c r="U25" s="4"/>
      <c r="V25" s="5"/>
      <c r="W25" s="5"/>
      <c r="X25" s="30">
        <f t="shared" si="0"/>
        <v>0</v>
      </c>
      <c r="Y25" s="30">
        <f t="shared" si="1"/>
        <v>3</v>
      </c>
      <c r="Z25" s="30">
        <f t="shared" si="2"/>
        <v>2</v>
      </c>
      <c r="AC25" s="51" t="s">
        <v>573</v>
      </c>
      <c r="AD25" s="141" t="s">
        <v>229</v>
      </c>
      <c r="AE25" s="42" t="s">
        <v>6</v>
      </c>
      <c r="AF25" s="3"/>
      <c r="AG25" s="3"/>
      <c r="AH25" s="3"/>
      <c r="AI25" s="4"/>
      <c r="AJ25" s="5"/>
      <c r="AK25" s="5">
        <v>1</v>
      </c>
      <c r="AL25" s="4"/>
      <c r="AM25" s="4"/>
      <c r="AN25" s="4"/>
      <c r="AO25" s="4"/>
      <c r="AP25" s="4"/>
      <c r="AQ25" s="4"/>
      <c r="AR25" s="13"/>
      <c r="AS25" s="13"/>
      <c r="AT25" s="13"/>
      <c r="AU25" s="4"/>
      <c r="AV25" s="4"/>
      <c r="AW25" s="4"/>
      <c r="AX25" s="30">
        <f t="shared" si="3"/>
        <v>0</v>
      </c>
      <c r="AY25" s="30">
        <f t="shared" si="4"/>
        <v>0</v>
      </c>
      <c r="AZ25" s="30">
        <f t="shared" si="5"/>
        <v>1</v>
      </c>
      <c r="BC25" s="34" t="s">
        <v>466</v>
      </c>
      <c r="BD25" s="127" t="s">
        <v>226</v>
      </c>
      <c r="BE25" s="40" t="s">
        <v>6</v>
      </c>
      <c r="BF25" s="3"/>
      <c r="BG25" s="6"/>
      <c r="BH25" s="3"/>
      <c r="BI25" s="4"/>
      <c r="BJ25" s="5"/>
      <c r="BK25" s="5"/>
      <c r="BL25" s="4"/>
      <c r="BM25" s="4"/>
      <c r="BN25" s="4"/>
      <c r="BO25" s="14"/>
      <c r="BP25" s="5"/>
      <c r="BQ25" s="5"/>
      <c r="BR25" s="5"/>
      <c r="BS25" s="5"/>
      <c r="BT25" s="5"/>
      <c r="BU25" s="5"/>
      <c r="BV25" s="5"/>
      <c r="BW25" s="5"/>
      <c r="BX25" s="30">
        <f t="shared" si="6"/>
        <v>0</v>
      </c>
      <c r="BY25" s="30">
        <f t="shared" si="7"/>
        <v>0</v>
      </c>
      <c r="BZ25" s="30">
        <f t="shared" si="8"/>
        <v>0</v>
      </c>
    </row>
    <row r="26" spans="1:78" ht="15.5" x14ac:dyDescent="0.35">
      <c r="A26" s="31" t="s">
        <v>124</v>
      </c>
      <c r="B26" s="33">
        <v>242510034</v>
      </c>
      <c r="C26" s="47" t="s">
        <v>459</v>
      </c>
      <c r="D26" s="127" t="s">
        <v>226</v>
      </c>
      <c r="E26" s="38" t="s">
        <v>6</v>
      </c>
      <c r="F26" s="3"/>
      <c r="G26" s="3"/>
      <c r="H26" s="3"/>
      <c r="I26" s="4"/>
      <c r="J26" s="5"/>
      <c r="K26" s="4"/>
      <c r="L26" s="4"/>
      <c r="M26" s="4"/>
      <c r="N26" s="4"/>
      <c r="O26" s="13"/>
      <c r="P26" s="4"/>
      <c r="Q26" s="4"/>
      <c r="R26" s="4"/>
      <c r="S26" s="4"/>
      <c r="T26" s="4"/>
      <c r="U26" s="4"/>
      <c r="V26" s="4"/>
      <c r="W26" s="4"/>
      <c r="X26" s="30">
        <f t="shared" si="0"/>
        <v>0</v>
      </c>
      <c r="Y26" s="30">
        <f t="shared" si="1"/>
        <v>0</v>
      </c>
      <c r="Z26" s="30">
        <f t="shared" si="2"/>
        <v>0</v>
      </c>
      <c r="AC26" s="43" t="s">
        <v>575</v>
      </c>
      <c r="AD26" s="141" t="s">
        <v>229</v>
      </c>
      <c r="AE26" s="35" t="s">
        <v>6</v>
      </c>
      <c r="AF26" s="3"/>
      <c r="AG26" s="3"/>
      <c r="AH26" s="3"/>
      <c r="AI26" s="4"/>
      <c r="AJ26" s="5"/>
      <c r="AK26" s="4"/>
      <c r="AL26" s="4"/>
      <c r="AM26" s="4"/>
      <c r="AN26" s="4"/>
      <c r="AO26" s="4"/>
      <c r="AP26" s="4"/>
      <c r="AQ26" s="4"/>
      <c r="AR26" s="13"/>
      <c r="AS26" s="13"/>
      <c r="AT26" s="13"/>
      <c r="AU26" s="4"/>
      <c r="AV26" s="4"/>
      <c r="AW26" s="4"/>
      <c r="AX26" s="30">
        <f t="shared" si="3"/>
        <v>0</v>
      </c>
      <c r="AY26" s="30">
        <f t="shared" si="4"/>
        <v>0</v>
      </c>
      <c r="AZ26" s="30">
        <f t="shared" si="5"/>
        <v>0</v>
      </c>
      <c r="BC26" s="43" t="s">
        <v>891</v>
      </c>
      <c r="BD26" s="139" t="s">
        <v>227</v>
      </c>
      <c r="BE26" s="35" t="s">
        <v>6</v>
      </c>
      <c r="BF26" s="3">
        <v>1</v>
      </c>
      <c r="BG26" s="3"/>
      <c r="BH26" s="3"/>
      <c r="BI26" s="4"/>
      <c r="BJ26" s="5">
        <v>1</v>
      </c>
      <c r="BK26" s="4"/>
      <c r="BL26" s="4"/>
      <c r="BM26" s="4">
        <v>1</v>
      </c>
      <c r="BN26" s="4"/>
      <c r="BO26" s="13"/>
      <c r="BP26" s="4">
        <v>2</v>
      </c>
      <c r="BQ26" s="4"/>
      <c r="BR26" s="4"/>
      <c r="BS26" s="4">
        <v>2</v>
      </c>
      <c r="BT26" s="4"/>
      <c r="BU26" s="4"/>
      <c r="BV26" s="4"/>
      <c r="BW26" s="4"/>
      <c r="BX26" s="30">
        <f t="shared" si="6"/>
        <v>1</v>
      </c>
      <c r="BY26" s="30">
        <f t="shared" si="7"/>
        <v>6</v>
      </c>
      <c r="BZ26" s="30">
        <f t="shared" si="8"/>
        <v>0</v>
      </c>
    </row>
    <row r="27" spans="1:78" ht="15.5" x14ac:dyDescent="0.35">
      <c r="A27" s="31" t="s">
        <v>125</v>
      </c>
      <c r="B27" s="35">
        <v>242510035</v>
      </c>
      <c r="C27" s="36" t="s">
        <v>460</v>
      </c>
      <c r="D27" s="127" t="s">
        <v>226</v>
      </c>
      <c r="E27" s="38" t="s">
        <v>6</v>
      </c>
      <c r="F27" s="3"/>
      <c r="G27" s="3"/>
      <c r="H27" s="3"/>
      <c r="I27" s="5"/>
      <c r="J27" s="4"/>
      <c r="K27" s="5"/>
      <c r="L27" s="4"/>
      <c r="M27" s="4">
        <v>1</v>
      </c>
      <c r="N27" s="4"/>
      <c r="O27" s="13"/>
      <c r="P27" s="5"/>
      <c r="Q27" s="4"/>
      <c r="R27" s="4"/>
      <c r="S27" s="5">
        <v>1</v>
      </c>
      <c r="T27" s="4"/>
      <c r="U27" s="4"/>
      <c r="V27" s="5"/>
      <c r="W27" s="4"/>
      <c r="X27" s="30">
        <f t="shared" si="0"/>
        <v>0</v>
      </c>
      <c r="Y27" s="30">
        <f t="shared" si="1"/>
        <v>2</v>
      </c>
      <c r="Z27" s="30">
        <f t="shared" si="2"/>
        <v>0</v>
      </c>
      <c r="AC27" s="47" t="s">
        <v>578</v>
      </c>
      <c r="AD27" s="141" t="s">
        <v>229</v>
      </c>
      <c r="AE27" s="42" t="s">
        <v>6</v>
      </c>
      <c r="AF27" s="3"/>
      <c r="AG27" s="3"/>
      <c r="AH27" s="3"/>
      <c r="AI27" s="4"/>
      <c r="AJ27" s="5"/>
      <c r="AK27" s="4"/>
      <c r="AL27" s="4"/>
      <c r="AM27" s="4"/>
      <c r="AN27" s="4"/>
      <c r="AO27" s="4"/>
      <c r="AP27" s="4"/>
      <c r="AQ27" s="4"/>
      <c r="AR27" s="13">
        <v>1</v>
      </c>
      <c r="AS27" s="13"/>
      <c r="AT27" s="13">
        <v>1</v>
      </c>
      <c r="AU27" s="4"/>
      <c r="AV27" s="4"/>
      <c r="AW27" s="4"/>
      <c r="AX27" s="30">
        <f t="shared" si="3"/>
        <v>1</v>
      </c>
      <c r="AY27" s="30">
        <f t="shared" si="4"/>
        <v>0</v>
      </c>
      <c r="AZ27" s="30">
        <f t="shared" si="5"/>
        <v>1</v>
      </c>
      <c r="BC27" s="43" t="s">
        <v>472</v>
      </c>
      <c r="BD27" s="139" t="s">
        <v>227</v>
      </c>
      <c r="BE27" s="35" t="s">
        <v>6</v>
      </c>
      <c r="BF27" s="3"/>
      <c r="BG27" s="3"/>
      <c r="BH27" s="3"/>
      <c r="BI27" s="4"/>
      <c r="BJ27" s="5"/>
      <c r="BK27" s="4"/>
      <c r="BL27" s="4"/>
      <c r="BM27" s="4"/>
      <c r="BN27" s="4"/>
      <c r="BO27" s="13"/>
      <c r="BP27" s="4"/>
      <c r="BQ27" s="4"/>
      <c r="BR27" s="4"/>
      <c r="BS27" s="4">
        <v>1</v>
      </c>
      <c r="BT27" s="4"/>
      <c r="BU27" s="4"/>
      <c r="BV27" s="4"/>
      <c r="BW27" s="4"/>
      <c r="BX27" s="30">
        <f t="shared" si="6"/>
        <v>0</v>
      </c>
      <c r="BY27" s="30">
        <f t="shared" si="7"/>
        <v>1</v>
      </c>
      <c r="BZ27" s="30">
        <f t="shared" si="8"/>
        <v>0</v>
      </c>
    </row>
    <row r="28" spans="1:78" ht="15.5" x14ac:dyDescent="0.35">
      <c r="A28" s="31" t="s">
        <v>126</v>
      </c>
      <c r="B28" s="35">
        <v>242510036</v>
      </c>
      <c r="C28" s="36" t="s">
        <v>461</v>
      </c>
      <c r="D28" s="127" t="s">
        <v>226</v>
      </c>
      <c r="E28" s="38" t="s">
        <v>6</v>
      </c>
      <c r="F28" s="3"/>
      <c r="G28" s="3"/>
      <c r="H28" s="3"/>
      <c r="I28" s="4"/>
      <c r="J28" s="4"/>
      <c r="K28" s="5"/>
      <c r="L28" s="4"/>
      <c r="M28" s="4"/>
      <c r="N28" s="4"/>
      <c r="O28" s="13"/>
      <c r="P28" s="4"/>
      <c r="Q28" s="4"/>
      <c r="R28" s="4"/>
      <c r="S28" s="4"/>
      <c r="T28" s="4"/>
      <c r="U28" s="4"/>
      <c r="V28" s="4"/>
      <c r="W28" s="4"/>
      <c r="X28" s="30">
        <f t="shared" si="0"/>
        <v>0</v>
      </c>
      <c r="Y28" s="30">
        <f t="shared" si="1"/>
        <v>0</v>
      </c>
      <c r="Z28" s="30">
        <f t="shared" si="2"/>
        <v>0</v>
      </c>
      <c r="AC28" s="37" t="s">
        <v>594</v>
      </c>
      <c r="AD28" s="141" t="s">
        <v>229</v>
      </c>
      <c r="AE28" s="35" t="s">
        <v>8</v>
      </c>
      <c r="AF28" s="3"/>
      <c r="AG28" s="3"/>
      <c r="AH28" s="3"/>
      <c r="AI28" s="4"/>
      <c r="AJ28" s="5"/>
      <c r="AK28" s="4"/>
      <c r="AL28" s="4"/>
      <c r="AM28" s="4"/>
      <c r="AN28" s="4"/>
      <c r="AO28" s="4"/>
      <c r="AP28" s="4"/>
      <c r="AQ28" s="4"/>
      <c r="AR28" s="13"/>
      <c r="AS28" s="13"/>
      <c r="AT28" s="13"/>
      <c r="AU28" s="4"/>
      <c r="AV28" s="4"/>
      <c r="AW28" s="4"/>
      <c r="AX28" s="30">
        <f t="shared" si="3"/>
        <v>0</v>
      </c>
      <c r="AY28" s="30">
        <f t="shared" si="4"/>
        <v>0</v>
      </c>
      <c r="AZ28" s="30">
        <f t="shared" si="5"/>
        <v>0</v>
      </c>
      <c r="BC28" s="36" t="s">
        <v>474</v>
      </c>
      <c r="BD28" s="139" t="s">
        <v>227</v>
      </c>
      <c r="BE28" s="35" t="s">
        <v>6</v>
      </c>
      <c r="BF28" s="3"/>
      <c r="BG28" s="3"/>
      <c r="BH28" s="3"/>
      <c r="BI28" s="4"/>
      <c r="BJ28" s="5"/>
      <c r="BK28" s="4"/>
      <c r="BL28" s="4"/>
      <c r="BM28" s="4"/>
      <c r="BN28" s="4"/>
      <c r="BO28" s="13"/>
      <c r="BP28" s="4">
        <v>1</v>
      </c>
      <c r="BQ28" s="4"/>
      <c r="BR28" s="4"/>
      <c r="BS28" s="4"/>
      <c r="BT28" s="4"/>
      <c r="BU28" s="4"/>
      <c r="BV28" s="4">
        <v>2</v>
      </c>
      <c r="BW28" s="4"/>
      <c r="BX28" s="30">
        <f t="shared" si="6"/>
        <v>0</v>
      </c>
      <c r="BY28" s="30">
        <f t="shared" si="7"/>
        <v>3</v>
      </c>
      <c r="BZ28" s="30">
        <f t="shared" si="8"/>
        <v>0</v>
      </c>
    </row>
    <row r="29" spans="1:78" ht="15.5" x14ac:dyDescent="0.35">
      <c r="A29" s="31" t="s">
        <v>127</v>
      </c>
      <c r="B29" s="35">
        <v>242510037</v>
      </c>
      <c r="C29" s="48" t="s">
        <v>462</v>
      </c>
      <c r="D29" s="127" t="s">
        <v>226</v>
      </c>
      <c r="E29" s="38" t="s">
        <v>6</v>
      </c>
      <c r="F29" s="3"/>
      <c r="G29" s="6"/>
      <c r="H29" s="3"/>
      <c r="I29" s="4"/>
      <c r="J29" s="5"/>
      <c r="K29" s="5"/>
      <c r="L29" s="4"/>
      <c r="M29" s="4"/>
      <c r="N29" s="4"/>
      <c r="O29" s="14"/>
      <c r="P29" s="5"/>
      <c r="Q29" s="5"/>
      <c r="R29" s="5"/>
      <c r="S29" s="5"/>
      <c r="T29" s="5"/>
      <c r="U29" s="5"/>
      <c r="V29" s="5"/>
      <c r="W29" s="5"/>
      <c r="X29" s="30">
        <f t="shared" si="0"/>
        <v>0</v>
      </c>
      <c r="Y29" s="30">
        <f t="shared" si="1"/>
        <v>0</v>
      </c>
      <c r="Z29" s="30">
        <f t="shared" si="2"/>
        <v>0</v>
      </c>
      <c r="AC29" s="56" t="s">
        <v>598</v>
      </c>
      <c r="AD29" s="141" t="s">
        <v>229</v>
      </c>
      <c r="AE29" s="35" t="s">
        <v>8</v>
      </c>
      <c r="AF29" s="3"/>
      <c r="AG29" s="3"/>
      <c r="AH29" s="3"/>
      <c r="AI29" s="4"/>
      <c r="AJ29" s="5"/>
      <c r="AK29" s="4"/>
      <c r="AL29" s="4"/>
      <c r="AM29" s="4"/>
      <c r="AN29" s="4"/>
      <c r="AO29" s="4"/>
      <c r="AP29" s="4"/>
      <c r="AQ29" s="4"/>
      <c r="AR29" s="13"/>
      <c r="AS29" s="13"/>
      <c r="AT29" s="13"/>
      <c r="AU29" s="4"/>
      <c r="AV29" s="4"/>
      <c r="AW29" s="4"/>
      <c r="AX29" s="30">
        <f t="shared" si="3"/>
        <v>0</v>
      </c>
      <c r="AY29" s="30">
        <f t="shared" si="4"/>
        <v>0</v>
      </c>
      <c r="AZ29" s="30">
        <f t="shared" si="5"/>
        <v>0</v>
      </c>
      <c r="BC29" s="36" t="s">
        <v>475</v>
      </c>
      <c r="BD29" s="139" t="s">
        <v>227</v>
      </c>
      <c r="BE29" s="35" t="s">
        <v>6</v>
      </c>
      <c r="BF29" s="3"/>
      <c r="BG29" s="3"/>
      <c r="BH29" s="3"/>
      <c r="BI29" s="4">
        <v>1</v>
      </c>
      <c r="BJ29" s="5"/>
      <c r="BK29" s="4"/>
      <c r="BL29" s="4"/>
      <c r="BM29" s="4">
        <v>1</v>
      </c>
      <c r="BN29" s="4"/>
      <c r="BO29" s="13"/>
      <c r="BP29" s="4">
        <v>1</v>
      </c>
      <c r="BQ29" s="4"/>
      <c r="BR29" s="4"/>
      <c r="BS29" s="4">
        <v>1</v>
      </c>
      <c r="BT29" s="4"/>
      <c r="BU29" s="4"/>
      <c r="BV29" s="4"/>
      <c r="BW29" s="4"/>
      <c r="BX29" s="30">
        <f t="shared" si="6"/>
        <v>1</v>
      </c>
      <c r="BY29" s="30">
        <f t="shared" si="7"/>
        <v>3</v>
      </c>
      <c r="BZ29" s="30">
        <f t="shared" si="8"/>
        <v>0</v>
      </c>
    </row>
    <row r="30" spans="1:78" ht="15.5" customHeight="1" x14ac:dyDescent="0.35">
      <c r="A30" s="31" t="s">
        <v>893</v>
      </c>
      <c r="B30" s="35">
        <v>242510038</v>
      </c>
      <c r="C30" s="36" t="s">
        <v>463</v>
      </c>
      <c r="D30" s="127" t="s">
        <v>226</v>
      </c>
      <c r="E30" s="38" t="s">
        <v>6</v>
      </c>
      <c r="F30" s="3"/>
      <c r="G30" s="6"/>
      <c r="H30" s="3"/>
      <c r="I30" s="4"/>
      <c r="J30" s="5">
        <v>1</v>
      </c>
      <c r="K30" s="5"/>
      <c r="L30" s="4"/>
      <c r="M30" s="4"/>
      <c r="N30" s="4"/>
      <c r="O30" s="14"/>
      <c r="P30" s="5"/>
      <c r="Q30" s="5"/>
      <c r="R30" s="5"/>
      <c r="S30" s="5"/>
      <c r="T30" s="5"/>
      <c r="U30" s="5"/>
      <c r="V30" s="5"/>
      <c r="W30" s="5"/>
      <c r="X30" s="30">
        <f t="shared" si="0"/>
        <v>0</v>
      </c>
      <c r="Y30" s="30">
        <f t="shared" si="1"/>
        <v>1</v>
      </c>
      <c r="Z30" s="30">
        <f t="shared" si="2"/>
        <v>0</v>
      </c>
      <c r="AC30" s="61" t="s">
        <v>1028</v>
      </c>
      <c r="AD30" s="141" t="s">
        <v>229</v>
      </c>
      <c r="AE30" s="52" t="s">
        <v>6</v>
      </c>
      <c r="AF30" s="3"/>
      <c r="AG30" s="3"/>
      <c r="AH30" s="3"/>
      <c r="AI30" s="4"/>
      <c r="AJ30" s="4"/>
      <c r="AK30" s="4"/>
      <c r="AL30" s="4"/>
      <c r="AM30" s="4"/>
      <c r="AN30" s="4"/>
      <c r="AO30" s="4"/>
      <c r="AP30" s="4"/>
      <c r="AQ30" s="4"/>
      <c r="AR30" s="13"/>
      <c r="AS30" s="13"/>
      <c r="AT30" s="13"/>
      <c r="AU30" s="4"/>
      <c r="AV30" s="4"/>
      <c r="AW30" s="4"/>
      <c r="AX30" s="30">
        <f t="shared" si="3"/>
        <v>0</v>
      </c>
      <c r="AY30" s="30">
        <f t="shared" si="4"/>
        <v>0</v>
      </c>
      <c r="AZ30" s="30">
        <f t="shared" si="5"/>
        <v>0</v>
      </c>
      <c r="BC30" s="43" t="s">
        <v>477</v>
      </c>
      <c r="BD30" s="139" t="s">
        <v>227</v>
      </c>
      <c r="BE30" s="35" t="s">
        <v>6</v>
      </c>
      <c r="BF30" s="3"/>
      <c r="BG30" s="3"/>
      <c r="BH30" s="3"/>
      <c r="BI30" s="4"/>
      <c r="BJ30" s="5"/>
      <c r="BK30" s="4"/>
      <c r="BL30" s="4"/>
      <c r="BM30" s="4"/>
      <c r="BN30" s="4"/>
      <c r="BO30" s="13"/>
      <c r="BP30" s="4"/>
      <c r="BQ30" s="4"/>
      <c r="BR30" s="4"/>
      <c r="BS30" s="4">
        <v>1</v>
      </c>
      <c r="BT30" s="4"/>
      <c r="BU30" s="4"/>
      <c r="BV30" s="4"/>
      <c r="BW30" s="4"/>
      <c r="BX30" s="30">
        <f t="shared" si="6"/>
        <v>0</v>
      </c>
      <c r="BY30" s="30">
        <f t="shared" si="7"/>
        <v>1</v>
      </c>
      <c r="BZ30" s="30">
        <f t="shared" si="8"/>
        <v>0</v>
      </c>
    </row>
    <row r="31" spans="1:78" ht="15.5" x14ac:dyDescent="0.35">
      <c r="A31" s="31" t="s">
        <v>890</v>
      </c>
      <c r="B31" s="33">
        <v>242510039</v>
      </c>
      <c r="C31" s="36" t="s">
        <v>464</v>
      </c>
      <c r="D31" s="127" t="s">
        <v>226</v>
      </c>
      <c r="E31" s="38" t="s">
        <v>6</v>
      </c>
      <c r="F31" s="3"/>
      <c r="G31" s="6"/>
      <c r="H31" s="3"/>
      <c r="I31" s="4"/>
      <c r="J31" s="5">
        <v>3</v>
      </c>
      <c r="K31" s="5"/>
      <c r="L31" s="4"/>
      <c r="M31" s="4">
        <v>1</v>
      </c>
      <c r="N31" s="4"/>
      <c r="O31" s="14"/>
      <c r="P31" s="5">
        <v>3</v>
      </c>
      <c r="Q31" s="5">
        <v>1</v>
      </c>
      <c r="R31" s="5"/>
      <c r="S31" s="5">
        <v>4</v>
      </c>
      <c r="T31" s="5"/>
      <c r="U31" s="5"/>
      <c r="V31" s="5">
        <v>1</v>
      </c>
      <c r="W31" s="5"/>
      <c r="X31" s="30">
        <f t="shared" si="0"/>
        <v>0</v>
      </c>
      <c r="Y31" s="30">
        <f t="shared" si="1"/>
        <v>12</v>
      </c>
      <c r="Z31" s="30">
        <f t="shared" si="2"/>
        <v>1</v>
      </c>
      <c r="AC31" s="43" t="s">
        <v>626</v>
      </c>
      <c r="AD31" s="142" t="s">
        <v>230</v>
      </c>
      <c r="AE31" s="35" t="s">
        <v>8</v>
      </c>
      <c r="AF31" s="13"/>
      <c r="AG31" s="13"/>
      <c r="AH31" s="13"/>
      <c r="AI31" s="13"/>
      <c r="AJ31" s="14"/>
      <c r="AK31" s="13"/>
      <c r="AL31" s="13"/>
      <c r="AM31" s="13"/>
      <c r="AN31" s="13">
        <v>1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30">
        <f t="shared" si="3"/>
        <v>0</v>
      </c>
      <c r="AY31" s="30">
        <f t="shared" si="4"/>
        <v>0</v>
      </c>
      <c r="AZ31" s="30">
        <f t="shared" si="5"/>
        <v>1</v>
      </c>
      <c r="BC31" s="50" t="s">
        <v>478</v>
      </c>
      <c r="BD31" s="139" t="s">
        <v>227</v>
      </c>
      <c r="BE31" s="35" t="s">
        <v>6</v>
      </c>
      <c r="BF31" s="3"/>
      <c r="BG31" s="3"/>
      <c r="BH31" s="3"/>
      <c r="BI31" s="4"/>
      <c r="BJ31" s="5"/>
      <c r="BK31" s="4"/>
      <c r="BL31" s="4"/>
      <c r="BM31" s="4"/>
      <c r="BN31" s="4"/>
      <c r="BO31" s="13"/>
      <c r="BP31" s="4"/>
      <c r="BQ31" s="4"/>
      <c r="BR31" s="4"/>
      <c r="BS31" s="4"/>
      <c r="BT31" s="4"/>
      <c r="BU31" s="4"/>
      <c r="BV31" s="4">
        <v>1</v>
      </c>
      <c r="BW31" s="4"/>
      <c r="BX31" s="30">
        <f t="shared" si="6"/>
        <v>0</v>
      </c>
      <c r="BY31" s="30">
        <f t="shared" si="7"/>
        <v>1</v>
      </c>
      <c r="BZ31" s="30">
        <f t="shared" si="8"/>
        <v>0</v>
      </c>
    </row>
    <row r="32" spans="1:78" ht="15.5" x14ac:dyDescent="0.35">
      <c r="A32" s="31" t="s">
        <v>894</v>
      </c>
      <c r="B32" s="35">
        <v>242510040</v>
      </c>
      <c r="C32" s="44" t="s">
        <v>465</v>
      </c>
      <c r="D32" s="127" t="s">
        <v>226</v>
      </c>
      <c r="E32" s="38" t="s">
        <v>6</v>
      </c>
      <c r="F32" s="3"/>
      <c r="G32" s="6"/>
      <c r="H32" s="3"/>
      <c r="I32" s="4"/>
      <c r="J32" s="5"/>
      <c r="K32" s="5"/>
      <c r="L32" s="4"/>
      <c r="M32" s="4"/>
      <c r="N32" s="4"/>
      <c r="O32" s="14"/>
      <c r="P32" s="5"/>
      <c r="Q32" s="5"/>
      <c r="R32" s="5"/>
      <c r="S32" s="5"/>
      <c r="T32" s="5"/>
      <c r="U32" s="5"/>
      <c r="V32" s="5"/>
      <c r="W32" s="5"/>
      <c r="X32" s="30">
        <f t="shared" si="0"/>
        <v>0</v>
      </c>
      <c r="Y32" s="30">
        <f t="shared" si="1"/>
        <v>0</v>
      </c>
      <c r="Z32" s="30">
        <f t="shared" si="2"/>
        <v>0</v>
      </c>
      <c r="AC32" s="47" t="s">
        <v>629</v>
      </c>
      <c r="AD32" s="142" t="s">
        <v>230</v>
      </c>
      <c r="AE32" s="42" t="s">
        <v>8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30">
        <f t="shared" si="3"/>
        <v>0</v>
      </c>
      <c r="AY32" s="30">
        <f t="shared" si="4"/>
        <v>0</v>
      </c>
      <c r="AZ32" s="30">
        <f t="shared" si="5"/>
        <v>0</v>
      </c>
      <c r="BC32" s="43" t="s">
        <v>479</v>
      </c>
      <c r="BD32" s="139" t="s">
        <v>227</v>
      </c>
      <c r="BE32" s="35" t="s">
        <v>6</v>
      </c>
      <c r="BF32" s="3"/>
      <c r="BG32" s="3"/>
      <c r="BH32" s="3"/>
      <c r="BI32" s="4"/>
      <c r="BJ32" s="5"/>
      <c r="BK32" s="4"/>
      <c r="BL32" s="4"/>
      <c r="BM32" s="4"/>
      <c r="BN32" s="4"/>
      <c r="BO32" s="13"/>
      <c r="BP32" s="4">
        <v>1</v>
      </c>
      <c r="BQ32" s="4"/>
      <c r="BR32" s="4"/>
      <c r="BS32" s="4"/>
      <c r="BT32" s="4"/>
      <c r="BU32" s="4"/>
      <c r="BV32" s="4">
        <v>2</v>
      </c>
      <c r="BW32" s="4"/>
      <c r="BX32" s="30">
        <f t="shared" si="6"/>
        <v>0</v>
      </c>
      <c r="BY32" s="30">
        <f t="shared" si="7"/>
        <v>3</v>
      </c>
      <c r="BZ32" s="30">
        <f t="shared" si="8"/>
        <v>0</v>
      </c>
    </row>
    <row r="33" spans="1:78" ht="15.5" x14ac:dyDescent="0.35">
      <c r="A33" s="31" t="s">
        <v>898</v>
      </c>
      <c r="B33" s="35">
        <v>242510041</v>
      </c>
      <c r="C33" s="34" t="s">
        <v>466</v>
      </c>
      <c r="D33" s="127" t="s">
        <v>226</v>
      </c>
      <c r="E33" s="40" t="s">
        <v>6</v>
      </c>
      <c r="F33" s="3"/>
      <c r="G33" s="6"/>
      <c r="H33" s="3"/>
      <c r="I33" s="4"/>
      <c r="J33" s="5"/>
      <c r="K33" s="5"/>
      <c r="L33" s="4"/>
      <c r="M33" s="4"/>
      <c r="N33" s="4"/>
      <c r="O33" s="14"/>
      <c r="P33" s="5"/>
      <c r="Q33" s="5"/>
      <c r="R33" s="5"/>
      <c r="S33" s="5"/>
      <c r="T33" s="5"/>
      <c r="U33" s="5"/>
      <c r="V33" s="5"/>
      <c r="W33" s="5"/>
      <c r="X33" s="30">
        <f t="shared" si="0"/>
        <v>0</v>
      </c>
      <c r="Y33" s="30">
        <f t="shared" si="1"/>
        <v>0</v>
      </c>
      <c r="Z33" s="30">
        <f t="shared" si="2"/>
        <v>0</v>
      </c>
      <c r="AC33" s="37" t="s">
        <v>433</v>
      </c>
      <c r="AD33" s="139" t="s">
        <v>225</v>
      </c>
      <c r="AE33" s="38" t="s">
        <v>6</v>
      </c>
      <c r="AF33" s="19"/>
      <c r="AG33" s="19"/>
      <c r="AH33" s="19"/>
      <c r="AI33" s="13"/>
      <c r="AJ33" s="14">
        <v>1</v>
      </c>
      <c r="AK33" s="14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30">
        <f t="shared" si="3"/>
        <v>0</v>
      </c>
      <c r="AY33" s="30">
        <f t="shared" si="4"/>
        <v>1</v>
      </c>
      <c r="AZ33" s="30">
        <f t="shared" si="5"/>
        <v>0</v>
      </c>
      <c r="BC33" s="47" t="s">
        <v>480</v>
      </c>
      <c r="BD33" s="139" t="s">
        <v>227</v>
      </c>
      <c r="BE33" s="35" t="s">
        <v>6</v>
      </c>
      <c r="BF33" s="3"/>
      <c r="BG33" s="3"/>
      <c r="BH33" s="3"/>
      <c r="BI33" s="4"/>
      <c r="BJ33" s="5"/>
      <c r="BK33" s="4"/>
      <c r="BL33" s="4"/>
      <c r="BM33" s="4"/>
      <c r="BN33" s="4"/>
      <c r="BO33" s="13"/>
      <c r="BP33" s="4"/>
      <c r="BQ33" s="4"/>
      <c r="BR33" s="4">
        <v>1</v>
      </c>
      <c r="BS33" s="4">
        <v>3</v>
      </c>
      <c r="BT33" s="4"/>
      <c r="BU33" s="4"/>
      <c r="BV33" s="4"/>
      <c r="BW33" s="4"/>
      <c r="BX33" s="30">
        <f t="shared" si="6"/>
        <v>1</v>
      </c>
      <c r="BY33" s="30">
        <f t="shared" si="7"/>
        <v>3</v>
      </c>
      <c r="BZ33" s="30">
        <f t="shared" si="8"/>
        <v>0</v>
      </c>
    </row>
    <row r="34" spans="1:78" ht="15.5" x14ac:dyDescent="0.35">
      <c r="A34" s="31" t="s">
        <v>901</v>
      </c>
      <c r="B34" s="35">
        <v>242510045</v>
      </c>
      <c r="C34" s="43" t="s">
        <v>468</v>
      </c>
      <c r="D34" s="139" t="s">
        <v>227</v>
      </c>
      <c r="E34" s="35" t="s">
        <v>6</v>
      </c>
      <c r="F34" s="3"/>
      <c r="G34" s="3"/>
      <c r="H34" s="3"/>
      <c r="I34" s="4"/>
      <c r="J34" s="5"/>
      <c r="K34" s="4"/>
      <c r="L34" s="4"/>
      <c r="M34" s="4"/>
      <c r="N34" s="4"/>
      <c r="O34" s="13"/>
      <c r="P34" s="4">
        <v>2</v>
      </c>
      <c r="Q34" s="4"/>
      <c r="R34" s="4"/>
      <c r="S34" s="4">
        <v>1</v>
      </c>
      <c r="T34" s="4">
        <v>2</v>
      </c>
      <c r="U34" s="4"/>
      <c r="V34" s="4"/>
      <c r="W34" s="4"/>
      <c r="X34" s="30">
        <f t="shared" si="0"/>
        <v>0</v>
      </c>
      <c r="Y34" s="30">
        <f t="shared" si="1"/>
        <v>3</v>
      </c>
      <c r="Z34" s="30">
        <f t="shared" si="2"/>
        <v>2</v>
      </c>
      <c r="AC34" s="36" t="s">
        <v>453</v>
      </c>
      <c r="AD34" s="127" t="s">
        <v>226</v>
      </c>
      <c r="AE34" s="35" t="s">
        <v>6</v>
      </c>
      <c r="AF34" s="3"/>
      <c r="AG34" s="3"/>
      <c r="AH34" s="3"/>
      <c r="AI34" s="4"/>
      <c r="AJ34" s="5"/>
      <c r="AK34" s="5"/>
      <c r="AL34" s="4"/>
      <c r="AM34" s="4"/>
      <c r="AN34" s="4"/>
      <c r="AO34" s="13"/>
      <c r="AP34" s="5"/>
      <c r="AQ34" s="5"/>
      <c r="AR34" s="4"/>
      <c r="AS34" s="5">
        <v>1</v>
      </c>
      <c r="AT34" s="5">
        <v>2</v>
      </c>
      <c r="AU34" s="4"/>
      <c r="AV34" s="5"/>
      <c r="AW34" s="5"/>
      <c r="AX34" s="30">
        <f t="shared" si="3"/>
        <v>0</v>
      </c>
      <c r="AY34" s="30">
        <f t="shared" si="4"/>
        <v>1</v>
      </c>
      <c r="AZ34" s="30">
        <f t="shared" si="5"/>
        <v>2</v>
      </c>
      <c r="BC34" s="43" t="s">
        <v>481</v>
      </c>
      <c r="BD34" s="139" t="s">
        <v>227</v>
      </c>
      <c r="BE34" s="35" t="s">
        <v>6</v>
      </c>
      <c r="BF34" s="3"/>
      <c r="BG34" s="3"/>
      <c r="BH34" s="3"/>
      <c r="BI34" s="4"/>
      <c r="BJ34" s="5"/>
      <c r="BK34" s="4"/>
      <c r="BL34" s="4"/>
      <c r="BM34" s="4"/>
      <c r="BN34" s="4"/>
      <c r="BO34" s="13"/>
      <c r="BP34" s="4">
        <v>1</v>
      </c>
      <c r="BQ34" s="4"/>
      <c r="BR34" s="4"/>
      <c r="BS34" s="4"/>
      <c r="BT34" s="4"/>
      <c r="BU34" s="4"/>
      <c r="BV34" s="4"/>
      <c r="BW34" s="4"/>
      <c r="BX34" s="30">
        <f t="shared" si="6"/>
        <v>0</v>
      </c>
      <c r="BY34" s="30">
        <f t="shared" si="7"/>
        <v>1</v>
      </c>
      <c r="BZ34" s="30">
        <f t="shared" si="8"/>
        <v>0</v>
      </c>
    </row>
    <row r="35" spans="1:78" ht="15.5" x14ac:dyDescent="0.35">
      <c r="A35" s="31" t="s">
        <v>902</v>
      </c>
      <c r="B35" s="35">
        <v>242510046</v>
      </c>
      <c r="C35" s="45" t="s">
        <v>469</v>
      </c>
      <c r="D35" s="139" t="s">
        <v>227</v>
      </c>
      <c r="E35" s="35" t="s">
        <v>6</v>
      </c>
      <c r="F35" s="3"/>
      <c r="G35" s="3"/>
      <c r="H35" s="3"/>
      <c r="I35" s="4"/>
      <c r="J35" s="5"/>
      <c r="K35" s="4"/>
      <c r="L35" s="4"/>
      <c r="M35" s="4"/>
      <c r="N35" s="4">
        <v>1</v>
      </c>
      <c r="O35" s="13"/>
      <c r="P35" s="4"/>
      <c r="Q35" s="4"/>
      <c r="R35" s="4"/>
      <c r="S35" s="4"/>
      <c r="T35" s="4"/>
      <c r="U35" s="4"/>
      <c r="V35" s="4"/>
      <c r="W35" s="4"/>
      <c r="X35" s="30">
        <f t="shared" si="0"/>
        <v>0</v>
      </c>
      <c r="Y35" s="30">
        <f t="shared" si="1"/>
        <v>0</v>
      </c>
      <c r="Z35" s="30">
        <f t="shared" si="2"/>
        <v>1</v>
      </c>
      <c r="AC35" s="36" t="s">
        <v>463</v>
      </c>
      <c r="AD35" s="127" t="s">
        <v>226</v>
      </c>
      <c r="AE35" s="38" t="s">
        <v>6</v>
      </c>
      <c r="AF35" s="3"/>
      <c r="AG35" s="6"/>
      <c r="AH35" s="3"/>
      <c r="AI35" s="4"/>
      <c r="AJ35" s="5">
        <v>1</v>
      </c>
      <c r="AK35" s="5"/>
      <c r="AL35" s="4"/>
      <c r="AM35" s="4"/>
      <c r="AN35" s="4"/>
      <c r="AO35" s="14"/>
      <c r="AP35" s="5"/>
      <c r="AQ35" s="5"/>
      <c r="AR35" s="5"/>
      <c r="AS35" s="5"/>
      <c r="AT35" s="5"/>
      <c r="AU35" s="5"/>
      <c r="AV35" s="5"/>
      <c r="AW35" s="5"/>
      <c r="AX35" s="30">
        <f t="shared" si="3"/>
        <v>0</v>
      </c>
      <c r="AY35" s="30">
        <f t="shared" si="4"/>
        <v>1</v>
      </c>
      <c r="AZ35" s="30">
        <f t="shared" si="5"/>
        <v>0</v>
      </c>
      <c r="BC35" s="36" t="s">
        <v>482</v>
      </c>
      <c r="BD35" s="139" t="s">
        <v>227</v>
      </c>
      <c r="BE35" s="35" t="s">
        <v>6</v>
      </c>
      <c r="BF35" s="3"/>
      <c r="BG35" s="3"/>
      <c r="BH35" s="3"/>
      <c r="BI35" s="4"/>
      <c r="BJ35" s="5"/>
      <c r="BK35" s="4"/>
      <c r="BL35" s="4"/>
      <c r="BM35" s="4"/>
      <c r="BN35" s="4"/>
      <c r="BO35" s="13"/>
      <c r="BP35" s="4"/>
      <c r="BQ35" s="4"/>
      <c r="BR35" s="4"/>
      <c r="BS35" s="4"/>
      <c r="BT35" s="4"/>
      <c r="BU35" s="4"/>
      <c r="BV35" s="4"/>
      <c r="BW35" s="4"/>
      <c r="BX35" s="30">
        <f t="shared" si="6"/>
        <v>0</v>
      </c>
      <c r="BY35" s="30">
        <f t="shared" si="7"/>
        <v>0</v>
      </c>
      <c r="BZ35" s="30">
        <f t="shared" si="8"/>
        <v>0</v>
      </c>
    </row>
    <row r="36" spans="1:78" ht="15.5" x14ac:dyDescent="0.35">
      <c r="A36" s="31" t="s">
        <v>903</v>
      </c>
      <c r="B36" s="35">
        <v>242510047</v>
      </c>
      <c r="C36" s="36" t="s">
        <v>470</v>
      </c>
      <c r="D36" s="139" t="s">
        <v>227</v>
      </c>
      <c r="E36" s="35" t="s">
        <v>6</v>
      </c>
      <c r="F36" s="3"/>
      <c r="G36" s="3"/>
      <c r="H36" s="3"/>
      <c r="I36" s="4"/>
      <c r="J36" s="5"/>
      <c r="K36" s="4">
        <v>1</v>
      </c>
      <c r="L36" s="4"/>
      <c r="M36" s="4"/>
      <c r="N36" s="4"/>
      <c r="O36" s="13"/>
      <c r="P36" s="4"/>
      <c r="Q36" s="4"/>
      <c r="R36" s="4"/>
      <c r="S36" s="4">
        <v>1</v>
      </c>
      <c r="T36" s="4"/>
      <c r="U36" s="4"/>
      <c r="V36" s="4"/>
      <c r="W36" s="4">
        <v>1</v>
      </c>
      <c r="X36" s="30">
        <f t="shared" ref="X36:X67" si="9">SUM(F36,I36,L36,O36,R36,U36)</f>
        <v>0</v>
      </c>
      <c r="Y36" s="30">
        <f t="shared" ref="Y36:Y67" si="10">SUM(G36,J36,M36,P36,S36,V36)</f>
        <v>1</v>
      </c>
      <c r="Z36" s="30">
        <f t="shared" ref="Z36:Z67" si="11">SUM(H36,K36,N36,Q36,T36,W36)</f>
        <v>2</v>
      </c>
      <c r="AC36" s="36" t="s">
        <v>470</v>
      </c>
      <c r="AD36" s="139" t="s">
        <v>227</v>
      </c>
      <c r="AE36" s="35" t="s">
        <v>6</v>
      </c>
      <c r="AF36" s="3"/>
      <c r="AG36" s="3"/>
      <c r="AH36" s="3"/>
      <c r="AI36" s="4"/>
      <c r="AJ36" s="5"/>
      <c r="AK36" s="4">
        <v>1</v>
      </c>
      <c r="AL36" s="4"/>
      <c r="AM36" s="4"/>
      <c r="AN36" s="4"/>
      <c r="AO36" s="13"/>
      <c r="AP36" s="4"/>
      <c r="AQ36" s="4"/>
      <c r="AR36" s="4"/>
      <c r="AS36" s="4">
        <v>1</v>
      </c>
      <c r="AT36" s="4"/>
      <c r="AU36" s="4"/>
      <c r="AV36" s="4"/>
      <c r="AW36" s="4">
        <v>1</v>
      </c>
      <c r="AX36" s="30">
        <f t="shared" ref="AX36:AX67" si="12">SUM(AF36,AI36,AL36,AO36,AR36,AU36)</f>
        <v>0</v>
      </c>
      <c r="AY36" s="30">
        <f t="shared" ref="AY36:AY67" si="13">SUM(AG36,AJ36,AM36,AP36,AS36,AV36)</f>
        <v>1</v>
      </c>
      <c r="AZ36" s="30">
        <f t="shared" ref="AZ36:AZ67" si="14">SUM(AH36,AK36,AN36,AQ36,AT36,AW36)</f>
        <v>2</v>
      </c>
      <c r="BC36" s="34" t="s">
        <v>484</v>
      </c>
      <c r="BD36" s="139" t="s">
        <v>227</v>
      </c>
      <c r="BE36" s="35" t="s">
        <v>6</v>
      </c>
      <c r="BF36" s="3"/>
      <c r="BG36" s="3"/>
      <c r="BH36" s="3"/>
      <c r="BI36" s="4"/>
      <c r="BJ36" s="5">
        <v>3</v>
      </c>
      <c r="BK36" s="4"/>
      <c r="BL36" s="4"/>
      <c r="BM36" s="5"/>
      <c r="BN36" s="4"/>
      <c r="BO36" s="13"/>
      <c r="BP36" s="5"/>
      <c r="BQ36" s="4"/>
      <c r="BR36" s="4">
        <v>1</v>
      </c>
      <c r="BS36" s="5">
        <v>2</v>
      </c>
      <c r="BT36" s="4"/>
      <c r="BU36" s="4"/>
      <c r="BV36" s="5"/>
      <c r="BW36" s="4"/>
      <c r="BX36" s="30">
        <f t="shared" ref="BX36:BX67" si="15">SUM(BF36,BI36,BL36,BO36,BR36,BU36)</f>
        <v>1</v>
      </c>
      <c r="BY36" s="30">
        <f t="shared" ref="BY36:BY67" si="16">SUM(BG36,BJ36,BM36,BP36,BS36,BV36)</f>
        <v>5</v>
      </c>
      <c r="BZ36" s="30">
        <f t="shared" ref="BZ36:BZ67" si="17">SUM(BH36,BK36,BN36,BQ36,BT36,BW36)</f>
        <v>0</v>
      </c>
    </row>
    <row r="37" spans="1:78" ht="15.5" x14ac:dyDescent="0.35">
      <c r="A37" s="31" t="s">
        <v>905</v>
      </c>
      <c r="B37" s="35">
        <v>242510049</v>
      </c>
      <c r="C37" s="43" t="s">
        <v>472</v>
      </c>
      <c r="D37" s="139" t="s">
        <v>227</v>
      </c>
      <c r="E37" s="35" t="s">
        <v>6</v>
      </c>
      <c r="F37" s="3"/>
      <c r="G37" s="3"/>
      <c r="H37" s="3"/>
      <c r="I37" s="4"/>
      <c r="J37" s="5"/>
      <c r="K37" s="4"/>
      <c r="L37" s="4"/>
      <c r="M37" s="4"/>
      <c r="N37" s="4"/>
      <c r="O37" s="13"/>
      <c r="P37" s="4"/>
      <c r="Q37" s="4"/>
      <c r="R37" s="4"/>
      <c r="S37" s="4">
        <v>1</v>
      </c>
      <c r="T37" s="4"/>
      <c r="U37" s="4"/>
      <c r="V37" s="4"/>
      <c r="W37" s="4"/>
      <c r="X37" s="30">
        <f t="shared" si="9"/>
        <v>0</v>
      </c>
      <c r="Y37" s="30">
        <f t="shared" si="10"/>
        <v>1</v>
      </c>
      <c r="Z37" s="30">
        <f t="shared" si="11"/>
        <v>0</v>
      </c>
      <c r="AC37" s="43" t="s">
        <v>472</v>
      </c>
      <c r="AD37" s="139" t="s">
        <v>227</v>
      </c>
      <c r="AE37" s="35" t="s">
        <v>6</v>
      </c>
      <c r="AF37" s="3"/>
      <c r="AG37" s="3"/>
      <c r="AH37" s="3"/>
      <c r="AI37" s="4"/>
      <c r="AJ37" s="5"/>
      <c r="AK37" s="4"/>
      <c r="AL37" s="4"/>
      <c r="AM37" s="4"/>
      <c r="AN37" s="4"/>
      <c r="AO37" s="13"/>
      <c r="AP37" s="4"/>
      <c r="AQ37" s="4"/>
      <c r="AR37" s="4"/>
      <c r="AS37" s="4">
        <v>1</v>
      </c>
      <c r="AT37" s="4"/>
      <c r="AU37" s="4"/>
      <c r="AV37" s="4"/>
      <c r="AW37" s="4"/>
      <c r="AX37" s="30">
        <f t="shared" si="12"/>
        <v>0</v>
      </c>
      <c r="AY37" s="30">
        <f t="shared" si="13"/>
        <v>1</v>
      </c>
      <c r="AZ37" s="30">
        <f t="shared" si="14"/>
        <v>0</v>
      </c>
      <c r="BC37" s="36" t="s">
        <v>485</v>
      </c>
      <c r="BD37" s="139" t="s">
        <v>227</v>
      </c>
      <c r="BE37" s="35" t="s">
        <v>6</v>
      </c>
      <c r="BF37" s="3"/>
      <c r="BG37" s="3"/>
      <c r="BH37" s="3"/>
      <c r="BI37" s="4"/>
      <c r="BJ37" s="5"/>
      <c r="BK37" s="4"/>
      <c r="BL37" s="4"/>
      <c r="BM37" s="5">
        <v>1</v>
      </c>
      <c r="BN37" s="4"/>
      <c r="BO37" s="13"/>
      <c r="BP37" s="5"/>
      <c r="BQ37" s="4"/>
      <c r="BR37" s="4"/>
      <c r="BS37" s="5">
        <v>1</v>
      </c>
      <c r="BT37" s="4"/>
      <c r="BU37" s="4"/>
      <c r="BV37" s="5"/>
      <c r="BW37" s="4"/>
      <c r="BX37" s="30">
        <f t="shared" si="15"/>
        <v>0</v>
      </c>
      <c r="BY37" s="30">
        <f t="shared" si="16"/>
        <v>2</v>
      </c>
      <c r="BZ37" s="30">
        <f t="shared" si="17"/>
        <v>0</v>
      </c>
    </row>
    <row r="38" spans="1:78" ht="15.5" x14ac:dyDescent="0.35">
      <c r="A38" s="31" t="s">
        <v>906</v>
      </c>
      <c r="B38" s="35">
        <v>242510050</v>
      </c>
      <c r="C38" s="36" t="s">
        <v>473</v>
      </c>
      <c r="D38" s="139" t="s">
        <v>227</v>
      </c>
      <c r="E38" s="52" t="s">
        <v>6</v>
      </c>
      <c r="F38" s="3"/>
      <c r="G38" s="3"/>
      <c r="H38" s="3"/>
      <c r="I38" s="4"/>
      <c r="J38" s="5">
        <v>2</v>
      </c>
      <c r="K38" s="4"/>
      <c r="L38" s="4"/>
      <c r="M38" s="4"/>
      <c r="N38" s="4"/>
      <c r="O38" s="13"/>
      <c r="P38" s="4">
        <v>3</v>
      </c>
      <c r="Q38" s="4">
        <v>1</v>
      </c>
      <c r="R38" s="4"/>
      <c r="S38" s="4">
        <v>2</v>
      </c>
      <c r="T38" s="4">
        <v>2</v>
      </c>
      <c r="U38" s="4"/>
      <c r="V38" s="4"/>
      <c r="W38" s="4"/>
      <c r="X38" s="30">
        <f t="shared" si="9"/>
        <v>0</v>
      </c>
      <c r="Y38" s="30">
        <f t="shared" si="10"/>
        <v>7</v>
      </c>
      <c r="Z38" s="30">
        <f t="shared" si="11"/>
        <v>3</v>
      </c>
      <c r="AC38" s="43" t="s">
        <v>477</v>
      </c>
      <c r="AD38" s="139" t="s">
        <v>227</v>
      </c>
      <c r="AE38" s="35" t="s">
        <v>6</v>
      </c>
      <c r="AF38" s="3"/>
      <c r="AG38" s="3"/>
      <c r="AH38" s="3"/>
      <c r="AI38" s="4"/>
      <c r="AJ38" s="5"/>
      <c r="AK38" s="4"/>
      <c r="AL38" s="4"/>
      <c r="AM38" s="4"/>
      <c r="AN38" s="4"/>
      <c r="AO38" s="13"/>
      <c r="AP38" s="4"/>
      <c r="AQ38" s="4"/>
      <c r="AR38" s="4"/>
      <c r="AS38" s="4">
        <v>1</v>
      </c>
      <c r="AT38" s="4"/>
      <c r="AU38" s="4"/>
      <c r="AV38" s="4"/>
      <c r="AW38" s="4"/>
      <c r="AX38" s="30">
        <f t="shared" si="12"/>
        <v>0</v>
      </c>
      <c r="AY38" s="30">
        <f t="shared" si="13"/>
        <v>1</v>
      </c>
      <c r="AZ38" s="30">
        <f t="shared" si="14"/>
        <v>0</v>
      </c>
      <c r="BC38" s="34" t="s">
        <v>486</v>
      </c>
      <c r="BD38" s="139" t="s">
        <v>227</v>
      </c>
      <c r="BE38" s="35" t="s">
        <v>6</v>
      </c>
      <c r="BF38" s="3"/>
      <c r="BG38" s="3"/>
      <c r="BH38" s="3"/>
      <c r="BI38" s="4"/>
      <c r="BJ38" s="5"/>
      <c r="BK38" s="5"/>
      <c r="BL38" s="4"/>
      <c r="BM38" s="5"/>
      <c r="BN38" s="5"/>
      <c r="BO38" s="13"/>
      <c r="BP38" s="5"/>
      <c r="BQ38" s="5"/>
      <c r="BR38" s="4"/>
      <c r="BS38" s="5">
        <v>1</v>
      </c>
      <c r="BT38" s="5"/>
      <c r="BU38" s="4"/>
      <c r="BV38" s="5"/>
      <c r="BW38" s="5"/>
      <c r="BX38" s="30">
        <f t="shared" si="15"/>
        <v>0</v>
      </c>
      <c r="BY38" s="30">
        <f t="shared" si="16"/>
        <v>1</v>
      </c>
      <c r="BZ38" s="30">
        <f t="shared" si="17"/>
        <v>0</v>
      </c>
    </row>
    <row r="39" spans="1:78" ht="15.5" x14ac:dyDescent="0.35">
      <c r="A39" s="31" t="s">
        <v>907</v>
      </c>
      <c r="B39" s="35">
        <v>242510051</v>
      </c>
      <c r="C39" s="36" t="s">
        <v>474</v>
      </c>
      <c r="D39" s="139" t="s">
        <v>227</v>
      </c>
      <c r="E39" s="35" t="s">
        <v>6</v>
      </c>
      <c r="F39" s="3"/>
      <c r="G39" s="3"/>
      <c r="H39" s="3"/>
      <c r="I39" s="4"/>
      <c r="J39" s="5"/>
      <c r="K39" s="4"/>
      <c r="L39" s="4"/>
      <c r="M39" s="4"/>
      <c r="N39" s="4"/>
      <c r="O39" s="13"/>
      <c r="P39" s="4">
        <v>1</v>
      </c>
      <c r="Q39" s="4"/>
      <c r="R39" s="4"/>
      <c r="S39" s="4"/>
      <c r="T39" s="4"/>
      <c r="U39" s="4"/>
      <c r="V39" s="4">
        <v>2</v>
      </c>
      <c r="W39" s="4"/>
      <c r="X39" s="30">
        <f t="shared" si="9"/>
        <v>0</v>
      </c>
      <c r="Y39" s="30">
        <f t="shared" si="10"/>
        <v>3</v>
      </c>
      <c r="Z39" s="30">
        <f t="shared" si="11"/>
        <v>0</v>
      </c>
      <c r="AC39" s="50" t="s">
        <v>478</v>
      </c>
      <c r="AD39" s="139" t="s">
        <v>227</v>
      </c>
      <c r="AE39" s="35" t="s">
        <v>6</v>
      </c>
      <c r="AF39" s="3"/>
      <c r="AG39" s="3"/>
      <c r="AH39" s="3"/>
      <c r="AI39" s="4"/>
      <c r="AJ39" s="5"/>
      <c r="AK39" s="4"/>
      <c r="AL39" s="4"/>
      <c r="AM39" s="4"/>
      <c r="AN39" s="4"/>
      <c r="AO39" s="13"/>
      <c r="AP39" s="4"/>
      <c r="AQ39" s="4"/>
      <c r="AR39" s="4"/>
      <c r="AS39" s="4"/>
      <c r="AT39" s="4"/>
      <c r="AU39" s="4"/>
      <c r="AV39" s="4">
        <v>1</v>
      </c>
      <c r="AW39" s="4"/>
      <c r="AX39" s="30">
        <f t="shared" si="12"/>
        <v>0</v>
      </c>
      <c r="AY39" s="30">
        <f t="shared" si="13"/>
        <v>1</v>
      </c>
      <c r="AZ39" s="30">
        <f t="shared" si="14"/>
        <v>0</v>
      </c>
      <c r="BC39" s="34" t="s">
        <v>487</v>
      </c>
      <c r="BD39" s="139" t="s">
        <v>227</v>
      </c>
      <c r="BE39" s="35" t="s">
        <v>6</v>
      </c>
      <c r="BF39" s="3">
        <v>1</v>
      </c>
      <c r="BG39" s="3"/>
      <c r="BH39" s="3"/>
      <c r="BI39" s="4"/>
      <c r="BJ39" s="5">
        <v>1</v>
      </c>
      <c r="BK39" s="5"/>
      <c r="BL39" s="4"/>
      <c r="BM39" s="5"/>
      <c r="BN39" s="5"/>
      <c r="BO39" s="13"/>
      <c r="BP39" s="5"/>
      <c r="BQ39" s="5"/>
      <c r="BR39" s="4"/>
      <c r="BS39" s="5"/>
      <c r="BT39" s="5"/>
      <c r="BU39" s="4"/>
      <c r="BV39" s="5"/>
      <c r="BW39" s="5"/>
      <c r="BX39" s="30">
        <f t="shared" si="15"/>
        <v>1</v>
      </c>
      <c r="BY39" s="30">
        <f t="shared" si="16"/>
        <v>1</v>
      </c>
      <c r="BZ39" s="30">
        <f t="shared" si="17"/>
        <v>0</v>
      </c>
    </row>
    <row r="40" spans="1:78" ht="15.5" x14ac:dyDescent="0.35">
      <c r="A40" s="31" t="s">
        <v>910</v>
      </c>
      <c r="B40" s="35">
        <v>242510054</v>
      </c>
      <c r="C40" s="43" t="s">
        <v>477</v>
      </c>
      <c r="D40" s="139" t="s">
        <v>227</v>
      </c>
      <c r="E40" s="35" t="s">
        <v>6</v>
      </c>
      <c r="F40" s="3"/>
      <c r="G40" s="3"/>
      <c r="H40" s="3"/>
      <c r="I40" s="4"/>
      <c r="J40" s="5"/>
      <c r="K40" s="4"/>
      <c r="L40" s="4"/>
      <c r="M40" s="4"/>
      <c r="N40" s="4"/>
      <c r="O40" s="13"/>
      <c r="P40" s="4"/>
      <c r="Q40" s="4"/>
      <c r="R40" s="4"/>
      <c r="S40" s="4">
        <v>1</v>
      </c>
      <c r="T40" s="4"/>
      <c r="U40" s="4"/>
      <c r="V40" s="4"/>
      <c r="W40" s="4"/>
      <c r="X40" s="30">
        <f t="shared" si="9"/>
        <v>0</v>
      </c>
      <c r="Y40" s="30">
        <f t="shared" si="10"/>
        <v>1</v>
      </c>
      <c r="Z40" s="30">
        <f t="shared" si="11"/>
        <v>0</v>
      </c>
      <c r="AC40" s="43" t="s">
        <v>481</v>
      </c>
      <c r="AD40" s="139" t="s">
        <v>227</v>
      </c>
      <c r="AE40" s="35" t="s">
        <v>6</v>
      </c>
      <c r="AF40" s="3"/>
      <c r="AG40" s="3"/>
      <c r="AH40" s="3"/>
      <c r="AI40" s="4"/>
      <c r="AJ40" s="5"/>
      <c r="AK40" s="4"/>
      <c r="AL40" s="4"/>
      <c r="AM40" s="4"/>
      <c r="AN40" s="4"/>
      <c r="AO40" s="13"/>
      <c r="AP40" s="4">
        <v>1</v>
      </c>
      <c r="AQ40" s="4"/>
      <c r="AR40" s="4"/>
      <c r="AS40" s="4"/>
      <c r="AT40" s="4"/>
      <c r="AU40" s="4"/>
      <c r="AV40" s="4"/>
      <c r="AW40" s="4"/>
      <c r="AX40" s="30">
        <f t="shared" si="12"/>
        <v>0</v>
      </c>
      <c r="AY40" s="30">
        <f t="shared" si="13"/>
        <v>1</v>
      </c>
      <c r="AZ40" s="30">
        <f t="shared" si="14"/>
        <v>0</v>
      </c>
      <c r="BC40" s="36" t="s">
        <v>488</v>
      </c>
      <c r="BD40" s="139" t="s">
        <v>227</v>
      </c>
      <c r="BE40" s="35" t="s">
        <v>6</v>
      </c>
      <c r="BF40" s="3"/>
      <c r="BG40" s="6"/>
      <c r="BH40" s="6"/>
      <c r="BI40" s="4"/>
      <c r="BJ40" s="5">
        <v>1</v>
      </c>
      <c r="BK40" s="5"/>
      <c r="BL40" s="4"/>
      <c r="BM40" s="5"/>
      <c r="BN40" s="5"/>
      <c r="BO40" s="13"/>
      <c r="BP40" s="5"/>
      <c r="BQ40" s="5"/>
      <c r="BR40" s="4"/>
      <c r="BS40" s="5"/>
      <c r="BT40" s="5"/>
      <c r="BU40" s="4"/>
      <c r="BV40" s="5"/>
      <c r="BW40" s="5"/>
      <c r="BX40" s="30">
        <f t="shared" si="15"/>
        <v>0</v>
      </c>
      <c r="BY40" s="30">
        <f t="shared" si="16"/>
        <v>1</v>
      </c>
      <c r="BZ40" s="30">
        <f t="shared" si="17"/>
        <v>0</v>
      </c>
    </row>
    <row r="41" spans="1:78" ht="15.5" x14ac:dyDescent="0.35">
      <c r="A41" s="31" t="s">
        <v>911</v>
      </c>
      <c r="B41" s="35">
        <v>242510055</v>
      </c>
      <c r="C41" s="50" t="s">
        <v>478</v>
      </c>
      <c r="D41" s="139" t="s">
        <v>227</v>
      </c>
      <c r="E41" s="35" t="s">
        <v>6</v>
      </c>
      <c r="F41" s="3"/>
      <c r="G41" s="3"/>
      <c r="H41" s="3"/>
      <c r="I41" s="4"/>
      <c r="J41" s="5"/>
      <c r="K41" s="4"/>
      <c r="L41" s="4"/>
      <c r="M41" s="4"/>
      <c r="N41" s="4"/>
      <c r="O41" s="13"/>
      <c r="P41" s="4"/>
      <c r="Q41" s="4"/>
      <c r="R41" s="4"/>
      <c r="S41" s="4"/>
      <c r="T41" s="4"/>
      <c r="U41" s="4"/>
      <c r="V41" s="4">
        <v>1</v>
      </c>
      <c r="W41" s="4"/>
      <c r="X41" s="30">
        <f t="shared" si="9"/>
        <v>0</v>
      </c>
      <c r="Y41" s="30">
        <f t="shared" si="10"/>
        <v>1</v>
      </c>
      <c r="Z41" s="30">
        <f t="shared" si="11"/>
        <v>0</v>
      </c>
      <c r="AC41" s="34" t="s">
        <v>486</v>
      </c>
      <c r="AD41" s="139" t="s">
        <v>227</v>
      </c>
      <c r="AE41" s="35" t="s">
        <v>6</v>
      </c>
      <c r="AF41" s="3"/>
      <c r="AG41" s="3"/>
      <c r="AH41" s="3"/>
      <c r="AI41" s="4"/>
      <c r="AJ41" s="5"/>
      <c r="AK41" s="5"/>
      <c r="AL41" s="4"/>
      <c r="AM41" s="5"/>
      <c r="AN41" s="5"/>
      <c r="AO41" s="13"/>
      <c r="AP41" s="5"/>
      <c r="AQ41" s="5"/>
      <c r="AR41" s="4"/>
      <c r="AS41" s="5">
        <v>1</v>
      </c>
      <c r="AT41" s="5"/>
      <c r="AU41" s="4"/>
      <c r="AV41" s="5"/>
      <c r="AW41" s="5"/>
      <c r="AX41" s="30">
        <f t="shared" si="12"/>
        <v>0</v>
      </c>
      <c r="AY41" s="30">
        <f t="shared" si="13"/>
        <v>1</v>
      </c>
      <c r="AZ41" s="30">
        <f t="shared" si="14"/>
        <v>0</v>
      </c>
      <c r="BC41" s="43" t="s">
        <v>489</v>
      </c>
      <c r="BD41" s="139" t="s">
        <v>227</v>
      </c>
      <c r="BE41" s="35" t="s">
        <v>6</v>
      </c>
      <c r="BF41" s="3"/>
      <c r="BG41" s="3"/>
      <c r="BH41" s="6"/>
      <c r="BI41" s="5"/>
      <c r="BJ41" s="5"/>
      <c r="BK41" s="5"/>
      <c r="BL41" s="4"/>
      <c r="BM41" s="5"/>
      <c r="BN41" s="4"/>
      <c r="BO41" s="13"/>
      <c r="BP41" s="5"/>
      <c r="BQ41" s="4"/>
      <c r="BR41" s="4"/>
      <c r="BS41" s="5">
        <v>1</v>
      </c>
      <c r="BT41" s="4"/>
      <c r="BU41" s="4"/>
      <c r="BV41" s="5"/>
      <c r="BW41" s="4"/>
      <c r="BX41" s="30">
        <f t="shared" si="15"/>
        <v>0</v>
      </c>
      <c r="BY41" s="30">
        <f t="shared" si="16"/>
        <v>1</v>
      </c>
      <c r="BZ41" s="30">
        <f t="shared" si="17"/>
        <v>0</v>
      </c>
    </row>
    <row r="42" spans="1:78" ht="15.5" x14ac:dyDescent="0.35">
      <c r="A42" s="31" t="s">
        <v>912</v>
      </c>
      <c r="B42" s="35">
        <v>242510056</v>
      </c>
      <c r="C42" s="43" t="s">
        <v>479</v>
      </c>
      <c r="D42" s="139" t="s">
        <v>227</v>
      </c>
      <c r="E42" s="35" t="s">
        <v>6</v>
      </c>
      <c r="F42" s="3"/>
      <c r="G42" s="3"/>
      <c r="H42" s="3"/>
      <c r="I42" s="4"/>
      <c r="J42" s="5"/>
      <c r="K42" s="4"/>
      <c r="L42" s="4"/>
      <c r="M42" s="4"/>
      <c r="N42" s="4"/>
      <c r="O42" s="13"/>
      <c r="P42" s="4">
        <v>1</v>
      </c>
      <c r="Q42" s="4"/>
      <c r="R42" s="4"/>
      <c r="S42" s="4"/>
      <c r="T42" s="4"/>
      <c r="U42" s="4"/>
      <c r="V42" s="4">
        <v>2</v>
      </c>
      <c r="W42" s="4"/>
      <c r="X42" s="30">
        <f t="shared" si="9"/>
        <v>0</v>
      </c>
      <c r="Y42" s="30">
        <f t="shared" si="10"/>
        <v>3</v>
      </c>
      <c r="Z42" s="30">
        <f t="shared" si="11"/>
        <v>0</v>
      </c>
      <c r="AC42" s="34" t="s">
        <v>487</v>
      </c>
      <c r="AD42" s="139" t="s">
        <v>227</v>
      </c>
      <c r="AE42" s="35" t="s">
        <v>6</v>
      </c>
      <c r="AF42" s="3">
        <v>1</v>
      </c>
      <c r="AG42" s="3"/>
      <c r="AH42" s="3"/>
      <c r="AI42" s="4"/>
      <c r="AJ42" s="5">
        <v>1</v>
      </c>
      <c r="AK42" s="5"/>
      <c r="AL42" s="4"/>
      <c r="AM42" s="5"/>
      <c r="AN42" s="5"/>
      <c r="AO42" s="13"/>
      <c r="AP42" s="5"/>
      <c r="AQ42" s="5"/>
      <c r="AR42" s="4"/>
      <c r="AS42" s="5"/>
      <c r="AT42" s="5"/>
      <c r="AU42" s="4"/>
      <c r="AV42" s="5"/>
      <c r="AW42" s="5"/>
      <c r="AX42" s="30">
        <f t="shared" si="12"/>
        <v>1</v>
      </c>
      <c r="AY42" s="30">
        <f t="shared" si="13"/>
        <v>1</v>
      </c>
      <c r="AZ42" s="30">
        <f t="shared" si="14"/>
        <v>0</v>
      </c>
      <c r="BC42" s="51" t="s">
        <v>490</v>
      </c>
      <c r="BD42" s="139" t="s">
        <v>227</v>
      </c>
      <c r="BE42" s="42" t="s">
        <v>6</v>
      </c>
      <c r="BF42" s="3"/>
      <c r="BG42" s="3"/>
      <c r="BH42" s="3"/>
      <c r="BI42" s="4"/>
      <c r="BJ42" s="5"/>
      <c r="BK42" s="4"/>
      <c r="BL42" s="4"/>
      <c r="BM42" s="4"/>
      <c r="BN42" s="4"/>
      <c r="BO42" s="13"/>
      <c r="BP42" s="4">
        <v>2</v>
      </c>
      <c r="BQ42" s="4"/>
      <c r="BR42" s="4"/>
      <c r="BS42" s="4"/>
      <c r="BT42" s="4"/>
      <c r="BU42" s="4"/>
      <c r="BV42" s="4"/>
      <c r="BW42" s="4"/>
      <c r="BX42" s="30">
        <f t="shared" si="15"/>
        <v>0</v>
      </c>
      <c r="BY42" s="30">
        <f t="shared" si="16"/>
        <v>2</v>
      </c>
      <c r="BZ42" s="30">
        <f t="shared" si="17"/>
        <v>0</v>
      </c>
    </row>
    <row r="43" spans="1:78" ht="15.5" x14ac:dyDescent="0.35">
      <c r="A43" s="31" t="s">
        <v>914</v>
      </c>
      <c r="B43" s="35">
        <v>242510058</v>
      </c>
      <c r="C43" s="43" t="s">
        <v>481</v>
      </c>
      <c r="D43" s="139" t="s">
        <v>227</v>
      </c>
      <c r="E43" s="35" t="s">
        <v>6</v>
      </c>
      <c r="F43" s="3"/>
      <c r="G43" s="3"/>
      <c r="H43" s="3"/>
      <c r="I43" s="4"/>
      <c r="J43" s="5"/>
      <c r="K43" s="4"/>
      <c r="L43" s="4"/>
      <c r="M43" s="4"/>
      <c r="N43" s="4"/>
      <c r="O43" s="13"/>
      <c r="P43" s="4">
        <v>1</v>
      </c>
      <c r="Q43" s="4"/>
      <c r="R43" s="4"/>
      <c r="S43" s="4"/>
      <c r="T43" s="4"/>
      <c r="U43" s="4"/>
      <c r="V43" s="4"/>
      <c r="W43" s="4"/>
      <c r="X43" s="30">
        <f t="shared" si="9"/>
        <v>0</v>
      </c>
      <c r="Y43" s="30">
        <f t="shared" si="10"/>
        <v>1</v>
      </c>
      <c r="Z43" s="30">
        <f t="shared" si="11"/>
        <v>0</v>
      </c>
      <c r="AC43" s="36" t="s">
        <v>488</v>
      </c>
      <c r="AD43" s="139" t="s">
        <v>227</v>
      </c>
      <c r="AE43" s="35" t="s">
        <v>6</v>
      </c>
      <c r="AF43" s="3"/>
      <c r="AG43" s="6"/>
      <c r="AH43" s="6"/>
      <c r="AI43" s="4"/>
      <c r="AJ43" s="5">
        <v>1</v>
      </c>
      <c r="AK43" s="5"/>
      <c r="AL43" s="4"/>
      <c r="AM43" s="5"/>
      <c r="AN43" s="5"/>
      <c r="AO43" s="13"/>
      <c r="AP43" s="5"/>
      <c r="AQ43" s="5"/>
      <c r="AR43" s="4"/>
      <c r="AS43" s="5"/>
      <c r="AT43" s="5"/>
      <c r="AU43" s="4"/>
      <c r="AV43" s="5"/>
      <c r="AW43" s="5"/>
      <c r="AX43" s="30">
        <f t="shared" si="12"/>
        <v>0</v>
      </c>
      <c r="AY43" s="30">
        <f t="shared" si="13"/>
        <v>1</v>
      </c>
      <c r="AZ43" s="30">
        <f t="shared" si="14"/>
        <v>0</v>
      </c>
      <c r="BC43" s="44" t="s">
        <v>492</v>
      </c>
      <c r="BD43" s="140" t="s">
        <v>228</v>
      </c>
      <c r="BE43" s="35" t="s">
        <v>6</v>
      </c>
      <c r="BF43" s="19"/>
      <c r="BG43" s="19"/>
      <c r="BH43" s="19"/>
      <c r="BI43" s="13"/>
      <c r="BJ43" s="14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30">
        <f t="shared" si="15"/>
        <v>0</v>
      </c>
      <c r="BY43" s="30">
        <f t="shared" si="16"/>
        <v>0</v>
      </c>
      <c r="BZ43" s="30">
        <f t="shared" si="17"/>
        <v>0</v>
      </c>
    </row>
    <row r="44" spans="1:78" ht="15.5" x14ac:dyDescent="0.35">
      <c r="A44" s="31" t="s">
        <v>915</v>
      </c>
      <c r="B44" s="35">
        <v>242510059</v>
      </c>
      <c r="C44" s="36" t="s">
        <v>482</v>
      </c>
      <c r="D44" s="139" t="s">
        <v>227</v>
      </c>
      <c r="E44" s="35" t="s">
        <v>6</v>
      </c>
      <c r="F44" s="3"/>
      <c r="G44" s="3"/>
      <c r="H44" s="3"/>
      <c r="I44" s="4"/>
      <c r="J44" s="5"/>
      <c r="K44" s="4"/>
      <c r="L44" s="4"/>
      <c r="M44" s="4"/>
      <c r="N44" s="4"/>
      <c r="O44" s="13"/>
      <c r="P44" s="4"/>
      <c r="Q44" s="4"/>
      <c r="R44" s="4"/>
      <c r="S44" s="4"/>
      <c r="T44" s="4"/>
      <c r="U44" s="4"/>
      <c r="V44" s="4"/>
      <c r="W44" s="4"/>
      <c r="X44" s="30">
        <f t="shared" si="9"/>
        <v>0</v>
      </c>
      <c r="Y44" s="30">
        <f t="shared" si="10"/>
        <v>0</v>
      </c>
      <c r="Z44" s="30">
        <f t="shared" si="11"/>
        <v>0</v>
      </c>
      <c r="AC44" s="43" t="s">
        <v>489</v>
      </c>
      <c r="AD44" s="139" t="s">
        <v>227</v>
      </c>
      <c r="AE44" s="35" t="s">
        <v>6</v>
      </c>
      <c r="AF44" s="3"/>
      <c r="AG44" s="3"/>
      <c r="AH44" s="6"/>
      <c r="AI44" s="5"/>
      <c r="AJ44" s="5"/>
      <c r="AK44" s="5"/>
      <c r="AL44" s="4"/>
      <c r="AM44" s="5"/>
      <c r="AN44" s="4"/>
      <c r="AO44" s="13"/>
      <c r="AP44" s="5"/>
      <c r="AQ44" s="4"/>
      <c r="AR44" s="4"/>
      <c r="AS44" s="5">
        <v>1</v>
      </c>
      <c r="AT44" s="4"/>
      <c r="AU44" s="4"/>
      <c r="AV44" s="5"/>
      <c r="AW44" s="4"/>
      <c r="AX44" s="30">
        <f t="shared" si="12"/>
        <v>0</v>
      </c>
      <c r="AY44" s="30">
        <f t="shared" si="13"/>
        <v>1</v>
      </c>
      <c r="AZ44" s="30">
        <f t="shared" si="14"/>
        <v>0</v>
      </c>
      <c r="BC44" s="46" t="s">
        <v>494</v>
      </c>
      <c r="BD44" s="140" t="s">
        <v>228</v>
      </c>
      <c r="BE44" s="52" t="s">
        <v>8</v>
      </c>
      <c r="BF44" s="19"/>
      <c r="BG44" s="19"/>
      <c r="BH44" s="19"/>
      <c r="BI44" s="13"/>
      <c r="BJ44" s="13">
        <v>1</v>
      </c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>
        <v>2</v>
      </c>
      <c r="BW44" s="13"/>
      <c r="BX44" s="30">
        <f t="shared" si="15"/>
        <v>0</v>
      </c>
      <c r="BY44" s="30">
        <f t="shared" si="16"/>
        <v>3</v>
      </c>
      <c r="BZ44" s="30">
        <f t="shared" si="17"/>
        <v>0</v>
      </c>
    </row>
    <row r="45" spans="1:78" ht="15.5" x14ac:dyDescent="0.35">
      <c r="A45" s="31" t="s">
        <v>918</v>
      </c>
      <c r="B45" s="127">
        <v>242510062</v>
      </c>
      <c r="C45" s="129" t="s">
        <v>485</v>
      </c>
      <c r="D45" s="139" t="s">
        <v>227</v>
      </c>
      <c r="E45" s="127" t="s">
        <v>6</v>
      </c>
      <c r="F45" s="130"/>
      <c r="G45" s="130"/>
      <c r="H45" s="130"/>
      <c r="I45" s="108"/>
      <c r="J45" s="113"/>
      <c r="K45" s="108"/>
      <c r="L45" s="108"/>
      <c r="M45" s="113">
        <v>1</v>
      </c>
      <c r="N45" s="108"/>
      <c r="O45" s="122"/>
      <c r="P45" s="113"/>
      <c r="Q45" s="108"/>
      <c r="R45" s="108"/>
      <c r="S45" s="113">
        <v>1</v>
      </c>
      <c r="T45" s="108"/>
      <c r="U45" s="108"/>
      <c r="V45" s="113"/>
      <c r="W45" s="108"/>
      <c r="X45" s="109">
        <f t="shared" si="9"/>
        <v>0</v>
      </c>
      <c r="Y45" s="109">
        <f t="shared" si="10"/>
        <v>2</v>
      </c>
      <c r="Z45" s="109">
        <f t="shared" si="11"/>
        <v>0</v>
      </c>
      <c r="AC45" s="149" t="s">
        <v>498</v>
      </c>
      <c r="AD45" s="140" t="s">
        <v>228</v>
      </c>
      <c r="AE45" s="127" t="s">
        <v>8</v>
      </c>
      <c r="AF45" s="125"/>
      <c r="AG45" s="125"/>
      <c r="AH45" s="125"/>
      <c r="AI45" s="122"/>
      <c r="AJ45" s="128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>
        <v>1</v>
      </c>
      <c r="AW45" s="122"/>
      <c r="AX45" s="109">
        <f t="shared" si="12"/>
        <v>0</v>
      </c>
      <c r="AY45" s="109">
        <f t="shared" si="13"/>
        <v>1</v>
      </c>
      <c r="AZ45" s="109">
        <f t="shared" si="14"/>
        <v>0</v>
      </c>
      <c r="BC45" s="129" t="s">
        <v>496</v>
      </c>
      <c r="BD45" s="140" t="s">
        <v>228</v>
      </c>
      <c r="BE45" s="127" t="s">
        <v>8</v>
      </c>
      <c r="BF45" s="125"/>
      <c r="BG45" s="151"/>
      <c r="BH45" s="125"/>
      <c r="BI45" s="122"/>
      <c r="BJ45" s="128">
        <v>2</v>
      </c>
      <c r="BK45" s="122"/>
      <c r="BL45" s="122"/>
      <c r="BM45" s="122">
        <v>1</v>
      </c>
      <c r="BN45" s="122"/>
      <c r="BO45" s="122"/>
      <c r="BP45" s="122"/>
      <c r="BQ45" s="122"/>
      <c r="BR45" s="122"/>
      <c r="BS45" s="122">
        <v>2</v>
      </c>
      <c r="BT45" s="122"/>
      <c r="BU45" s="122"/>
      <c r="BV45" s="122">
        <v>1</v>
      </c>
      <c r="BW45" s="122"/>
      <c r="BX45" s="109">
        <f t="shared" si="15"/>
        <v>0</v>
      </c>
      <c r="BY45" s="109">
        <f t="shared" si="16"/>
        <v>6</v>
      </c>
      <c r="BZ45" s="109">
        <f t="shared" si="17"/>
        <v>0</v>
      </c>
    </row>
    <row r="46" spans="1:78" ht="15.5" x14ac:dyDescent="0.35">
      <c r="A46" s="31" t="s">
        <v>919</v>
      </c>
      <c r="B46" s="35">
        <v>242510063</v>
      </c>
      <c r="C46" s="34" t="s">
        <v>486</v>
      </c>
      <c r="D46" s="139" t="s">
        <v>227</v>
      </c>
      <c r="E46" s="35" t="s">
        <v>6</v>
      </c>
      <c r="F46" s="3"/>
      <c r="G46" s="3"/>
      <c r="H46" s="3"/>
      <c r="I46" s="4"/>
      <c r="J46" s="5"/>
      <c r="K46" s="5"/>
      <c r="L46" s="4"/>
      <c r="M46" s="5"/>
      <c r="N46" s="5"/>
      <c r="O46" s="13"/>
      <c r="P46" s="5"/>
      <c r="Q46" s="5"/>
      <c r="R46" s="4"/>
      <c r="S46" s="5">
        <v>1</v>
      </c>
      <c r="T46" s="5"/>
      <c r="U46" s="4"/>
      <c r="V46" s="5"/>
      <c r="W46" s="5"/>
      <c r="X46" s="30">
        <f t="shared" si="9"/>
        <v>0</v>
      </c>
      <c r="Y46" s="30">
        <f t="shared" si="10"/>
        <v>1</v>
      </c>
      <c r="Z46" s="30">
        <f t="shared" si="11"/>
        <v>0</v>
      </c>
      <c r="AC46" s="53" t="s">
        <v>524</v>
      </c>
      <c r="AD46" s="140" t="s">
        <v>228</v>
      </c>
      <c r="AE46" s="42" t="s">
        <v>8</v>
      </c>
      <c r="AF46" s="19"/>
      <c r="AG46" s="19"/>
      <c r="AH46" s="19"/>
      <c r="AI46" s="13"/>
      <c r="AJ46" s="14"/>
      <c r="AK46" s="13"/>
      <c r="AL46" s="13"/>
      <c r="AM46" s="13"/>
      <c r="AN46" s="13"/>
      <c r="AO46" s="13"/>
      <c r="AP46" s="13">
        <v>1</v>
      </c>
      <c r="AQ46" s="13"/>
      <c r="AR46" s="13"/>
      <c r="AS46" s="13"/>
      <c r="AT46" s="13"/>
      <c r="AU46" s="13"/>
      <c r="AV46" s="13"/>
      <c r="AW46" s="13"/>
      <c r="AX46" s="30">
        <f t="shared" si="12"/>
        <v>0</v>
      </c>
      <c r="AY46" s="30">
        <f t="shared" si="13"/>
        <v>1</v>
      </c>
      <c r="AZ46" s="30">
        <f t="shared" si="14"/>
        <v>0</v>
      </c>
      <c r="BC46" s="45" t="s">
        <v>498</v>
      </c>
      <c r="BD46" s="140" t="s">
        <v>228</v>
      </c>
      <c r="BE46" s="35" t="s">
        <v>8</v>
      </c>
      <c r="BF46" s="19"/>
      <c r="BG46" s="19"/>
      <c r="BH46" s="19"/>
      <c r="BI46" s="13"/>
      <c r="BJ46" s="14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>
        <v>1</v>
      </c>
      <c r="BW46" s="13"/>
      <c r="BX46" s="30">
        <f t="shared" si="15"/>
        <v>0</v>
      </c>
      <c r="BY46" s="30">
        <f t="shared" si="16"/>
        <v>1</v>
      </c>
      <c r="BZ46" s="30">
        <f t="shared" si="17"/>
        <v>0</v>
      </c>
    </row>
    <row r="47" spans="1:78" ht="15.5" x14ac:dyDescent="0.35">
      <c r="A47" s="31" t="s">
        <v>921</v>
      </c>
      <c r="B47" s="35">
        <v>242510065</v>
      </c>
      <c r="C47" s="36" t="s">
        <v>488</v>
      </c>
      <c r="D47" s="139" t="s">
        <v>227</v>
      </c>
      <c r="E47" s="35" t="s">
        <v>6</v>
      </c>
      <c r="F47" s="3"/>
      <c r="G47" s="6"/>
      <c r="H47" s="6"/>
      <c r="I47" s="4"/>
      <c r="J47" s="5">
        <v>1</v>
      </c>
      <c r="K47" s="5"/>
      <c r="L47" s="4"/>
      <c r="M47" s="5"/>
      <c r="N47" s="5"/>
      <c r="O47" s="13"/>
      <c r="P47" s="5"/>
      <c r="Q47" s="5"/>
      <c r="R47" s="4"/>
      <c r="S47" s="5"/>
      <c r="T47" s="5"/>
      <c r="U47" s="4"/>
      <c r="V47" s="5"/>
      <c r="W47" s="5"/>
      <c r="X47" s="30">
        <f t="shared" si="9"/>
        <v>0</v>
      </c>
      <c r="Y47" s="30">
        <f t="shared" si="10"/>
        <v>1</v>
      </c>
      <c r="Z47" s="30">
        <f t="shared" si="11"/>
        <v>0</v>
      </c>
      <c r="AC47" s="41" t="s">
        <v>548</v>
      </c>
      <c r="AD47" s="140" t="s">
        <v>228</v>
      </c>
      <c r="AE47" s="42" t="s">
        <v>6</v>
      </c>
      <c r="AF47" s="27"/>
      <c r="AG47" s="27"/>
      <c r="AH47" s="27"/>
      <c r="AI47" s="21"/>
      <c r="AJ47" s="21"/>
      <c r="AK47" s="15"/>
      <c r="AL47" s="15"/>
      <c r="AM47" s="15"/>
      <c r="AN47" s="15"/>
      <c r="AO47" s="15"/>
      <c r="AP47" s="15"/>
      <c r="AQ47" s="15"/>
      <c r="AR47" s="15"/>
      <c r="AS47" s="15">
        <v>1</v>
      </c>
      <c r="AT47" s="15"/>
      <c r="AU47" s="15"/>
      <c r="AV47" s="15"/>
      <c r="AW47" s="15"/>
      <c r="AX47" s="30">
        <f t="shared" si="12"/>
        <v>0</v>
      </c>
      <c r="AY47" s="30">
        <f t="shared" si="13"/>
        <v>1</v>
      </c>
      <c r="AZ47" s="30">
        <f t="shared" si="14"/>
        <v>0</v>
      </c>
      <c r="BC47" s="44" t="s">
        <v>500</v>
      </c>
      <c r="BD47" s="140" t="s">
        <v>228</v>
      </c>
      <c r="BE47" s="35" t="s">
        <v>6</v>
      </c>
      <c r="BF47" s="19"/>
      <c r="BG47" s="20"/>
      <c r="BH47" s="19"/>
      <c r="BI47" s="14"/>
      <c r="BJ47" s="14"/>
      <c r="BK47" s="14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30">
        <f t="shared" si="15"/>
        <v>0</v>
      </c>
      <c r="BY47" s="30">
        <f t="shared" si="16"/>
        <v>0</v>
      </c>
      <c r="BZ47" s="30">
        <f t="shared" si="17"/>
        <v>0</v>
      </c>
    </row>
    <row r="48" spans="1:78" ht="15.5" x14ac:dyDescent="0.35">
      <c r="A48" s="31" t="s">
        <v>922</v>
      </c>
      <c r="B48" s="35">
        <v>242510066</v>
      </c>
      <c r="C48" s="43" t="s">
        <v>489</v>
      </c>
      <c r="D48" s="139" t="s">
        <v>227</v>
      </c>
      <c r="E48" s="35" t="s">
        <v>6</v>
      </c>
      <c r="F48" s="3"/>
      <c r="G48" s="3"/>
      <c r="H48" s="6"/>
      <c r="I48" s="5"/>
      <c r="J48" s="5"/>
      <c r="K48" s="5"/>
      <c r="L48" s="4"/>
      <c r="M48" s="5"/>
      <c r="N48" s="4"/>
      <c r="O48" s="13"/>
      <c r="P48" s="5"/>
      <c r="Q48" s="4"/>
      <c r="R48" s="4"/>
      <c r="S48" s="5">
        <v>1</v>
      </c>
      <c r="T48" s="4"/>
      <c r="U48" s="4"/>
      <c r="V48" s="5"/>
      <c r="W48" s="4"/>
      <c r="X48" s="30">
        <f t="shared" si="9"/>
        <v>0</v>
      </c>
      <c r="Y48" s="30">
        <f t="shared" si="10"/>
        <v>1</v>
      </c>
      <c r="Z48" s="30">
        <f t="shared" si="11"/>
        <v>0</v>
      </c>
      <c r="AC48" s="53" t="s">
        <v>895</v>
      </c>
      <c r="AD48" s="140" t="s">
        <v>228</v>
      </c>
      <c r="AE48" s="42" t="s">
        <v>8</v>
      </c>
      <c r="AF48" s="19"/>
      <c r="AG48" s="19"/>
      <c r="AH48" s="19"/>
      <c r="AI48" s="13"/>
      <c r="AJ48" s="14"/>
      <c r="AK48" s="13"/>
      <c r="AL48" s="13"/>
      <c r="AM48" s="13"/>
      <c r="AN48" s="13"/>
      <c r="AO48" s="13"/>
      <c r="AP48" s="13"/>
      <c r="AQ48" s="13"/>
      <c r="AR48" s="13"/>
      <c r="AS48" s="13">
        <v>1</v>
      </c>
      <c r="AT48" s="13"/>
      <c r="AU48" s="13"/>
      <c r="AV48" s="13"/>
      <c r="AW48" s="13"/>
      <c r="AX48" s="30">
        <f t="shared" si="12"/>
        <v>0</v>
      </c>
      <c r="AY48" s="30">
        <f t="shared" si="13"/>
        <v>1</v>
      </c>
      <c r="AZ48" s="30">
        <f t="shared" si="14"/>
        <v>0</v>
      </c>
      <c r="BC48" s="43" t="s">
        <v>502</v>
      </c>
      <c r="BD48" s="140" t="s">
        <v>228</v>
      </c>
      <c r="BE48" s="35" t="s">
        <v>6</v>
      </c>
      <c r="BF48" s="19"/>
      <c r="BG48" s="19"/>
      <c r="BH48" s="19"/>
      <c r="BI48" s="14"/>
      <c r="BJ48" s="13">
        <v>1</v>
      </c>
      <c r="BK48" s="13"/>
      <c r="BL48" s="13"/>
      <c r="BM48" s="13"/>
      <c r="BN48" s="13"/>
      <c r="BO48" s="13"/>
      <c r="BP48" s="13"/>
      <c r="BQ48" s="13"/>
      <c r="BR48" s="13"/>
      <c r="BS48" s="13">
        <v>1</v>
      </c>
      <c r="BT48" s="13"/>
      <c r="BU48" s="13"/>
      <c r="BV48" s="13">
        <v>1</v>
      </c>
      <c r="BW48" s="13"/>
      <c r="BX48" s="30">
        <f t="shared" si="15"/>
        <v>0</v>
      </c>
      <c r="BY48" s="30">
        <f t="shared" si="16"/>
        <v>3</v>
      </c>
      <c r="BZ48" s="30">
        <f t="shared" si="17"/>
        <v>0</v>
      </c>
    </row>
    <row r="49" spans="1:78" ht="15.5" x14ac:dyDescent="0.35">
      <c r="A49" s="31" t="s">
        <v>923</v>
      </c>
      <c r="B49" s="35">
        <v>242510067</v>
      </c>
      <c r="C49" s="51" t="s">
        <v>490</v>
      </c>
      <c r="D49" s="139" t="s">
        <v>227</v>
      </c>
      <c r="E49" s="42" t="s">
        <v>6</v>
      </c>
      <c r="F49" s="3"/>
      <c r="G49" s="3"/>
      <c r="H49" s="3"/>
      <c r="I49" s="4"/>
      <c r="J49" s="5"/>
      <c r="K49" s="4"/>
      <c r="L49" s="4"/>
      <c r="M49" s="4"/>
      <c r="N49" s="4"/>
      <c r="O49" s="13"/>
      <c r="P49" s="4">
        <v>2</v>
      </c>
      <c r="Q49" s="4"/>
      <c r="R49" s="4"/>
      <c r="S49" s="4"/>
      <c r="T49" s="4"/>
      <c r="U49" s="4"/>
      <c r="V49" s="4"/>
      <c r="W49" s="4"/>
      <c r="X49" s="30">
        <f t="shared" si="9"/>
        <v>0</v>
      </c>
      <c r="Y49" s="30">
        <f t="shared" si="10"/>
        <v>2</v>
      </c>
      <c r="Z49" s="30">
        <f t="shared" si="11"/>
        <v>0</v>
      </c>
      <c r="AC49" s="41" t="s">
        <v>567</v>
      </c>
      <c r="AD49" s="141" t="s">
        <v>229</v>
      </c>
      <c r="AE49" s="42" t="s">
        <v>6</v>
      </c>
      <c r="AF49" s="3"/>
      <c r="AG49" s="3"/>
      <c r="AH49" s="3"/>
      <c r="AI49" s="4"/>
      <c r="AJ49" s="4">
        <v>1</v>
      </c>
      <c r="AK49" s="4">
        <v>1</v>
      </c>
      <c r="AL49" s="4"/>
      <c r="AM49" s="4"/>
      <c r="AN49" s="4"/>
      <c r="AO49" s="4"/>
      <c r="AP49" s="4"/>
      <c r="AQ49" s="4"/>
      <c r="AR49" s="13"/>
      <c r="AS49" s="13"/>
      <c r="AT49" s="13"/>
      <c r="AU49" s="4"/>
      <c r="AV49" s="4"/>
      <c r="AW49" s="4"/>
      <c r="AX49" s="30">
        <f t="shared" si="12"/>
        <v>0</v>
      </c>
      <c r="AY49" s="30">
        <f t="shared" si="13"/>
        <v>1</v>
      </c>
      <c r="AZ49" s="30">
        <f t="shared" si="14"/>
        <v>1</v>
      </c>
      <c r="BC49" s="43" t="s">
        <v>504</v>
      </c>
      <c r="BD49" s="140" t="s">
        <v>228</v>
      </c>
      <c r="BE49" s="35" t="s">
        <v>8</v>
      </c>
      <c r="BF49" s="19"/>
      <c r="BG49" s="19"/>
      <c r="BH49" s="19"/>
      <c r="BI49" s="13"/>
      <c r="BJ49" s="13">
        <v>1</v>
      </c>
      <c r="BK49" s="14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>
        <v>1</v>
      </c>
      <c r="BW49" s="13"/>
      <c r="BX49" s="30">
        <f t="shared" si="15"/>
        <v>0</v>
      </c>
      <c r="BY49" s="30">
        <f t="shared" si="16"/>
        <v>2</v>
      </c>
      <c r="BZ49" s="30">
        <f t="shared" si="17"/>
        <v>0</v>
      </c>
    </row>
    <row r="50" spans="1:78" ht="15.5" x14ac:dyDescent="0.35">
      <c r="A50" s="31" t="s">
        <v>924</v>
      </c>
      <c r="B50" s="33" t="s">
        <v>491</v>
      </c>
      <c r="C50" s="44" t="s">
        <v>492</v>
      </c>
      <c r="D50" s="140" t="s">
        <v>228</v>
      </c>
      <c r="E50" s="35" t="s">
        <v>6</v>
      </c>
      <c r="F50" s="19"/>
      <c r="G50" s="19"/>
      <c r="H50" s="19"/>
      <c r="I50" s="13"/>
      <c r="J50" s="14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30">
        <f t="shared" si="9"/>
        <v>0</v>
      </c>
      <c r="Y50" s="30">
        <f t="shared" si="10"/>
        <v>0</v>
      </c>
      <c r="Z50" s="30">
        <f t="shared" si="11"/>
        <v>0</v>
      </c>
      <c r="AC50" s="41" t="s">
        <v>570</v>
      </c>
      <c r="AD50" s="141" t="s">
        <v>229</v>
      </c>
      <c r="AE50" s="42" t="s">
        <v>8</v>
      </c>
      <c r="AF50" s="3"/>
      <c r="AG50" s="3"/>
      <c r="AH50" s="3"/>
      <c r="AI50" s="4"/>
      <c r="AJ50" s="5"/>
      <c r="AK50" s="4">
        <v>1</v>
      </c>
      <c r="AL50" s="4"/>
      <c r="AM50" s="4"/>
      <c r="AN50" s="4"/>
      <c r="AO50" s="4"/>
      <c r="AP50" s="4"/>
      <c r="AQ50" s="4"/>
      <c r="AR50" s="13">
        <v>2</v>
      </c>
      <c r="AS50" s="13">
        <v>1</v>
      </c>
      <c r="AT50" s="13"/>
      <c r="AU50" s="4"/>
      <c r="AV50" s="4"/>
      <c r="AW50" s="4"/>
      <c r="AX50" s="30">
        <f t="shared" si="12"/>
        <v>2</v>
      </c>
      <c r="AY50" s="30">
        <f t="shared" si="13"/>
        <v>1</v>
      </c>
      <c r="AZ50" s="30">
        <f t="shared" si="14"/>
        <v>1</v>
      </c>
      <c r="BC50" s="36" t="s">
        <v>506</v>
      </c>
      <c r="BD50" s="140" t="s">
        <v>228</v>
      </c>
      <c r="BE50" s="35" t="s">
        <v>6</v>
      </c>
      <c r="BF50" s="19"/>
      <c r="BG50" s="19"/>
      <c r="BH50" s="19"/>
      <c r="BI50" s="13"/>
      <c r="BJ50" s="14"/>
      <c r="BK50" s="14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30">
        <f t="shared" si="15"/>
        <v>0</v>
      </c>
      <c r="BY50" s="30">
        <f t="shared" si="16"/>
        <v>0</v>
      </c>
      <c r="BZ50" s="30">
        <f t="shared" si="17"/>
        <v>0</v>
      </c>
    </row>
    <row r="51" spans="1:78" ht="15.5" x14ac:dyDescent="0.35">
      <c r="A51" s="31" t="s">
        <v>925</v>
      </c>
      <c r="B51" s="33" t="s">
        <v>493</v>
      </c>
      <c r="C51" s="46" t="s">
        <v>494</v>
      </c>
      <c r="D51" s="140" t="s">
        <v>228</v>
      </c>
      <c r="E51" s="52" t="s">
        <v>8</v>
      </c>
      <c r="F51" s="19"/>
      <c r="G51" s="19"/>
      <c r="H51" s="19"/>
      <c r="I51" s="13"/>
      <c r="J51" s="13">
        <v>1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>
        <v>2</v>
      </c>
      <c r="W51" s="13"/>
      <c r="X51" s="30">
        <f t="shared" si="9"/>
        <v>0</v>
      </c>
      <c r="Y51" s="30">
        <f t="shared" si="10"/>
        <v>3</v>
      </c>
      <c r="Z51" s="30">
        <f t="shared" si="11"/>
        <v>0</v>
      </c>
      <c r="AC51" s="47" t="s">
        <v>583</v>
      </c>
      <c r="AD51" s="141" t="s">
        <v>229</v>
      </c>
      <c r="AE51" s="42" t="s">
        <v>6</v>
      </c>
      <c r="AF51" s="3"/>
      <c r="AG51" s="3">
        <v>1</v>
      </c>
      <c r="AH51" s="3"/>
      <c r="AI51" s="5"/>
      <c r="AJ51" s="5"/>
      <c r="AK51" s="4">
        <v>1</v>
      </c>
      <c r="AL51" s="4"/>
      <c r="AM51" s="4"/>
      <c r="AN51" s="4"/>
      <c r="AO51" s="4"/>
      <c r="AP51" s="4"/>
      <c r="AQ51" s="4"/>
      <c r="AR51" s="13"/>
      <c r="AS51" s="13"/>
      <c r="AT51" s="13"/>
      <c r="AU51" s="4"/>
      <c r="AV51" s="4"/>
      <c r="AW51" s="4"/>
      <c r="AX51" s="30">
        <f t="shared" si="12"/>
        <v>0</v>
      </c>
      <c r="AY51" s="30">
        <f t="shared" si="13"/>
        <v>1</v>
      </c>
      <c r="AZ51" s="30">
        <f t="shared" si="14"/>
        <v>1</v>
      </c>
      <c r="BC51" s="41" t="s">
        <v>508</v>
      </c>
      <c r="BD51" s="140" t="s">
        <v>228</v>
      </c>
      <c r="BE51" s="42" t="s">
        <v>8</v>
      </c>
      <c r="BF51" s="19"/>
      <c r="BG51" s="19"/>
      <c r="BH51" s="19"/>
      <c r="BI51" s="13"/>
      <c r="BJ51" s="14">
        <v>2</v>
      </c>
      <c r="BK51" s="14"/>
      <c r="BL51" s="13"/>
      <c r="BM51" s="13"/>
      <c r="BN51" s="13"/>
      <c r="BO51" s="13"/>
      <c r="BP51" s="13"/>
      <c r="BQ51" s="13"/>
      <c r="BR51" s="13"/>
      <c r="BS51" s="13">
        <v>2</v>
      </c>
      <c r="BT51" s="13"/>
      <c r="BU51" s="13"/>
      <c r="BV51" s="13"/>
      <c r="BW51" s="13"/>
      <c r="BX51" s="30">
        <f t="shared" si="15"/>
        <v>0</v>
      </c>
      <c r="BY51" s="30">
        <f t="shared" si="16"/>
        <v>4</v>
      </c>
      <c r="BZ51" s="30">
        <f t="shared" si="17"/>
        <v>0</v>
      </c>
    </row>
    <row r="52" spans="1:78" ht="15.5" x14ac:dyDescent="0.35">
      <c r="A52" s="31" t="s">
        <v>926</v>
      </c>
      <c r="B52" s="33" t="s">
        <v>495</v>
      </c>
      <c r="C52" s="36" t="s">
        <v>496</v>
      </c>
      <c r="D52" s="140" t="s">
        <v>228</v>
      </c>
      <c r="E52" s="146" t="s">
        <v>8</v>
      </c>
      <c r="F52" s="19"/>
      <c r="G52" s="20"/>
      <c r="H52" s="19"/>
      <c r="I52" s="13"/>
      <c r="J52" s="14">
        <v>2</v>
      </c>
      <c r="K52" s="13"/>
      <c r="L52" s="13"/>
      <c r="M52" s="13">
        <v>1</v>
      </c>
      <c r="N52" s="13"/>
      <c r="O52" s="13"/>
      <c r="P52" s="13"/>
      <c r="Q52" s="13"/>
      <c r="R52" s="13"/>
      <c r="S52" s="13">
        <v>2</v>
      </c>
      <c r="T52" s="13"/>
      <c r="U52" s="13"/>
      <c r="V52" s="13">
        <v>1</v>
      </c>
      <c r="W52" s="13"/>
      <c r="X52" s="30">
        <f t="shared" si="9"/>
        <v>0</v>
      </c>
      <c r="Y52" s="30">
        <f t="shared" si="10"/>
        <v>6</v>
      </c>
      <c r="Z52" s="30">
        <f t="shared" si="11"/>
        <v>0</v>
      </c>
      <c r="AC52" s="46" t="s">
        <v>591</v>
      </c>
      <c r="AD52" s="141" t="s">
        <v>229</v>
      </c>
      <c r="AE52" s="150" t="s">
        <v>8</v>
      </c>
      <c r="AF52" s="3"/>
      <c r="AG52" s="3"/>
      <c r="AH52" s="3"/>
      <c r="AI52" s="4"/>
      <c r="AJ52" s="5">
        <v>1</v>
      </c>
      <c r="AK52" s="4"/>
      <c r="AL52" s="4"/>
      <c r="AM52" s="4"/>
      <c r="AN52" s="4"/>
      <c r="AO52" s="4"/>
      <c r="AP52" s="4"/>
      <c r="AQ52" s="4"/>
      <c r="AR52" s="13"/>
      <c r="AS52" s="13"/>
      <c r="AT52" s="13"/>
      <c r="AU52" s="4"/>
      <c r="AV52" s="4"/>
      <c r="AW52" s="4"/>
      <c r="AX52" s="30">
        <f t="shared" si="12"/>
        <v>0</v>
      </c>
      <c r="AY52" s="30">
        <f t="shared" si="13"/>
        <v>1</v>
      </c>
      <c r="AZ52" s="30">
        <f t="shared" si="14"/>
        <v>0</v>
      </c>
      <c r="BC52" s="41" t="s">
        <v>510</v>
      </c>
      <c r="BD52" s="140" t="s">
        <v>228</v>
      </c>
      <c r="BE52" s="150" t="s">
        <v>6</v>
      </c>
      <c r="BF52" s="19"/>
      <c r="BG52" s="19">
        <v>1</v>
      </c>
      <c r="BH52" s="20"/>
      <c r="BI52" s="13"/>
      <c r="BJ52" s="14">
        <v>1</v>
      </c>
      <c r="BK52" s="14"/>
      <c r="BL52" s="13"/>
      <c r="BM52" s="13"/>
      <c r="BN52" s="13"/>
      <c r="BO52" s="13"/>
      <c r="BP52" s="13">
        <v>2</v>
      </c>
      <c r="BQ52" s="13"/>
      <c r="BR52" s="13"/>
      <c r="BS52" s="13">
        <v>4</v>
      </c>
      <c r="BT52" s="13"/>
      <c r="BU52" s="13"/>
      <c r="BV52" s="13"/>
      <c r="BW52" s="13"/>
      <c r="BX52" s="30">
        <f t="shared" si="15"/>
        <v>0</v>
      </c>
      <c r="BY52" s="30">
        <f t="shared" si="16"/>
        <v>8</v>
      </c>
      <c r="BZ52" s="30">
        <f t="shared" si="17"/>
        <v>0</v>
      </c>
    </row>
    <row r="53" spans="1:78" ht="15.5" x14ac:dyDescent="0.35">
      <c r="A53" s="31" t="s">
        <v>927</v>
      </c>
      <c r="B53" s="33" t="s">
        <v>497</v>
      </c>
      <c r="C53" s="45" t="s">
        <v>498</v>
      </c>
      <c r="D53" s="140" t="s">
        <v>228</v>
      </c>
      <c r="E53" s="35" t="s">
        <v>8</v>
      </c>
      <c r="F53" s="19"/>
      <c r="G53" s="19"/>
      <c r="H53" s="19"/>
      <c r="I53" s="13"/>
      <c r="J53" s="14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>
        <v>1</v>
      </c>
      <c r="W53" s="13"/>
      <c r="X53" s="30">
        <f t="shared" si="9"/>
        <v>0</v>
      </c>
      <c r="Y53" s="30">
        <f t="shared" si="10"/>
        <v>1</v>
      </c>
      <c r="Z53" s="30">
        <f t="shared" si="11"/>
        <v>0</v>
      </c>
      <c r="AC53" s="44" t="s">
        <v>593</v>
      </c>
      <c r="AD53" s="141" t="s">
        <v>229</v>
      </c>
      <c r="AE53" s="35" t="s">
        <v>8</v>
      </c>
      <c r="AF53" s="26"/>
      <c r="AG53" s="26">
        <v>1</v>
      </c>
      <c r="AH53" s="26"/>
      <c r="AI53" s="9"/>
      <c r="AJ53" s="9"/>
      <c r="AK53" s="9">
        <v>1</v>
      </c>
      <c r="AL53" s="9"/>
      <c r="AM53" s="9"/>
      <c r="AN53" s="9"/>
      <c r="AO53" s="9"/>
      <c r="AP53" s="9"/>
      <c r="AQ53" s="9"/>
      <c r="AR53" s="15"/>
      <c r="AS53" s="15"/>
      <c r="AT53" s="15"/>
      <c r="AU53" s="9"/>
      <c r="AV53" s="9"/>
      <c r="AW53" s="9">
        <v>1</v>
      </c>
      <c r="AX53" s="30">
        <f t="shared" si="12"/>
        <v>0</v>
      </c>
      <c r="AY53" s="30">
        <f t="shared" si="13"/>
        <v>1</v>
      </c>
      <c r="AZ53" s="30">
        <f t="shared" si="14"/>
        <v>2</v>
      </c>
      <c r="BC53" s="41" t="s">
        <v>514</v>
      </c>
      <c r="BD53" s="140" t="s">
        <v>228</v>
      </c>
      <c r="BE53" s="42" t="s">
        <v>6</v>
      </c>
      <c r="BF53" s="19"/>
      <c r="BG53" s="19"/>
      <c r="BH53" s="19"/>
      <c r="BI53" s="13"/>
      <c r="BJ53" s="13">
        <v>1</v>
      </c>
      <c r="BK53" s="14"/>
      <c r="BL53" s="13"/>
      <c r="BM53" s="13"/>
      <c r="BN53" s="13"/>
      <c r="BO53" s="13"/>
      <c r="BP53" s="13"/>
      <c r="BQ53" s="13"/>
      <c r="BR53" s="13"/>
      <c r="BS53" s="13">
        <v>1</v>
      </c>
      <c r="BT53" s="13"/>
      <c r="BU53" s="13"/>
      <c r="BV53" s="13"/>
      <c r="BW53" s="13"/>
      <c r="BX53" s="30">
        <f t="shared" si="15"/>
        <v>0</v>
      </c>
      <c r="BY53" s="30">
        <f t="shared" si="16"/>
        <v>2</v>
      </c>
      <c r="BZ53" s="30">
        <f t="shared" si="17"/>
        <v>0</v>
      </c>
    </row>
    <row r="54" spans="1:78" ht="15.5" x14ac:dyDescent="0.35">
      <c r="A54" s="31" t="s">
        <v>928</v>
      </c>
      <c r="B54" s="33" t="s">
        <v>499</v>
      </c>
      <c r="C54" s="44" t="s">
        <v>500</v>
      </c>
      <c r="D54" s="140" t="s">
        <v>228</v>
      </c>
      <c r="E54" s="35" t="s">
        <v>6</v>
      </c>
      <c r="F54" s="19"/>
      <c r="G54" s="20"/>
      <c r="H54" s="19"/>
      <c r="I54" s="14"/>
      <c r="J54" s="14"/>
      <c r="K54" s="14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30">
        <f t="shared" si="9"/>
        <v>0</v>
      </c>
      <c r="Y54" s="30">
        <f t="shared" si="10"/>
        <v>0</v>
      </c>
      <c r="Z54" s="30">
        <f t="shared" si="11"/>
        <v>0</v>
      </c>
      <c r="AC54" s="37" t="s">
        <v>597</v>
      </c>
      <c r="AD54" s="141" t="s">
        <v>229</v>
      </c>
      <c r="AE54" s="35" t="s">
        <v>8</v>
      </c>
      <c r="AF54" s="3"/>
      <c r="AG54" s="3"/>
      <c r="AH54" s="3"/>
      <c r="AI54" s="4"/>
      <c r="AJ54" s="4"/>
      <c r="AK54" s="4"/>
      <c r="AL54" s="4"/>
      <c r="AM54" s="4">
        <v>1</v>
      </c>
      <c r="AN54" s="4"/>
      <c r="AO54" s="4"/>
      <c r="AP54" s="4"/>
      <c r="AQ54" s="4"/>
      <c r="AR54" s="13"/>
      <c r="AS54" s="13"/>
      <c r="AT54" s="13"/>
      <c r="AU54" s="4"/>
      <c r="AV54" s="4"/>
      <c r="AW54" s="4"/>
      <c r="AX54" s="30">
        <f t="shared" si="12"/>
        <v>0</v>
      </c>
      <c r="AY54" s="30">
        <f t="shared" si="13"/>
        <v>1</v>
      </c>
      <c r="AZ54" s="30">
        <f t="shared" si="14"/>
        <v>0</v>
      </c>
      <c r="BC54" s="41" t="s">
        <v>516</v>
      </c>
      <c r="BD54" s="140" t="s">
        <v>228</v>
      </c>
      <c r="BE54" s="42" t="s">
        <v>6</v>
      </c>
      <c r="BF54" s="19"/>
      <c r="BG54" s="19"/>
      <c r="BH54" s="19"/>
      <c r="BI54" s="13"/>
      <c r="BJ54" s="14"/>
      <c r="BK54" s="14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30">
        <f t="shared" si="15"/>
        <v>0</v>
      </c>
      <c r="BY54" s="30">
        <f t="shared" si="16"/>
        <v>0</v>
      </c>
      <c r="BZ54" s="30">
        <f t="shared" si="17"/>
        <v>0</v>
      </c>
    </row>
    <row r="55" spans="1:78" ht="15.5" x14ac:dyDescent="0.35">
      <c r="A55" s="31" t="s">
        <v>929</v>
      </c>
      <c r="B55" s="33" t="s">
        <v>501</v>
      </c>
      <c r="C55" s="43" t="s">
        <v>502</v>
      </c>
      <c r="D55" s="140" t="s">
        <v>228</v>
      </c>
      <c r="E55" s="35" t="s">
        <v>6</v>
      </c>
      <c r="F55" s="19"/>
      <c r="G55" s="19"/>
      <c r="H55" s="19"/>
      <c r="I55" s="14"/>
      <c r="J55" s="13">
        <v>1</v>
      </c>
      <c r="K55" s="13"/>
      <c r="L55" s="13"/>
      <c r="M55" s="13"/>
      <c r="N55" s="13"/>
      <c r="O55" s="13"/>
      <c r="P55" s="13"/>
      <c r="Q55" s="13"/>
      <c r="R55" s="13"/>
      <c r="S55" s="13">
        <v>1</v>
      </c>
      <c r="T55" s="13"/>
      <c r="U55" s="13"/>
      <c r="V55" s="13">
        <v>1</v>
      </c>
      <c r="W55" s="13"/>
      <c r="X55" s="30">
        <f t="shared" si="9"/>
        <v>0</v>
      </c>
      <c r="Y55" s="30">
        <f t="shared" si="10"/>
        <v>3</v>
      </c>
      <c r="Z55" s="30">
        <f t="shared" si="11"/>
        <v>0</v>
      </c>
      <c r="AC55" s="56" t="s">
        <v>599</v>
      </c>
      <c r="AD55" s="141" t="s">
        <v>229</v>
      </c>
      <c r="AE55" s="35" t="s">
        <v>8</v>
      </c>
      <c r="AF55" s="3"/>
      <c r="AG55" s="3"/>
      <c r="AH55" s="3"/>
      <c r="AI55" s="5"/>
      <c r="AJ55" s="5"/>
      <c r="AK55" s="4"/>
      <c r="AL55" s="4"/>
      <c r="AM55" s="4"/>
      <c r="AN55" s="4"/>
      <c r="AO55" s="4"/>
      <c r="AP55" s="4"/>
      <c r="AQ55" s="4"/>
      <c r="AR55" s="13"/>
      <c r="AS55" s="13">
        <v>1</v>
      </c>
      <c r="AT55" s="13"/>
      <c r="AU55" s="4"/>
      <c r="AV55" s="4"/>
      <c r="AW55" s="4"/>
      <c r="AX55" s="30">
        <f t="shared" si="12"/>
        <v>0</v>
      </c>
      <c r="AY55" s="30">
        <f t="shared" si="13"/>
        <v>1</v>
      </c>
      <c r="AZ55" s="30">
        <f t="shared" si="14"/>
        <v>0</v>
      </c>
      <c r="BC55" s="41" t="s">
        <v>518</v>
      </c>
      <c r="BD55" s="140" t="s">
        <v>228</v>
      </c>
      <c r="BE55" s="42" t="s">
        <v>8</v>
      </c>
      <c r="BF55" s="19"/>
      <c r="BG55" s="19"/>
      <c r="BH55" s="19"/>
      <c r="BI55" s="13"/>
      <c r="BJ55" s="14">
        <v>1</v>
      </c>
      <c r="BK55" s="13"/>
      <c r="BL55" s="13"/>
      <c r="BM55" s="13"/>
      <c r="BN55" s="13"/>
      <c r="BO55" s="13"/>
      <c r="BP55" s="13"/>
      <c r="BQ55" s="13"/>
      <c r="BR55" s="13"/>
      <c r="BS55" s="13">
        <v>1</v>
      </c>
      <c r="BT55" s="13"/>
      <c r="BU55" s="13"/>
      <c r="BV55" s="13"/>
      <c r="BW55" s="13"/>
      <c r="BX55" s="30">
        <f t="shared" si="15"/>
        <v>0</v>
      </c>
      <c r="BY55" s="30">
        <f t="shared" si="16"/>
        <v>2</v>
      </c>
      <c r="BZ55" s="30">
        <f t="shared" si="17"/>
        <v>0</v>
      </c>
    </row>
    <row r="56" spans="1:78" ht="15.5" x14ac:dyDescent="0.35">
      <c r="A56" s="31" t="s">
        <v>930</v>
      </c>
      <c r="B56" s="33" t="s">
        <v>503</v>
      </c>
      <c r="C56" s="43" t="s">
        <v>504</v>
      </c>
      <c r="D56" s="140" t="s">
        <v>228</v>
      </c>
      <c r="E56" s="35" t="s">
        <v>8</v>
      </c>
      <c r="F56" s="19"/>
      <c r="G56" s="19"/>
      <c r="H56" s="19"/>
      <c r="I56" s="13"/>
      <c r="J56" s="13">
        <v>1</v>
      </c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>
        <v>1</v>
      </c>
      <c r="W56" s="13"/>
      <c r="X56" s="30">
        <f t="shared" si="9"/>
        <v>0</v>
      </c>
      <c r="Y56" s="30">
        <f t="shared" si="10"/>
        <v>2</v>
      </c>
      <c r="Z56" s="30">
        <f t="shared" si="11"/>
        <v>0</v>
      </c>
      <c r="AC56" s="36" t="s">
        <v>604</v>
      </c>
      <c r="AD56" s="142" t="s">
        <v>230</v>
      </c>
      <c r="AE56" s="35" t="s">
        <v>8</v>
      </c>
      <c r="AF56" s="13"/>
      <c r="AG56" s="14"/>
      <c r="AH56" s="13"/>
      <c r="AI56" s="13"/>
      <c r="AJ56" s="14">
        <v>1</v>
      </c>
      <c r="AK56" s="13">
        <v>1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30">
        <f t="shared" si="12"/>
        <v>0</v>
      </c>
      <c r="AY56" s="30">
        <f t="shared" si="13"/>
        <v>1</v>
      </c>
      <c r="AZ56" s="30">
        <f t="shared" si="14"/>
        <v>1</v>
      </c>
      <c r="BC56" s="41" t="s">
        <v>520</v>
      </c>
      <c r="BD56" s="140" t="s">
        <v>228</v>
      </c>
      <c r="BE56" s="42" t="s">
        <v>6</v>
      </c>
      <c r="BF56" s="27"/>
      <c r="BG56" s="27"/>
      <c r="BH56" s="27"/>
      <c r="BI56" s="15"/>
      <c r="BJ56" s="21">
        <v>2</v>
      </c>
      <c r="BK56" s="21"/>
      <c r="BL56" s="15">
        <v>1</v>
      </c>
      <c r="BM56" s="15">
        <v>1</v>
      </c>
      <c r="BN56" s="15"/>
      <c r="BO56" s="15"/>
      <c r="BP56" s="15">
        <v>1</v>
      </c>
      <c r="BQ56" s="15"/>
      <c r="BR56" s="15"/>
      <c r="BS56" s="15"/>
      <c r="BT56" s="15"/>
      <c r="BU56" s="15"/>
      <c r="BV56" s="15"/>
      <c r="BW56" s="15"/>
      <c r="BX56" s="30">
        <f t="shared" si="15"/>
        <v>1</v>
      </c>
      <c r="BY56" s="30">
        <f t="shared" si="16"/>
        <v>4</v>
      </c>
      <c r="BZ56" s="30">
        <f t="shared" si="17"/>
        <v>0</v>
      </c>
    </row>
    <row r="57" spans="1:78" ht="15.5" x14ac:dyDescent="0.35">
      <c r="A57" s="31" t="s">
        <v>931</v>
      </c>
      <c r="B57" s="33" t="s">
        <v>505</v>
      </c>
      <c r="C57" s="36" t="s">
        <v>506</v>
      </c>
      <c r="D57" s="140" t="s">
        <v>228</v>
      </c>
      <c r="E57" s="35" t="s">
        <v>6</v>
      </c>
      <c r="F57" s="19"/>
      <c r="G57" s="19"/>
      <c r="H57" s="19"/>
      <c r="I57" s="13"/>
      <c r="J57" s="14"/>
      <c r="K57" s="14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30">
        <f t="shared" si="9"/>
        <v>0</v>
      </c>
      <c r="Y57" s="30">
        <f t="shared" si="10"/>
        <v>0</v>
      </c>
      <c r="Z57" s="30">
        <f t="shared" si="11"/>
        <v>0</v>
      </c>
      <c r="AC57" s="46" t="s">
        <v>605</v>
      </c>
      <c r="AD57" s="142" t="s">
        <v>230</v>
      </c>
      <c r="AE57" s="42" t="s">
        <v>8</v>
      </c>
      <c r="AF57" s="13"/>
      <c r="AG57" s="13"/>
      <c r="AH57" s="13"/>
      <c r="AI57" s="14">
        <v>2</v>
      </c>
      <c r="AJ57" s="14"/>
      <c r="AK57" s="14">
        <v>1</v>
      </c>
      <c r="AL57" s="13"/>
      <c r="AM57" s="13"/>
      <c r="AN57" s="13"/>
      <c r="AO57" s="13"/>
      <c r="AP57" s="13"/>
      <c r="AQ57" s="13"/>
      <c r="AR57" s="13"/>
      <c r="AS57" s="13">
        <v>1</v>
      </c>
      <c r="AT57" s="13"/>
      <c r="AU57" s="13"/>
      <c r="AV57" s="13"/>
      <c r="AW57" s="13"/>
      <c r="AX57" s="30">
        <f t="shared" si="12"/>
        <v>2</v>
      </c>
      <c r="AY57" s="30">
        <f t="shared" si="13"/>
        <v>1</v>
      </c>
      <c r="AZ57" s="30">
        <f t="shared" si="14"/>
        <v>1</v>
      </c>
      <c r="BC57" s="53" t="s">
        <v>522</v>
      </c>
      <c r="BD57" s="140" t="s">
        <v>228</v>
      </c>
      <c r="BE57" s="42" t="s">
        <v>6</v>
      </c>
      <c r="BF57" s="19"/>
      <c r="BG57" s="19"/>
      <c r="BH57" s="19"/>
      <c r="BI57" s="13"/>
      <c r="BJ57" s="13">
        <v>1</v>
      </c>
      <c r="BK57" s="13"/>
      <c r="BL57" s="13"/>
      <c r="BM57" s="13"/>
      <c r="BN57" s="13"/>
      <c r="BO57" s="13"/>
      <c r="BP57" s="13">
        <v>1</v>
      </c>
      <c r="BQ57" s="13"/>
      <c r="BR57" s="13"/>
      <c r="BS57" s="13"/>
      <c r="BT57" s="13"/>
      <c r="BU57" s="13"/>
      <c r="BV57" s="13">
        <v>1</v>
      </c>
      <c r="BW57" s="13"/>
      <c r="BX57" s="30">
        <f t="shared" si="15"/>
        <v>0</v>
      </c>
      <c r="BY57" s="30">
        <f t="shared" si="16"/>
        <v>3</v>
      </c>
      <c r="BZ57" s="30">
        <f t="shared" si="17"/>
        <v>0</v>
      </c>
    </row>
    <row r="58" spans="1:78" ht="15.5" x14ac:dyDescent="0.35">
      <c r="A58" s="31" t="s">
        <v>932</v>
      </c>
      <c r="B58" s="33" t="s">
        <v>507</v>
      </c>
      <c r="C58" s="41" t="s">
        <v>508</v>
      </c>
      <c r="D58" s="140" t="s">
        <v>228</v>
      </c>
      <c r="E58" s="42" t="s">
        <v>8</v>
      </c>
      <c r="F58" s="19"/>
      <c r="G58" s="19"/>
      <c r="H58" s="19"/>
      <c r="I58" s="13"/>
      <c r="J58" s="14">
        <v>2</v>
      </c>
      <c r="K58" s="14"/>
      <c r="L58" s="13"/>
      <c r="M58" s="13"/>
      <c r="N58" s="13"/>
      <c r="O58" s="13"/>
      <c r="P58" s="13"/>
      <c r="Q58" s="13"/>
      <c r="R58" s="13"/>
      <c r="S58" s="13">
        <v>2</v>
      </c>
      <c r="T58" s="13"/>
      <c r="U58" s="13"/>
      <c r="V58" s="13"/>
      <c r="W58" s="13"/>
      <c r="X58" s="30">
        <f t="shared" si="9"/>
        <v>0</v>
      </c>
      <c r="Y58" s="30">
        <f t="shared" si="10"/>
        <v>4</v>
      </c>
      <c r="Z58" s="30">
        <f t="shared" si="11"/>
        <v>0</v>
      </c>
      <c r="AC58" s="47" t="s">
        <v>615</v>
      </c>
      <c r="AD58" s="142" t="s">
        <v>230</v>
      </c>
      <c r="AE58" s="42" t="s">
        <v>8</v>
      </c>
      <c r="AF58" s="13"/>
      <c r="AG58" s="13"/>
      <c r="AH58" s="13"/>
      <c r="AI58" s="13"/>
      <c r="AJ58" s="14">
        <v>1</v>
      </c>
      <c r="AK58" s="13">
        <v>1</v>
      </c>
      <c r="AL58" s="13"/>
      <c r="AM58" s="13"/>
      <c r="AN58" s="13"/>
      <c r="AO58" s="13"/>
      <c r="AP58" s="13"/>
      <c r="AQ58" s="13">
        <v>1</v>
      </c>
      <c r="AR58" s="13">
        <v>1</v>
      </c>
      <c r="AS58" s="13"/>
      <c r="AT58" s="13">
        <v>1</v>
      </c>
      <c r="AU58" s="13"/>
      <c r="AV58" s="13"/>
      <c r="AW58" s="13"/>
      <c r="AX58" s="30">
        <f t="shared" si="12"/>
        <v>1</v>
      </c>
      <c r="AY58" s="30">
        <f t="shared" si="13"/>
        <v>1</v>
      </c>
      <c r="AZ58" s="30">
        <f t="shared" si="14"/>
        <v>3</v>
      </c>
      <c r="BC58" s="53" t="s">
        <v>524</v>
      </c>
      <c r="BD58" s="140" t="s">
        <v>228</v>
      </c>
      <c r="BE58" s="42" t="s">
        <v>8</v>
      </c>
      <c r="BF58" s="19"/>
      <c r="BG58" s="19"/>
      <c r="BH58" s="19"/>
      <c r="BI58" s="13"/>
      <c r="BJ58" s="14"/>
      <c r="BK58" s="13"/>
      <c r="BL58" s="13"/>
      <c r="BM58" s="13"/>
      <c r="BN58" s="13"/>
      <c r="BO58" s="13"/>
      <c r="BP58" s="13">
        <v>1</v>
      </c>
      <c r="BQ58" s="13"/>
      <c r="BR58" s="13"/>
      <c r="BS58" s="13"/>
      <c r="BT58" s="13"/>
      <c r="BU58" s="13"/>
      <c r="BV58" s="13"/>
      <c r="BW58" s="13"/>
      <c r="BX58" s="30">
        <f t="shared" si="15"/>
        <v>0</v>
      </c>
      <c r="BY58" s="30">
        <f t="shared" si="16"/>
        <v>1</v>
      </c>
      <c r="BZ58" s="30">
        <f t="shared" si="17"/>
        <v>0</v>
      </c>
    </row>
    <row r="59" spans="1:78" ht="15.5" x14ac:dyDescent="0.35">
      <c r="A59" s="31" t="s">
        <v>933</v>
      </c>
      <c r="B59" s="33" t="s">
        <v>509</v>
      </c>
      <c r="C59" s="41" t="s">
        <v>510</v>
      </c>
      <c r="D59" s="140" t="s">
        <v>228</v>
      </c>
      <c r="E59" s="42" t="s">
        <v>6</v>
      </c>
      <c r="F59" s="19"/>
      <c r="G59" s="19">
        <v>1</v>
      </c>
      <c r="H59" s="20"/>
      <c r="I59" s="13"/>
      <c r="J59" s="14">
        <v>1</v>
      </c>
      <c r="K59" s="14"/>
      <c r="L59" s="13"/>
      <c r="M59" s="13"/>
      <c r="N59" s="13"/>
      <c r="O59" s="13"/>
      <c r="P59" s="13">
        <v>2</v>
      </c>
      <c r="Q59" s="13"/>
      <c r="R59" s="13"/>
      <c r="S59" s="13">
        <v>4</v>
      </c>
      <c r="T59" s="13"/>
      <c r="U59" s="13"/>
      <c r="V59" s="13"/>
      <c r="W59" s="13"/>
      <c r="X59" s="30">
        <f t="shared" si="9"/>
        <v>0</v>
      </c>
      <c r="Y59" s="30">
        <f t="shared" si="10"/>
        <v>8</v>
      </c>
      <c r="Z59" s="30">
        <f t="shared" si="11"/>
        <v>0</v>
      </c>
      <c r="AC59" s="47" t="s">
        <v>622</v>
      </c>
      <c r="AD59" s="142" t="s">
        <v>230</v>
      </c>
      <c r="AE59" s="42" t="s">
        <v>8</v>
      </c>
      <c r="AF59" s="13"/>
      <c r="AG59" s="13"/>
      <c r="AH59" s="13"/>
      <c r="AI59" s="13"/>
      <c r="AJ59" s="14"/>
      <c r="AK59" s="13"/>
      <c r="AL59" s="13"/>
      <c r="AM59" s="13"/>
      <c r="AN59" s="13">
        <v>1</v>
      </c>
      <c r="AO59" s="13"/>
      <c r="AP59" s="13"/>
      <c r="AQ59" s="13"/>
      <c r="AR59" s="13"/>
      <c r="AS59" s="13">
        <v>1</v>
      </c>
      <c r="AT59" s="13"/>
      <c r="AU59" s="13"/>
      <c r="AV59" s="13"/>
      <c r="AW59" s="13"/>
      <c r="AX59" s="30">
        <f t="shared" si="12"/>
        <v>0</v>
      </c>
      <c r="AY59" s="30">
        <f t="shared" si="13"/>
        <v>1</v>
      </c>
      <c r="AZ59" s="30">
        <f t="shared" si="14"/>
        <v>1</v>
      </c>
      <c r="BC59" s="53" t="s">
        <v>526</v>
      </c>
      <c r="BD59" s="140" t="s">
        <v>228</v>
      </c>
      <c r="BE59" s="42" t="s">
        <v>8</v>
      </c>
      <c r="BF59" s="19"/>
      <c r="BG59" s="19">
        <v>1</v>
      </c>
      <c r="BH59" s="19"/>
      <c r="BI59" s="13"/>
      <c r="BJ59" s="14"/>
      <c r="BK59" s="14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>
        <v>1</v>
      </c>
      <c r="BW59" s="13"/>
      <c r="BX59" s="30">
        <f t="shared" si="15"/>
        <v>0</v>
      </c>
      <c r="BY59" s="30">
        <f t="shared" si="16"/>
        <v>2</v>
      </c>
      <c r="BZ59" s="30">
        <f t="shared" si="17"/>
        <v>0</v>
      </c>
    </row>
    <row r="60" spans="1:78" ht="15.5" x14ac:dyDescent="0.35">
      <c r="A60" s="31" t="s">
        <v>935</v>
      </c>
      <c r="B60" s="33" t="s">
        <v>513</v>
      </c>
      <c r="C60" s="41" t="s">
        <v>514</v>
      </c>
      <c r="D60" s="140" t="s">
        <v>228</v>
      </c>
      <c r="E60" s="42" t="s">
        <v>6</v>
      </c>
      <c r="F60" s="19"/>
      <c r="G60" s="19"/>
      <c r="H60" s="19"/>
      <c r="I60" s="13"/>
      <c r="J60" s="13">
        <v>1</v>
      </c>
      <c r="K60" s="14"/>
      <c r="L60" s="13"/>
      <c r="M60" s="13"/>
      <c r="N60" s="13"/>
      <c r="O60" s="13"/>
      <c r="P60" s="13"/>
      <c r="Q60" s="13"/>
      <c r="R60" s="13"/>
      <c r="S60" s="13">
        <v>1</v>
      </c>
      <c r="T60" s="13"/>
      <c r="U60" s="13"/>
      <c r="V60" s="13"/>
      <c r="W60" s="13"/>
      <c r="X60" s="30">
        <f t="shared" si="9"/>
        <v>0</v>
      </c>
      <c r="Y60" s="30">
        <f t="shared" si="10"/>
        <v>2</v>
      </c>
      <c r="Z60" s="30">
        <f t="shared" si="11"/>
        <v>0</v>
      </c>
      <c r="AC60" s="47" t="s">
        <v>625</v>
      </c>
      <c r="AD60" s="142" t="s">
        <v>230</v>
      </c>
      <c r="AE60" s="42" t="s">
        <v>8</v>
      </c>
      <c r="AF60" s="13"/>
      <c r="AG60" s="13">
        <v>1</v>
      </c>
      <c r="AH60" s="13"/>
      <c r="AI60" s="13"/>
      <c r="AJ60" s="14"/>
      <c r="AK60" s="13">
        <v>1</v>
      </c>
      <c r="AL60" s="13"/>
      <c r="AM60" s="13"/>
      <c r="AN60" s="13"/>
      <c r="AO60" s="13"/>
      <c r="AP60" s="13"/>
      <c r="AQ60" s="13">
        <v>1</v>
      </c>
      <c r="AR60" s="13">
        <v>1</v>
      </c>
      <c r="AS60" s="13"/>
      <c r="AT60" s="13">
        <v>2</v>
      </c>
      <c r="AU60" s="13"/>
      <c r="AV60" s="13"/>
      <c r="AW60" s="13"/>
      <c r="AX60" s="30">
        <f t="shared" si="12"/>
        <v>1</v>
      </c>
      <c r="AY60" s="30">
        <f t="shared" si="13"/>
        <v>1</v>
      </c>
      <c r="AZ60" s="30">
        <f t="shared" si="14"/>
        <v>4</v>
      </c>
      <c r="BC60" s="41" t="s">
        <v>528</v>
      </c>
      <c r="BD60" s="140" t="s">
        <v>228</v>
      </c>
      <c r="BE60" s="42" t="s">
        <v>8</v>
      </c>
      <c r="BF60" s="19"/>
      <c r="BG60" s="19"/>
      <c r="BH60" s="19"/>
      <c r="BI60" s="13"/>
      <c r="BJ60" s="14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30">
        <f t="shared" si="15"/>
        <v>0</v>
      </c>
      <c r="BY60" s="30">
        <f t="shared" si="16"/>
        <v>0</v>
      </c>
      <c r="BZ60" s="30">
        <f t="shared" si="17"/>
        <v>0</v>
      </c>
    </row>
    <row r="61" spans="1:78" ht="15.5" x14ac:dyDescent="0.35">
      <c r="A61" s="31" t="s">
        <v>936</v>
      </c>
      <c r="B61" s="33" t="s">
        <v>515</v>
      </c>
      <c r="C61" s="41" t="s">
        <v>516</v>
      </c>
      <c r="D61" s="140" t="s">
        <v>228</v>
      </c>
      <c r="E61" s="42" t="s">
        <v>6</v>
      </c>
      <c r="F61" s="19"/>
      <c r="G61" s="19"/>
      <c r="H61" s="19"/>
      <c r="I61" s="13"/>
      <c r="J61" s="14"/>
      <c r="K61" s="14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30">
        <f t="shared" si="9"/>
        <v>0</v>
      </c>
      <c r="Y61" s="30">
        <f t="shared" si="10"/>
        <v>0</v>
      </c>
      <c r="Z61" s="30">
        <f t="shared" si="11"/>
        <v>0</v>
      </c>
      <c r="AC61" s="47" t="s">
        <v>627</v>
      </c>
      <c r="AD61" s="142" t="s">
        <v>230</v>
      </c>
      <c r="AE61" s="42" t="s">
        <v>8</v>
      </c>
      <c r="AF61" s="13"/>
      <c r="AG61" s="13"/>
      <c r="AH61" s="13"/>
      <c r="AI61" s="14"/>
      <c r="AJ61" s="13"/>
      <c r="AK61" s="13">
        <v>1</v>
      </c>
      <c r="AL61" s="13"/>
      <c r="AM61" s="13">
        <v>1</v>
      </c>
      <c r="AN61" s="13">
        <v>1</v>
      </c>
      <c r="AO61" s="13"/>
      <c r="AP61" s="13"/>
      <c r="AQ61" s="13">
        <v>1</v>
      </c>
      <c r="AR61" s="13"/>
      <c r="AS61" s="13"/>
      <c r="AT61" s="13">
        <v>4</v>
      </c>
      <c r="AU61" s="13"/>
      <c r="AV61" s="13"/>
      <c r="AW61" s="13"/>
      <c r="AX61" s="30">
        <f t="shared" si="12"/>
        <v>0</v>
      </c>
      <c r="AY61" s="30">
        <f t="shared" si="13"/>
        <v>1</v>
      </c>
      <c r="AZ61" s="30">
        <f t="shared" si="14"/>
        <v>7</v>
      </c>
      <c r="BC61" s="53" t="s">
        <v>530</v>
      </c>
      <c r="BD61" s="140" t="s">
        <v>228</v>
      </c>
      <c r="BE61" s="42" t="s">
        <v>8</v>
      </c>
      <c r="BF61" s="19"/>
      <c r="BG61" s="19"/>
      <c r="BH61" s="19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30">
        <f t="shared" si="15"/>
        <v>0</v>
      </c>
      <c r="BY61" s="30">
        <f t="shared" si="16"/>
        <v>0</v>
      </c>
      <c r="BZ61" s="30">
        <f t="shared" si="17"/>
        <v>0</v>
      </c>
    </row>
    <row r="62" spans="1:78" ht="15.5" x14ac:dyDescent="0.35">
      <c r="A62" s="31" t="s">
        <v>937</v>
      </c>
      <c r="B62" s="33" t="s">
        <v>517</v>
      </c>
      <c r="C62" s="41" t="s">
        <v>518</v>
      </c>
      <c r="D62" s="140" t="s">
        <v>228</v>
      </c>
      <c r="E62" s="42" t="s">
        <v>8</v>
      </c>
      <c r="F62" s="19"/>
      <c r="G62" s="19"/>
      <c r="H62" s="19"/>
      <c r="I62" s="13"/>
      <c r="J62" s="14">
        <v>1</v>
      </c>
      <c r="K62" s="13"/>
      <c r="L62" s="13"/>
      <c r="M62" s="13"/>
      <c r="N62" s="13"/>
      <c r="O62" s="13"/>
      <c r="P62" s="13"/>
      <c r="Q62" s="13"/>
      <c r="R62" s="13"/>
      <c r="S62" s="13">
        <v>1</v>
      </c>
      <c r="T62" s="13"/>
      <c r="U62" s="13"/>
      <c r="V62" s="13"/>
      <c r="W62" s="13"/>
      <c r="X62" s="30">
        <f t="shared" si="9"/>
        <v>0</v>
      </c>
      <c r="Y62" s="30">
        <f t="shared" si="10"/>
        <v>2</v>
      </c>
      <c r="Z62" s="30">
        <f t="shared" si="11"/>
        <v>0</v>
      </c>
      <c r="AC62" s="64" t="s">
        <v>628</v>
      </c>
      <c r="AD62" s="142" t="s">
        <v>230</v>
      </c>
      <c r="AE62" s="65" t="s">
        <v>8</v>
      </c>
      <c r="AF62" s="13"/>
      <c r="AG62" s="13"/>
      <c r="AH62" s="13">
        <v>1</v>
      </c>
      <c r="AI62" s="14"/>
      <c r="AJ62" s="14"/>
      <c r="AK62" s="13"/>
      <c r="AL62" s="13"/>
      <c r="AM62" s="13"/>
      <c r="AN62" s="13">
        <v>1</v>
      </c>
      <c r="AO62" s="13"/>
      <c r="AP62" s="13">
        <v>1</v>
      </c>
      <c r="AQ62" s="13">
        <v>1</v>
      </c>
      <c r="AR62" s="13"/>
      <c r="AS62" s="13"/>
      <c r="AT62" s="13">
        <v>2</v>
      </c>
      <c r="AU62" s="13"/>
      <c r="AV62" s="13"/>
      <c r="AW62" s="13"/>
      <c r="AX62" s="30">
        <f t="shared" si="12"/>
        <v>0</v>
      </c>
      <c r="AY62" s="30">
        <f t="shared" si="13"/>
        <v>1</v>
      </c>
      <c r="AZ62" s="30">
        <f t="shared" si="14"/>
        <v>5</v>
      </c>
      <c r="BC62" s="41" t="s">
        <v>532</v>
      </c>
      <c r="BD62" s="140" t="s">
        <v>228</v>
      </c>
      <c r="BE62" s="42" t="s">
        <v>8</v>
      </c>
      <c r="BF62" s="19"/>
      <c r="BG62" s="13"/>
      <c r="BH62" s="19"/>
      <c r="BI62" s="13"/>
      <c r="BJ62" s="14">
        <v>1</v>
      </c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>
        <v>1</v>
      </c>
      <c r="BW62" s="13"/>
      <c r="BX62" s="30">
        <f t="shared" si="15"/>
        <v>0</v>
      </c>
      <c r="BY62" s="30">
        <f t="shared" si="16"/>
        <v>2</v>
      </c>
      <c r="BZ62" s="30">
        <f t="shared" si="17"/>
        <v>0</v>
      </c>
    </row>
    <row r="63" spans="1:78" ht="15.5" x14ac:dyDescent="0.35">
      <c r="A63" s="31" t="s">
        <v>939</v>
      </c>
      <c r="B63" s="33" t="s">
        <v>521</v>
      </c>
      <c r="C63" s="53" t="s">
        <v>522</v>
      </c>
      <c r="D63" s="140" t="s">
        <v>228</v>
      </c>
      <c r="E63" s="42" t="s">
        <v>6</v>
      </c>
      <c r="F63" s="19"/>
      <c r="G63" s="19"/>
      <c r="H63" s="19"/>
      <c r="I63" s="13"/>
      <c r="J63" s="13">
        <v>1</v>
      </c>
      <c r="K63" s="13"/>
      <c r="L63" s="13"/>
      <c r="M63" s="13"/>
      <c r="N63" s="13"/>
      <c r="O63" s="13"/>
      <c r="P63" s="13">
        <v>1</v>
      </c>
      <c r="Q63" s="13"/>
      <c r="R63" s="13"/>
      <c r="S63" s="13"/>
      <c r="T63" s="13"/>
      <c r="U63" s="13"/>
      <c r="V63" s="13">
        <v>1</v>
      </c>
      <c r="W63" s="13"/>
      <c r="X63" s="30">
        <f t="shared" si="9"/>
        <v>0</v>
      </c>
      <c r="Y63" s="30">
        <f t="shared" si="10"/>
        <v>3</v>
      </c>
      <c r="Z63" s="30">
        <f t="shared" si="11"/>
        <v>0</v>
      </c>
      <c r="AC63" s="34" t="s">
        <v>426</v>
      </c>
      <c r="AD63" s="139" t="s">
        <v>225</v>
      </c>
      <c r="AE63" s="35" t="s">
        <v>6</v>
      </c>
      <c r="AF63" s="19"/>
      <c r="AG63" s="19"/>
      <c r="AH63" s="19"/>
      <c r="AI63" s="13"/>
      <c r="AJ63" s="13">
        <v>1</v>
      </c>
      <c r="AK63" s="13"/>
      <c r="AL63" s="13"/>
      <c r="AM63" s="13"/>
      <c r="AN63" s="13"/>
      <c r="AO63" s="13"/>
      <c r="AP63" s="13"/>
      <c r="AQ63" s="13">
        <v>1</v>
      </c>
      <c r="AR63" s="13"/>
      <c r="AS63" s="13">
        <v>1</v>
      </c>
      <c r="AT63" s="13"/>
      <c r="AU63" s="13"/>
      <c r="AV63" s="13"/>
      <c r="AW63" s="13"/>
      <c r="AX63" s="30">
        <f t="shared" si="12"/>
        <v>0</v>
      </c>
      <c r="AY63" s="30">
        <f t="shared" si="13"/>
        <v>2</v>
      </c>
      <c r="AZ63" s="30">
        <f t="shared" si="14"/>
        <v>1</v>
      </c>
      <c r="BC63" s="53" t="s">
        <v>536</v>
      </c>
      <c r="BD63" s="140" t="s">
        <v>228</v>
      </c>
      <c r="BE63" s="42" t="s">
        <v>6</v>
      </c>
      <c r="BF63" s="19"/>
      <c r="BG63" s="19"/>
      <c r="BH63" s="19"/>
      <c r="BI63" s="13"/>
      <c r="BJ63" s="14">
        <v>1</v>
      </c>
      <c r="BK63" s="13"/>
      <c r="BL63" s="13"/>
      <c r="BM63" s="13"/>
      <c r="BN63" s="13"/>
      <c r="BO63" s="13"/>
      <c r="BP63" s="13">
        <v>1</v>
      </c>
      <c r="BQ63" s="13"/>
      <c r="BR63" s="13"/>
      <c r="BS63" s="13">
        <v>6</v>
      </c>
      <c r="BT63" s="13"/>
      <c r="BU63" s="13"/>
      <c r="BV63" s="13">
        <v>1</v>
      </c>
      <c r="BW63" s="13"/>
      <c r="BX63" s="30">
        <f t="shared" si="15"/>
        <v>0</v>
      </c>
      <c r="BY63" s="30">
        <f t="shared" si="16"/>
        <v>9</v>
      </c>
      <c r="BZ63" s="30">
        <f t="shared" si="17"/>
        <v>0</v>
      </c>
    </row>
    <row r="64" spans="1:78" ht="15.5" x14ac:dyDescent="0.35">
      <c r="A64" s="31" t="s">
        <v>940</v>
      </c>
      <c r="B64" s="33" t="s">
        <v>523</v>
      </c>
      <c r="C64" s="53" t="s">
        <v>524</v>
      </c>
      <c r="D64" s="140" t="s">
        <v>228</v>
      </c>
      <c r="E64" s="42" t="s">
        <v>8</v>
      </c>
      <c r="F64" s="19"/>
      <c r="G64" s="19"/>
      <c r="H64" s="19"/>
      <c r="I64" s="13"/>
      <c r="J64" s="14"/>
      <c r="K64" s="13"/>
      <c r="L64" s="13"/>
      <c r="M64" s="13"/>
      <c r="N64" s="13"/>
      <c r="O64" s="13"/>
      <c r="P64" s="13">
        <v>1</v>
      </c>
      <c r="Q64" s="13"/>
      <c r="R64" s="13"/>
      <c r="S64" s="13"/>
      <c r="T64" s="13"/>
      <c r="U64" s="13"/>
      <c r="V64" s="13"/>
      <c r="W64" s="13"/>
      <c r="X64" s="30">
        <f t="shared" si="9"/>
        <v>0</v>
      </c>
      <c r="Y64" s="30">
        <f t="shared" si="10"/>
        <v>1</v>
      </c>
      <c r="Z64" s="30">
        <f t="shared" si="11"/>
        <v>0</v>
      </c>
      <c r="AC64" s="36" t="s">
        <v>432</v>
      </c>
      <c r="AD64" s="139" t="s">
        <v>225</v>
      </c>
      <c r="AE64" s="35" t="s">
        <v>8</v>
      </c>
      <c r="AF64" s="19"/>
      <c r="AG64" s="19"/>
      <c r="AH64" s="19"/>
      <c r="AI64" s="13"/>
      <c r="AJ64" s="13">
        <v>1</v>
      </c>
      <c r="AK64" s="14"/>
      <c r="AL64" s="13"/>
      <c r="AM64" s="14">
        <v>1</v>
      </c>
      <c r="AN64" s="14"/>
      <c r="AO64" s="13"/>
      <c r="AP64" s="14"/>
      <c r="AQ64" s="14"/>
      <c r="AR64" s="13">
        <v>1</v>
      </c>
      <c r="AS64" s="14"/>
      <c r="AT64" s="14"/>
      <c r="AU64" s="13"/>
      <c r="AV64" s="14"/>
      <c r="AW64" s="14"/>
      <c r="AX64" s="30">
        <f t="shared" si="12"/>
        <v>1</v>
      </c>
      <c r="AY64" s="30">
        <f t="shared" si="13"/>
        <v>2</v>
      </c>
      <c r="AZ64" s="30">
        <f t="shared" si="14"/>
        <v>0</v>
      </c>
      <c r="BC64" s="41" t="s">
        <v>538</v>
      </c>
      <c r="BD64" s="140" t="s">
        <v>228</v>
      </c>
      <c r="BE64" s="42" t="s">
        <v>6</v>
      </c>
      <c r="BF64" s="19"/>
      <c r="BG64" s="19"/>
      <c r="BH64" s="19"/>
      <c r="BI64" s="13"/>
      <c r="BJ64" s="14"/>
      <c r="BK64" s="13"/>
      <c r="BL64" s="13"/>
      <c r="BM64" s="13">
        <v>2</v>
      </c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30">
        <f t="shared" si="15"/>
        <v>0</v>
      </c>
      <c r="BY64" s="30">
        <f t="shared" si="16"/>
        <v>2</v>
      </c>
      <c r="BZ64" s="30">
        <f t="shared" si="17"/>
        <v>0</v>
      </c>
    </row>
    <row r="65" spans="1:78" ht="15.5" x14ac:dyDescent="0.35">
      <c r="A65" s="31" t="s">
        <v>941</v>
      </c>
      <c r="B65" s="33" t="s">
        <v>525</v>
      </c>
      <c r="C65" s="53" t="s">
        <v>526</v>
      </c>
      <c r="D65" s="140" t="s">
        <v>228</v>
      </c>
      <c r="E65" s="42" t="s">
        <v>8</v>
      </c>
      <c r="F65" s="19"/>
      <c r="G65" s="19">
        <v>1</v>
      </c>
      <c r="H65" s="19"/>
      <c r="I65" s="13"/>
      <c r="J65" s="14"/>
      <c r="K65" s="14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>
        <v>1</v>
      </c>
      <c r="W65" s="13"/>
      <c r="X65" s="30">
        <f t="shared" si="9"/>
        <v>0</v>
      </c>
      <c r="Y65" s="30">
        <f t="shared" si="10"/>
        <v>2</v>
      </c>
      <c r="Z65" s="30">
        <f t="shared" si="11"/>
        <v>0</v>
      </c>
      <c r="AC65" s="36" t="s">
        <v>438</v>
      </c>
      <c r="AD65" s="127" t="s">
        <v>226</v>
      </c>
      <c r="AE65" s="35" t="s">
        <v>6</v>
      </c>
      <c r="AF65" s="3"/>
      <c r="AG65" s="3"/>
      <c r="AH65" s="3"/>
      <c r="AI65" s="4"/>
      <c r="AJ65" s="5">
        <v>1</v>
      </c>
      <c r="AK65" s="5"/>
      <c r="AL65" s="4"/>
      <c r="AM65" s="5"/>
      <c r="AN65" s="4"/>
      <c r="AO65" s="13"/>
      <c r="AP65" s="5"/>
      <c r="AQ65" s="4"/>
      <c r="AR65" s="4"/>
      <c r="AS65" s="5"/>
      <c r="AT65" s="4"/>
      <c r="AU65" s="4"/>
      <c r="AV65" s="5">
        <v>1</v>
      </c>
      <c r="AW65" s="4"/>
      <c r="AX65" s="30">
        <f t="shared" si="12"/>
        <v>0</v>
      </c>
      <c r="AY65" s="30">
        <f t="shared" si="13"/>
        <v>2</v>
      </c>
      <c r="AZ65" s="30">
        <f t="shared" si="14"/>
        <v>0</v>
      </c>
      <c r="BC65" s="41" t="s">
        <v>540</v>
      </c>
      <c r="BD65" s="140" t="s">
        <v>228</v>
      </c>
      <c r="BE65" s="42" t="s">
        <v>8</v>
      </c>
      <c r="BF65" s="19"/>
      <c r="BG65" s="19"/>
      <c r="BH65" s="19"/>
      <c r="BI65" s="14"/>
      <c r="BJ65" s="14"/>
      <c r="BK65" s="13"/>
      <c r="BL65" s="13"/>
      <c r="BM65" s="13">
        <v>2</v>
      </c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30">
        <f t="shared" si="15"/>
        <v>0</v>
      </c>
      <c r="BY65" s="30">
        <f t="shared" si="16"/>
        <v>2</v>
      </c>
      <c r="BZ65" s="30">
        <f t="shared" si="17"/>
        <v>0</v>
      </c>
    </row>
    <row r="66" spans="1:78" ht="15.5" x14ac:dyDescent="0.35">
      <c r="A66" s="31" t="s">
        <v>942</v>
      </c>
      <c r="B66" s="33" t="s">
        <v>527</v>
      </c>
      <c r="C66" s="41" t="s">
        <v>528</v>
      </c>
      <c r="D66" s="140" t="s">
        <v>228</v>
      </c>
      <c r="E66" s="42" t="s">
        <v>8</v>
      </c>
      <c r="F66" s="19"/>
      <c r="G66" s="19"/>
      <c r="H66" s="19"/>
      <c r="I66" s="13"/>
      <c r="J66" s="14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30">
        <f t="shared" si="9"/>
        <v>0</v>
      </c>
      <c r="Y66" s="30">
        <f t="shared" si="10"/>
        <v>0</v>
      </c>
      <c r="Z66" s="30">
        <f t="shared" si="11"/>
        <v>0</v>
      </c>
      <c r="AC66" s="44" t="s">
        <v>441</v>
      </c>
      <c r="AD66" s="127" t="s">
        <v>226</v>
      </c>
      <c r="AE66" s="35" t="s">
        <v>6</v>
      </c>
      <c r="AF66" s="3"/>
      <c r="AG66" s="3"/>
      <c r="AH66" s="3"/>
      <c r="AI66" s="4"/>
      <c r="AJ66" s="5"/>
      <c r="AK66" s="5"/>
      <c r="AL66" s="4"/>
      <c r="AM66" s="4"/>
      <c r="AN66" s="5"/>
      <c r="AO66" s="13"/>
      <c r="AP66" s="4"/>
      <c r="AQ66" s="4"/>
      <c r="AR66" s="4"/>
      <c r="AS66" s="4"/>
      <c r="AT66" s="4"/>
      <c r="AU66" s="4"/>
      <c r="AV66" s="4">
        <v>2</v>
      </c>
      <c r="AW66" s="4"/>
      <c r="AX66" s="30">
        <f t="shared" si="12"/>
        <v>0</v>
      </c>
      <c r="AY66" s="30">
        <f t="shared" si="13"/>
        <v>2</v>
      </c>
      <c r="AZ66" s="30">
        <f t="shared" si="14"/>
        <v>0</v>
      </c>
      <c r="BC66" s="53" t="s">
        <v>542</v>
      </c>
      <c r="BD66" s="140" t="s">
        <v>228</v>
      </c>
      <c r="BE66" s="42" t="s">
        <v>8</v>
      </c>
      <c r="BF66" s="19"/>
      <c r="BG66" s="19"/>
      <c r="BH66" s="19"/>
      <c r="BI66" s="13">
        <v>1</v>
      </c>
      <c r="BJ66" s="14">
        <v>1</v>
      </c>
      <c r="BK66" s="13"/>
      <c r="BL66" s="13"/>
      <c r="BM66" s="13"/>
      <c r="BN66" s="13"/>
      <c r="BO66" s="13"/>
      <c r="BP66" s="13"/>
      <c r="BQ66" s="13"/>
      <c r="BR66" s="13"/>
      <c r="BS66" s="13">
        <v>1</v>
      </c>
      <c r="BT66" s="13"/>
      <c r="BU66" s="13"/>
      <c r="BV66" s="13"/>
      <c r="BW66" s="13"/>
      <c r="BX66" s="30">
        <f t="shared" si="15"/>
        <v>1</v>
      </c>
      <c r="BY66" s="30">
        <f t="shared" si="16"/>
        <v>2</v>
      </c>
      <c r="BZ66" s="30">
        <f t="shared" si="17"/>
        <v>0</v>
      </c>
    </row>
    <row r="67" spans="1:78" ht="15.5" x14ac:dyDescent="0.35">
      <c r="A67" s="31" t="s">
        <v>943</v>
      </c>
      <c r="B67" s="33" t="s">
        <v>529</v>
      </c>
      <c r="C67" s="53" t="s">
        <v>530</v>
      </c>
      <c r="D67" s="140" t="s">
        <v>228</v>
      </c>
      <c r="E67" s="42" t="s">
        <v>8</v>
      </c>
      <c r="F67" s="19"/>
      <c r="G67" s="19"/>
      <c r="H67" s="1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30">
        <f t="shared" si="9"/>
        <v>0</v>
      </c>
      <c r="Y67" s="30">
        <f t="shared" si="10"/>
        <v>0</v>
      </c>
      <c r="Z67" s="30">
        <f t="shared" si="11"/>
        <v>0</v>
      </c>
      <c r="AC67" s="44" t="s">
        <v>445</v>
      </c>
      <c r="AD67" s="127" t="s">
        <v>226</v>
      </c>
      <c r="AE67" s="35" t="s">
        <v>6</v>
      </c>
      <c r="AF67" s="3"/>
      <c r="AG67" s="3"/>
      <c r="AH67" s="3"/>
      <c r="AI67" s="4"/>
      <c r="AJ67" s="5"/>
      <c r="AK67" s="5"/>
      <c r="AL67" s="4"/>
      <c r="AM67" s="4"/>
      <c r="AN67" s="4">
        <v>2</v>
      </c>
      <c r="AO67" s="13"/>
      <c r="AP67" s="5"/>
      <c r="AQ67" s="5"/>
      <c r="AR67" s="4"/>
      <c r="AS67" s="5">
        <v>2</v>
      </c>
      <c r="AT67" s="5"/>
      <c r="AU67" s="4"/>
      <c r="AV67" s="5"/>
      <c r="AW67" s="5"/>
      <c r="AX67" s="30">
        <f t="shared" si="12"/>
        <v>0</v>
      </c>
      <c r="AY67" s="30">
        <f t="shared" si="13"/>
        <v>2</v>
      </c>
      <c r="AZ67" s="30">
        <f t="shared" si="14"/>
        <v>2</v>
      </c>
      <c r="BC67" s="41" t="s">
        <v>544</v>
      </c>
      <c r="BD67" s="140" t="s">
        <v>228</v>
      </c>
      <c r="BE67" s="42" t="s">
        <v>8</v>
      </c>
      <c r="BF67" s="19"/>
      <c r="BG67" s="19"/>
      <c r="BH67" s="19"/>
      <c r="BI67" s="13"/>
      <c r="BJ67" s="14">
        <v>3</v>
      </c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>
        <v>1</v>
      </c>
      <c r="BW67" s="13"/>
      <c r="BX67" s="30">
        <f t="shared" si="15"/>
        <v>0</v>
      </c>
      <c r="BY67" s="30">
        <f t="shared" si="16"/>
        <v>4</v>
      </c>
      <c r="BZ67" s="30">
        <f t="shared" si="17"/>
        <v>0</v>
      </c>
    </row>
    <row r="68" spans="1:78" ht="15.5" x14ac:dyDescent="0.35">
      <c r="A68" s="31" t="s">
        <v>944</v>
      </c>
      <c r="B68" s="33" t="s">
        <v>531</v>
      </c>
      <c r="C68" s="41" t="s">
        <v>532</v>
      </c>
      <c r="D68" s="140" t="s">
        <v>228</v>
      </c>
      <c r="E68" s="42" t="s">
        <v>8</v>
      </c>
      <c r="F68" s="19"/>
      <c r="G68" s="13"/>
      <c r="H68" s="19"/>
      <c r="I68" s="13"/>
      <c r="J68" s="14">
        <v>1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>
        <v>1</v>
      </c>
      <c r="W68" s="13"/>
      <c r="X68" s="30">
        <f t="shared" ref="X68:X99" si="18">SUM(F68,I68,L68,O68,R68,U68)</f>
        <v>0</v>
      </c>
      <c r="Y68" s="30">
        <f t="shared" ref="Y68:Y99" si="19">SUM(G68,J68,M68,P68,S68,V68)</f>
        <v>2</v>
      </c>
      <c r="Z68" s="30">
        <f t="shared" ref="Z68:Z99" si="20">SUM(H68,K68,N68,Q68,T68,W68)</f>
        <v>0</v>
      </c>
      <c r="AC68" s="36" t="s">
        <v>447</v>
      </c>
      <c r="AD68" s="127" t="s">
        <v>226</v>
      </c>
      <c r="AE68" s="35" t="s">
        <v>6</v>
      </c>
      <c r="AF68" s="3"/>
      <c r="AG68" s="3"/>
      <c r="AH68" s="3"/>
      <c r="AI68" s="4"/>
      <c r="AJ68" s="5"/>
      <c r="AK68" s="5"/>
      <c r="AL68" s="4"/>
      <c r="AM68" s="4"/>
      <c r="AN68" s="4"/>
      <c r="AO68" s="13"/>
      <c r="AP68" s="5"/>
      <c r="AQ68" s="5"/>
      <c r="AR68" s="4"/>
      <c r="AS68" s="5">
        <v>1</v>
      </c>
      <c r="AT68" s="5"/>
      <c r="AU68" s="4"/>
      <c r="AV68" s="5">
        <v>1</v>
      </c>
      <c r="AW68" s="5"/>
      <c r="AX68" s="30">
        <f t="shared" ref="AX68:AX99" si="21">SUM(AF68,AI68,AL68,AO68,AR68,AU68)</f>
        <v>0</v>
      </c>
      <c r="AY68" s="30">
        <f t="shared" ref="AY68:AY99" si="22">SUM(AG68,AJ68,AM68,AP68,AS68,AV68)</f>
        <v>2</v>
      </c>
      <c r="AZ68" s="30">
        <f t="shared" ref="AZ68:AZ99" si="23">SUM(AH68,AK68,AN68,AQ68,AT68,AW68)</f>
        <v>0</v>
      </c>
      <c r="BC68" s="41" t="s">
        <v>548</v>
      </c>
      <c r="BD68" s="140" t="s">
        <v>228</v>
      </c>
      <c r="BE68" s="42" t="s">
        <v>6</v>
      </c>
      <c r="BF68" s="27"/>
      <c r="BG68" s="27"/>
      <c r="BH68" s="27"/>
      <c r="BI68" s="21"/>
      <c r="BJ68" s="21"/>
      <c r="BK68" s="15"/>
      <c r="BL68" s="15"/>
      <c r="BM68" s="15"/>
      <c r="BN68" s="15"/>
      <c r="BO68" s="15"/>
      <c r="BP68" s="15"/>
      <c r="BQ68" s="15"/>
      <c r="BR68" s="15"/>
      <c r="BS68" s="15">
        <v>1</v>
      </c>
      <c r="BT68" s="15"/>
      <c r="BU68" s="15"/>
      <c r="BV68" s="15"/>
      <c r="BW68" s="15"/>
      <c r="BX68" s="30">
        <f t="shared" ref="BX68:BX99" si="24">SUM(BF68,BI68,BL68,BO68,BR68,BU68)</f>
        <v>0</v>
      </c>
      <c r="BY68" s="30">
        <f t="shared" ref="BY68:BY99" si="25">SUM(BG68,BJ68,BM68,BP68,BS68,BV68)</f>
        <v>1</v>
      </c>
      <c r="BZ68" s="30">
        <f t="shared" ref="BZ68:BZ99" si="26">SUM(BH68,BK68,BN68,BQ68,BT68,BW68)</f>
        <v>0</v>
      </c>
    </row>
    <row r="69" spans="1:78" ht="15.5" x14ac:dyDescent="0.35">
      <c r="A69" s="31" t="s">
        <v>945</v>
      </c>
      <c r="B69" s="33" t="s">
        <v>533</v>
      </c>
      <c r="C69" s="41" t="s">
        <v>534</v>
      </c>
      <c r="D69" s="140" t="s">
        <v>228</v>
      </c>
      <c r="E69" s="42" t="s">
        <v>8</v>
      </c>
      <c r="F69" s="19"/>
      <c r="G69" s="19"/>
      <c r="H69" s="19"/>
      <c r="I69" s="13"/>
      <c r="J69" s="14">
        <v>3</v>
      </c>
      <c r="K69" s="13"/>
      <c r="L69" s="13"/>
      <c r="M69" s="13"/>
      <c r="N69" s="13"/>
      <c r="O69" s="13"/>
      <c r="P69" s="13"/>
      <c r="Q69" s="13">
        <v>1</v>
      </c>
      <c r="R69" s="13"/>
      <c r="S69" s="13">
        <v>4</v>
      </c>
      <c r="T69" s="13">
        <v>1</v>
      </c>
      <c r="U69" s="13"/>
      <c r="V69" s="13">
        <v>1</v>
      </c>
      <c r="W69" s="13"/>
      <c r="X69" s="30">
        <f t="shared" si="18"/>
        <v>0</v>
      </c>
      <c r="Y69" s="30">
        <f t="shared" si="19"/>
        <v>8</v>
      </c>
      <c r="Z69" s="30">
        <f t="shared" si="20"/>
        <v>2</v>
      </c>
      <c r="AC69" s="46" t="s">
        <v>455</v>
      </c>
      <c r="AD69" s="127" t="s">
        <v>226</v>
      </c>
      <c r="AE69" s="40" t="s">
        <v>6</v>
      </c>
      <c r="AF69" s="3"/>
      <c r="AG69" s="3"/>
      <c r="AH69" s="3"/>
      <c r="AI69" s="4"/>
      <c r="AJ69" s="5"/>
      <c r="AK69" s="5"/>
      <c r="AL69" s="4"/>
      <c r="AM69" s="4">
        <v>1</v>
      </c>
      <c r="AN69" s="4"/>
      <c r="AO69" s="13"/>
      <c r="AP69" s="5"/>
      <c r="AQ69" s="5"/>
      <c r="AR69" s="4"/>
      <c r="AS69" s="5">
        <v>1</v>
      </c>
      <c r="AT69" s="5"/>
      <c r="AU69" s="4"/>
      <c r="AV69" s="5"/>
      <c r="AW69" s="5"/>
      <c r="AX69" s="30">
        <f t="shared" si="21"/>
        <v>0</v>
      </c>
      <c r="AY69" s="30">
        <f t="shared" si="22"/>
        <v>2</v>
      </c>
      <c r="AZ69" s="30">
        <f t="shared" si="23"/>
        <v>0</v>
      </c>
      <c r="BC69" s="54" t="s">
        <v>550</v>
      </c>
      <c r="BD69" s="140" t="s">
        <v>228</v>
      </c>
      <c r="BE69" s="52" t="s">
        <v>6</v>
      </c>
      <c r="BF69" s="19"/>
      <c r="BG69" s="19"/>
      <c r="BH69" s="19"/>
      <c r="BI69" s="14"/>
      <c r="BJ69" s="14">
        <v>1</v>
      </c>
      <c r="BK69" s="14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>
        <v>1</v>
      </c>
      <c r="BW69" s="13"/>
      <c r="BX69" s="30">
        <f t="shared" si="24"/>
        <v>0</v>
      </c>
      <c r="BY69" s="30">
        <f t="shared" si="25"/>
        <v>2</v>
      </c>
      <c r="BZ69" s="30">
        <f t="shared" si="26"/>
        <v>0</v>
      </c>
    </row>
    <row r="70" spans="1:78" ht="15.5" x14ac:dyDescent="0.35">
      <c r="A70" s="31" t="s">
        <v>946</v>
      </c>
      <c r="B70" s="131" t="s">
        <v>535</v>
      </c>
      <c r="C70" s="143" t="s">
        <v>536</v>
      </c>
      <c r="D70" s="140" t="s">
        <v>228</v>
      </c>
      <c r="E70" s="121" t="s">
        <v>6</v>
      </c>
      <c r="F70" s="125"/>
      <c r="G70" s="125"/>
      <c r="H70" s="125"/>
      <c r="I70" s="122"/>
      <c r="J70" s="128">
        <v>1</v>
      </c>
      <c r="K70" s="122"/>
      <c r="L70" s="122"/>
      <c r="M70" s="122"/>
      <c r="N70" s="122"/>
      <c r="O70" s="122"/>
      <c r="P70" s="122">
        <v>1</v>
      </c>
      <c r="Q70" s="122"/>
      <c r="R70" s="122"/>
      <c r="S70" s="122">
        <v>6</v>
      </c>
      <c r="T70" s="122"/>
      <c r="U70" s="122"/>
      <c r="V70" s="122">
        <v>1</v>
      </c>
      <c r="W70" s="122"/>
      <c r="X70" s="109">
        <f t="shared" si="18"/>
        <v>0</v>
      </c>
      <c r="Y70" s="109">
        <f t="shared" si="19"/>
        <v>9</v>
      </c>
      <c r="Z70" s="109">
        <f t="shared" si="20"/>
        <v>0</v>
      </c>
      <c r="AC70" s="129" t="s">
        <v>460</v>
      </c>
      <c r="AD70" s="127" t="s">
        <v>226</v>
      </c>
      <c r="AE70" s="139" t="s">
        <v>6</v>
      </c>
      <c r="AF70" s="130"/>
      <c r="AG70" s="130"/>
      <c r="AH70" s="130"/>
      <c r="AI70" s="113"/>
      <c r="AJ70" s="108"/>
      <c r="AK70" s="113"/>
      <c r="AL70" s="108"/>
      <c r="AM70" s="108">
        <v>1</v>
      </c>
      <c r="AN70" s="108"/>
      <c r="AO70" s="122"/>
      <c r="AP70" s="113"/>
      <c r="AQ70" s="108"/>
      <c r="AR70" s="108"/>
      <c r="AS70" s="113">
        <v>1</v>
      </c>
      <c r="AT70" s="108"/>
      <c r="AU70" s="108"/>
      <c r="AV70" s="113"/>
      <c r="AW70" s="108"/>
      <c r="AX70" s="109">
        <f t="shared" si="21"/>
        <v>0</v>
      </c>
      <c r="AY70" s="109">
        <f t="shared" si="22"/>
        <v>2</v>
      </c>
      <c r="AZ70" s="109">
        <f t="shared" si="23"/>
        <v>0</v>
      </c>
      <c r="BC70" s="137" t="s">
        <v>554</v>
      </c>
      <c r="BD70" s="140" t="s">
        <v>228</v>
      </c>
      <c r="BE70" s="154" t="s">
        <v>8</v>
      </c>
      <c r="BF70" s="125"/>
      <c r="BG70" s="125"/>
      <c r="BH70" s="125"/>
      <c r="BI70" s="122"/>
      <c r="BJ70" s="128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09">
        <f t="shared" si="24"/>
        <v>0</v>
      </c>
      <c r="BY70" s="109">
        <f t="shared" si="25"/>
        <v>0</v>
      </c>
      <c r="BZ70" s="109">
        <f t="shared" si="26"/>
        <v>0</v>
      </c>
    </row>
    <row r="71" spans="1:78" ht="15.5" x14ac:dyDescent="0.35">
      <c r="A71" s="31" t="s">
        <v>947</v>
      </c>
      <c r="B71" s="33" t="s">
        <v>537</v>
      </c>
      <c r="C71" s="41" t="s">
        <v>538</v>
      </c>
      <c r="D71" s="140" t="s">
        <v>228</v>
      </c>
      <c r="E71" s="42" t="s">
        <v>6</v>
      </c>
      <c r="F71" s="19"/>
      <c r="G71" s="19"/>
      <c r="H71" s="19"/>
      <c r="I71" s="13"/>
      <c r="J71" s="14"/>
      <c r="K71" s="13"/>
      <c r="L71" s="13"/>
      <c r="M71" s="13">
        <v>2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30">
        <f t="shared" si="18"/>
        <v>0</v>
      </c>
      <c r="Y71" s="30">
        <f t="shared" si="19"/>
        <v>2</v>
      </c>
      <c r="Z71" s="30">
        <f t="shared" si="20"/>
        <v>0</v>
      </c>
      <c r="AC71" s="36" t="s">
        <v>485</v>
      </c>
      <c r="AD71" s="139" t="s">
        <v>227</v>
      </c>
      <c r="AE71" s="35" t="s">
        <v>6</v>
      </c>
      <c r="AF71" s="3"/>
      <c r="AG71" s="3"/>
      <c r="AH71" s="3"/>
      <c r="AI71" s="4"/>
      <c r="AJ71" s="5"/>
      <c r="AK71" s="4"/>
      <c r="AL71" s="4"/>
      <c r="AM71" s="5">
        <v>1</v>
      </c>
      <c r="AN71" s="4"/>
      <c r="AO71" s="13"/>
      <c r="AP71" s="5"/>
      <c r="AQ71" s="4"/>
      <c r="AR71" s="4"/>
      <c r="AS71" s="5">
        <v>1</v>
      </c>
      <c r="AT71" s="4"/>
      <c r="AU71" s="4"/>
      <c r="AV71" s="5"/>
      <c r="AW71" s="4"/>
      <c r="AX71" s="30">
        <f t="shared" si="21"/>
        <v>0</v>
      </c>
      <c r="AY71" s="30">
        <f t="shared" si="22"/>
        <v>2</v>
      </c>
      <c r="AZ71" s="30">
        <f t="shared" si="23"/>
        <v>0</v>
      </c>
      <c r="BC71" s="56" t="s">
        <v>556</v>
      </c>
      <c r="BD71" s="140" t="s">
        <v>228</v>
      </c>
      <c r="BE71" s="35" t="s">
        <v>8</v>
      </c>
      <c r="BF71" s="19"/>
      <c r="BG71" s="19"/>
      <c r="BH71" s="19"/>
      <c r="BI71" s="13"/>
      <c r="BJ71" s="14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30">
        <f t="shared" si="24"/>
        <v>0</v>
      </c>
      <c r="BY71" s="30">
        <f t="shared" si="25"/>
        <v>0</v>
      </c>
      <c r="BZ71" s="30">
        <f t="shared" si="26"/>
        <v>0</v>
      </c>
    </row>
    <row r="72" spans="1:78" ht="15.5" x14ac:dyDescent="0.35">
      <c r="A72" s="31" t="s">
        <v>948</v>
      </c>
      <c r="B72" s="33" t="s">
        <v>539</v>
      </c>
      <c r="C72" s="41" t="s">
        <v>540</v>
      </c>
      <c r="D72" s="140" t="s">
        <v>228</v>
      </c>
      <c r="E72" s="42" t="s">
        <v>8</v>
      </c>
      <c r="F72" s="19"/>
      <c r="G72" s="19"/>
      <c r="H72" s="19"/>
      <c r="I72" s="14"/>
      <c r="J72" s="14"/>
      <c r="K72" s="13"/>
      <c r="L72" s="13"/>
      <c r="M72" s="13">
        <v>2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30">
        <f t="shared" si="18"/>
        <v>0</v>
      </c>
      <c r="Y72" s="30">
        <f t="shared" si="19"/>
        <v>2</v>
      </c>
      <c r="Z72" s="30">
        <f t="shared" si="20"/>
        <v>0</v>
      </c>
      <c r="AC72" s="51" t="s">
        <v>490</v>
      </c>
      <c r="AD72" s="139" t="s">
        <v>227</v>
      </c>
      <c r="AE72" s="42" t="s">
        <v>6</v>
      </c>
      <c r="AF72" s="3"/>
      <c r="AG72" s="3"/>
      <c r="AH72" s="3"/>
      <c r="AI72" s="4"/>
      <c r="AJ72" s="5"/>
      <c r="AK72" s="4"/>
      <c r="AL72" s="4"/>
      <c r="AM72" s="4"/>
      <c r="AN72" s="4"/>
      <c r="AO72" s="13"/>
      <c r="AP72" s="4">
        <v>2</v>
      </c>
      <c r="AQ72" s="4"/>
      <c r="AR72" s="4"/>
      <c r="AS72" s="4"/>
      <c r="AT72" s="4"/>
      <c r="AU72" s="4"/>
      <c r="AV72" s="4"/>
      <c r="AW72" s="4"/>
      <c r="AX72" s="30">
        <f t="shared" si="21"/>
        <v>0</v>
      </c>
      <c r="AY72" s="30">
        <f t="shared" si="22"/>
        <v>2</v>
      </c>
      <c r="AZ72" s="30">
        <f t="shared" si="23"/>
        <v>0</v>
      </c>
      <c r="BC72" s="56" t="s">
        <v>560</v>
      </c>
      <c r="BD72" s="140" t="s">
        <v>228</v>
      </c>
      <c r="BE72" s="35" t="s">
        <v>8</v>
      </c>
      <c r="BF72" s="19"/>
      <c r="BG72" s="19"/>
      <c r="BH72" s="19"/>
      <c r="BI72" s="13"/>
      <c r="BJ72" s="14">
        <v>2</v>
      </c>
      <c r="BK72" s="13"/>
      <c r="BL72" s="13"/>
      <c r="BM72" s="13"/>
      <c r="BN72" s="13"/>
      <c r="BO72" s="13"/>
      <c r="BP72" s="13"/>
      <c r="BQ72" s="13"/>
      <c r="BR72" s="13"/>
      <c r="BS72" s="13">
        <v>1</v>
      </c>
      <c r="BT72" s="13"/>
      <c r="BU72" s="13"/>
      <c r="BV72" s="13"/>
      <c r="BW72" s="13"/>
      <c r="BX72" s="30">
        <f t="shared" si="24"/>
        <v>0</v>
      </c>
      <c r="BY72" s="30">
        <f t="shared" si="25"/>
        <v>3</v>
      </c>
      <c r="BZ72" s="30">
        <f t="shared" si="26"/>
        <v>0</v>
      </c>
    </row>
    <row r="73" spans="1:78" ht="15.5" x14ac:dyDescent="0.35">
      <c r="A73" s="31" t="s">
        <v>950</v>
      </c>
      <c r="B73" s="33" t="s">
        <v>543</v>
      </c>
      <c r="C73" s="41" t="s">
        <v>544</v>
      </c>
      <c r="D73" s="140" t="s">
        <v>228</v>
      </c>
      <c r="E73" s="42" t="s">
        <v>8</v>
      </c>
      <c r="F73" s="19"/>
      <c r="G73" s="19"/>
      <c r="H73" s="19"/>
      <c r="I73" s="13"/>
      <c r="J73" s="14">
        <v>3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>
        <v>1</v>
      </c>
      <c r="W73" s="13"/>
      <c r="X73" s="30">
        <f t="shared" si="18"/>
        <v>0</v>
      </c>
      <c r="Y73" s="30">
        <f t="shared" si="19"/>
        <v>4</v>
      </c>
      <c r="Z73" s="30">
        <f t="shared" si="20"/>
        <v>0</v>
      </c>
      <c r="AC73" s="43" t="s">
        <v>504</v>
      </c>
      <c r="AD73" s="140" t="s">
        <v>228</v>
      </c>
      <c r="AE73" s="35" t="s">
        <v>8</v>
      </c>
      <c r="AF73" s="19"/>
      <c r="AG73" s="19"/>
      <c r="AH73" s="19"/>
      <c r="AI73" s="13"/>
      <c r="AJ73" s="13">
        <v>1</v>
      </c>
      <c r="AK73" s="14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>
        <v>1</v>
      </c>
      <c r="AW73" s="13"/>
      <c r="AX73" s="30">
        <f t="shared" si="21"/>
        <v>0</v>
      </c>
      <c r="AY73" s="30">
        <f t="shared" si="22"/>
        <v>2</v>
      </c>
      <c r="AZ73" s="30">
        <f t="shared" si="23"/>
        <v>0</v>
      </c>
      <c r="BC73" s="47" t="s">
        <v>562</v>
      </c>
      <c r="BD73" s="140" t="s">
        <v>228</v>
      </c>
      <c r="BE73" s="42" t="s">
        <v>8</v>
      </c>
      <c r="BF73" s="19"/>
      <c r="BG73" s="19">
        <v>1</v>
      </c>
      <c r="BH73" s="19"/>
      <c r="BI73" s="13">
        <v>1</v>
      </c>
      <c r="BJ73" s="14">
        <v>1</v>
      </c>
      <c r="BK73" s="13"/>
      <c r="BL73" s="13">
        <v>1</v>
      </c>
      <c r="BM73" s="13"/>
      <c r="BN73" s="13"/>
      <c r="BO73" s="13">
        <v>1</v>
      </c>
      <c r="BP73" s="13"/>
      <c r="BQ73" s="13"/>
      <c r="BR73" s="13">
        <v>3</v>
      </c>
      <c r="BS73" s="13"/>
      <c r="BT73" s="13"/>
      <c r="BU73" s="13"/>
      <c r="BV73" s="13"/>
      <c r="BW73" s="13"/>
      <c r="BX73" s="30">
        <f t="shared" si="24"/>
        <v>6</v>
      </c>
      <c r="BY73" s="30">
        <f t="shared" si="25"/>
        <v>2</v>
      </c>
      <c r="BZ73" s="30">
        <f t="shared" si="26"/>
        <v>0</v>
      </c>
    </row>
    <row r="74" spans="1:78" ht="15.5" x14ac:dyDescent="0.35">
      <c r="A74" s="31" t="s">
        <v>951</v>
      </c>
      <c r="B74" s="33" t="s">
        <v>545</v>
      </c>
      <c r="C74" s="41" t="s">
        <v>546</v>
      </c>
      <c r="D74" s="140" t="s">
        <v>228</v>
      </c>
      <c r="E74" s="42" t="s">
        <v>6</v>
      </c>
      <c r="F74" s="19"/>
      <c r="G74" s="19"/>
      <c r="H74" s="1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>
        <v>1</v>
      </c>
      <c r="X74" s="30">
        <f t="shared" si="18"/>
        <v>0</v>
      </c>
      <c r="Y74" s="30">
        <f t="shared" si="19"/>
        <v>0</v>
      </c>
      <c r="Z74" s="30">
        <f t="shared" si="20"/>
        <v>1</v>
      </c>
      <c r="AC74" s="41" t="s">
        <v>514</v>
      </c>
      <c r="AD74" s="140" t="s">
        <v>228</v>
      </c>
      <c r="AE74" s="42" t="s">
        <v>6</v>
      </c>
      <c r="AF74" s="19"/>
      <c r="AG74" s="19"/>
      <c r="AH74" s="19"/>
      <c r="AI74" s="13"/>
      <c r="AJ74" s="13">
        <v>1</v>
      </c>
      <c r="AK74" s="14"/>
      <c r="AL74" s="13"/>
      <c r="AM74" s="13"/>
      <c r="AN74" s="13"/>
      <c r="AO74" s="13"/>
      <c r="AP74" s="13"/>
      <c r="AQ74" s="13"/>
      <c r="AR74" s="13"/>
      <c r="AS74" s="13">
        <v>1</v>
      </c>
      <c r="AT74" s="13"/>
      <c r="AU74" s="13"/>
      <c r="AV74" s="13"/>
      <c r="AW74" s="13"/>
      <c r="AX74" s="30">
        <f t="shared" si="21"/>
        <v>0</v>
      </c>
      <c r="AY74" s="30">
        <f t="shared" si="22"/>
        <v>2</v>
      </c>
      <c r="AZ74" s="30">
        <f t="shared" si="23"/>
        <v>0</v>
      </c>
      <c r="BC74" s="53" t="s">
        <v>564</v>
      </c>
      <c r="BD74" s="140" t="s">
        <v>228</v>
      </c>
      <c r="BE74" s="42" t="s">
        <v>8</v>
      </c>
      <c r="BF74" s="19"/>
      <c r="BG74" s="19"/>
      <c r="BH74" s="19"/>
      <c r="BI74" s="13"/>
      <c r="BJ74" s="14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30">
        <f t="shared" si="24"/>
        <v>0</v>
      </c>
      <c r="BY74" s="30">
        <f t="shared" si="25"/>
        <v>0</v>
      </c>
      <c r="BZ74" s="30">
        <f t="shared" si="26"/>
        <v>0</v>
      </c>
    </row>
    <row r="75" spans="1:78" ht="15.5" x14ac:dyDescent="0.35">
      <c r="A75" s="31" t="s">
        <v>952</v>
      </c>
      <c r="B75" s="33" t="s">
        <v>547</v>
      </c>
      <c r="C75" s="41" t="s">
        <v>548</v>
      </c>
      <c r="D75" s="140" t="s">
        <v>228</v>
      </c>
      <c r="E75" s="42" t="s">
        <v>6</v>
      </c>
      <c r="F75" s="27"/>
      <c r="G75" s="27"/>
      <c r="H75" s="27"/>
      <c r="I75" s="21"/>
      <c r="J75" s="21"/>
      <c r="K75" s="15"/>
      <c r="L75" s="15"/>
      <c r="M75" s="15"/>
      <c r="N75" s="15"/>
      <c r="O75" s="15"/>
      <c r="P75" s="15"/>
      <c r="Q75" s="15"/>
      <c r="R75" s="15"/>
      <c r="S75" s="15">
        <v>1</v>
      </c>
      <c r="T75" s="15"/>
      <c r="U75" s="15"/>
      <c r="V75" s="15"/>
      <c r="W75" s="15"/>
      <c r="X75" s="30">
        <f t="shared" si="18"/>
        <v>0</v>
      </c>
      <c r="Y75" s="30">
        <f t="shared" si="19"/>
        <v>1</v>
      </c>
      <c r="Z75" s="30">
        <f t="shared" si="20"/>
        <v>0</v>
      </c>
      <c r="AC75" s="41" t="s">
        <v>518</v>
      </c>
      <c r="AD75" s="140" t="s">
        <v>228</v>
      </c>
      <c r="AE75" s="42" t="s">
        <v>8</v>
      </c>
      <c r="AF75" s="19"/>
      <c r="AG75" s="19"/>
      <c r="AH75" s="19"/>
      <c r="AI75" s="13"/>
      <c r="AJ75" s="14">
        <v>1</v>
      </c>
      <c r="AK75" s="13"/>
      <c r="AL75" s="13"/>
      <c r="AM75" s="13"/>
      <c r="AN75" s="13"/>
      <c r="AO75" s="13"/>
      <c r="AP75" s="13"/>
      <c r="AQ75" s="13"/>
      <c r="AR75" s="13"/>
      <c r="AS75" s="13">
        <v>1</v>
      </c>
      <c r="AT75" s="13"/>
      <c r="AU75" s="13"/>
      <c r="AV75" s="13"/>
      <c r="AW75" s="13"/>
      <c r="AX75" s="30">
        <f t="shared" si="21"/>
        <v>0</v>
      </c>
      <c r="AY75" s="30">
        <f t="shared" si="22"/>
        <v>2</v>
      </c>
      <c r="AZ75" s="30">
        <f t="shared" si="23"/>
        <v>0</v>
      </c>
      <c r="BC75" s="53" t="s">
        <v>895</v>
      </c>
      <c r="BD75" s="140" t="s">
        <v>228</v>
      </c>
      <c r="BE75" s="42" t="s">
        <v>8</v>
      </c>
      <c r="BF75" s="19"/>
      <c r="BG75" s="19"/>
      <c r="BH75" s="19"/>
      <c r="BI75" s="13"/>
      <c r="BJ75" s="14"/>
      <c r="BK75" s="13"/>
      <c r="BL75" s="13"/>
      <c r="BM75" s="13"/>
      <c r="BN75" s="13"/>
      <c r="BO75" s="13"/>
      <c r="BP75" s="13"/>
      <c r="BQ75" s="13"/>
      <c r="BR75" s="13"/>
      <c r="BS75" s="13">
        <v>1</v>
      </c>
      <c r="BT75" s="13"/>
      <c r="BU75" s="13"/>
      <c r="BV75" s="13"/>
      <c r="BW75" s="13"/>
      <c r="BX75" s="30">
        <f t="shared" si="24"/>
        <v>0</v>
      </c>
      <c r="BY75" s="30">
        <f t="shared" si="25"/>
        <v>1</v>
      </c>
      <c r="BZ75" s="30">
        <f t="shared" si="26"/>
        <v>0</v>
      </c>
    </row>
    <row r="76" spans="1:78" ht="15.5" x14ac:dyDescent="0.35">
      <c r="A76" s="31" t="s">
        <v>953</v>
      </c>
      <c r="B76" s="33" t="s">
        <v>549</v>
      </c>
      <c r="C76" s="54" t="s">
        <v>550</v>
      </c>
      <c r="D76" s="140" t="s">
        <v>228</v>
      </c>
      <c r="E76" s="52" t="s">
        <v>6</v>
      </c>
      <c r="F76" s="19"/>
      <c r="G76" s="19"/>
      <c r="H76" s="19"/>
      <c r="I76" s="14"/>
      <c r="J76" s="14">
        <v>1</v>
      </c>
      <c r="K76" s="14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>
        <v>1</v>
      </c>
      <c r="W76" s="13"/>
      <c r="X76" s="30">
        <f t="shared" si="18"/>
        <v>0</v>
      </c>
      <c r="Y76" s="30">
        <f t="shared" si="19"/>
        <v>2</v>
      </c>
      <c r="Z76" s="30">
        <f t="shared" si="20"/>
        <v>0</v>
      </c>
      <c r="AC76" s="53" t="s">
        <v>526</v>
      </c>
      <c r="AD76" s="140" t="s">
        <v>228</v>
      </c>
      <c r="AE76" s="42" t="s">
        <v>8</v>
      </c>
      <c r="AF76" s="19"/>
      <c r="AG76" s="19">
        <v>1</v>
      </c>
      <c r="AH76" s="19"/>
      <c r="AI76" s="13"/>
      <c r="AJ76" s="14"/>
      <c r="AK76" s="14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>
        <v>1</v>
      </c>
      <c r="AW76" s="13"/>
      <c r="AX76" s="30">
        <f t="shared" si="21"/>
        <v>0</v>
      </c>
      <c r="AY76" s="30">
        <f t="shared" si="22"/>
        <v>2</v>
      </c>
      <c r="AZ76" s="30">
        <f t="shared" si="23"/>
        <v>0</v>
      </c>
      <c r="BC76" s="53" t="s">
        <v>1030</v>
      </c>
      <c r="BD76" s="140" t="s">
        <v>228</v>
      </c>
      <c r="BE76" s="42"/>
      <c r="BF76" s="19"/>
      <c r="BG76" s="19"/>
      <c r="BH76" s="19"/>
      <c r="BI76" s="13"/>
      <c r="BJ76" s="14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>
        <v>2</v>
      </c>
      <c r="BW76" s="13"/>
      <c r="BX76" s="30">
        <f t="shared" si="24"/>
        <v>0</v>
      </c>
      <c r="BY76" s="30">
        <f t="shared" si="25"/>
        <v>2</v>
      </c>
      <c r="BZ76" s="30">
        <f t="shared" si="26"/>
        <v>0</v>
      </c>
    </row>
    <row r="77" spans="1:78" ht="15.5" x14ac:dyDescent="0.35">
      <c r="A77" s="31" t="s">
        <v>954</v>
      </c>
      <c r="B77" s="33" t="s">
        <v>551</v>
      </c>
      <c r="C77" s="54" t="s">
        <v>552</v>
      </c>
      <c r="D77" s="140" t="s">
        <v>228</v>
      </c>
      <c r="E77" s="52" t="s">
        <v>8</v>
      </c>
      <c r="F77" s="19"/>
      <c r="G77" s="20"/>
      <c r="H77" s="19"/>
      <c r="I77" s="13"/>
      <c r="J77" s="13">
        <v>2</v>
      </c>
      <c r="K77" s="13"/>
      <c r="L77" s="13"/>
      <c r="M77" s="13"/>
      <c r="N77" s="13"/>
      <c r="O77" s="13"/>
      <c r="P77" s="13"/>
      <c r="Q77" s="13"/>
      <c r="R77" s="13"/>
      <c r="S77" s="13">
        <v>2</v>
      </c>
      <c r="T77" s="13"/>
      <c r="U77" s="13"/>
      <c r="V77" s="13"/>
      <c r="W77" s="13">
        <v>2</v>
      </c>
      <c r="X77" s="30">
        <f t="shared" si="18"/>
        <v>0</v>
      </c>
      <c r="Y77" s="30">
        <f t="shared" si="19"/>
        <v>4</v>
      </c>
      <c r="Z77" s="30">
        <f t="shared" si="20"/>
        <v>2</v>
      </c>
      <c r="AC77" s="41" t="s">
        <v>532</v>
      </c>
      <c r="AD77" s="140" t="s">
        <v>228</v>
      </c>
      <c r="AE77" s="42" t="s">
        <v>8</v>
      </c>
      <c r="AF77" s="19"/>
      <c r="AG77" s="13"/>
      <c r="AH77" s="19"/>
      <c r="AI77" s="13"/>
      <c r="AJ77" s="14">
        <v>1</v>
      </c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>
        <v>1</v>
      </c>
      <c r="AW77" s="13"/>
      <c r="AX77" s="30">
        <f t="shared" si="21"/>
        <v>0</v>
      </c>
      <c r="AY77" s="30">
        <f t="shared" si="22"/>
        <v>2</v>
      </c>
      <c r="AZ77" s="30">
        <f t="shared" si="23"/>
        <v>0</v>
      </c>
      <c r="BC77" s="41" t="s">
        <v>565</v>
      </c>
      <c r="BD77" s="141" t="s">
        <v>229</v>
      </c>
      <c r="BE77" s="42" t="s">
        <v>8</v>
      </c>
      <c r="BF77" s="3"/>
      <c r="BG77" s="3"/>
      <c r="BH77" s="3"/>
      <c r="BI77" s="4"/>
      <c r="BJ77" s="4">
        <v>1</v>
      </c>
      <c r="BK77" s="4"/>
      <c r="BL77" s="4"/>
      <c r="BM77" s="4">
        <v>2</v>
      </c>
      <c r="BN77" s="4"/>
      <c r="BO77" s="4"/>
      <c r="BP77" s="4">
        <v>2</v>
      </c>
      <c r="BQ77" s="4"/>
      <c r="BR77" s="13">
        <v>1</v>
      </c>
      <c r="BS77" s="13">
        <v>1</v>
      </c>
      <c r="BT77" s="13"/>
      <c r="BU77" s="4"/>
      <c r="BV77" s="4">
        <v>1</v>
      </c>
      <c r="BW77" s="4"/>
      <c r="BX77" s="30">
        <f t="shared" si="24"/>
        <v>1</v>
      </c>
      <c r="BY77" s="30">
        <f t="shared" si="25"/>
        <v>7</v>
      </c>
      <c r="BZ77" s="30">
        <f t="shared" si="26"/>
        <v>0</v>
      </c>
    </row>
    <row r="78" spans="1:78" ht="15.5" x14ac:dyDescent="0.35">
      <c r="A78" s="31" t="s">
        <v>955</v>
      </c>
      <c r="B78" s="33" t="s">
        <v>553</v>
      </c>
      <c r="C78" s="37" t="s">
        <v>554</v>
      </c>
      <c r="D78" s="140" t="s">
        <v>228</v>
      </c>
      <c r="E78" s="55" t="s">
        <v>8</v>
      </c>
      <c r="F78" s="19"/>
      <c r="G78" s="19"/>
      <c r="H78" s="19"/>
      <c r="I78" s="13"/>
      <c r="J78" s="14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30">
        <f t="shared" si="18"/>
        <v>0</v>
      </c>
      <c r="Y78" s="30">
        <f t="shared" si="19"/>
        <v>0</v>
      </c>
      <c r="Z78" s="30">
        <f t="shared" si="20"/>
        <v>0</v>
      </c>
      <c r="AC78" s="41" t="s">
        <v>538</v>
      </c>
      <c r="AD78" s="140" t="s">
        <v>228</v>
      </c>
      <c r="AE78" s="42" t="s">
        <v>6</v>
      </c>
      <c r="AF78" s="19"/>
      <c r="AG78" s="19"/>
      <c r="AH78" s="19"/>
      <c r="AI78" s="13"/>
      <c r="AJ78" s="14"/>
      <c r="AK78" s="13"/>
      <c r="AL78" s="13"/>
      <c r="AM78" s="13">
        <v>2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30">
        <f t="shared" si="21"/>
        <v>0</v>
      </c>
      <c r="AY78" s="30">
        <f t="shared" si="22"/>
        <v>2</v>
      </c>
      <c r="AZ78" s="30">
        <f t="shared" si="23"/>
        <v>0</v>
      </c>
      <c r="BC78" s="53" t="s">
        <v>566</v>
      </c>
      <c r="BD78" s="141" t="s">
        <v>229</v>
      </c>
      <c r="BE78" s="42" t="s">
        <v>8</v>
      </c>
      <c r="BF78" s="3"/>
      <c r="BG78" s="3"/>
      <c r="BH78" s="3"/>
      <c r="BI78" s="4"/>
      <c r="BJ78" s="4">
        <v>1</v>
      </c>
      <c r="BK78" s="4"/>
      <c r="BL78" s="4"/>
      <c r="BM78" s="4"/>
      <c r="BN78" s="4"/>
      <c r="BO78" s="4"/>
      <c r="BP78" s="4"/>
      <c r="BQ78" s="4"/>
      <c r="BR78" s="13"/>
      <c r="BS78" s="13">
        <v>1</v>
      </c>
      <c r="BT78" s="13"/>
      <c r="BU78" s="4"/>
      <c r="BV78" s="4"/>
      <c r="BW78" s="4"/>
      <c r="BX78" s="30">
        <f t="shared" si="24"/>
        <v>0</v>
      </c>
      <c r="BY78" s="30">
        <f t="shared" si="25"/>
        <v>2</v>
      </c>
      <c r="BZ78" s="30">
        <f t="shared" si="26"/>
        <v>0</v>
      </c>
    </row>
    <row r="79" spans="1:78" ht="15.5" x14ac:dyDescent="0.35">
      <c r="A79" s="31" t="s">
        <v>956</v>
      </c>
      <c r="B79" s="33" t="s">
        <v>555</v>
      </c>
      <c r="C79" s="56" t="s">
        <v>556</v>
      </c>
      <c r="D79" s="140" t="s">
        <v>228</v>
      </c>
      <c r="E79" s="35" t="s">
        <v>8</v>
      </c>
      <c r="F79" s="19"/>
      <c r="G79" s="19"/>
      <c r="H79" s="19"/>
      <c r="I79" s="13"/>
      <c r="J79" s="14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30">
        <f t="shared" si="18"/>
        <v>0</v>
      </c>
      <c r="Y79" s="30">
        <f t="shared" si="19"/>
        <v>0</v>
      </c>
      <c r="Z79" s="30">
        <f t="shared" si="20"/>
        <v>0</v>
      </c>
      <c r="AC79" s="41" t="s">
        <v>540</v>
      </c>
      <c r="AD79" s="140" t="s">
        <v>228</v>
      </c>
      <c r="AE79" s="42" t="s">
        <v>8</v>
      </c>
      <c r="AF79" s="19"/>
      <c r="AG79" s="19"/>
      <c r="AH79" s="19"/>
      <c r="AI79" s="14"/>
      <c r="AJ79" s="14"/>
      <c r="AK79" s="13"/>
      <c r="AL79" s="13"/>
      <c r="AM79" s="13">
        <v>2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30">
        <f t="shared" si="21"/>
        <v>0</v>
      </c>
      <c r="AY79" s="30">
        <f t="shared" si="22"/>
        <v>2</v>
      </c>
      <c r="AZ79" s="30">
        <f t="shared" si="23"/>
        <v>0</v>
      </c>
      <c r="BC79" s="47" t="s">
        <v>571</v>
      </c>
      <c r="BD79" s="141" t="s">
        <v>229</v>
      </c>
      <c r="BE79" s="42" t="s">
        <v>8</v>
      </c>
      <c r="BF79" s="3"/>
      <c r="BG79" s="3"/>
      <c r="BH79" s="3"/>
      <c r="BI79" s="4"/>
      <c r="BJ79" s="4">
        <v>1</v>
      </c>
      <c r="BK79" s="5"/>
      <c r="BL79" s="4"/>
      <c r="BM79" s="4">
        <v>2</v>
      </c>
      <c r="BN79" s="4"/>
      <c r="BO79" s="4"/>
      <c r="BP79" s="4"/>
      <c r="BQ79" s="4"/>
      <c r="BR79" s="13"/>
      <c r="BS79" s="13"/>
      <c r="BT79" s="13"/>
      <c r="BU79" s="4"/>
      <c r="BV79" s="4"/>
      <c r="BW79" s="4"/>
      <c r="BX79" s="30">
        <f t="shared" si="24"/>
        <v>0</v>
      </c>
      <c r="BY79" s="30">
        <f t="shared" si="25"/>
        <v>3</v>
      </c>
      <c r="BZ79" s="30">
        <f t="shared" si="26"/>
        <v>0</v>
      </c>
    </row>
    <row r="80" spans="1:78" ht="15.5" x14ac:dyDescent="0.35">
      <c r="A80" s="31" t="s">
        <v>957</v>
      </c>
      <c r="B80" s="33" t="s">
        <v>557</v>
      </c>
      <c r="C80" s="37" t="s">
        <v>558</v>
      </c>
      <c r="D80" s="140" t="s">
        <v>228</v>
      </c>
      <c r="E80" s="35" t="s">
        <v>8</v>
      </c>
      <c r="F80" s="19"/>
      <c r="G80" s="19"/>
      <c r="H80" s="19"/>
      <c r="I80" s="13"/>
      <c r="J80" s="13">
        <v>1</v>
      </c>
      <c r="K80" s="13"/>
      <c r="L80" s="13"/>
      <c r="M80" s="13">
        <v>2</v>
      </c>
      <c r="N80" s="13"/>
      <c r="O80" s="13"/>
      <c r="P80" s="13"/>
      <c r="Q80" s="13"/>
      <c r="R80" s="13"/>
      <c r="S80" s="13">
        <v>2</v>
      </c>
      <c r="T80" s="13">
        <v>3</v>
      </c>
      <c r="U80" s="13"/>
      <c r="V80" s="13"/>
      <c r="W80" s="13"/>
      <c r="X80" s="30">
        <f t="shared" si="18"/>
        <v>0</v>
      </c>
      <c r="Y80" s="30">
        <f t="shared" si="19"/>
        <v>5</v>
      </c>
      <c r="Z80" s="30">
        <f t="shared" si="20"/>
        <v>3</v>
      </c>
      <c r="AC80" s="53" t="s">
        <v>542</v>
      </c>
      <c r="AD80" s="140" t="s">
        <v>228</v>
      </c>
      <c r="AE80" s="42" t="s">
        <v>8</v>
      </c>
      <c r="AF80" s="19"/>
      <c r="AG80" s="19"/>
      <c r="AH80" s="19"/>
      <c r="AI80" s="13">
        <v>1</v>
      </c>
      <c r="AJ80" s="14">
        <v>1</v>
      </c>
      <c r="AK80" s="13"/>
      <c r="AL80" s="13"/>
      <c r="AM80" s="13"/>
      <c r="AN80" s="13"/>
      <c r="AO80" s="13"/>
      <c r="AP80" s="13"/>
      <c r="AQ80" s="13"/>
      <c r="AR80" s="13"/>
      <c r="AS80" s="13">
        <v>1</v>
      </c>
      <c r="AT80" s="13"/>
      <c r="AU80" s="13"/>
      <c r="AV80" s="13"/>
      <c r="AW80" s="13"/>
      <c r="AX80" s="30">
        <f t="shared" si="21"/>
        <v>1</v>
      </c>
      <c r="AY80" s="30">
        <f t="shared" si="22"/>
        <v>2</v>
      </c>
      <c r="AZ80" s="30">
        <f t="shared" si="23"/>
        <v>0</v>
      </c>
      <c r="BC80" s="43" t="s">
        <v>575</v>
      </c>
      <c r="BD80" s="141" t="s">
        <v>229</v>
      </c>
      <c r="BE80" s="35" t="s">
        <v>6</v>
      </c>
      <c r="BF80" s="3"/>
      <c r="BG80" s="3"/>
      <c r="BH80" s="3"/>
      <c r="BI80" s="4"/>
      <c r="BJ80" s="5"/>
      <c r="BK80" s="4"/>
      <c r="BL80" s="4"/>
      <c r="BM80" s="4"/>
      <c r="BN80" s="4"/>
      <c r="BO80" s="4"/>
      <c r="BP80" s="4"/>
      <c r="BQ80" s="4"/>
      <c r="BR80" s="13"/>
      <c r="BS80" s="13"/>
      <c r="BT80" s="13"/>
      <c r="BU80" s="4"/>
      <c r="BV80" s="4"/>
      <c r="BW80" s="4"/>
      <c r="BX80" s="30">
        <f t="shared" si="24"/>
        <v>0</v>
      </c>
      <c r="BY80" s="30">
        <f t="shared" si="25"/>
        <v>0</v>
      </c>
      <c r="BZ80" s="30">
        <f t="shared" si="26"/>
        <v>0</v>
      </c>
    </row>
    <row r="81" spans="1:78" ht="15.5" x14ac:dyDescent="0.35">
      <c r="A81" s="31" t="s">
        <v>958</v>
      </c>
      <c r="B81" s="33" t="s">
        <v>559</v>
      </c>
      <c r="C81" s="56" t="s">
        <v>560</v>
      </c>
      <c r="D81" s="140" t="s">
        <v>228</v>
      </c>
      <c r="E81" s="35" t="s">
        <v>8</v>
      </c>
      <c r="F81" s="19"/>
      <c r="G81" s="19"/>
      <c r="H81" s="19"/>
      <c r="I81" s="13"/>
      <c r="J81" s="14">
        <v>2</v>
      </c>
      <c r="K81" s="13"/>
      <c r="L81" s="13"/>
      <c r="M81" s="13"/>
      <c r="N81" s="13"/>
      <c r="O81" s="13"/>
      <c r="P81" s="13"/>
      <c r="Q81" s="13"/>
      <c r="R81" s="13"/>
      <c r="S81" s="13">
        <v>1</v>
      </c>
      <c r="T81" s="13"/>
      <c r="U81" s="13"/>
      <c r="V81" s="13"/>
      <c r="W81" s="13"/>
      <c r="X81" s="30">
        <f t="shared" si="18"/>
        <v>0</v>
      </c>
      <c r="Y81" s="30">
        <f t="shared" si="19"/>
        <v>3</v>
      </c>
      <c r="Z81" s="30">
        <f t="shared" si="20"/>
        <v>0</v>
      </c>
      <c r="AC81" s="54" t="s">
        <v>550</v>
      </c>
      <c r="AD81" s="140" t="s">
        <v>228</v>
      </c>
      <c r="AE81" s="52" t="s">
        <v>6</v>
      </c>
      <c r="AF81" s="19"/>
      <c r="AG81" s="19"/>
      <c r="AH81" s="19"/>
      <c r="AI81" s="14"/>
      <c r="AJ81" s="14">
        <v>1</v>
      </c>
      <c r="AK81" s="14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>
        <v>1</v>
      </c>
      <c r="AW81" s="13"/>
      <c r="AX81" s="30">
        <f t="shared" si="21"/>
        <v>0</v>
      </c>
      <c r="AY81" s="30">
        <f t="shared" si="22"/>
        <v>2</v>
      </c>
      <c r="AZ81" s="30">
        <f t="shared" si="23"/>
        <v>0</v>
      </c>
      <c r="BC81" s="47" t="s">
        <v>582</v>
      </c>
      <c r="BD81" s="141" t="s">
        <v>229</v>
      </c>
      <c r="BE81" s="42" t="s">
        <v>6</v>
      </c>
      <c r="BF81" s="3"/>
      <c r="BG81" s="3"/>
      <c r="BH81" s="3"/>
      <c r="BI81" s="4"/>
      <c r="BJ81" s="5">
        <v>2</v>
      </c>
      <c r="BK81" s="4"/>
      <c r="BL81" s="4">
        <v>1</v>
      </c>
      <c r="BM81" s="4"/>
      <c r="BN81" s="4"/>
      <c r="BO81" s="4"/>
      <c r="BP81" s="4">
        <v>1</v>
      </c>
      <c r="BQ81" s="4"/>
      <c r="BR81" s="13"/>
      <c r="BS81" s="13">
        <v>2</v>
      </c>
      <c r="BT81" s="13"/>
      <c r="BU81" s="4"/>
      <c r="BV81" s="4">
        <v>1</v>
      </c>
      <c r="BW81" s="4"/>
      <c r="BX81" s="30">
        <f t="shared" si="24"/>
        <v>1</v>
      </c>
      <c r="BY81" s="30">
        <f t="shared" si="25"/>
        <v>6</v>
      </c>
      <c r="BZ81" s="30">
        <f t="shared" si="26"/>
        <v>0</v>
      </c>
    </row>
    <row r="82" spans="1:78" ht="15.5" x14ac:dyDescent="0.35">
      <c r="A82" s="31" t="s">
        <v>960</v>
      </c>
      <c r="B82" s="33" t="s">
        <v>563</v>
      </c>
      <c r="C82" s="53" t="s">
        <v>564</v>
      </c>
      <c r="D82" s="140" t="s">
        <v>228</v>
      </c>
      <c r="E82" s="42" t="s">
        <v>8</v>
      </c>
      <c r="F82" s="19"/>
      <c r="G82" s="19"/>
      <c r="H82" s="19"/>
      <c r="I82" s="13"/>
      <c r="J82" s="14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30">
        <f t="shared" si="18"/>
        <v>0</v>
      </c>
      <c r="Y82" s="30">
        <f t="shared" si="19"/>
        <v>0</v>
      </c>
      <c r="Z82" s="30">
        <f t="shared" si="20"/>
        <v>0</v>
      </c>
      <c r="AC82" s="47" t="s">
        <v>562</v>
      </c>
      <c r="AD82" s="140" t="s">
        <v>228</v>
      </c>
      <c r="AE82" s="42" t="s">
        <v>8</v>
      </c>
      <c r="AF82" s="19"/>
      <c r="AG82" s="19">
        <v>1</v>
      </c>
      <c r="AH82" s="19"/>
      <c r="AI82" s="13">
        <v>1</v>
      </c>
      <c r="AJ82" s="14">
        <v>1</v>
      </c>
      <c r="AK82" s="13"/>
      <c r="AL82" s="13">
        <v>1</v>
      </c>
      <c r="AM82" s="13"/>
      <c r="AN82" s="13"/>
      <c r="AO82" s="13">
        <v>1</v>
      </c>
      <c r="AP82" s="13"/>
      <c r="AQ82" s="13"/>
      <c r="AR82" s="13">
        <v>3</v>
      </c>
      <c r="AS82" s="13"/>
      <c r="AT82" s="13"/>
      <c r="AU82" s="13"/>
      <c r="AV82" s="13"/>
      <c r="AW82" s="13"/>
      <c r="AX82" s="30">
        <f t="shared" si="21"/>
        <v>6</v>
      </c>
      <c r="AY82" s="30">
        <f t="shared" si="22"/>
        <v>2</v>
      </c>
      <c r="AZ82" s="30">
        <f t="shared" si="23"/>
        <v>0</v>
      </c>
      <c r="BC82" s="47" t="s">
        <v>587</v>
      </c>
      <c r="BD82" s="141" t="s">
        <v>229</v>
      </c>
      <c r="BE82" s="42" t="s">
        <v>6</v>
      </c>
      <c r="BF82" s="3"/>
      <c r="BG82" s="3"/>
      <c r="BH82" s="3"/>
      <c r="BI82" s="4"/>
      <c r="BJ82" s="5"/>
      <c r="BK82" s="4"/>
      <c r="BL82" s="4"/>
      <c r="BM82" s="4">
        <v>2</v>
      </c>
      <c r="BN82" s="4"/>
      <c r="BO82" s="4"/>
      <c r="BP82" s="4"/>
      <c r="BQ82" s="4"/>
      <c r="BR82" s="13"/>
      <c r="BS82" s="13"/>
      <c r="BT82" s="13"/>
      <c r="BU82" s="4"/>
      <c r="BV82" s="4"/>
      <c r="BW82" s="4"/>
      <c r="BX82" s="30">
        <f t="shared" si="24"/>
        <v>0</v>
      </c>
      <c r="BY82" s="30">
        <f t="shared" si="25"/>
        <v>2</v>
      </c>
      <c r="BZ82" s="30">
        <f t="shared" si="26"/>
        <v>0</v>
      </c>
    </row>
    <row r="83" spans="1:78" ht="15.5" x14ac:dyDescent="0.35">
      <c r="A83" s="31" t="s">
        <v>961</v>
      </c>
      <c r="B83" s="33"/>
      <c r="C83" s="53" t="s">
        <v>895</v>
      </c>
      <c r="D83" s="140" t="s">
        <v>228</v>
      </c>
      <c r="E83" s="42" t="s">
        <v>8</v>
      </c>
      <c r="F83" s="19"/>
      <c r="G83" s="19"/>
      <c r="H83" s="19"/>
      <c r="I83" s="13"/>
      <c r="J83" s="14"/>
      <c r="K83" s="13"/>
      <c r="L83" s="13"/>
      <c r="M83" s="13"/>
      <c r="N83" s="13"/>
      <c r="O83" s="13"/>
      <c r="P83" s="13"/>
      <c r="Q83" s="13"/>
      <c r="R83" s="13"/>
      <c r="S83" s="13">
        <v>1</v>
      </c>
      <c r="T83" s="13"/>
      <c r="U83" s="13"/>
      <c r="V83" s="13"/>
      <c r="W83" s="13"/>
      <c r="X83" s="30">
        <f t="shared" si="18"/>
        <v>0</v>
      </c>
      <c r="Y83" s="30">
        <f t="shared" si="19"/>
        <v>1</v>
      </c>
      <c r="Z83" s="30">
        <f t="shared" si="20"/>
        <v>0</v>
      </c>
      <c r="AC83" s="53" t="s">
        <v>1030</v>
      </c>
      <c r="AD83" s="140" t="s">
        <v>228</v>
      </c>
      <c r="AE83" s="42"/>
      <c r="AF83" s="19"/>
      <c r="AG83" s="19"/>
      <c r="AH83" s="19"/>
      <c r="AI83" s="13"/>
      <c r="AJ83" s="14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>
        <v>2</v>
      </c>
      <c r="AW83" s="13"/>
      <c r="AX83" s="30">
        <f t="shared" si="21"/>
        <v>0</v>
      </c>
      <c r="AY83" s="30">
        <f t="shared" si="22"/>
        <v>2</v>
      </c>
      <c r="AZ83" s="30">
        <f t="shared" si="23"/>
        <v>0</v>
      </c>
      <c r="BC83" s="47" t="s">
        <v>589</v>
      </c>
      <c r="BD83" s="141" t="s">
        <v>229</v>
      </c>
      <c r="BE83" s="42" t="s">
        <v>8</v>
      </c>
      <c r="BF83" s="3"/>
      <c r="BG83" s="3"/>
      <c r="BH83" s="3"/>
      <c r="BI83" s="4"/>
      <c r="BJ83" s="5">
        <v>3</v>
      </c>
      <c r="BK83" s="4"/>
      <c r="BL83" s="4"/>
      <c r="BM83" s="4">
        <v>1</v>
      </c>
      <c r="BN83" s="4"/>
      <c r="BO83" s="4">
        <v>1</v>
      </c>
      <c r="BP83" s="4">
        <v>3</v>
      </c>
      <c r="BQ83" s="4"/>
      <c r="BR83" s="13"/>
      <c r="BS83" s="13"/>
      <c r="BT83" s="13"/>
      <c r="BU83" s="4"/>
      <c r="BV83" s="4"/>
      <c r="BW83" s="4"/>
      <c r="BX83" s="30">
        <f t="shared" si="24"/>
        <v>1</v>
      </c>
      <c r="BY83" s="30">
        <f t="shared" si="25"/>
        <v>7</v>
      </c>
      <c r="BZ83" s="30">
        <f t="shared" si="26"/>
        <v>0</v>
      </c>
    </row>
    <row r="84" spans="1:78" ht="15.5" x14ac:dyDescent="0.35">
      <c r="A84" s="31" t="s">
        <v>962</v>
      </c>
      <c r="B84" s="33"/>
      <c r="C84" s="53" t="s">
        <v>1030</v>
      </c>
      <c r="D84" s="140" t="s">
        <v>228</v>
      </c>
      <c r="E84" s="42"/>
      <c r="F84" s="19"/>
      <c r="G84" s="19"/>
      <c r="H84" s="19"/>
      <c r="I84" s="13"/>
      <c r="J84" s="14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>
        <v>2</v>
      </c>
      <c r="W84" s="13"/>
      <c r="X84" s="30">
        <f t="shared" si="18"/>
        <v>0</v>
      </c>
      <c r="Y84" s="30">
        <f t="shared" si="19"/>
        <v>2</v>
      </c>
      <c r="Z84" s="30">
        <f t="shared" si="20"/>
        <v>0</v>
      </c>
      <c r="AC84" s="53" t="s">
        <v>566</v>
      </c>
      <c r="AD84" s="141" t="s">
        <v>229</v>
      </c>
      <c r="AE84" s="42" t="s">
        <v>8</v>
      </c>
      <c r="AF84" s="3"/>
      <c r="AG84" s="3"/>
      <c r="AH84" s="3"/>
      <c r="AI84" s="4"/>
      <c r="AJ84" s="4">
        <v>1</v>
      </c>
      <c r="AK84" s="4"/>
      <c r="AL84" s="4"/>
      <c r="AM84" s="4"/>
      <c r="AN84" s="4"/>
      <c r="AO84" s="4"/>
      <c r="AP84" s="4"/>
      <c r="AQ84" s="4"/>
      <c r="AR84" s="13"/>
      <c r="AS84" s="13">
        <v>1</v>
      </c>
      <c r="AT84" s="13"/>
      <c r="AU84" s="4"/>
      <c r="AV84" s="4"/>
      <c r="AW84" s="4"/>
      <c r="AX84" s="30">
        <f t="shared" si="21"/>
        <v>0</v>
      </c>
      <c r="AY84" s="30">
        <f t="shared" si="22"/>
        <v>2</v>
      </c>
      <c r="AZ84" s="30">
        <f t="shared" si="23"/>
        <v>0</v>
      </c>
      <c r="BC84" s="46" t="s">
        <v>591</v>
      </c>
      <c r="BD84" s="141" t="s">
        <v>229</v>
      </c>
      <c r="BE84" s="42" t="s">
        <v>8</v>
      </c>
      <c r="BF84" s="3"/>
      <c r="BG84" s="3"/>
      <c r="BH84" s="3"/>
      <c r="BI84" s="4"/>
      <c r="BJ84" s="5">
        <v>1</v>
      </c>
      <c r="BK84" s="4"/>
      <c r="BL84" s="4"/>
      <c r="BM84" s="4"/>
      <c r="BN84" s="4"/>
      <c r="BO84" s="4"/>
      <c r="BP84" s="4"/>
      <c r="BQ84" s="4"/>
      <c r="BR84" s="13"/>
      <c r="BS84" s="13"/>
      <c r="BT84" s="13"/>
      <c r="BU84" s="4"/>
      <c r="BV84" s="4"/>
      <c r="BW84" s="4"/>
      <c r="BX84" s="30">
        <f t="shared" si="24"/>
        <v>0</v>
      </c>
      <c r="BY84" s="30">
        <f t="shared" si="25"/>
        <v>1</v>
      </c>
      <c r="BZ84" s="30">
        <f t="shared" si="26"/>
        <v>0</v>
      </c>
    </row>
    <row r="85" spans="1:78" ht="15.5" x14ac:dyDescent="0.35">
      <c r="A85" s="31" t="s">
        <v>964</v>
      </c>
      <c r="B85" s="35">
        <v>242510106</v>
      </c>
      <c r="C85" s="53" t="s">
        <v>566</v>
      </c>
      <c r="D85" s="141" t="s">
        <v>229</v>
      </c>
      <c r="E85" s="42" t="s">
        <v>8</v>
      </c>
      <c r="F85" s="3"/>
      <c r="G85" s="3"/>
      <c r="H85" s="3"/>
      <c r="I85" s="4"/>
      <c r="J85" s="4">
        <v>1</v>
      </c>
      <c r="K85" s="4"/>
      <c r="L85" s="4"/>
      <c r="M85" s="4"/>
      <c r="N85" s="4"/>
      <c r="O85" s="4"/>
      <c r="P85" s="4"/>
      <c r="Q85" s="4"/>
      <c r="R85" s="13"/>
      <c r="S85" s="13">
        <v>1</v>
      </c>
      <c r="T85" s="13"/>
      <c r="U85" s="4"/>
      <c r="V85" s="4"/>
      <c r="W85" s="4"/>
      <c r="X85" s="30">
        <f t="shared" si="18"/>
        <v>0</v>
      </c>
      <c r="Y85" s="30">
        <f t="shared" si="19"/>
        <v>2</v>
      </c>
      <c r="Z85" s="30">
        <f t="shared" si="20"/>
        <v>0</v>
      </c>
      <c r="AC85" s="58" t="s">
        <v>577</v>
      </c>
      <c r="AD85" s="141" t="s">
        <v>229</v>
      </c>
      <c r="AE85" s="42" t="s">
        <v>6</v>
      </c>
      <c r="AF85" s="3"/>
      <c r="AG85" s="3"/>
      <c r="AH85" s="3"/>
      <c r="AI85" s="4"/>
      <c r="AJ85" s="4">
        <v>1</v>
      </c>
      <c r="AK85" s="4">
        <v>1</v>
      </c>
      <c r="AL85" s="4"/>
      <c r="AM85" s="4"/>
      <c r="AN85" s="4"/>
      <c r="AO85" s="4"/>
      <c r="AP85" s="4">
        <v>1</v>
      </c>
      <c r="AQ85" s="4"/>
      <c r="AR85" s="13"/>
      <c r="AS85" s="13"/>
      <c r="AT85" s="13"/>
      <c r="AU85" s="4">
        <v>1</v>
      </c>
      <c r="AV85" s="4"/>
      <c r="AW85" s="4"/>
      <c r="AX85" s="30">
        <f t="shared" si="21"/>
        <v>1</v>
      </c>
      <c r="AY85" s="30">
        <f t="shared" si="22"/>
        <v>2</v>
      </c>
      <c r="AZ85" s="30">
        <f t="shared" si="23"/>
        <v>1</v>
      </c>
      <c r="BC85" s="37" t="s">
        <v>594</v>
      </c>
      <c r="BD85" s="141" t="s">
        <v>229</v>
      </c>
      <c r="BE85" s="35" t="s">
        <v>8</v>
      </c>
      <c r="BF85" s="3"/>
      <c r="BG85" s="3"/>
      <c r="BH85" s="3"/>
      <c r="BI85" s="4"/>
      <c r="BJ85" s="5"/>
      <c r="BK85" s="4"/>
      <c r="BL85" s="4"/>
      <c r="BM85" s="4"/>
      <c r="BN85" s="4"/>
      <c r="BO85" s="4"/>
      <c r="BP85" s="4"/>
      <c r="BQ85" s="4"/>
      <c r="BR85" s="13"/>
      <c r="BS85" s="13"/>
      <c r="BT85" s="13"/>
      <c r="BU85" s="4"/>
      <c r="BV85" s="4"/>
      <c r="BW85" s="4"/>
      <c r="BX85" s="30">
        <f t="shared" si="24"/>
        <v>0</v>
      </c>
      <c r="BY85" s="30">
        <f t="shared" si="25"/>
        <v>0</v>
      </c>
      <c r="BZ85" s="30">
        <f t="shared" si="26"/>
        <v>0</v>
      </c>
    </row>
    <row r="86" spans="1:78" ht="15.5" x14ac:dyDescent="0.35">
      <c r="A86" s="31" t="s">
        <v>965</v>
      </c>
      <c r="B86" s="35">
        <v>242510107</v>
      </c>
      <c r="C86" s="41" t="s">
        <v>567</v>
      </c>
      <c r="D86" s="141" t="s">
        <v>229</v>
      </c>
      <c r="E86" s="42" t="s">
        <v>6</v>
      </c>
      <c r="F86" s="3"/>
      <c r="G86" s="3"/>
      <c r="H86" s="3"/>
      <c r="I86" s="4"/>
      <c r="J86" s="4">
        <v>1</v>
      </c>
      <c r="K86" s="4">
        <v>1</v>
      </c>
      <c r="L86" s="4"/>
      <c r="M86" s="4"/>
      <c r="N86" s="4"/>
      <c r="O86" s="4"/>
      <c r="P86" s="4"/>
      <c r="Q86" s="4"/>
      <c r="R86" s="13"/>
      <c r="S86" s="13"/>
      <c r="T86" s="13"/>
      <c r="U86" s="4"/>
      <c r="V86" s="4"/>
      <c r="W86" s="4"/>
      <c r="X86" s="30">
        <f t="shared" si="18"/>
        <v>0</v>
      </c>
      <c r="Y86" s="30">
        <f t="shared" si="19"/>
        <v>1</v>
      </c>
      <c r="Z86" s="30">
        <f t="shared" si="20"/>
        <v>1</v>
      </c>
      <c r="AC86" s="47" t="s">
        <v>587</v>
      </c>
      <c r="AD86" s="141" t="s">
        <v>229</v>
      </c>
      <c r="AE86" s="42" t="s">
        <v>6</v>
      </c>
      <c r="AF86" s="3"/>
      <c r="AG86" s="3"/>
      <c r="AH86" s="3"/>
      <c r="AI86" s="4"/>
      <c r="AJ86" s="5"/>
      <c r="AK86" s="4"/>
      <c r="AL86" s="4"/>
      <c r="AM86" s="4">
        <v>2</v>
      </c>
      <c r="AN86" s="4"/>
      <c r="AO86" s="4"/>
      <c r="AP86" s="4"/>
      <c r="AQ86" s="4"/>
      <c r="AR86" s="13"/>
      <c r="AS86" s="13"/>
      <c r="AT86" s="13"/>
      <c r="AU86" s="4"/>
      <c r="AV86" s="4"/>
      <c r="AW86" s="4"/>
      <c r="AX86" s="30">
        <f t="shared" si="21"/>
        <v>0</v>
      </c>
      <c r="AY86" s="30">
        <f t="shared" si="22"/>
        <v>2</v>
      </c>
      <c r="AZ86" s="30">
        <f t="shared" si="23"/>
        <v>0</v>
      </c>
      <c r="BC86" s="37" t="s">
        <v>595</v>
      </c>
      <c r="BD86" s="141" t="s">
        <v>229</v>
      </c>
      <c r="BE86" s="35" t="s">
        <v>6</v>
      </c>
      <c r="BF86" s="3"/>
      <c r="BG86" s="3"/>
      <c r="BH86" s="3"/>
      <c r="BI86" s="4"/>
      <c r="BJ86" s="4">
        <v>1</v>
      </c>
      <c r="BK86" s="4"/>
      <c r="BL86" s="4"/>
      <c r="BM86" s="4"/>
      <c r="BN86" s="4"/>
      <c r="BO86" s="4"/>
      <c r="BP86" s="4"/>
      <c r="BQ86" s="4"/>
      <c r="BR86" s="13">
        <v>1</v>
      </c>
      <c r="BS86" s="13">
        <v>1</v>
      </c>
      <c r="BT86" s="13"/>
      <c r="BU86" s="4"/>
      <c r="BV86" s="4"/>
      <c r="BW86" s="4"/>
      <c r="BX86" s="30">
        <f t="shared" si="24"/>
        <v>1</v>
      </c>
      <c r="BY86" s="30">
        <f t="shared" si="25"/>
        <v>2</v>
      </c>
      <c r="BZ86" s="30">
        <f t="shared" si="26"/>
        <v>0</v>
      </c>
    </row>
    <row r="87" spans="1:78" ht="15.5" x14ac:dyDescent="0.35">
      <c r="A87" s="31" t="s">
        <v>967</v>
      </c>
      <c r="B87" s="35">
        <v>242510109</v>
      </c>
      <c r="C87" s="53" t="s">
        <v>569</v>
      </c>
      <c r="D87" s="141" t="s">
        <v>229</v>
      </c>
      <c r="E87" s="42" t="s">
        <v>6</v>
      </c>
      <c r="F87" s="3"/>
      <c r="G87" s="3"/>
      <c r="H87" s="3"/>
      <c r="I87" s="4"/>
      <c r="J87" s="5">
        <v>3</v>
      </c>
      <c r="K87" s="4"/>
      <c r="L87" s="4"/>
      <c r="M87" s="4"/>
      <c r="N87" s="4"/>
      <c r="O87" s="4"/>
      <c r="P87" s="4"/>
      <c r="Q87" s="4"/>
      <c r="R87" s="13"/>
      <c r="S87" s="13"/>
      <c r="T87" s="13">
        <v>1</v>
      </c>
      <c r="U87" s="4"/>
      <c r="V87" s="4"/>
      <c r="W87" s="4"/>
      <c r="X87" s="30">
        <f t="shared" si="18"/>
        <v>0</v>
      </c>
      <c r="Y87" s="30">
        <f t="shared" si="19"/>
        <v>3</v>
      </c>
      <c r="Z87" s="30">
        <f t="shared" si="20"/>
        <v>1</v>
      </c>
      <c r="AC87" s="37" t="s">
        <v>595</v>
      </c>
      <c r="AD87" s="141" t="s">
        <v>229</v>
      </c>
      <c r="AE87" s="35" t="s">
        <v>6</v>
      </c>
      <c r="AF87" s="3"/>
      <c r="AG87" s="3"/>
      <c r="AH87" s="3"/>
      <c r="AI87" s="4"/>
      <c r="AJ87" s="4">
        <v>1</v>
      </c>
      <c r="AK87" s="4"/>
      <c r="AL87" s="4"/>
      <c r="AM87" s="4"/>
      <c r="AN87" s="4"/>
      <c r="AO87" s="4"/>
      <c r="AP87" s="4"/>
      <c r="AQ87" s="4"/>
      <c r="AR87" s="13">
        <v>1</v>
      </c>
      <c r="AS87" s="13">
        <v>1</v>
      </c>
      <c r="AT87" s="13"/>
      <c r="AU87" s="4"/>
      <c r="AV87" s="4"/>
      <c r="AW87" s="4"/>
      <c r="AX87" s="30">
        <f t="shared" si="21"/>
        <v>1</v>
      </c>
      <c r="AY87" s="30">
        <f t="shared" si="22"/>
        <v>2</v>
      </c>
      <c r="AZ87" s="30">
        <f t="shared" si="23"/>
        <v>0</v>
      </c>
      <c r="BC87" s="56" t="s">
        <v>596</v>
      </c>
      <c r="BD87" s="141" t="s">
        <v>229</v>
      </c>
      <c r="BE87" s="35" t="s">
        <v>8</v>
      </c>
      <c r="BF87" s="3"/>
      <c r="BG87" s="3"/>
      <c r="BH87" s="3"/>
      <c r="BI87" s="4"/>
      <c r="BJ87" s="5">
        <v>4</v>
      </c>
      <c r="BK87" s="5"/>
      <c r="BL87" s="4"/>
      <c r="BM87" s="4"/>
      <c r="BN87" s="4"/>
      <c r="BO87" s="4"/>
      <c r="BP87" s="4">
        <v>3</v>
      </c>
      <c r="BQ87" s="4"/>
      <c r="BR87" s="13"/>
      <c r="BS87" s="13"/>
      <c r="BT87" s="13"/>
      <c r="BU87" s="4"/>
      <c r="BV87" s="4"/>
      <c r="BW87" s="4"/>
      <c r="BX87" s="30">
        <f t="shared" si="24"/>
        <v>0</v>
      </c>
      <c r="BY87" s="30">
        <f t="shared" si="25"/>
        <v>7</v>
      </c>
      <c r="BZ87" s="30">
        <f t="shared" si="26"/>
        <v>0</v>
      </c>
    </row>
    <row r="88" spans="1:78" ht="15.5" x14ac:dyDescent="0.35">
      <c r="A88" s="31" t="s">
        <v>969</v>
      </c>
      <c r="B88" s="35">
        <v>242510111</v>
      </c>
      <c r="C88" s="47" t="s">
        <v>571</v>
      </c>
      <c r="D88" s="141" t="s">
        <v>229</v>
      </c>
      <c r="E88" s="42" t="s">
        <v>8</v>
      </c>
      <c r="F88" s="3"/>
      <c r="G88" s="3"/>
      <c r="H88" s="3"/>
      <c r="I88" s="4"/>
      <c r="J88" s="4">
        <v>1</v>
      </c>
      <c r="K88" s="5"/>
      <c r="L88" s="4"/>
      <c r="M88" s="4">
        <v>2</v>
      </c>
      <c r="N88" s="4"/>
      <c r="O88" s="4"/>
      <c r="P88" s="4"/>
      <c r="Q88" s="4"/>
      <c r="R88" s="13"/>
      <c r="S88" s="13"/>
      <c r="T88" s="13"/>
      <c r="U88" s="4"/>
      <c r="V88" s="4"/>
      <c r="W88" s="4"/>
      <c r="X88" s="30">
        <f t="shared" si="18"/>
        <v>0</v>
      </c>
      <c r="Y88" s="30">
        <f t="shared" si="19"/>
        <v>3</v>
      </c>
      <c r="Z88" s="30">
        <f t="shared" si="20"/>
        <v>0</v>
      </c>
      <c r="AC88" s="47" t="s">
        <v>610</v>
      </c>
      <c r="AD88" s="142" t="s">
        <v>230</v>
      </c>
      <c r="AE88" s="42" t="s">
        <v>8</v>
      </c>
      <c r="AF88" s="13"/>
      <c r="AG88" s="13"/>
      <c r="AH88" s="13"/>
      <c r="AI88" s="14"/>
      <c r="AJ88" s="14">
        <v>1</v>
      </c>
      <c r="AK88" s="14"/>
      <c r="AL88" s="13"/>
      <c r="AM88" s="13"/>
      <c r="AN88" s="13">
        <v>1</v>
      </c>
      <c r="AO88" s="13"/>
      <c r="AP88" s="13">
        <v>1</v>
      </c>
      <c r="AQ88" s="13"/>
      <c r="AR88" s="13"/>
      <c r="AS88" s="13"/>
      <c r="AT88" s="13">
        <v>1</v>
      </c>
      <c r="AU88" s="13"/>
      <c r="AV88" s="13"/>
      <c r="AW88" s="13"/>
      <c r="AX88" s="30">
        <f t="shared" si="21"/>
        <v>0</v>
      </c>
      <c r="AY88" s="30">
        <f t="shared" si="22"/>
        <v>2</v>
      </c>
      <c r="AZ88" s="30">
        <f t="shared" si="23"/>
        <v>2</v>
      </c>
      <c r="BC88" s="37" t="s">
        <v>597</v>
      </c>
      <c r="BD88" s="141" t="s">
        <v>229</v>
      </c>
      <c r="BE88" s="35" t="s">
        <v>8</v>
      </c>
      <c r="BF88" s="3"/>
      <c r="BG88" s="3"/>
      <c r="BH88" s="3"/>
      <c r="BI88" s="4"/>
      <c r="BJ88" s="4"/>
      <c r="BK88" s="4"/>
      <c r="BL88" s="4"/>
      <c r="BM88" s="4">
        <v>1</v>
      </c>
      <c r="BN88" s="4"/>
      <c r="BO88" s="4"/>
      <c r="BP88" s="4"/>
      <c r="BQ88" s="4"/>
      <c r="BR88" s="13"/>
      <c r="BS88" s="13"/>
      <c r="BT88" s="13"/>
      <c r="BU88" s="4"/>
      <c r="BV88" s="4"/>
      <c r="BW88" s="4"/>
      <c r="BX88" s="30">
        <f t="shared" si="24"/>
        <v>0</v>
      </c>
      <c r="BY88" s="30">
        <f t="shared" si="25"/>
        <v>1</v>
      </c>
      <c r="BZ88" s="30">
        <f t="shared" si="26"/>
        <v>0</v>
      </c>
    </row>
    <row r="89" spans="1:78" ht="15.5" x14ac:dyDescent="0.35">
      <c r="A89" s="31" t="s">
        <v>970</v>
      </c>
      <c r="B89" s="35">
        <v>242510112</v>
      </c>
      <c r="C89" s="57" t="s">
        <v>572</v>
      </c>
      <c r="D89" s="141" t="s">
        <v>229</v>
      </c>
      <c r="E89" s="42" t="s">
        <v>8</v>
      </c>
      <c r="F89" s="3"/>
      <c r="G89" s="3"/>
      <c r="H89" s="3"/>
      <c r="I89" s="4"/>
      <c r="J89" s="5">
        <v>2</v>
      </c>
      <c r="K89" s="5">
        <v>1</v>
      </c>
      <c r="L89" s="4"/>
      <c r="M89" s="4"/>
      <c r="N89" s="4"/>
      <c r="O89" s="4"/>
      <c r="P89" s="4">
        <v>2</v>
      </c>
      <c r="Q89" s="4"/>
      <c r="R89" s="13"/>
      <c r="S89" s="13"/>
      <c r="T89" s="13"/>
      <c r="U89" s="4"/>
      <c r="V89" s="4"/>
      <c r="W89" s="4"/>
      <c r="X89" s="30">
        <f t="shared" si="18"/>
        <v>0</v>
      </c>
      <c r="Y89" s="30">
        <f t="shared" si="19"/>
        <v>4</v>
      </c>
      <c r="Z89" s="30">
        <f t="shared" si="20"/>
        <v>1</v>
      </c>
      <c r="AC89" s="58" t="s">
        <v>613</v>
      </c>
      <c r="AD89" s="142" t="s">
        <v>230</v>
      </c>
      <c r="AE89" s="42" t="s">
        <v>8</v>
      </c>
      <c r="AF89" s="13"/>
      <c r="AG89" s="13">
        <v>1</v>
      </c>
      <c r="AH89" s="13"/>
      <c r="AI89" s="14"/>
      <c r="AJ89" s="14"/>
      <c r="AK89" s="14"/>
      <c r="AL89" s="13">
        <v>1</v>
      </c>
      <c r="AM89" s="13"/>
      <c r="AN89" s="13"/>
      <c r="AO89" s="13">
        <v>1</v>
      </c>
      <c r="AP89" s="13"/>
      <c r="AQ89" s="13"/>
      <c r="AR89" s="13"/>
      <c r="AS89" s="13">
        <v>1</v>
      </c>
      <c r="AT89" s="13">
        <v>2</v>
      </c>
      <c r="AU89" s="13"/>
      <c r="AV89" s="13"/>
      <c r="AW89" s="13"/>
      <c r="AX89" s="30">
        <f t="shared" si="21"/>
        <v>2</v>
      </c>
      <c r="AY89" s="30">
        <f t="shared" si="22"/>
        <v>2</v>
      </c>
      <c r="AZ89" s="30">
        <f t="shared" si="23"/>
        <v>2</v>
      </c>
      <c r="BC89" s="56" t="s">
        <v>598</v>
      </c>
      <c r="BD89" s="141" t="s">
        <v>229</v>
      </c>
      <c r="BE89" s="35" t="s">
        <v>8</v>
      </c>
      <c r="BF89" s="3"/>
      <c r="BG89" s="3"/>
      <c r="BH89" s="3"/>
      <c r="BI89" s="4"/>
      <c r="BJ89" s="5"/>
      <c r="BK89" s="4"/>
      <c r="BL89" s="4"/>
      <c r="BM89" s="4"/>
      <c r="BN89" s="4"/>
      <c r="BO89" s="4"/>
      <c r="BP89" s="4"/>
      <c r="BQ89" s="4"/>
      <c r="BR89" s="13"/>
      <c r="BS89" s="13"/>
      <c r="BT89" s="13"/>
      <c r="BU89" s="4"/>
      <c r="BV89" s="4"/>
      <c r="BW89" s="4"/>
      <c r="BX89" s="30">
        <f t="shared" si="24"/>
        <v>0</v>
      </c>
      <c r="BY89" s="30">
        <f t="shared" si="25"/>
        <v>0</v>
      </c>
      <c r="BZ89" s="30">
        <f t="shared" si="26"/>
        <v>0</v>
      </c>
    </row>
    <row r="90" spans="1:78" ht="15.5" x14ac:dyDescent="0.35">
      <c r="A90" s="31" t="s">
        <v>971</v>
      </c>
      <c r="B90" s="35">
        <v>242510113</v>
      </c>
      <c r="C90" s="51" t="s">
        <v>573</v>
      </c>
      <c r="D90" s="141" t="s">
        <v>229</v>
      </c>
      <c r="E90" s="42" t="s">
        <v>6</v>
      </c>
      <c r="F90" s="3"/>
      <c r="G90" s="3"/>
      <c r="H90" s="3"/>
      <c r="I90" s="4"/>
      <c r="J90" s="5"/>
      <c r="K90" s="5">
        <v>1</v>
      </c>
      <c r="L90" s="4"/>
      <c r="M90" s="4"/>
      <c r="N90" s="4"/>
      <c r="O90" s="4"/>
      <c r="P90" s="4"/>
      <c r="Q90" s="4"/>
      <c r="R90" s="13"/>
      <c r="S90" s="13"/>
      <c r="T90" s="13"/>
      <c r="U90" s="4"/>
      <c r="V90" s="4"/>
      <c r="W90" s="4"/>
      <c r="X90" s="30">
        <f t="shared" si="18"/>
        <v>0</v>
      </c>
      <c r="Y90" s="30">
        <f t="shared" si="19"/>
        <v>0</v>
      </c>
      <c r="Z90" s="30">
        <f t="shared" si="20"/>
        <v>1</v>
      </c>
      <c r="AC90" s="63" t="s">
        <v>616</v>
      </c>
      <c r="AD90" s="142" t="s">
        <v>230</v>
      </c>
      <c r="AE90" s="42" t="s">
        <v>8</v>
      </c>
      <c r="AF90" s="15"/>
      <c r="AG90" s="15"/>
      <c r="AH90" s="15"/>
      <c r="AI90" s="15">
        <v>2</v>
      </c>
      <c r="AJ90" s="21">
        <v>2</v>
      </c>
      <c r="AK90" s="15"/>
      <c r="AL90" s="15">
        <v>1</v>
      </c>
      <c r="AM90" s="15"/>
      <c r="AN90" s="15"/>
      <c r="AO90" s="15"/>
      <c r="AP90" s="15"/>
      <c r="AQ90" s="15"/>
      <c r="AR90" s="13">
        <v>1</v>
      </c>
      <c r="AS90" s="13"/>
      <c r="AT90" s="13">
        <v>1</v>
      </c>
      <c r="AU90" s="15"/>
      <c r="AV90" s="15"/>
      <c r="AW90" s="15"/>
      <c r="AX90" s="30">
        <f t="shared" si="21"/>
        <v>4</v>
      </c>
      <c r="AY90" s="30">
        <f t="shared" si="22"/>
        <v>2</v>
      </c>
      <c r="AZ90" s="30">
        <f t="shared" si="23"/>
        <v>1</v>
      </c>
      <c r="BC90" s="56" t="s">
        <v>599</v>
      </c>
      <c r="BD90" s="141" t="s">
        <v>229</v>
      </c>
      <c r="BE90" s="35" t="s">
        <v>8</v>
      </c>
      <c r="BF90" s="3"/>
      <c r="BG90" s="3"/>
      <c r="BH90" s="3"/>
      <c r="BI90" s="5"/>
      <c r="BJ90" s="5"/>
      <c r="BK90" s="4"/>
      <c r="BL90" s="4"/>
      <c r="BM90" s="4"/>
      <c r="BN90" s="4"/>
      <c r="BO90" s="4"/>
      <c r="BP90" s="4"/>
      <c r="BQ90" s="4"/>
      <c r="BR90" s="13"/>
      <c r="BS90" s="13">
        <v>1</v>
      </c>
      <c r="BT90" s="13"/>
      <c r="BU90" s="4"/>
      <c r="BV90" s="4"/>
      <c r="BW90" s="4"/>
      <c r="BX90" s="30">
        <f t="shared" si="24"/>
        <v>0</v>
      </c>
      <c r="BY90" s="30">
        <f t="shared" si="25"/>
        <v>1</v>
      </c>
      <c r="BZ90" s="30">
        <f t="shared" si="26"/>
        <v>0</v>
      </c>
    </row>
    <row r="91" spans="1:78" ht="15.5" x14ac:dyDescent="0.35">
      <c r="A91" s="31" t="s">
        <v>973</v>
      </c>
      <c r="B91" s="35">
        <v>242510115</v>
      </c>
      <c r="C91" s="43" t="s">
        <v>575</v>
      </c>
      <c r="D91" s="141" t="s">
        <v>229</v>
      </c>
      <c r="E91" s="35" t="s">
        <v>6</v>
      </c>
      <c r="F91" s="3"/>
      <c r="G91" s="3"/>
      <c r="H91" s="3"/>
      <c r="I91" s="4"/>
      <c r="J91" s="5"/>
      <c r="K91" s="4"/>
      <c r="L91" s="4"/>
      <c r="M91" s="4"/>
      <c r="N91" s="4"/>
      <c r="O91" s="4"/>
      <c r="P91" s="4"/>
      <c r="Q91" s="4"/>
      <c r="R91" s="13"/>
      <c r="S91" s="13"/>
      <c r="T91" s="13"/>
      <c r="U91" s="4"/>
      <c r="V91" s="4"/>
      <c r="W91" s="4"/>
      <c r="X91" s="30">
        <f t="shared" si="18"/>
        <v>0</v>
      </c>
      <c r="Y91" s="30">
        <f t="shared" si="19"/>
        <v>0</v>
      </c>
      <c r="Z91" s="30">
        <f t="shared" si="20"/>
        <v>0</v>
      </c>
      <c r="AC91" s="47" t="s">
        <v>617</v>
      </c>
      <c r="AD91" s="142" t="s">
        <v>230</v>
      </c>
      <c r="AE91" s="42" t="s">
        <v>8</v>
      </c>
      <c r="AF91" s="13"/>
      <c r="AG91" s="13"/>
      <c r="AH91" s="13"/>
      <c r="AI91" s="13"/>
      <c r="AJ91" s="13"/>
      <c r="AK91" s="13"/>
      <c r="AL91" s="13"/>
      <c r="AM91" s="13">
        <v>1</v>
      </c>
      <c r="AN91" s="13"/>
      <c r="AO91" s="13"/>
      <c r="AP91" s="13"/>
      <c r="AQ91" s="13"/>
      <c r="AR91" s="15"/>
      <c r="AS91" s="15">
        <v>1</v>
      </c>
      <c r="AT91" s="15">
        <v>2</v>
      </c>
      <c r="AU91" s="13"/>
      <c r="AV91" s="13"/>
      <c r="AW91" s="13"/>
      <c r="AX91" s="30">
        <f t="shared" si="21"/>
        <v>0</v>
      </c>
      <c r="AY91" s="30">
        <f t="shared" si="22"/>
        <v>2</v>
      </c>
      <c r="AZ91" s="30">
        <f t="shared" si="23"/>
        <v>2</v>
      </c>
      <c r="BC91" s="51" t="s">
        <v>600</v>
      </c>
      <c r="BD91" s="141" t="s">
        <v>229</v>
      </c>
      <c r="BE91" s="42" t="s">
        <v>8</v>
      </c>
      <c r="BF91" s="3"/>
      <c r="BG91" s="3"/>
      <c r="BH91" s="3"/>
      <c r="BI91" s="4"/>
      <c r="BJ91" s="5"/>
      <c r="BK91" s="4"/>
      <c r="BL91" s="4"/>
      <c r="BM91" s="4">
        <v>2</v>
      </c>
      <c r="BN91" s="4"/>
      <c r="BO91" s="4"/>
      <c r="BP91" s="4">
        <v>1</v>
      </c>
      <c r="BQ91" s="4"/>
      <c r="BR91" s="13"/>
      <c r="BS91" s="13">
        <v>1</v>
      </c>
      <c r="BT91" s="13"/>
      <c r="BU91" s="4"/>
      <c r="BV91" s="4"/>
      <c r="BW91" s="4"/>
      <c r="BX91" s="30">
        <f t="shared" si="24"/>
        <v>0</v>
      </c>
      <c r="BY91" s="30">
        <f t="shared" si="25"/>
        <v>4</v>
      </c>
      <c r="BZ91" s="30">
        <f t="shared" si="26"/>
        <v>0</v>
      </c>
    </row>
    <row r="92" spans="1:78" ht="15.5" x14ac:dyDescent="0.35">
      <c r="A92" s="31" t="s">
        <v>977</v>
      </c>
      <c r="B92" s="35">
        <v>242510119</v>
      </c>
      <c r="C92" s="59" t="s">
        <v>579</v>
      </c>
      <c r="D92" s="141" t="s">
        <v>229</v>
      </c>
      <c r="E92" s="42" t="s">
        <v>6</v>
      </c>
      <c r="F92" s="26"/>
      <c r="G92" s="26"/>
      <c r="H92" s="26"/>
      <c r="I92" s="9"/>
      <c r="J92" s="9"/>
      <c r="K92" s="9">
        <v>3</v>
      </c>
      <c r="L92" s="9"/>
      <c r="M92" s="9"/>
      <c r="N92" s="9"/>
      <c r="O92" s="9"/>
      <c r="P92" s="9">
        <v>2</v>
      </c>
      <c r="Q92" s="9"/>
      <c r="R92" s="15"/>
      <c r="S92" s="15">
        <v>2</v>
      </c>
      <c r="T92" s="15">
        <v>2</v>
      </c>
      <c r="U92" s="9"/>
      <c r="V92" s="9">
        <v>1</v>
      </c>
      <c r="W92" s="9"/>
      <c r="X92" s="30">
        <f t="shared" si="18"/>
        <v>0</v>
      </c>
      <c r="Y92" s="30">
        <f t="shared" si="19"/>
        <v>5</v>
      </c>
      <c r="Z92" s="30">
        <f t="shared" si="20"/>
        <v>5</v>
      </c>
      <c r="AC92" s="41" t="s">
        <v>435</v>
      </c>
      <c r="AD92" s="139" t="s">
        <v>225</v>
      </c>
      <c r="AE92" s="42" t="s">
        <v>8</v>
      </c>
      <c r="AF92" s="19"/>
      <c r="AG92" s="19"/>
      <c r="AH92" s="20"/>
      <c r="AI92" s="13"/>
      <c r="AJ92" s="13">
        <v>1</v>
      </c>
      <c r="AK92" s="14"/>
      <c r="AL92" s="13"/>
      <c r="AM92" s="13"/>
      <c r="AN92" s="14"/>
      <c r="AO92" s="13"/>
      <c r="AP92" s="13">
        <v>1</v>
      </c>
      <c r="AQ92" s="14"/>
      <c r="AR92" s="13"/>
      <c r="AS92" s="13">
        <v>1</v>
      </c>
      <c r="AT92" s="14">
        <v>1</v>
      </c>
      <c r="AU92" s="13"/>
      <c r="AV92" s="13"/>
      <c r="AW92" s="14"/>
      <c r="AX92" s="30">
        <f t="shared" si="21"/>
        <v>0</v>
      </c>
      <c r="AY92" s="30">
        <f t="shared" si="22"/>
        <v>3</v>
      </c>
      <c r="AZ92" s="30">
        <f t="shared" si="23"/>
        <v>1</v>
      </c>
      <c r="BC92" s="61" t="s">
        <v>1028</v>
      </c>
      <c r="BD92" s="141" t="s">
        <v>229</v>
      </c>
      <c r="BE92" s="52" t="s">
        <v>6</v>
      </c>
      <c r="BF92" s="3"/>
      <c r="BG92" s="3"/>
      <c r="BH92" s="3"/>
      <c r="BI92" s="4"/>
      <c r="BJ92" s="4"/>
      <c r="BK92" s="4"/>
      <c r="BL92" s="4"/>
      <c r="BM92" s="4"/>
      <c r="BN92" s="4"/>
      <c r="BO92" s="4"/>
      <c r="BP92" s="4"/>
      <c r="BQ92" s="4"/>
      <c r="BR92" s="13"/>
      <c r="BS92" s="13"/>
      <c r="BT92" s="13"/>
      <c r="BU92" s="4"/>
      <c r="BV92" s="4"/>
      <c r="BW92" s="4"/>
      <c r="BX92" s="30">
        <f t="shared" si="24"/>
        <v>0</v>
      </c>
      <c r="BY92" s="30">
        <f t="shared" si="25"/>
        <v>0</v>
      </c>
      <c r="BZ92" s="30">
        <f t="shared" si="26"/>
        <v>0</v>
      </c>
    </row>
    <row r="93" spans="1:78" ht="15.5" x14ac:dyDescent="0.35">
      <c r="A93" s="31" t="s">
        <v>978</v>
      </c>
      <c r="B93" s="35">
        <v>242510120</v>
      </c>
      <c r="C93" s="46" t="s">
        <v>580</v>
      </c>
      <c r="D93" s="141" t="s">
        <v>229</v>
      </c>
      <c r="E93" s="42" t="s">
        <v>8</v>
      </c>
      <c r="F93" s="3"/>
      <c r="G93" s="3"/>
      <c r="H93" s="3"/>
      <c r="I93" s="4"/>
      <c r="J93" s="5">
        <v>3</v>
      </c>
      <c r="K93" s="4"/>
      <c r="L93" s="4"/>
      <c r="M93" s="4"/>
      <c r="N93" s="4"/>
      <c r="O93" s="4"/>
      <c r="P93" s="4"/>
      <c r="Q93" s="4"/>
      <c r="R93" s="13"/>
      <c r="S93" s="13">
        <v>2</v>
      </c>
      <c r="T93" s="13">
        <v>1</v>
      </c>
      <c r="U93" s="4"/>
      <c r="V93" s="4"/>
      <c r="W93" s="4">
        <v>1</v>
      </c>
      <c r="X93" s="30">
        <f t="shared" si="18"/>
        <v>0</v>
      </c>
      <c r="Y93" s="30">
        <f t="shared" si="19"/>
        <v>5</v>
      </c>
      <c r="Z93" s="30">
        <f t="shared" si="20"/>
        <v>2</v>
      </c>
      <c r="AC93" s="43" t="s">
        <v>440</v>
      </c>
      <c r="AD93" s="127" t="s">
        <v>226</v>
      </c>
      <c r="AE93" s="35" t="s">
        <v>6</v>
      </c>
      <c r="AF93" s="3"/>
      <c r="AG93" s="3"/>
      <c r="AH93" s="3"/>
      <c r="AI93" s="5"/>
      <c r="AJ93" s="4">
        <v>1</v>
      </c>
      <c r="AK93" s="5"/>
      <c r="AL93" s="4"/>
      <c r="AM93" s="5"/>
      <c r="AN93" s="4"/>
      <c r="AO93" s="13">
        <v>1</v>
      </c>
      <c r="AP93" s="4"/>
      <c r="AQ93" s="4">
        <v>1</v>
      </c>
      <c r="AR93" s="4"/>
      <c r="AS93" s="4">
        <v>2</v>
      </c>
      <c r="AT93" s="4">
        <v>1</v>
      </c>
      <c r="AU93" s="4"/>
      <c r="AV93" s="4"/>
      <c r="AW93" s="4">
        <v>1</v>
      </c>
      <c r="AX93" s="30">
        <f t="shared" si="21"/>
        <v>1</v>
      </c>
      <c r="AY93" s="30">
        <f t="shared" si="22"/>
        <v>3</v>
      </c>
      <c r="AZ93" s="30">
        <f t="shared" si="23"/>
        <v>3</v>
      </c>
      <c r="BC93" s="47" t="s">
        <v>607</v>
      </c>
      <c r="BD93" s="142" t="s">
        <v>230</v>
      </c>
      <c r="BE93" s="42" t="s">
        <v>8</v>
      </c>
      <c r="BF93" s="13"/>
      <c r="BG93" s="13"/>
      <c r="BH93" s="13"/>
      <c r="BI93" s="13"/>
      <c r="BJ93" s="14">
        <v>2</v>
      </c>
      <c r="BK93" s="13"/>
      <c r="BL93" s="13"/>
      <c r="BM93" s="13">
        <v>1</v>
      </c>
      <c r="BN93" s="13"/>
      <c r="BO93" s="13"/>
      <c r="BP93" s="13">
        <v>2</v>
      </c>
      <c r="BQ93" s="13"/>
      <c r="BR93" s="13"/>
      <c r="BS93" s="13">
        <v>1</v>
      </c>
      <c r="BT93" s="13"/>
      <c r="BU93" s="13"/>
      <c r="BV93" s="13"/>
      <c r="BW93" s="13"/>
      <c r="BX93" s="30">
        <f t="shared" si="24"/>
        <v>0</v>
      </c>
      <c r="BY93" s="30">
        <f t="shared" si="25"/>
        <v>6</v>
      </c>
      <c r="BZ93" s="30">
        <f t="shared" si="26"/>
        <v>0</v>
      </c>
    </row>
    <row r="94" spans="1:78" ht="15.5" x14ac:dyDescent="0.35">
      <c r="A94" s="31" t="s">
        <v>981</v>
      </c>
      <c r="B94" s="35">
        <v>242510123</v>
      </c>
      <c r="C94" s="47" t="s">
        <v>583</v>
      </c>
      <c r="D94" s="141" t="s">
        <v>229</v>
      </c>
      <c r="E94" s="42" t="s">
        <v>6</v>
      </c>
      <c r="F94" s="3"/>
      <c r="G94" s="3">
        <v>1</v>
      </c>
      <c r="H94" s="3"/>
      <c r="I94" s="5"/>
      <c r="J94" s="5"/>
      <c r="K94" s="4">
        <v>1</v>
      </c>
      <c r="L94" s="4"/>
      <c r="M94" s="4"/>
      <c r="N94" s="4"/>
      <c r="O94" s="4"/>
      <c r="P94" s="4"/>
      <c r="Q94" s="4"/>
      <c r="R94" s="13"/>
      <c r="S94" s="13"/>
      <c r="T94" s="13"/>
      <c r="U94" s="4"/>
      <c r="V94" s="4"/>
      <c r="W94" s="4"/>
      <c r="X94" s="30">
        <f t="shared" si="18"/>
        <v>0</v>
      </c>
      <c r="Y94" s="30">
        <f t="shared" si="19"/>
        <v>1</v>
      </c>
      <c r="Z94" s="30">
        <f t="shared" si="20"/>
        <v>1</v>
      </c>
      <c r="AC94" s="43" t="s">
        <v>442</v>
      </c>
      <c r="AD94" s="127" t="s">
        <v>226</v>
      </c>
      <c r="AE94" s="35" t="s">
        <v>6</v>
      </c>
      <c r="AF94" s="3"/>
      <c r="AG94" s="3"/>
      <c r="AH94" s="3"/>
      <c r="AI94" s="4"/>
      <c r="AJ94" s="5"/>
      <c r="AK94" s="4"/>
      <c r="AL94" s="4">
        <v>1</v>
      </c>
      <c r="AM94" s="4">
        <v>1</v>
      </c>
      <c r="AN94" s="4"/>
      <c r="AO94" s="13"/>
      <c r="AP94" s="5"/>
      <c r="AQ94" s="4">
        <v>1</v>
      </c>
      <c r="AR94" s="4"/>
      <c r="AS94" s="5">
        <v>1</v>
      </c>
      <c r="AT94" s="4"/>
      <c r="AU94" s="4"/>
      <c r="AV94" s="5">
        <v>1</v>
      </c>
      <c r="AW94" s="4"/>
      <c r="AX94" s="30">
        <f t="shared" si="21"/>
        <v>1</v>
      </c>
      <c r="AY94" s="30">
        <f t="shared" si="22"/>
        <v>3</v>
      </c>
      <c r="AZ94" s="30">
        <f t="shared" si="23"/>
        <v>1</v>
      </c>
      <c r="BC94" s="46" t="s">
        <v>611</v>
      </c>
      <c r="BD94" s="142" t="s">
        <v>230</v>
      </c>
      <c r="BE94" s="42" t="s">
        <v>8</v>
      </c>
      <c r="BF94" s="13"/>
      <c r="BG94" s="13"/>
      <c r="BH94" s="14"/>
      <c r="BI94" s="13"/>
      <c r="BJ94" s="14"/>
      <c r="BK94" s="14"/>
      <c r="BL94" s="13"/>
      <c r="BM94" s="13"/>
      <c r="BN94" s="13"/>
      <c r="BO94" s="13"/>
      <c r="BP94" s="13">
        <v>2</v>
      </c>
      <c r="BQ94" s="13"/>
      <c r="BR94" s="13"/>
      <c r="BS94" s="13">
        <v>2</v>
      </c>
      <c r="BT94" s="13"/>
      <c r="BU94" s="13"/>
      <c r="BV94" s="13"/>
      <c r="BW94" s="13"/>
      <c r="BX94" s="30">
        <f t="shared" si="24"/>
        <v>0</v>
      </c>
      <c r="BY94" s="30">
        <f t="shared" si="25"/>
        <v>4</v>
      </c>
      <c r="BZ94" s="30">
        <f t="shared" si="26"/>
        <v>0</v>
      </c>
    </row>
    <row r="95" spans="1:78" ht="15.5" x14ac:dyDescent="0.35">
      <c r="A95" s="31" t="s">
        <v>985</v>
      </c>
      <c r="B95" s="35">
        <v>242510127</v>
      </c>
      <c r="C95" s="47" t="s">
        <v>587</v>
      </c>
      <c r="D95" s="141" t="s">
        <v>229</v>
      </c>
      <c r="E95" s="42" t="s">
        <v>6</v>
      </c>
      <c r="F95" s="3"/>
      <c r="G95" s="3"/>
      <c r="H95" s="3"/>
      <c r="I95" s="4"/>
      <c r="J95" s="5"/>
      <c r="K95" s="4"/>
      <c r="L95" s="4"/>
      <c r="M95" s="4">
        <v>2</v>
      </c>
      <c r="N95" s="4"/>
      <c r="O95" s="4"/>
      <c r="P95" s="4"/>
      <c r="Q95" s="4"/>
      <c r="R95" s="13"/>
      <c r="S95" s="13"/>
      <c r="T95" s="13"/>
      <c r="U95" s="4"/>
      <c r="V95" s="4"/>
      <c r="W95" s="4"/>
      <c r="X95" s="30">
        <f t="shared" si="18"/>
        <v>0</v>
      </c>
      <c r="Y95" s="30">
        <f t="shared" si="19"/>
        <v>2</v>
      </c>
      <c r="Z95" s="30">
        <f t="shared" si="20"/>
        <v>0</v>
      </c>
      <c r="AC95" s="34" t="s">
        <v>443</v>
      </c>
      <c r="AD95" s="127" t="s">
        <v>226</v>
      </c>
      <c r="AE95" s="35" t="s">
        <v>6</v>
      </c>
      <c r="AF95" s="3"/>
      <c r="AG95" s="6"/>
      <c r="AH95" s="3"/>
      <c r="AI95" s="4"/>
      <c r="AJ95" s="5"/>
      <c r="AK95" s="5"/>
      <c r="AL95" s="4"/>
      <c r="AM95" s="4">
        <v>1</v>
      </c>
      <c r="AN95" s="4"/>
      <c r="AO95" s="13"/>
      <c r="AP95" s="5"/>
      <c r="AQ95" s="4"/>
      <c r="AR95" s="4"/>
      <c r="AS95" s="5">
        <v>2</v>
      </c>
      <c r="AT95" s="4"/>
      <c r="AU95" s="4"/>
      <c r="AV95" s="5"/>
      <c r="AW95" s="4"/>
      <c r="AX95" s="30">
        <f t="shared" si="21"/>
        <v>0</v>
      </c>
      <c r="AY95" s="30">
        <f t="shared" si="22"/>
        <v>3</v>
      </c>
      <c r="AZ95" s="30">
        <f t="shared" si="23"/>
        <v>0</v>
      </c>
      <c r="BC95" s="46" t="s">
        <v>621</v>
      </c>
      <c r="BD95" s="142" t="s">
        <v>230</v>
      </c>
      <c r="BE95" s="42" t="s">
        <v>8</v>
      </c>
      <c r="BF95" s="13"/>
      <c r="BG95" s="13">
        <v>1</v>
      </c>
      <c r="BH95" s="13"/>
      <c r="BI95" s="13"/>
      <c r="BJ95" s="13">
        <v>1</v>
      </c>
      <c r="BK95" s="13"/>
      <c r="BL95" s="13">
        <v>2</v>
      </c>
      <c r="BM95" s="13">
        <v>1</v>
      </c>
      <c r="BN95" s="13"/>
      <c r="BO95" s="13">
        <v>2</v>
      </c>
      <c r="BP95" s="13">
        <v>1</v>
      </c>
      <c r="BQ95" s="13"/>
      <c r="BR95" s="13"/>
      <c r="BS95" s="13">
        <v>2</v>
      </c>
      <c r="BT95" s="13"/>
      <c r="BU95" s="13"/>
      <c r="BV95" s="13"/>
      <c r="BW95" s="13"/>
      <c r="BX95" s="30">
        <f t="shared" si="24"/>
        <v>4</v>
      </c>
      <c r="BY95" s="30">
        <f t="shared" si="25"/>
        <v>6</v>
      </c>
      <c r="BZ95" s="30">
        <f t="shared" si="26"/>
        <v>0</v>
      </c>
    </row>
    <row r="96" spans="1:78" ht="15.5" x14ac:dyDescent="0.35">
      <c r="A96" s="31" t="s">
        <v>989</v>
      </c>
      <c r="B96" s="35">
        <v>242510131</v>
      </c>
      <c r="C96" s="46" t="s">
        <v>591</v>
      </c>
      <c r="D96" s="141" t="s">
        <v>229</v>
      </c>
      <c r="E96" s="42" t="s">
        <v>8</v>
      </c>
      <c r="F96" s="3"/>
      <c r="G96" s="3"/>
      <c r="H96" s="3"/>
      <c r="I96" s="4"/>
      <c r="J96" s="5">
        <v>1</v>
      </c>
      <c r="K96" s="4"/>
      <c r="L96" s="4"/>
      <c r="M96" s="4"/>
      <c r="N96" s="4"/>
      <c r="O96" s="4"/>
      <c r="P96" s="4"/>
      <c r="Q96" s="4"/>
      <c r="R96" s="13"/>
      <c r="S96" s="13"/>
      <c r="T96" s="13"/>
      <c r="U96" s="4"/>
      <c r="V96" s="4"/>
      <c r="W96" s="4"/>
      <c r="X96" s="30">
        <f t="shared" si="18"/>
        <v>0</v>
      </c>
      <c r="Y96" s="30">
        <f t="shared" si="19"/>
        <v>1</v>
      </c>
      <c r="Z96" s="30">
        <f t="shared" si="20"/>
        <v>0</v>
      </c>
      <c r="AC96" s="44" t="s">
        <v>456</v>
      </c>
      <c r="AD96" s="127" t="s">
        <v>226</v>
      </c>
      <c r="AE96" s="38" t="s">
        <v>6</v>
      </c>
      <c r="AF96" s="3"/>
      <c r="AG96" s="3"/>
      <c r="AH96" s="3"/>
      <c r="AI96" s="4"/>
      <c r="AJ96" s="5"/>
      <c r="AK96" s="5"/>
      <c r="AL96" s="4"/>
      <c r="AM96" s="4"/>
      <c r="AN96" s="4"/>
      <c r="AO96" s="13"/>
      <c r="AP96" s="5"/>
      <c r="AQ96" s="5"/>
      <c r="AR96" s="4"/>
      <c r="AS96" s="5">
        <v>3</v>
      </c>
      <c r="AT96" s="5"/>
      <c r="AU96" s="4"/>
      <c r="AV96" s="5"/>
      <c r="AW96" s="5"/>
      <c r="AX96" s="30">
        <f t="shared" si="21"/>
        <v>0</v>
      </c>
      <c r="AY96" s="30">
        <f t="shared" si="22"/>
        <v>3</v>
      </c>
      <c r="AZ96" s="30">
        <f t="shared" si="23"/>
        <v>0</v>
      </c>
      <c r="BC96" s="47" t="s">
        <v>629</v>
      </c>
      <c r="BD96" s="142" t="s">
        <v>230</v>
      </c>
      <c r="BE96" s="42" t="s">
        <v>8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30">
        <f t="shared" si="24"/>
        <v>0</v>
      </c>
      <c r="BY96" s="30">
        <f t="shared" si="25"/>
        <v>0</v>
      </c>
      <c r="BZ96" s="30">
        <f t="shared" si="26"/>
        <v>0</v>
      </c>
    </row>
    <row r="97" spans="1:78" ht="15.5" x14ac:dyDescent="0.35">
      <c r="A97" s="31" t="s">
        <v>990</v>
      </c>
      <c r="B97" s="35">
        <v>242510132</v>
      </c>
      <c r="C97" s="47" t="s">
        <v>592</v>
      </c>
      <c r="D97" s="141" t="s">
        <v>229</v>
      </c>
      <c r="E97" s="42" t="s">
        <v>8</v>
      </c>
      <c r="F97" s="3"/>
      <c r="G97" s="3"/>
      <c r="H97" s="3"/>
      <c r="I97" s="5"/>
      <c r="J97" s="5">
        <v>1</v>
      </c>
      <c r="K97" s="4">
        <v>2</v>
      </c>
      <c r="L97" s="4"/>
      <c r="M97" s="4">
        <v>2</v>
      </c>
      <c r="N97" s="4"/>
      <c r="O97" s="4"/>
      <c r="P97" s="4"/>
      <c r="Q97" s="4"/>
      <c r="R97" s="13"/>
      <c r="S97" s="13"/>
      <c r="T97" s="13"/>
      <c r="U97" s="4"/>
      <c r="V97" s="4"/>
      <c r="W97" s="4">
        <v>1</v>
      </c>
      <c r="X97" s="30">
        <f t="shared" si="18"/>
        <v>0</v>
      </c>
      <c r="Y97" s="30">
        <f t="shared" si="19"/>
        <v>3</v>
      </c>
      <c r="Z97" s="30">
        <f t="shared" si="20"/>
        <v>3</v>
      </c>
      <c r="AC97" s="41" t="s">
        <v>457</v>
      </c>
      <c r="AD97" s="127" t="s">
        <v>226</v>
      </c>
      <c r="AE97" s="40" t="s">
        <v>6</v>
      </c>
      <c r="AF97" s="3"/>
      <c r="AG97" s="3"/>
      <c r="AH97" s="3"/>
      <c r="AI97" s="4"/>
      <c r="AJ97" s="5"/>
      <c r="AK97" s="5"/>
      <c r="AL97" s="4"/>
      <c r="AM97" s="4"/>
      <c r="AN97" s="4"/>
      <c r="AO97" s="13"/>
      <c r="AP97" s="5"/>
      <c r="AQ97" s="5"/>
      <c r="AR97" s="4"/>
      <c r="AS97" s="5">
        <v>3</v>
      </c>
      <c r="AT97" s="5">
        <v>2</v>
      </c>
      <c r="AU97" s="4"/>
      <c r="AV97" s="5"/>
      <c r="AW97" s="5"/>
      <c r="AX97" s="30">
        <f t="shared" si="21"/>
        <v>0</v>
      </c>
      <c r="AY97" s="30">
        <f t="shared" si="22"/>
        <v>3</v>
      </c>
      <c r="AZ97" s="30">
        <f t="shared" si="23"/>
        <v>2</v>
      </c>
      <c r="BC97" s="34" t="s">
        <v>426</v>
      </c>
      <c r="BD97" s="139" t="s">
        <v>225</v>
      </c>
      <c r="BE97" s="35" t="s">
        <v>6</v>
      </c>
      <c r="BF97" s="19"/>
      <c r="BG97" s="19"/>
      <c r="BH97" s="19"/>
      <c r="BI97" s="13"/>
      <c r="BJ97" s="13">
        <v>1</v>
      </c>
      <c r="BK97" s="13"/>
      <c r="BL97" s="13"/>
      <c r="BM97" s="13"/>
      <c r="BN97" s="13"/>
      <c r="BO97" s="13"/>
      <c r="BP97" s="13"/>
      <c r="BQ97" s="13">
        <v>1</v>
      </c>
      <c r="BR97" s="13"/>
      <c r="BS97" s="13">
        <v>1</v>
      </c>
      <c r="BT97" s="13"/>
      <c r="BU97" s="13"/>
      <c r="BV97" s="13"/>
      <c r="BW97" s="13"/>
      <c r="BX97" s="30">
        <f t="shared" si="24"/>
        <v>0</v>
      </c>
      <c r="BY97" s="30">
        <f t="shared" si="25"/>
        <v>2</v>
      </c>
      <c r="BZ97" s="30">
        <f t="shared" si="26"/>
        <v>1</v>
      </c>
    </row>
    <row r="98" spans="1:78" ht="15.5" x14ac:dyDescent="0.35">
      <c r="A98" s="31" t="s">
        <v>991</v>
      </c>
      <c r="B98" s="35">
        <v>242510133</v>
      </c>
      <c r="C98" s="44" t="s">
        <v>593</v>
      </c>
      <c r="D98" s="141" t="s">
        <v>229</v>
      </c>
      <c r="E98" s="35" t="s">
        <v>8</v>
      </c>
      <c r="F98" s="26"/>
      <c r="G98" s="26">
        <v>1</v>
      </c>
      <c r="H98" s="26"/>
      <c r="I98" s="9"/>
      <c r="J98" s="9"/>
      <c r="K98" s="9">
        <v>1</v>
      </c>
      <c r="L98" s="9"/>
      <c r="M98" s="9"/>
      <c r="N98" s="9"/>
      <c r="O98" s="9"/>
      <c r="P98" s="9"/>
      <c r="Q98" s="9"/>
      <c r="R98" s="15"/>
      <c r="S98" s="15"/>
      <c r="T98" s="15"/>
      <c r="U98" s="9"/>
      <c r="V98" s="9"/>
      <c r="W98" s="9">
        <v>1</v>
      </c>
      <c r="X98" s="30">
        <f t="shared" si="18"/>
        <v>0</v>
      </c>
      <c r="Y98" s="30">
        <f t="shared" si="19"/>
        <v>1</v>
      </c>
      <c r="Z98" s="30">
        <f t="shared" si="20"/>
        <v>2</v>
      </c>
      <c r="AC98" s="34" t="s">
        <v>458</v>
      </c>
      <c r="AD98" s="127" t="s">
        <v>226</v>
      </c>
      <c r="AE98" s="38" t="s">
        <v>6</v>
      </c>
      <c r="AF98" s="3">
        <v>1</v>
      </c>
      <c r="AG98" s="3"/>
      <c r="AH98" s="6"/>
      <c r="AI98" s="4"/>
      <c r="AJ98" s="4">
        <v>1</v>
      </c>
      <c r="AK98" s="5">
        <v>1</v>
      </c>
      <c r="AL98" s="4"/>
      <c r="AM98" s="4">
        <v>1</v>
      </c>
      <c r="AN98" s="4"/>
      <c r="AO98" s="13"/>
      <c r="AP98" s="5">
        <v>1</v>
      </c>
      <c r="AQ98" s="4"/>
      <c r="AR98" s="4"/>
      <c r="AS98" s="5"/>
      <c r="AT98" s="4"/>
      <c r="AU98" s="4"/>
      <c r="AV98" s="5"/>
      <c r="AW98" s="4">
        <v>1</v>
      </c>
      <c r="AX98" s="30">
        <f t="shared" si="21"/>
        <v>1</v>
      </c>
      <c r="AY98" s="30">
        <f t="shared" si="22"/>
        <v>3</v>
      </c>
      <c r="AZ98" s="30">
        <f t="shared" si="23"/>
        <v>2</v>
      </c>
      <c r="BC98" s="36" t="s">
        <v>429</v>
      </c>
      <c r="BD98" s="139" t="s">
        <v>225</v>
      </c>
      <c r="BE98" s="35" t="s">
        <v>8</v>
      </c>
      <c r="BF98" s="19"/>
      <c r="BG98" s="19"/>
      <c r="BH98" s="19"/>
      <c r="BI98" s="13"/>
      <c r="BJ98" s="14"/>
      <c r="BK98" s="13"/>
      <c r="BL98" s="13"/>
      <c r="BM98" s="13">
        <v>2</v>
      </c>
      <c r="BN98" s="13"/>
      <c r="BO98" s="13"/>
      <c r="BP98" s="13">
        <v>4</v>
      </c>
      <c r="BQ98" s="13">
        <v>1</v>
      </c>
      <c r="BR98" s="13"/>
      <c r="BS98" s="13">
        <v>1</v>
      </c>
      <c r="BT98" s="13"/>
      <c r="BU98" s="13"/>
      <c r="BV98" s="13"/>
      <c r="BW98" s="13"/>
      <c r="BX98" s="30">
        <f t="shared" si="24"/>
        <v>0</v>
      </c>
      <c r="BY98" s="30">
        <f t="shared" si="25"/>
        <v>7</v>
      </c>
      <c r="BZ98" s="30">
        <f t="shared" si="26"/>
        <v>1</v>
      </c>
    </row>
    <row r="99" spans="1:78" ht="15.5" x14ac:dyDescent="0.35">
      <c r="A99" s="31" t="s">
        <v>992</v>
      </c>
      <c r="B99" s="35">
        <v>242510134</v>
      </c>
      <c r="C99" s="37" t="s">
        <v>594</v>
      </c>
      <c r="D99" s="141" t="s">
        <v>229</v>
      </c>
      <c r="E99" s="35" t="s">
        <v>8</v>
      </c>
      <c r="F99" s="3"/>
      <c r="G99" s="3"/>
      <c r="H99" s="3"/>
      <c r="I99" s="4"/>
      <c r="J99" s="5"/>
      <c r="K99" s="4"/>
      <c r="L99" s="4"/>
      <c r="M99" s="4"/>
      <c r="N99" s="4"/>
      <c r="O99" s="4"/>
      <c r="P99" s="4"/>
      <c r="Q99" s="4"/>
      <c r="R99" s="13"/>
      <c r="S99" s="13"/>
      <c r="T99" s="13"/>
      <c r="U99" s="4"/>
      <c r="V99" s="4"/>
      <c r="W99" s="4"/>
      <c r="X99" s="30">
        <f t="shared" si="18"/>
        <v>0</v>
      </c>
      <c r="Y99" s="30">
        <f t="shared" si="19"/>
        <v>0</v>
      </c>
      <c r="Z99" s="30">
        <f t="shared" si="20"/>
        <v>0</v>
      </c>
      <c r="AC99" s="34" t="s">
        <v>467</v>
      </c>
      <c r="AD99" s="139" t="s">
        <v>227</v>
      </c>
      <c r="AE99" s="35" t="s">
        <v>6</v>
      </c>
      <c r="AF99" s="3"/>
      <c r="AG99" s="3"/>
      <c r="AH99" s="3">
        <v>1</v>
      </c>
      <c r="AI99" s="5"/>
      <c r="AJ99" s="5">
        <v>1</v>
      </c>
      <c r="AK99" s="4"/>
      <c r="AL99" s="4"/>
      <c r="AM99" s="5">
        <v>2</v>
      </c>
      <c r="AN99" s="4"/>
      <c r="AO99" s="13">
        <v>1</v>
      </c>
      <c r="AP99" s="5"/>
      <c r="AQ99" s="4"/>
      <c r="AR99" s="4"/>
      <c r="AS99" s="5"/>
      <c r="AT99" s="4"/>
      <c r="AU99" s="4"/>
      <c r="AV99" s="5"/>
      <c r="AW99" s="4"/>
      <c r="AX99" s="30">
        <f t="shared" si="21"/>
        <v>1</v>
      </c>
      <c r="AY99" s="30">
        <f t="shared" si="22"/>
        <v>3</v>
      </c>
      <c r="AZ99" s="30">
        <f t="shared" si="23"/>
        <v>1</v>
      </c>
      <c r="BC99" s="36" t="s">
        <v>431</v>
      </c>
      <c r="BD99" s="139" t="s">
        <v>225</v>
      </c>
      <c r="BE99" s="35" t="s">
        <v>6</v>
      </c>
      <c r="BF99" s="19"/>
      <c r="BG99" s="19"/>
      <c r="BH99" s="19"/>
      <c r="BI99" s="13"/>
      <c r="BJ99" s="13"/>
      <c r="BK99" s="13"/>
      <c r="BL99" s="13"/>
      <c r="BM99" s="13"/>
      <c r="BN99" s="13"/>
      <c r="BO99" s="13"/>
      <c r="BP99" s="13">
        <v>5</v>
      </c>
      <c r="BQ99" s="13"/>
      <c r="BR99" s="13"/>
      <c r="BS99" s="13">
        <v>1</v>
      </c>
      <c r="BT99" s="13">
        <v>1</v>
      </c>
      <c r="BU99" s="13"/>
      <c r="BV99" s="13"/>
      <c r="BW99" s="13"/>
      <c r="BX99" s="30">
        <f t="shared" si="24"/>
        <v>0</v>
      </c>
      <c r="BY99" s="30">
        <f t="shared" si="25"/>
        <v>6</v>
      </c>
      <c r="BZ99" s="30">
        <f t="shared" si="26"/>
        <v>1</v>
      </c>
    </row>
    <row r="100" spans="1:78" ht="15.5" x14ac:dyDescent="0.35">
      <c r="A100" s="31" t="s">
        <v>994</v>
      </c>
      <c r="B100" s="35">
        <v>242510136</v>
      </c>
      <c r="C100" s="56" t="s">
        <v>596</v>
      </c>
      <c r="D100" s="141" t="s">
        <v>229</v>
      </c>
      <c r="E100" s="35" t="s">
        <v>8</v>
      </c>
      <c r="F100" s="3"/>
      <c r="G100" s="3"/>
      <c r="H100" s="3"/>
      <c r="I100" s="4"/>
      <c r="J100" s="5">
        <v>4</v>
      </c>
      <c r="K100" s="5"/>
      <c r="L100" s="4"/>
      <c r="M100" s="4"/>
      <c r="N100" s="4"/>
      <c r="O100" s="4"/>
      <c r="P100" s="4">
        <v>3</v>
      </c>
      <c r="Q100" s="4"/>
      <c r="R100" s="13"/>
      <c r="S100" s="13"/>
      <c r="T100" s="13"/>
      <c r="U100" s="4"/>
      <c r="V100" s="4"/>
      <c r="W100" s="4"/>
      <c r="X100" s="30">
        <f t="shared" ref="X100:X131" si="27">SUM(F100,I100,L100,O100,R100,U100)</f>
        <v>0</v>
      </c>
      <c r="Y100" s="30">
        <f t="shared" ref="Y100:Y131" si="28">SUM(G100,J100,M100,P100,S100,V100)</f>
        <v>7</v>
      </c>
      <c r="Z100" s="30">
        <f t="shared" ref="Z100:Z131" si="29">SUM(H100,K100,N100,Q100,T100,W100)</f>
        <v>0</v>
      </c>
      <c r="AC100" s="43" t="s">
        <v>468</v>
      </c>
      <c r="AD100" s="139" t="s">
        <v>227</v>
      </c>
      <c r="AE100" s="35" t="s">
        <v>6</v>
      </c>
      <c r="AF100" s="3"/>
      <c r="AG100" s="3"/>
      <c r="AH100" s="3"/>
      <c r="AI100" s="4"/>
      <c r="AJ100" s="5"/>
      <c r="AK100" s="4"/>
      <c r="AL100" s="4"/>
      <c r="AM100" s="4"/>
      <c r="AN100" s="4"/>
      <c r="AO100" s="13"/>
      <c r="AP100" s="4">
        <v>2</v>
      </c>
      <c r="AQ100" s="4"/>
      <c r="AR100" s="4"/>
      <c r="AS100" s="4">
        <v>1</v>
      </c>
      <c r="AT100" s="4">
        <v>2</v>
      </c>
      <c r="AU100" s="4"/>
      <c r="AV100" s="4"/>
      <c r="AW100" s="4"/>
      <c r="AX100" s="30">
        <f t="shared" ref="AX100:AX131" si="30">SUM(AF100,AI100,AL100,AO100,AR100,AU100)</f>
        <v>0</v>
      </c>
      <c r="AY100" s="30">
        <f t="shared" ref="AY100:AY131" si="31">SUM(AG100,AJ100,AM100,AP100,AS100,AV100)</f>
        <v>3</v>
      </c>
      <c r="AZ100" s="30">
        <f t="shared" ref="AZ100:AZ131" si="32">SUM(AH100,AK100,AN100,AQ100,AT100,AW100)</f>
        <v>2</v>
      </c>
      <c r="BC100" s="39" t="s">
        <v>434</v>
      </c>
      <c r="BD100" s="139" t="s">
        <v>225</v>
      </c>
      <c r="BE100" s="40" t="s">
        <v>8</v>
      </c>
      <c r="BF100" s="19"/>
      <c r="BG100" s="19"/>
      <c r="BH100" s="19"/>
      <c r="BI100" s="13">
        <v>1</v>
      </c>
      <c r="BJ100" s="13">
        <v>1</v>
      </c>
      <c r="BK100" s="14"/>
      <c r="BL100" s="13"/>
      <c r="BM100" s="13">
        <v>1</v>
      </c>
      <c r="BN100" s="13"/>
      <c r="BO100" s="13"/>
      <c r="BP100" s="13">
        <v>2</v>
      </c>
      <c r="BQ100" s="13">
        <v>1</v>
      </c>
      <c r="BR100" s="13">
        <v>1</v>
      </c>
      <c r="BS100" s="13">
        <v>1</v>
      </c>
      <c r="BT100" s="13"/>
      <c r="BU100" s="13">
        <v>1</v>
      </c>
      <c r="BV100" s="13"/>
      <c r="BW100" s="13"/>
      <c r="BX100" s="30">
        <f t="shared" ref="BX100:BX131" si="33">SUM(BF100,BI100,BL100,BO100,BR100,BU100)</f>
        <v>3</v>
      </c>
      <c r="BY100" s="30">
        <f t="shared" ref="BY100:BY131" si="34">SUM(BG100,BJ100,BM100,BP100,BS100,BV100)</f>
        <v>5</v>
      </c>
      <c r="BZ100" s="30">
        <f t="shared" ref="BZ100:BZ131" si="35">SUM(BH100,BK100,BN100,BQ100,BT100,BW100)</f>
        <v>1</v>
      </c>
    </row>
    <row r="101" spans="1:78" ht="15.5" x14ac:dyDescent="0.35">
      <c r="A101" s="31" t="s">
        <v>995</v>
      </c>
      <c r="B101" s="35">
        <v>242510137</v>
      </c>
      <c r="C101" s="37" t="s">
        <v>597</v>
      </c>
      <c r="D101" s="141" t="s">
        <v>229</v>
      </c>
      <c r="E101" s="35" t="s">
        <v>8</v>
      </c>
      <c r="F101" s="3"/>
      <c r="G101" s="3"/>
      <c r="H101" s="3"/>
      <c r="I101" s="4"/>
      <c r="J101" s="4"/>
      <c r="K101" s="4"/>
      <c r="L101" s="4"/>
      <c r="M101" s="4">
        <v>1</v>
      </c>
      <c r="N101" s="4"/>
      <c r="O101" s="4"/>
      <c r="P101" s="4"/>
      <c r="Q101" s="4"/>
      <c r="R101" s="13"/>
      <c r="S101" s="13"/>
      <c r="T101" s="13"/>
      <c r="U101" s="4"/>
      <c r="V101" s="4"/>
      <c r="W101" s="4"/>
      <c r="X101" s="30">
        <f t="shared" si="27"/>
        <v>0</v>
      </c>
      <c r="Y101" s="30">
        <f t="shared" si="28"/>
        <v>1</v>
      </c>
      <c r="Z101" s="30">
        <f t="shared" si="29"/>
        <v>0</v>
      </c>
      <c r="AC101" s="36" t="s">
        <v>474</v>
      </c>
      <c r="AD101" s="139" t="s">
        <v>227</v>
      </c>
      <c r="AE101" s="35" t="s">
        <v>6</v>
      </c>
      <c r="AF101" s="3"/>
      <c r="AG101" s="3"/>
      <c r="AH101" s="3"/>
      <c r="AI101" s="4"/>
      <c r="AJ101" s="5"/>
      <c r="AK101" s="4"/>
      <c r="AL101" s="4"/>
      <c r="AM101" s="4"/>
      <c r="AN101" s="4"/>
      <c r="AO101" s="13"/>
      <c r="AP101" s="4">
        <v>1</v>
      </c>
      <c r="AQ101" s="4"/>
      <c r="AR101" s="4"/>
      <c r="AS101" s="4"/>
      <c r="AT101" s="4"/>
      <c r="AU101" s="4"/>
      <c r="AV101" s="4">
        <v>2</v>
      </c>
      <c r="AW101" s="4"/>
      <c r="AX101" s="30">
        <f t="shared" si="30"/>
        <v>0</v>
      </c>
      <c r="AY101" s="30">
        <f t="shared" si="31"/>
        <v>3</v>
      </c>
      <c r="AZ101" s="30">
        <f t="shared" si="32"/>
        <v>0</v>
      </c>
      <c r="BC101" s="41" t="s">
        <v>435</v>
      </c>
      <c r="BD101" s="139" t="s">
        <v>225</v>
      </c>
      <c r="BE101" s="42" t="s">
        <v>8</v>
      </c>
      <c r="BF101" s="19"/>
      <c r="BG101" s="19"/>
      <c r="BH101" s="20"/>
      <c r="BI101" s="13"/>
      <c r="BJ101" s="13">
        <v>1</v>
      </c>
      <c r="BK101" s="14"/>
      <c r="BL101" s="13"/>
      <c r="BM101" s="13"/>
      <c r="BN101" s="14"/>
      <c r="BO101" s="13"/>
      <c r="BP101" s="13">
        <v>1</v>
      </c>
      <c r="BQ101" s="14"/>
      <c r="BR101" s="13"/>
      <c r="BS101" s="13">
        <v>1</v>
      </c>
      <c r="BT101" s="14">
        <v>1</v>
      </c>
      <c r="BU101" s="13"/>
      <c r="BV101" s="13"/>
      <c r="BW101" s="14"/>
      <c r="BX101" s="30">
        <f t="shared" si="33"/>
        <v>0</v>
      </c>
      <c r="BY101" s="30">
        <f t="shared" si="34"/>
        <v>3</v>
      </c>
      <c r="BZ101" s="30">
        <f t="shared" si="35"/>
        <v>1</v>
      </c>
    </row>
    <row r="102" spans="1:78" ht="15.5" x14ac:dyDescent="0.35">
      <c r="A102" s="31" t="s">
        <v>996</v>
      </c>
      <c r="B102" s="35">
        <v>242510138</v>
      </c>
      <c r="C102" s="56" t="s">
        <v>598</v>
      </c>
      <c r="D102" s="141" t="s">
        <v>229</v>
      </c>
      <c r="E102" s="35" t="s">
        <v>8</v>
      </c>
      <c r="F102" s="3"/>
      <c r="G102" s="3"/>
      <c r="H102" s="3"/>
      <c r="I102" s="4"/>
      <c r="J102" s="5"/>
      <c r="K102" s="4"/>
      <c r="L102" s="4"/>
      <c r="M102" s="4"/>
      <c r="N102" s="4"/>
      <c r="O102" s="4"/>
      <c r="P102" s="4"/>
      <c r="Q102" s="4"/>
      <c r="R102" s="13"/>
      <c r="S102" s="13"/>
      <c r="T102" s="13"/>
      <c r="U102" s="4"/>
      <c r="V102" s="4"/>
      <c r="W102" s="4"/>
      <c r="X102" s="30">
        <f t="shared" si="27"/>
        <v>0</v>
      </c>
      <c r="Y102" s="30">
        <f t="shared" si="28"/>
        <v>0</v>
      </c>
      <c r="Z102" s="30">
        <f t="shared" si="29"/>
        <v>0</v>
      </c>
      <c r="AC102" s="36" t="s">
        <v>475</v>
      </c>
      <c r="AD102" s="139" t="s">
        <v>227</v>
      </c>
      <c r="AE102" s="35" t="s">
        <v>6</v>
      </c>
      <c r="AF102" s="3"/>
      <c r="AG102" s="3"/>
      <c r="AH102" s="3"/>
      <c r="AI102" s="4">
        <v>1</v>
      </c>
      <c r="AJ102" s="5"/>
      <c r="AK102" s="4"/>
      <c r="AL102" s="4"/>
      <c r="AM102" s="4">
        <v>1</v>
      </c>
      <c r="AN102" s="4"/>
      <c r="AO102" s="13"/>
      <c r="AP102" s="4">
        <v>1</v>
      </c>
      <c r="AQ102" s="4"/>
      <c r="AR102" s="4"/>
      <c r="AS102" s="4">
        <v>1</v>
      </c>
      <c r="AT102" s="4"/>
      <c r="AU102" s="4"/>
      <c r="AV102" s="4"/>
      <c r="AW102" s="4"/>
      <c r="AX102" s="30">
        <f t="shared" si="30"/>
        <v>1</v>
      </c>
      <c r="AY102" s="30">
        <f t="shared" si="31"/>
        <v>3</v>
      </c>
      <c r="AZ102" s="30">
        <f t="shared" si="32"/>
        <v>0</v>
      </c>
      <c r="BC102" s="61" t="s">
        <v>436</v>
      </c>
      <c r="BD102" s="139" t="s">
        <v>225</v>
      </c>
      <c r="BE102" s="35" t="s">
        <v>8</v>
      </c>
      <c r="BF102" s="19"/>
      <c r="BG102" s="19"/>
      <c r="BH102" s="19"/>
      <c r="BI102" s="13"/>
      <c r="BJ102" s="14">
        <v>2</v>
      </c>
      <c r="BK102" s="13"/>
      <c r="BL102" s="13"/>
      <c r="BM102" s="13">
        <v>2</v>
      </c>
      <c r="BN102" s="14"/>
      <c r="BO102" s="13">
        <v>1</v>
      </c>
      <c r="BP102" s="13">
        <v>2</v>
      </c>
      <c r="BQ102" s="14"/>
      <c r="BR102" s="13"/>
      <c r="BS102" s="13">
        <v>2</v>
      </c>
      <c r="BT102" s="14">
        <v>1</v>
      </c>
      <c r="BU102" s="13"/>
      <c r="BV102" s="13"/>
      <c r="BW102" s="14"/>
      <c r="BX102" s="30">
        <f t="shared" si="33"/>
        <v>1</v>
      </c>
      <c r="BY102" s="30">
        <f t="shared" si="34"/>
        <v>8</v>
      </c>
      <c r="BZ102" s="30">
        <f t="shared" si="35"/>
        <v>1</v>
      </c>
    </row>
    <row r="103" spans="1:78" ht="15.5" x14ac:dyDescent="0.35">
      <c r="A103" s="31" t="s">
        <v>997</v>
      </c>
      <c r="B103" s="35">
        <v>242510139</v>
      </c>
      <c r="C103" s="56" t="s">
        <v>599</v>
      </c>
      <c r="D103" s="141" t="s">
        <v>229</v>
      </c>
      <c r="E103" s="35" t="s">
        <v>8</v>
      </c>
      <c r="F103" s="3"/>
      <c r="G103" s="3"/>
      <c r="H103" s="3"/>
      <c r="I103" s="5"/>
      <c r="J103" s="5"/>
      <c r="K103" s="4"/>
      <c r="L103" s="4"/>
      <c r="M103" s="4"/>
      <c r="N103" s="4"/>
      <c r="O103" s="4"/>
      <c r="P103" s="4"/>
      <c r="Q103" s="4"/>
      <c r="R103" s="13"/>
      <c r="S103" s="13">
        <v>1</v>
      </c>
      <c r="T103" s="13"/>
      <c r="U103" s="4"/>
      <c r="V103" s="4"/>
      <c r="W103" s="4"/>
      <c r="X103" s="30">
        <f t="shared" si="27"/>
        <v>0</v>
      </c>
      <c r="Y103" s="30">
        <f t="shared" si="28"/>
        <v>1</v>
      </c>
      <c r="Z103" s="30">
        <f t="shared" si="29"/>
        <v>0</v>
      </c>
      <c r="AC103" s="43" t="s">
        <v>479</v>
      </c>
      <c r="AD103" s="139" t="s">
        <v>227</v>
      </c>
      <c r="AE103" s="35" t="s">
        <v>6</v>
      </c>
      <c r="AF103" s="3"/>
      <c r="AG103" s="3"/>
      <c r="AH103" s="3"/>
      <c r="AI103" s="4"/>
      <c r="AJ103" s="5"/>
      <c r="AK103" s="4"/>
      <c r="AL103" s="4"/>
      <c r="AM103" s="4"/>
      <c r="AN103" s="4"/>
      <c r="AO103" s="13"/>
      <c r="AP103" s="4">
        <v>1</v>
      </c>
      <c r="AQ103" s="4"/>
      <c r="AR103" s="4"/>
      <c r="AS103" s="4"/>
      <c r="AT103" s="4"/>
      <c r="AU103" s="4"/>
      <c r="AV103" s="4">
        <v>2</v>
      </c>
      <c r="AW103" s="4"/>
      <c r="AX103" s="30">
        <f t="shared" si="30"/>
        <v>0</v>
      </c>
      <c r="AY103" s="30">
        <f t="shared" si="31"/>
        <v>3</v>
      </c>
      <c r="AZ103" s="30">
        <f t="shared" si="32"/>
        <v>0</v>
      </c>
      <c r="BC103" s="43" t="s">
        <v>442</v>
      </c>
      <c r="BD103" s="127" t="s">
        <v>226</v>
      </c>
      <c r="BE103" s="35" t="s">
        <v>6</v>
      </c>
      <c r="BF103" s="3"/>
      <c r="BG103" s="3"/>
      <c r="BH103" s="3"/>
      <c r="BI103" s="4"/>
      <c r="BJ103" s="5"/>
      <c r="BK103" s="4"/>
      <c r="BL103" s="4">
        <v>1</v>
      </c>
      <c r="BM103" s="4">
        <v>1</v>
      </c>
      <c r="BN103" s="4"/>
      <c r="BO103" s="13"/>
      <c r="BP103" s="5"/>
      <c r="BQ103" s="4">
        <v>1</v>
      </c>
      <c r="BR103" s="4"/>
      <c r="BS103" s="5">
        <v>1</v>
      </c>
      <c r="BT103" s="4"/>
      <c r="BU103" s="4"/>
      <c r="BV103" s="5">
        <v>1</v>
      </c>
      <c r="BW103" s="4"/>
      <c r="BX103" s="30">
        <f t="shared" si="33"/>
        <v>1</v>
      </c>
      <c r="BY103" s="30">
        <f t="shared" si="34"/>
        <v>3</v>
      </c>
      <c r="BZ103" s="30">
        <f t="shared" si="35"/>
        <v>1</v>
      </c>
    </row>
    <row r="104" spans="1:78" ht="15.5" x14ac:dyDescent="0.35">
      <c r="A104" s="31" t="s">
        <v>998</v>
      </c>
      <c r="B104" s="35">
        <v>242510140</v>
      </c>
      <c r="C104" s="51" t="s">
        <v>600</v>
      </c>
      <c r="D104" s="141" t="s">
        <v>229</v>
      </c>
      <c r="E104" s="42" t="s">
        <v>8</v>
      </c>
      <c r="F104" s="3"/>
      <c r="G104" s="3"/>
      <c r="H104" s="3"/>
      <c r="I104" s="4"/>
      <c r="J104" s="5"/>
      <c r="K104" s="4"/>
      <c r="L104" s="4"/>
      <c r="M104" s="4">
        <v>2</v>
      </c>
      <c r="N104" s="4"/>
      <c r="O104" s="4"/>
      <c r="P104" s="4">
        <v>1</v>
      </c>
      <c r="Q104" s="4"/>
      <c r="R104" s="13"/>
      <c r="S104" s="13">
        <v>1</v>
      </c>
      <c r="T104" s="13"/>
      <c r="U104" s="4"/>
      <c r="V104" s="4"/>
      <c r="W104" s="4"/>
      <c r="X104" s="30">
        <f t="shared" si="27"/>
        <v>0</v>
      </c>
      <c r="Y104" s="30">
        <f t="shared" si="28"/>
        <v>4</v>
      </c>
      <c r="Z104" s="30">
        <f t="shared" si="29"/>
        <v>0</v>
      </c>
      <c r="AC104" s="47" t="s">
        <v>480</v>
      </c>
      <c r="AD104" s="139" t="s">
        <v>227</v>
      </c>
      <c r="AE104" s="35" t="s">
        <v>6</v>
      </c>
      <c r="AF104" s="3"/>
      <c r="AG104" s="3"/>
      <c r="AH104" s="3"/>
      <c r="AI104" s="4"/>
      <c r="AJ104" s="5"/>
      <c r="AK104" s="4"/>
      <c r="AL104" s="4"/>
      <c r="AM104" s="4"/>
      <c r="AN104" s="4"/>
      <c r="AO104" s="13"/>
      <c r="AP104" s="4"/>
      <c r="AQ104" s="4"/>
      <c r="AR104" s="4">
        <v>1</v>
      </c>
      <c r="AS104" s="4">
        <v>3</v>
      </c>
      <c r="AT104" s="4"/>
      <c r="AU104" s="4"/>
      <c r="AV104" s="4"/>
      <c r="AW104" s="4"/>
      <c r="AX104" s="30">
        <f t="shared" si="30"/>
        <v>1</v>
      </c>
      <c r="AY104" s="30">
        <f t="shared" si="31"/>
        <v>3</v>
      </c>
      <c r="AZ104" s="30">
        <f t="shared" si="32"/>
        <v>0</v>
      </c>
      <c r="BC104" s="36" t="s">
        <v>464</v>
      </c>
      <c r="BD104" s="127" t="s">
        <v>226</v>
      </c>
      <c r="BE104" s="38" t="s">
        <v>6</v>
      </c>
      <c r="BF104" s="3"/>
      <c r="BG104" s="6"/>
      <c r="BH104" s="3"/>
      <c r="BI104" s="4"/>
      <c r="BJ104" s="5">
        <v>3</v>
      </c>
      <c r="BK104" s="5"/>
      <c r="BL104" s="4"/>
      <c r="BM104" s="4">
        <v>1</v>
      </c>
      <c r="BN104" s="4"/>
      <c r="BO104" s="14"/>
      <c r="BP104" s="5">
        <v>3</v>
      </c>
      <c r="BQ104" s="5">
        <v>1</v>
      </c>
      <c r="BR104" s="5"/>
      <c r="BS104" s="5">
        <v>4</v>
      </c>
      <c r="BT104" s="5"/>
      <c r="BU104" s="5"/>
      <c r="BV104" s="5">
        <v>1</v>
      </c>
      <c r="BW104" s="5"/>
      <c r="BX104" s="30">
        <f t="shared" si="33"/>
        <v>0</v>
      </c>
      <c r="BY104" s="30">
        <f t="shared" si="34"/>
        <v>12</v>
      </c>
      <c r="BZ104" s="30">
        <f t="shared" si="35"/>
        <v>1</v>
      </c>
    </row>
    <row r="105" spans="1:78" ht="15.5" x14ac:dyDescent="0.35">
      <c r="A105" s="31" t="s">
        <v>999</v>
      </c>
      <c r="B105" s="35">
        <v>242510141</v>
      </c>
      <c r="C105" s="61" t="s">
        <v>601</v>
      </c>
      <c r="D105" s="141" t="s">
        <v>229</v>
      </c>
      <c r="E105" s="52" t="s">
        <v>6</v>
      </c>
      <c r="F105" s="3"/>
      <c r="G105" s="3"/>
      <c r="H105" s="3"/>
      <c r="I105" s="4"/>
      <c r="J105" s="4"/>
      <c r="K105" s="4"/>
      <c r="L105" s="4"/>
      <c r="M105" s="4">
        <v>2</v>
      </c>
      <c r="N105" s="4"/>
      <c r="O105" s="4"/>
      <c r="P105" s="4">
        <v>1</v>
      </c>
      <c r="Q105" s="4"/>
      <c r="R105" s="13"/>
      <c r="S105" s="13"/>
      <c r="T105" s="13"/>
      <c r="U105" s="4"/>
      <c r="V105" s="4"/>
      <c r="W105" s="4">
        <v>1</v>
      </c>
      <c r="X105" s="30">
        <f t="shared" si="27"/>
        <v>0</v>
      </c>
      <c r="Y105" s="30">
        <f t="shared" si="28"/>
        <v>3</v>
      </c>
      <c r="Z105" s="30">
        <f t="shared" si="29"/>
        <v>1</v>
      </c>
      <c r="AC105" s="46" t="s">
        <v>494</v>
      </c>
      <c r="AD105" s="140" t="s">
        <v>228</v>
      </c>
      <c r="AE105" s="52" t="s">
        <v>8</v>
      </c>
      <c r="AF105" s="19"/>
      <c r="AG105" s="19"/>
      <c r="AH105" s="19"/>
      <c r="AI105" s="13"/>
      <c r="AJ105" s="13">
        <v>1</v>
      </c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>
        <v>2</v>
      </c>
      <c r="AW105" s="13"/>
      <c r="AX105" s="30">
        <f t="shared" si="30"/>
        <v>0</v>
      </c>
      <c r="AY105" s="30">
        <f t="shared" si="31"/>
        <v>3</v>
      </c>
      <c r="AZ105" s="30">
        <f t="shared" si="32"/>
        <v>0</v>
      </c>
      <c r="BC105" s="34" t="s">
        <v>467</v>
      </c>
      <c r="BD105" s="139" t="s">
        <v>227</v>
      </c>
      <c r="BE105" s="35" t="s">
        <v>6</v>
      </c>
      <c r="BF105" s="3"/>
      <c r="BG105" s="3"/>
      <c r="BH105" s="3">
        <v>1</v>
      </c>
      <c r="BI105" s="5"/>
      <c r="BJ105" s="5">
        <v>1</v>
      </c>
      <c r="BK105" s="4"/>
      <c r="BL105" s="4"/>
      <c r="BM105" s="5">
        <v>2</v>
      </c>
      <c r="BN105" s="4"/>
      <c r="BO105" s="13">
        <v>1</v>
      </c>
      <c r="BP105" s="5"/>
      <c r="BQ105" s="4"/>
      <c r="BR105" s="4"/>
      <c r="BS105" s="5"/>
      <c r="BT105" s="4"/>
      <c r="BU105" s="4"/>
      <c r="BV105" s="5"/>
      <c r="BW105" s="4"/>
      <c r="BX105" s="30">
        <f t="shared" si="33"/>
        <v>1</v>
      </c>
      <c r="BY105" s="30">
        <f t="shared" si="34"/>
        <v>3</v>
      </c>
      <c r="BZ105" s="30">
        <f t="shared" si="35"/>
        <v>1</v>
      </c>
    </row>
    <row r="106" spans="1:78" ht="15.5" x14ac:dyDescent="0.35">
      <c r="A106" s="31" t="s">
        <v>1000</v>
      </c>
      <c r="B106" s="35"/>
      <c r="C106" s="61" t="s">
        <v>1028</v>
      </c>
      <c r="D106" s="141" t="s">
        <v>229</v>
      </c>
      <c r="E106" s="52" t="s">
        <v>6</v>
      </c>
      <c r="F106" s="3"/>
      <c r="G106" s="3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13"/>
      <c r="S106" s="13"/>
      <c r="T106" s="13"/>
      <c r="U106" s="4"/>
      <c r="V106" s="4"/>
      <c r="W106" s="4"/>
      <c r="X106" s="30">
        <f t="shared" si="27"/>
        <v>0</v>
      </c>
      <c r="Y106" s="30">
        <f t="shared" si="28"/>
        <v>0</v>
      </c>
      <c r="Z106" s="30">
        <f t="shared" si="29"/>
        <v>0</v>
      </c>
      <c r="AC106" s="43" t="s">
        <v>502</v>
      </c>
      <c r="AD106" s="140" t="s">
        <v>228</v>
      </c>
      <c r="AE106" s="35" t="s">
        <v>6</v>
      </c>
      <c r="AF106" s="19"/>
      <c r="AG106" s="19"/>
      <c r="AH106" s="19"/>
      <c r="AI106" s="14"/>
      <c r="AJ106" s="13">
        <v>1</v>
      </c>
      <c r="AK106" s="13"/>
      <c r="AL106" s="13"/>
      <c r="AM106" s="13"/>
      <c r="AN106" s="13"/>
      <c r="AO106" s="13"/>
      <c r="AP106" s="13"/>
      <c r="AQ106" s="13"/>
      <c r="AR106" s="13"/>
      <c r="AS106" s="13">
        <v>1</v>
      </c>
      <c r="AT106" s="13"/>
      <c r="AU106" s="13"/>
      <c r="AV106" s="13">
        <v>1</v>
      </c>
      <c r="AW106" s="13"/>
      <c r="AX106" s="30">
        <f t="shared" si="30"/>
        <v>0</v>
      </c>
      <c r="AY106" s="30">
        <f t="shared" si="31"/>
        <v>3</v>
      </c>
      <c r="AZ106" s="30">
        <f t="shared" si="32"/>
        <v>0</v>
      </c>
      <c r="BC106" s="45" t="s">
        <v>469</v>
      </c>
      <c r="BD106" s="139" t="s">
        <v>227</v>
      </c>
      <c r="BE106" s="35" t="s">
        <v>6</v>
      </c>
      <c r="BF106" s="3"/>
      <c r="BG106" s="3"/>
      <c r="BH106" s="3"/>
      <c r="BI106" s="4"/>
      <c r="BJ106" s="5"/>
      <c r="BK106" s="4"/>
      <c r="BL106" s="4"/>
      <c r="BM106" s="4"/>
      <c r="BN106" s="4">
        <v>1</v>
      </c>
      <c r="BO106" s="13"/>
      <c r="BP106" s="4"/>
      <c r="BQ106" s="4"/>
      <c r="BR106" s="4"/>
      <c r="BS106" s="4"/>
      <c r="BT106" s="4"/>
      <c r="BU106" s="4"/>
      <c r="BV106" s="4"/>
      <c r="BW106" s="4"/>
      <c r="BX106" s="30">
        <f t="shared" si="33"/>
        <v>0</v>
      </c>
      <c r="BY106" s="30">
        <f t="shared" si="34"/>
        <v>0</v>
      </c>
      <c r="BZ106" s="30">
        <f t="shared" si="35"/>
        <v>1</v>
      </c>
    </row>
    <row r="107" spans="1:78" ht="15.5" x14ac:dyDescent="0.35">
      <c r="A107" s="31" t="s">
        <v>1003</v>
      </c>
      <c r="B107" s="35">
        <v>242510144</v>
      </c>
      <c r="C107" s="36" t="s">
        <v>604</v>
      </c>
      <c r="D107" s="142" t="s">
        <v>230</v>
      </c>
      <c r="E107" s="35" t="s">
        <v>8</v>
      </c>
      <c r="F107" s="13"/>
      <c r="G107" s="14"/>
      <c r="H107" s="13"/>
      <c r="I107" s="13"/>
      <c r="J107" s="14">
        <v>1</v>
      </c>
      <c r="K107" s="13">
        <v>1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30">
        <f t="shared" si="27"/>
        <v>0</v>
      </c>
      <c r="Y107" s="30">
        <f t="shared" si="28"/>
        <v>1</v>
      </c>
      <c r="Z107" s="30">
        <f t="shared" si="29"/>
        <v>1</v>
      </c>
      <c r="AC107" s="53" t="s">
        <v>522</v>
      </c>
      <c r="AD107" s="140" t="s">
        <v>228</v>
      </c>
      <c r="AE107" s="42" t="s">
        <v>6</v>
      </c>
      <c r="AF107" s="19"/>
      <c r="AG107" s="19"/>
      <c r="AH107" s="19"/>
      <c r="AI107" s="13"/>
      <c r="AJ107" s="13">
        <v>1</v>
      </c>
      <c r="AK107" s="13"/>
      <c r="AL107" s="13"/>
      <c r="AM107" s="13"/>
      <c r="AN107" s="13"/>
      <c r="AO107" s="13"/>
      <c r="AP107" s="13">
        <v>1</v>
      </c>
      <c r="AQ107" s="13"/>
      <c r="AR107" s="13"/>
      <c r="AS107" s="13"/>
      <c r="AT107" s="13"/>
      <c r="AU107" s="13"/>
      <c r="AV107" s="13">
        <v>1</v>
      </c>
      <c r="AW107" s="13"/>
      <c r="AX107" s="30">
        <f t="shared" si="30"/>
        <v>0</v>
      </c>
      <c r="AY107" s="30">
        <f t="shared" si="31"/>
        <v>3</v>
      </c>
      <c r="AZ107" s="30">
        <f t="shared" si="32"/>
        <v>0</v>
      </c>
      <c r="BC107" s="43" t="s">
        <v>483</v>
      </c>
      <c r="BD107" s="139" t="s">
        <v>227</v>
      </c>
      <c r="BE107" s="35" t="s">
        <v>6</v>
      </c>
      <c r="BF107" s="3"/>
      <c r="BG107" s="3"/>
      <c r="BH107" s="3"/>
      <c r="BI107" s="4"/>
      <c r="BJ107" s="5">
        <v>2</v>
      </c>
      <c r="BK107" s="4"/>
      <c r="BL107" s="4">
        <v>2</v>
      </c>
      <c r="BM107" s="4"/>
      <c r="BN107" s="4"/>
      <c r="BO107" s="13"/>
      <c r="BP107" s="4">
        <v>1</v>
      </c>
      <c r="BQ107" s="4">
        <v>1</v>
      </c>
      <c r="BR107" s="4"/>
      <c r="BS107" s="4">
        <v>2</v>
      </c>
      <c r="BT107" s="4"/>
      <c r="BU107" s="4"/>
      <c r="BV107" s="4">
        <v>1</v>
      </c>
      <c r="BW107" s="4"/>
      <c r="BX107" s="30">
        <f t="shared" si="33"/>
        <v>2</v>
      </c>
      <c r="BY107" s="30">
        <f t="shared" si="34"/>
        <v>6</v>
      </c>
      <c r="BZ107" s="30">
        <f t="shared" si="35"/>
        <v>1</v>
      </c>
    </row>
    <row r="108" spans="1:78" ht="15.5" x14ac:dyDescent="0.35">
      <c r="A108" s="31" t="s">
        <v>1005</v>
      </c>
      <c r="B108" s="35">
        <v>242510146</v>
      </c>
      <c r="C108" s="47" t="s">
        <v>606</v>
      </c>
      <c r="D108" s="142" t="s">
        <v>230</v>
      </c>
      <c r="E108" s="42" t="s">
        <v>8</v>
      </c>
      <c r="F108" s="13"/>
      <c r="G108" s="13">
        <v>1</v>
      </c>
      <c r="H108" s="13"/>
      <c r="I108" s="13"/>
      <c r="J108" s="14">
        <v>1</v>
      </c>
      <c r="K108" s="14">
        <v>1</v>
      </c>
      <c r="L108" s="13"/>
      <c r="M108" s="13"/>
      <c r="N108" s="13"/>
      <c r="O108" s="13"/>
      <c r="P108" s="13">
        <v>1</v>
      </c>
      <c r="Q108" s="13">
        <v>1</v>
      </c>
      <c r="R108" s="13"/>
      <c r="S108" s="13">
        <v>2</v>
      </c>
      <c r="T108" s="13"/>
      <c r="U108" s="13"/>
      <c r="V108" s="13"/>
      <c r="W108" s="13"/>
      <c r="X108" s="30">
        <f t="shared" si="27"/>
        <v>0</v>
      </c>
      <c r="Y108" s="30">
        <f t="shared" si="28"/>
        <v>5</v>
      </c>
      <c r="Z108" s="30">
        <f t="shared" si="29"/>
        <v>2</v>
      </c>
      <c r="AC108" s="56" t="s">
        <v>560</v>
      </c>
      <c r="AD108" s="140" t="s">
        <v>228</v>
      </c>
      <c r="AE108" s="35" t="s">
        <v>8</v>
      </c>
      <c r="AF108" s="19"/>
      <c r="AG108" s="19"/>
      <c r="AH108" s="19"/>
      <c r="AI108" s="13"/>
      <c r="AJ108" s="14">
        <v>2</v>
      </c>
      <c r="AK108" s="13"/>
      <c r="AL108" s="13"/>
      <c r="AM108" s="13"/>
      <c r="AN108" s="13"/>
      <c r="AO108" s="13"/>
      <c r="AP108" s="13"/>
      <c r="AQ108" s="13"/>
      <c r="AR108" s="13"/>
      <c r="AS108" s="13">
        <v>1</v>
      </c>
      <c r="AT108" s="13"/>
      <c r="AU108" s="13"/>
      <c r="AV108" s="13"/>
      <c r="AW108" s="13"/>
      <c r="AX108" s="30">
        <f t="shared" si="30"/>
        <v>0</v>
      </c>
      <c r="AY108" s="30">
        <f t="shared" si="31"/>
        <v>3</v>
      </c>
      <c r="AZ108" s="30">
        <f t="shared" si="32"/>
        <v>0</v>
      </c>
      <c r="BC108" s="41" t="s">
        <v>546</v>
      </c>
      <c r="BD108" s="140" t="s">
        <v>228</v>
      </c>
      <c r="BE108" s="42" t="s">
        <v>6</v>
      </c>
      <c r="BF108" s="19"/>
      <c r="BG108" s="19"/>
      <c r="BH108" s="19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>
        <v>1</v>
      </c>
      <c r="BX108" s="30">
        <f t="shared" si="33"/>
        <v>0</v>
      </c>
      <c r="BY108" s="30">
        <f t="shared" si="34"/>
        <v>0</v>
      </c>
      <c r="BZ108" s="30">
        <f t="shared" si="35"/>
        <v>1</v>
      </c>
    </row>
    <row r="109" spans="1:78" ht="15.5" x14ac:dyDescent="0.35">
      <c r="A109" s="31" t="s">
        <v>1006</v>
      </c>
      <c r="B109" s="127">
        <v>242510147</v>
      </c>
      <c r="C109" s="120" t="s">
        <v>607</v>
      </c>
      <c r="D109" s="142" t="s">
        <v>230</v>
      </c>
      <c r="E109" s="121" t="s">
        <v>8</v>
      </c>
      <c r="F109" s="122"/>
      <c r="G109" s="122"/>
      <c r="H109" s="122"/>
      <c r="I109" s="122"/>
      <c r="J109" s="128">
        <v>2</v>
      </c>
      <c r="K109" s="122"/>
      <c r="L109" s="122"/>
      <c r="M109" s="122">
        <v>1</v>
      </c>
      <c r="N109" s="122"/>
      <c r="O109" s="122"/>
      <c r="P109" s="122">
        <v>2</v>
      </c>
      <c r="Q109" s="122"/>
      <c r="R109" s="122"/>
      <c r="S109" s="122">
        <v>1</v>
      </c>
      <c r="T109" s="122"/>
      <c r="U109" s="122"/>
      <c r="V109" s="122"/>
      <c r="W109" s="122"/>
      <c r="X109" s="109">
        <f t="shared" si="27"/>
        <v>0</v>
      </c>
      <c r="Y109" s="109">
        <f t="shared" si="28"/>
        <v>6</v>
      </c>
      <c r="Z109" s="109">
        <f t="shared" si="29"/>
        <v>0</v>
      </c>
      <c r="AC109" s="143" t="s">
        <v>569</v>
      </c>
      <c r="AD109" s="141" t="s">
        <v>229</v>
      </c>
      <c r="AE109" s="121" t="s">
        <v>6</v>
      </c>
      <c r="AF109" s="130"/>
      <c r="AG109" s="130"/>
      <c r="AH109" s="130"/>
      <c r="AI109" s="108"/>
      <c r="AJ109" s="113">
        <v>3</v>
      </c>
      <c r="AK109" s="108"/>
      <c r="AL109" s="108"/>
      <c r="AM109" s="108"/>
      <c r="AN109" s="108"/>
      <c r="AO109" s="108"/>
      <c r="AP109" s="108"/>
      <c r="AQ109" s="108"/>
      <c r="AR109" s="122"/>
      <c r="AS109" s="122"/>
      <c r="AT109" s="122">
        <v>1</v>
      </c>
      <c r="AU109" s="108"/>
      <c r="AV109" s="108"/>
      <c r="AW109" s="108"/>
      <c r="AX109" s="109">
        <f t="shared" si="30"/>
        <v>0</v>
      </c>
      <c r="AY109" s="109">
        <f t="shared" si="31"/>
        <v>3</v>
      </c>
      <c r="AZ109" s="109">
        <f t="shared" si="32"/>
        <v>1</v>
      </c>
      <c r="BC109" s="124" t="s">
        <v>567</v>
      </c>
      <c r="BD109" s="141" t="s">
        <v>229</v>
      </c>
      <c r="BE109" s="121" t="s">
        <v>6</v>
      </c>
      <c r="BF109" s="130"/>
      <c r="BG109" s="130"/>
      <c r="BH109" s="130"/>
      <c r="BI109" s="108"/>
      <c r="BJ109" s="108">
        <v>1</v>
      </c>
      <c r="BK109" s="108">
        <v>1</v>
      </c>
      <c r="BL109" s="108"/>
      <c r="BM109" s="108"/>
      <c r="BN109" s="108"/>
      <c r="BO109" s="108"/>
      <c r="BP109" s="108"/>
      <c r="BQ109" s="108"/>
      <c r="BR109" s="122"/>
      <c r="BS109" s="122"/>
      <c r="BT109" s="122"/>
      <c r="BU109" s="108"/>
      <c r="BV109" s="108"/>
      <c r="BW109" s="108"/>
      <c r="BX109" s="109">
        <f t="shared" si="33"/>
        <v>0</v>
      </c>
      <c r="BY109" s="109">
        <f t="shared" si="34"/>
        <v>1</v>
      </c>
      <c r="BZ109" s="109">
        <f t="shared" si="35"/>
        <v>1</v>
      </c>
    </row>
    <row r="110" spans="1:78" ht="15.5" x14ac:dyDescent="0.35">
      <c r="A110" s="31" t="s">
        <v>1008</v>
      </c>
      <c r="B110" s="35">
        <v>242510149</v>
      </c>
      <c r="C110" s="47" t="s">
        <v>609</v>
      </c>
      <c r="D110" s="142" t="s">
        <v>230</v>
      </c>
      <c r="E110" s="42" t="s">
        <v>8</v>
      </c>
      <c r="F110" s="13"/>
      <c r="G110" s="13"/>
      <c r="H110" s="13"/>
      <c r="I110" s="13"/>
      <c r="J110" s="14">
        <v>1</v>
      </c>
      <c r="K110" s="14">
        <v>1</v>
      </c>
      <c r="L110" s="13"/>
      <c r="M110" s="13">
        <v>1</v>
      </c>
      <c r="N110" s="13">
        <v>1</v>
      </c>
      <c r="O110" s="13"/>
      <c r="P110" s="13">
        <v>1</v>
      </c>
      <c r="Q110" s="13"/>
      <c r="R110" s="13"/>
      <c r="S110" s="13">
        <v>2</v>
      </c>
      <c r="T110" s="13">
        <v>3</v>
      </c>
      <c r="U110" s="13"/>
      <c r="V110" s="13"/>
      <c r="W110" s="13"/>
      <c r="X110" s="30">
        <f t="shared" si="27"/>
        <v>0</v>
      </c>
      <c r="Y110" s="30">
        <f t="shared" si="28"/>
        <v>5</v>
      </c>
      <c r="Z110" s="30">
        <f t="shared" si="29"/>
        <v>5</v>
      </c>
      <c r="AC110" s="47" t="s">
        <v>571</v>
      </c>
      <c r="AD110" s="141" t="s">
        <v>229</v>
      </c>
      <c r="AE110" s="42" t="s">
        <v>8</v>
      </c>
      <c r="AF110" s="3"/>
      <c r="AG110" s="3"/>
      <c r="AH110" s="3"/>
      <c r="AI110" s="4"/>
      <c r="AJ110" s="4">
        <v>1</v>
      </c>
      <c r="AK110" s="5"/>
      <c r="AL110" s="4"/>
      <c r="AM110" s="4">
        <v>2</v>
      </c>
      <c r="AN110" s="4"/>
      <c r="AO110" s="4"/>
      <c r="AP110" s="4"/>
      <c r="AQ110" s="4"/>
      <c r="AR110" s="13"/>
      <c r="AS110" s="13"/>
      <c r="AT110" s="13"/>
      <c r="AU110" s="4"/>
      <c r="AV110" s="4"/>
      <c r="AW110" s="4"/>
      <c r="AX110" s="30">
        <f t="shared" si="30"/>
        <v>0</v>
      </c>
      <c r="AY110" s="30">
        <f t="shared" si="31"/>
        <v>3</v>
      </c>
      <c r="AZ110" s="30">
        <f t="shared" si="32"/>
        <v>0</v>
      </c>
      <c r="BC110" s="53" t="s">
        <v>569</v>
      </c>
      <c r="BD110" s="141" t="s">
        <v>229</v>
      </c>
      <c r="BE110" s="42" t="s">
        <v>6</v>
      </c>
      <c r="BF110" s="3"/>
      <c r="BG110" s="3"/>
      <c r="BH110" s="3"/>
      <c r="BI110" s="4"/>
      <c r="BJ110" s="5">
        <v>3</v>
      </c>
      <c r="BK110" s="4"/>
      <c r="BL110" s="4"/>
      <c r="BM110" s="4"/>
      <c r="BN110" s="4"/>
      <c r="BO110" s="4"/>
      <c r="BP110" s="4"/>
      <c r="BQ110" s="4"/>
      <c r="BR110" s="13"/>
      <c r="BS110" s="13"/>
      <c r="BT110" s="13">
        <v>1</v>
      </c>
      <c r="BU110" s="4"/>
      <c r="BV110" s="4"/>
      <c r="BW110" s="4"/>
      <c r="BX110" s="30">
        <f t="shared" si="33"/>
        <v>0</v>
      </c>
      <c r="BY110" s="30">
        <f t="shared" si="34"/>
        <v>3</v>
      </c>
      <c r="BZ110" s="30">
        <f t="shared" si="35"/>
        <v>1</v>
      </c>
    </row>
    <row r="111" spans="1:78" ht="15.5" x14ac:dyDescent="0.35">
      <c r="A111" s="31" t="s">
        <v>1009</v>
      </c>
      <c r="B111" s="35">
        <v>242510150</v>
      </c>
      <c r="C111" s="47" t="s">
        <v>610</v>
      </c>
      <c r="D111" s="142" t="s">
        <v>230</v>
      </c>
      <c r="E111" s="42" t="s">
        <v>8</v>
      </c>
      <c r="F111" s="13"/>
      <c r="G111" s="13"/>
      <c r="H111" s="13"/>
      <c r="I111" s="14"/>
      <c r="J111" s="14">
        <v>1</v>
      </c>
      <c r="K111" s="14"/>
      <c r="L111" s="13"/>
      <c r="M111" s="13"/>
      <c r="N111" s="13">
        <v>1</v>
      </c>
      <c r="O111" s="13"/>
      <c r="P111" s="13">
        <v>1</v>
      </c>
      <c r="Q111" s="13"/>
      <c r="R111" s="13"/>
      <c r="S111" s="13"/>
      <c r="T111" s="13">
        <v>1</v>
      </c>
      <c r="U111" s="13"/>
      <c r="V111" s="13"/>
      <c r="W111" s="13"/>
      <c r="X111" s="30">
        <f t="shared" si="27"/>
        <v>0</v>
      </c>
      <c r="Y111" s="30">
        <f t="shared" si="28"/>
        <v>2</v>
      </c>
      <c r="Z111" s="30">
        <f t="shared" si="29"/>
        <v>2</v>
      </c>
      <c r="AC111" s="58" t="s">
        <v>581</v>
      </c>
      <c r="AD111" s="141" t="s">
        <v>229</v>
      </c>
      <c r="AE111" s="42" t="s">
        <v>6</v>
      </c>
      <c r="AF111" s="3"/>
      <c r="AG111" s="3"/>
      <c r="AH111" s="3"/>
      <c r="AI111" s="4"/>
      <c r="AJ111" s="5">
        <v>1</v>
      </c>
      <c r="AK111" s="4">
        <v>1</v>
      </c>
      <c r="AL111" s="4"/>
      <c r="AM111" s="4">
        <v>1</v>
      </c>
      <c r="AN111" s="4"/>
      <c r="AO111" s="4"/>
      <c r="AP111" s="4"/>
      <c r="AQ111" s="4"/>
      <c r="AR111" s="13">
        <v>1</v>
      </c>
      <c r="AS111" s="13">
        <v>1</v>
      </c>
      <c r="AT111" s="13"/>
      <c r="AU111" s="4"/>
      <c r="AV111" s="4"/>
      <c r="AW111" s="4"/>
      <c r="AX111" s="30">
        <f t="shared" si="30"/>
        <v>1</v>
      </c>
      <c r="AY111" s="30">
        <f t="shared" si="31"/>
        <v>3</v>
      </c>
      <c r="AZ111" s="30">
        <f t="shared" si="32"/>
        <v>1</v>
      </c>
      <c r="BC111" s="41" t="s">
        <v>570</v>
      </c>
      <c r="BD111" s="141" t="s">
        <v>229</v>
      </c>
      <c r="BE111" s="42" t="s">
        <v>8</v>
      </c>
      <c r="BF111" s="3"/>
      <c r="BG111" s="3"/>
      <c r="BH111" s="3"/>
      <c r="BI111" s="4"/>
      <c r="BJ111" s="5"/>
      <c r="BK111" s="4">
        <v>1</v>
      </c>
      <c r="BL111" s="4"/>
      <c r="BM111" s="4"/>
      <c r="BN111" s="4"/>
      <c r="BO111" s="4"/>
      <c r="BP111" s="4"/>
      <c r="BQ111" s="4"/>
      <c r="BR111" s="13">
        <v>2</v>
      </c>
      <c r="BS111" s="13">
        <v>1</v>
      </c>
      <c r="BT111" s="13"/>
      <c r="BU111" s="4"/>
      <c r="BV111" s="4"/>
      <c r="BW111" s="4"/>
      <c r="BX111" s="30">
        <f t="shared" si="33"/>
        <v>2</v>
      </c>
      <c r="BY111" s="30">
        <f t="shared" si="34"/>
        <v>1</v>
      </c>
      <c r="BZ111" s="30">
        <f t="shared" si="35"/>
        <v>1</v>
      </c>
    </row>
    <row r="112" spans="1:78" ht="15.5" x14ac:dyDescent="0.35">
      <c r="A112" s="31" t="s">
        <v>1010</v>
      </c>
      <c r="B112" s="35">
        <v>242510151</v>
      </c>
      <c r="C112" s="46" t="s">
        <v>611</v>
      </c>
      <c r="D112" s="142" t="s">
        <v>230</v>
      </c>
      <c r="E112" s="42" t="s">
        <v>8</v>
      </c>
      <c r="F112" s="13"/>
      <c r="G112" s="13"/>
      <c r="H112" s="14"/>
      <c r="I112" s="13"/>
      <c r="J112" s="14"/>
      <c r="K112" s="14"/>
      <c r="L112" s="13"/>
      <c r="M112" s="13"/>
      <c r="N112" s="13"/>
      <c r="O112" s="13"/>
      <c r="P112" s="13">
        <v>2</v>
      </c>
      <c r="Q112" s="13"/>
      <c r="R112" s="13"/>
      <c r="S112" s="13">
        <v>2</v>
      </c>
      <c r="T112" s="13"/>
      <c r="U112" s="13"/>
      <c r="V112" s="13"/>
      <c r="W112" s="13"/>
      <c r="X112" s="30">
        <f t="shared" si="27"/>
        <v>0</v>
      </c>
      <c r="Y112" s="30">
        <f t="shared" si="28"/>
        <v>4</v>
      </c>
      <c r="Z112" s="30">
        <f t="shared" si="29"/>
        <v>0</v>
      </c>
      <c r="AC112" s="47" t="s">
        <v>584</v>
      </c>
      <c r="AD112" s="141" t="s">
        <v>229</v>
      </c>
      <c r="AE112" s="42" t="s">
        <v>6</v>
      </c>
      <c r="AF112" s="3"/>
      <c r="AG112" s="3">
        <v>1</v>
      </c>
      <c r="AH112" s="3"/>
      <c r="AI112" s="4">
        <v>1</v>
      </c>
      <c r="AJ112" s="5">
        <v>1</v>
      </c>
      <c r="AK112" s="5">
        <v>1</v>
      </c>
      <c r="AL112" s="4"/>
      <c r="AM112" s="4"/>
      <c r="AN112" s="4"/>
      <c r="AO112" s="4"/>
      <c r="AP112" s="4">
        <v>1</v>
      </c>
      <c r="AQ112" s="4"/>
      <c r="AR112" s="13"/>
      <c r="AS112" s="13"/>
      <c r="AT112" s="13"/>
      <c r="AU112" s="4"/>
      <c r="AV112" s="4"/>
      <c r="AW112" s="4"/>
      <c r="AX112" s="30">
        <f t="shared" si="30"/>
        <v>1</v>
      </c>
      <c r="AY112" s="30">
        <f t="shared" si="31"/>
        <v>3</v>
      </c>
      <c r="AZ112" s="30">
        <f t="shared" si="32"/>
        <v>1</v>
      </c>
      <c r="BC112" s="57" t="s">
        <v>572</v>
      </c>
      <c r="BD112" s="141" t="s">
        <v>229</v>
      </c>
      <c r="BE112" s="42" t="s">
        <v>8</v>
      </c>
      <c r="BF112" s="3"/>
      <c r="BG112" s="3"/>
      <c r="BH112" s="3"/>
      <c r="BI112" s="4"/>
      <c r="BJ112" s="5">
        <v>2</v>
      </c>
      <c r="BK112" s="5">
        <v>1</v>
      </c>
      <c r="BL112" s="4"/>
      <c r="BM112" s="4"/>
      <c r="BN112" s="4"/>
      <c r="BO112" s="4"/>
      <c r="BP112" s="4">
        <v>2</v>
      </c>
      <c r="BQ112" s="4"/>
      <c r="BR112" s="13"/>
      <c r="BS112" s="13"/>
      <c r="BT112" s="13"/>
      <c r="BU112" s="4"/>
      <c r="BV112" s="4"/>
      <c r="BW112" s="4"/>
      <c r="BX112" s="30">
        <f t="shared" si="33"/>
        <v>0</v>
      </c>
      <c r="BY112" s="30">
        <f t="shared" si="34"/>
        <v>4</v>
      </c>
      <c r="BZ112" s="30">
        <f t="shared" si="35"/>
        <v>1</v>
      </c>
    </row>
    <row r="113" spans="1:78" ht="15.5" x14ac:dyDescent="0.35">
      <c r="A113" s="31" t="s">
        <v>1011</v>
      </c>
      <c r="B113" s="35">
        <v>242510152</v>
      </c>
      <c r="C113" s="62" t="s">
        <v>612</v>
      </c>
      <c r="D113" s="142" t="s">
        <v>230</v>
      </c>
      <c r="E113" s="42" t="s">
        <v>8</v>
      </c>
      <c r="F113" s="13"/>
      <c r="G113" s="13"/>
      <c r="H113" s="13"/>
      <c r="I113" s="13"/>
      <c r="J113" s="14">
        <v>3</v>
      </c>
      <c r="K113" s="13"/>
      <c r="L113" s="13"/>
      <c r="M113" s="13">
        <v>1</v>
      </c>
      <c r="N113" s="13"/>
      <c r="O113" s="13"/>
      <c r="P113" s="13">
        <v>2</v>
      </c>
      <c r="Q113" s="13">
        <v>1</v>
      </c>
      <c r="R113" s="13"/>
      <c r="S113" s="13">
        <v>2</v>
      </c>
      <c r="T113" s="13">
        <v>1</v>
      </c>
      <c r="U113" s="13"/>
      <c r="V113" s="13"/>
      <c r="W113" s="13"/>
      <c r="X113" s="30">
        <f t="shared" si="27"/>
        <v>0</v>
      </c>
      <c r="Y113" s="30">
        <f t="shared" si="28"/>
        <v>8</v>
      </c>
      <c r="Z113" s="30">
        <f t="shared" si="29"/>
        <v>2</v>
      </c>
      <c r="AC113" s="47" t="s">
        <v>592</v>
      </c>
      <c r="AD113" s="141" t="s">
        <v>229</v>
      </c>
      <c r="AE113" s="42" t="s">
        <v>8</v>
      </c>
      <c r="AF113" s="3"/>
      <c r="AG113" s="3"/>
      <c r="AH113" s="3"/>
      <c r="AI113" s="5"/>
      <c r="AJ113" s="5">
        <v>1</v>
      </c>
      <c r="AK113" s="4">
        <v>2</v>
      </c>
      <c r="AL113" s="4"/>
      <c r="AM113" s="4">
        <v>2</v>
      </c>
      <c r="AN113" s="4"/>
      <c r="AO113" s="4"/>
      <c r="AP113" s="4"/>
      <c r="AQ113" s="4"/>
      <c r="AR113" s="13"/>
      <c r="AS113" s="13"/>
      <c r="AT113" s="13"/>
      <c r="AU113" s="4"/>
      <c r="AV113" s="4"/>
      <c r="AW113" s="4">
        <v>1</v>
      </c>
      <c r="AX113" s="30">
        <f t="shared" si="30"/>
        <v>0</v>
      </c>
      <c r="AY113" s="30">
        <f t="shared" si="31"/>
        <v>3</v>
      </c>
      <c r="AZ113" s="30">
        <f t="shared" si="32"/>
        <v>3</v>
      </c>
      <c r="BC113" s="51" t="s">
        <v>573</v>
      </c>
      <c r="BD113" s="141" t="s">
        <v>229</v>
      </c>
      <c r="BE113" s="42" t="s">
        <v>6</v>
      </c>
      <c r="BF113" s="3"/>
      <c r="BG113" s="3"/>
      <c r="BH113" s="3"/>
      <c r="BI113" s="4"/>
      <c r="BJ113" s="5"/>
      <c r="BK113" s="5">
        <v>1</v>
      </c>
      <c r="BL113" s="4"/>
      <c r="BM113" s="4"/>
      <c r="BN113" s="4"/>
      <c r="BO113" s="4"/>
      <c r="BP113" s="4"/>
      <c r="BQ113" s="4"/>
      <c r="BR113" s="13"/>
      <c r="BS113" s="13"/>
      <c r="BT113" s="13"/>
      <c r="BU113" s="4"/>
      <c r="BV113" s="4"/>
      <c r="BW113" s="4"/>
      <c r="BX113" s="30">
        <f t="shared" si="33"/>
        <v>0</v>
      </c>
      <c r="BY113" s="30">
        <f t="shared" si="34"/>
        <v>0</v>
      </c>
      <c r="BZ113" s="30">
        <f t="shared" si="35"/>
        <v>1</v>
      </c>
    </row>
    <row r="114" spans="1:78" ht="15.5" x14ac:dyDescent="0.35">
      <c r="A114" s="31" t="s">
        <v>1016</v>
      </c>
      <c r="B114" s="35">
        <v>242510157</v>
      </c>
      <c r="C114" s="47" t="s">
        <v>617</v>
      </c>
      <c r="D114" s="142" t="s">
        <v>230</v>
      </c>
      <c r="E114" s="42" t="s">
        <v>8</v>
      </c>
      <c r="F114" s="13"/>
      <c r="G114" s="13"/>
      <c r="H114" s="13"/>
      <c r="I114" s="13"/>
      <c r="J114" s="13"/>
      <c r="K114" s="13"/>
      <c r="L114" s="13"/>
      <c r="M114" s="13">
        <v>1</v>
      </c>
      <c r="N114" s="13"/>
      <c r="O114" s="13"/>
      <c r="P114" s="13"/>
      <c r="Q114" s="13"/>
      <c r="R114" s="15"/>
      <c r="S114" s="15">
        <v>1</v>
      </c>
      <c r="T114" s="15">
        <v>2</v>
      </c>
      <c r="U114" s="13"/>
      <c r="V114" s="13"/>
      <c r="W114" s="13"/>
      <c r="X114" s="30">
        <f t="shared" si="27"/>
        <v>0</v>
      </c>
      <c r="Y114" s="30">
        <f t="shared" si="28"/>
        <v>2</v>
      </c>
      <c r="Z114" s="30">
        <f t="shared" si="29"/>
        <v>2</v>
      </c>
      <c r="AC114" s="61" t="s">
        <v>601</v>
      </c>
      <c r="AD114" s="141" t="s">
        <v>229</v>
      </c>
      <c r="AE114" s="52" t="s">
        <v>6</v>
      </c>
      <c r="AF114" s="3"/>
      <c r="AG114" s="3"/>
      <c r="AH114" s="3"/>
      <c r="AI114" s="4"/>
      <c r="AJ114" s="4"/>
      <c r="AK114" s="4"/>
      <c r="AL114" s="4"/>
      <c r="AM114" s="4">
        <v>2</v>
      </c>
      <c r="AN114" s="4"/>
      <c r="AO114" s="4"/>
      <c r="AP114" s="4">
        <v>1</v>
      </c>
      <c r="AQ114" s="4"/>
      <c r="AR114" s="13"/>
      <c r="AS114" s="13"/>
      <c r="AT114" s="13"/>
      <c r="AU114" s="4"/>
      <c r="AV114" s="4"/>
      <c r="AW114" s="4">
        <v>1</v>
      </c>
      <c r="AX114" s="30">
        <f t="shared" si="30"/>
        <v>0</v>
      </c>
      <c r="AY114" s="30">
        <f t="shared" si="31"/>
        <v>3</v>
      </c>
      <c r="AZ114" s="30">
        <f t="shared" si="32"/>
        <v>1</v>
      </c>
      <c r="BC114" s="47" t="s">
        <v>574</v>
      </c>
      <c r="BD114" s="141" t="s">
        <v>229</v>
      </c>
      <c r="BE114" s="42" t="s">
        <v>6</v>
      </c>
      <c r="BF114" s="3"/>
      <c r="BG114" s="3"/>
      <c r="BH114" s="6"/>
      <c r="BI114" s="4"/>
      <c r="BJ114" s="5"/>
      <c r="BK114" s="5">
        <v>1</v>
      </c>
      <c r="BL114" s="4">
        <v>1</v>
      </c>
      <c r="BM114" s="4">
        <v>2</v>
      </c>
      <c r="BN114" s="4"/>
      <c r="BO114" s="4"/>
      <c r="BP114" s="4">
        <v>1</v>
      </c>
      <c r="BQ114" s="4"/>
      <c r="BR114" s="13"/>
      <c r="BS114" s="13"/>
      <c r="BT114" s="13"/>
      <c r="BU114" s="4"/>
      <c r="BV114" s="4">
        <v>3</v>
      </c>
      <c r="BW114" s="4"/>
      <c r="BX114" s="30">
        <f t="shared" si="33"/>
        <v>1</v>
      </c>
      <c r="BY114" s="30">
        <f t="shared" si="34"/>
        <v>6</v>
      </c>
      <c r="BZ114" s="30">
        <f t="shared" si="35"/>
        <v>1</v>
      </c>
    </row>
    <row r="115" spans="1:78" ht="15.5" x14ac:dyDescent="0.35">
      <c r="A115" s="31" t="s">
        <v>1017</v>
      </c>
      <c r="B115" s="35">
        <v>242510158</v>
      </c>
      <c r="C115" s="46" t="s">
        <v>618</v>
      </c>
      <c r="D115" s="142" t="s">
        <v>230</v>
      </c>
      <c r="E115" s="42" t="s">
        <v>8</v>
      </c>
      <c r="F115" s="13"/>
      <c r="G115" s="13"/>
      <c r="H115" s="13"/>
      <c r="I115" s="14"/>
      <c r="J115" s="14">
        <v>3</v>
      </c>
      <c r="K115" s="14">
        <v>1</v>
      </c>
      <c r="L115" s="13"/>
      <c r="M115" s="13">
        <v>1</v>
      </c>
      <c r="N115" s="13"/>
      <c r="O115" s="13"/>
      <c r="P115" s="13">
        <v>2</v>
      </c>
      <c r="Q115" s="13"/>
      <c r="R115" s="13"/>
      <c r="S115" s="13">
        <v>1</v>
      </c>
      <c r="T115" s="13"/>
      <c r="U115" s="13"/>
      <c r="V115" s="13"/>
      <c r="W115" s="13"/>
      <c r="X115" s="30">
        <f t="shared" si="27"/>
        <v>0</v>
      </c>
      <c r="Y115" s="30">
        <f t="shared" si="28"/>
        <v>7</v>
      </c>
      <c r="Z115" s="30">
        <f t="shared" si="29"/>
        <v>1</v>
      </c>
      <c r="AC115" s="46" t="s">
        <v>620</v>
      </c>
      <c r="AD115" s="142" t="s">
        <v>230</v>
      </c>
      <c r="AE115" s="42" t="s">
        <v>6</v>
      </c>
      <c r="AF115" s="13"/>
      <c r="AG115" s="13"/>
      <c r="AH115" s="13"/>
      <c r="AI115" s="13">
        <v>1</v>
      </c>
      <c r="AJ115" s="13">
        <v>1</v>
      </c>
      <c r="AK115" s="13">
        <v>2</v>
      </c>
      <c r="AL115" s="13"/>
      <c r="AM115" s="13">
        <v>1</v>
      </c>
      <c r="AN115" s="13"/>
      <c r="AO115" s="13">
        <v>1</v>
      </c>
      <c r="AP115" s="13"/>
      <c r="AQ115" s="13">
        <v>1</v>
      </c>
      <c r="AR115" s="13">
        <v>1</v>
      </c>
      <c r="AS115" s="13">
        <v>1</v>
      </c>
      <c r="AT115" s="13">
        <v>2</v>
      </c>
      <c r="AU115" s="13"/>
      <c r="AV115" s="13"/>
      <c r="AW115" s="13"/>
      <c r="AX115" s="30">
        <f t="shared" si="30"/>
        <v>3</v>
      </c>
      <c r="AY115" s="30">
        <f t="shared" si="31"/>
        <v>3</v>
      </c>
      <c r="AZ115" s="30">
        <f t="shared" si="32"/>
        <v>5</v>
      </c>
      <c r="BC115" s="58" t="s">
        <v>577</v>
      </c>
      <c r="BD115" s="141" t="s">
        <v>229</v>
      </c>
      <c r="BE115" s="42" t="s">
        <v>6</v>
      </c>
      <c r="BF115" s="3"/>
      <c r="BG115" s="3"/>
      <c r="BH115" s="3"/>
      <c r="BI115" s="4"/>
      <c r="BJ115" s="4">
        <v>1</v>
      </c>
      <c r="BK115" s="4">
        <v>1</v>
      </c>
      <c r="BL115" s="4"/>
      <c r="BM115" s="4"/>
      <c r="BN115" s="4"/>
      <c r="BO115" s="4"/>
      <c r="BP115" s="4">
        <v>1</v>
      </c>
      <c r="BQ115" s="4"/>
      <c r="BR115" s="13"/>
      <c r="BS115" s="13"/>
      <c r="BT115" s="13"/>
      <c r="BU115" s="4">
        <v>1</v>
      </c>
      <c r="BV115" s="4"/>
      <c r="BW115" s="4"/>
      <c r="BX115" s="30">
        <f t="shared" si="33"/>
        <v>1</v>
      </c>
      <c r="BY115" s="30">
        <f t="shared" si="34"/>
        <v>2</v>
      </c>
      <c r="BZ115" s="30">
        <f t="shared" si="35"/>
        <v>1</v>
      </c>
    </row>
    <row r="116" spans="1:78" ht="15.5" x14ac:dyDescent="0.35">
      <c r="A116" s="31" t="s">
        <v>1021</v>
      </c>
      <c r="B116" s="35">
        <v>242510162</v>
      </c>
      <c r="C116" s="47" t="s">
        <v>622</v>
      </c>
      <c r="D116" s="142" t="s">
        <v>230</v>
      </c>
      <c r="E116" s="42" t="s">
        <v>8</v>
      </c>
      <c r="F116" s="13"/>
      <c r="G116" s="13"/>
      <c r="H116" s="13"/>
      <c r="I116" s="13"/>
      <c r="J116" s="14"/>
      <c r="K116" s="13"/>
      <c r="L116" s="13"/>
      <c r="M116" s="13"/>
      <c r="N116" s="13">
        <v>1</v>
      </c>
      <c r="O116" s="13"/>
      <c r="P116" s="13"/>
      <c r="Q116" s="13"/>
      <c r="R116" s="13"/>
      <c r="S116" s="13">
        <v>1</v>
      </c>
      <c r="T116" s="13"/>
      <c r="U116" s="13"/>
      <c r="V116" s="13"/>
      <c r="W116" s="13"/>
      <c r="X116" s="30">
        <f t="shared" si="27"/>
        <v>0</v>
      </c>
      <c r="Y116" s="30">
        <f t="shared" si="28"/>
        <v>1</v>
      </c>
      <c r="Z116" s="30">
        <f t="shared" si="29"/>
        <v>1</v>
      </c>
      <c r="AC116" s="47" t="s">
        <v>623</v>
      </c>
      <c r="AD116" s="142" t="s">
        <v>230</v>
      </c>
      <c r="AE116" s="42" t="s">
        <v>8</v>
      </c>
      <c r="AF116" s="13"/>
      <c r="AG116" s="13"/>
      <c r="AH116" s="13"/>
      <c r="AI116" s="13">
        <v>2</v>
      </c>
      <c r="AJ116" s="14"/>
      <c r="AK116" s="13"/>
      <c r="AL116" s="13"/>
      <c r="AM116" s="13">
        <v>1</v>
      </c>
      <c r="AN116" s="13"/>
      <c r="AO116" s="13"/>
      <c r="AP116" s="13">
        <v>1</v>
      </c>
      <c r="AQ116" s="13">
        <v>1</v>
      </c>
      <c r="AR116" s="13">
        <v>2</v>
      </c>
      <c r="AS116" s="13">
        <v>1</v>
      </c>
      <c r="AT116" s="13">
        <v>1</v>
      </c>
      <c r="AU116" s="13"/>
      <c r="AV116" s="13"/>
      <c r="AW116" s="13"/>
      <c r="AX116" s="30">
        <f t="shared" si="30"/>
        <v>4</v>
      </c>
      <c r="AY116" s="30">
        <f t="shared" si="31"/>
        <v>3</v>
      </c>
      <c r="AZ116" s="30">
        <f t="shared" si="32"/>
        <v>2</v>
      </c>
      <c r="BC116" s="47" t="s">
        <v>578</v>
      </c>
      <c r="BD116" s="141" t="s">
        <v>229</v>
      </c>
      <c r="BE116" s="42" t="s">
        <v>6</v>
      </c>
      <c r="BF116" s="3"/>
      <c r="BG116" s="3"/>
      <c r="BH116" s="3"/>
      <c r="BI116" s="4"/>
      <c r="BJ116" s="5"/>
      <c r="BK116" s="4"/>
      <c r="BL116" s="4"/>
      <c r="BM116" s="4"/>
      <c r="BN116" s="4"/>
      <c r="BO116" s="4"/>
      <c r="BP116" s="4"/>
      <c r="BQ116" s="4"/>
      <c r="BR116" s="13">
        <v>1</v>
      </c>
      <c r="BS116" s="13"/>
      <c r="BT116" s="13">
        <v>1</v>
      </c>
      <c r="BU116" s="4"/>
      <c r="BV116" s="4"/>
      <c r="BW116" s="4"/>
      <c r="BX116" s="30">
        <f t="shared" si="33"/>
        <v>1</v>
      </c>
      <c r="BY116" s="30">
        <f t="shared" si="34"/>
        <v>0</v>
      </c>
      <c r="BZ116" s="30">
        <f t="shared" si="35"/>
        <v>1</v>
      </c>
    </row>
    <row r="117" spans="1:78" ht="15.5" x14ac:dyDescent="0.35">
      <c r="A117" s="31" t="s">
        <v>1025</v>
      </c>
      <c r="B117" s="35">
        <v>242510166</v>
      </c>
      <c r="C117" s="43" t="s">
        <v>626</v>
      </c>
      <c r="D117" s="142" t="s">
        <v>230</v>
      </c>
      <c r="E117" s="35" t="s">
        <v>8</v>
      </c>
      <c r="F117" s="13"/>
      <c r="G117" s="13"/>
      <c r="H117" s="13"/>
      <c r="I117" s="13"/>
      <c r="J117" s="14"/>
      <c r="K117" s="13"/>
      <c r="L117" s="13"/>
      <c r="M117" s="13"/>
      <c r="N117" s="13">
        <v>1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30">
        <f t="shared" si="27"/>
        <v>0</v>
      </c>
      <c r="Y117" s="30">
        <f t="shared" si="28"/>
        <v>0</v>
      </c>
      <c r="Z117" s="30">
        <f t="shared" si="29"/>
        <v>1</v>
      </c>
      <c r="AC117" s="43" t="s">
        <v>444</v>
      </c>
      <c r="AD117" s="127" t="s">
        <v>226</v>
      </c>
      <c r="AE117" s="35" t="s">
        <v>6</v>
      </c>
      <c r="AF117" s="3"/>
      <c r="AG117" s="3"/>
      <c r="AH117" s="3"/>
      <c r="AI117" s="4"/>
      <c r="AJ117" s="5"/>
      <c r="AK117" s="5"/>
      <c r="AL117" s="4"/>
      <c r="AM117" s="5">
        <v>1</v>
      </c>
      <c r="AN117" s="5">
        <v>1</v>
      </c>
      <c r="AO117" s="13">
        <v>1</v>
      </c>
      <c r="AP117" s="5"/>
      <c r="AQ117" s="5">
        <v>1</v>
      </c>
      <c r="AR117" s="4"/>
      <c r="AS117" s="5">
        <v>2</v>
      </c>
      <c r="AT117" s="5">
        <v>1</v>
      </c>
      <c r="AU117" s="4"/>
      <c r="AV117" s="5">
        <v>1</v>
      </c>
      <c r="AW117" s="5"/>
      <c r="AX117" s="30">
        <f t="shared" si="30"/>
        <v>1</v>
      </c>
      <c r="AY117" s="30">
        <f t="shared" si="31"/>
        <v>4</v>
      </c>
      <c r="AZ117" s="30">
        <f t="shared" si="32"/>
        <v>3</v>
      </c>
      <c r="BC117" s="58" t="s">
        <v>581</v>
      </c>
      <c r="BD117" s="141" t="s">
        <v>229</v>
      </c>
      <c r="BE117" s="42" t="s">
        <v>6</v>
      </c>
      <c r="BF117" s="3"/>
      <c r="BG117" s="3"/>
      <c r="BH117" s="3"/>
      <c r="BI117" s="4"/>
      <c r="BJ117" s="5">
        <v>1</v>
      </c>
      <c r="BK117" s="4">
        <v>1</v>
      </c>
      <c r="BL117" s="4"/>
      <c r="BM117" s="4">
        <v>1</v>
      </c>
      <c r="BN117" s="4"/>
      <c r="BO117" s="4"/>
      <c r="BP117" s="4"/>
      <c r="BQ117" s="4"/>
      <c r="BR117" s="13">
        <v>1</v>
      </c>
      <c r="BS117" s="13">
        <v>1</v>
      </c>
      <c r="BT117" s="13"/>
      <c r="BU117" s="4"/>
      <c r="BV117" s="4"/>
      <c r="BW117" s="4"/>
      <c r="BX117" s="30">
        <f t="shared" si="33"/>
        <v>1</v>
      </c>
      <c r="BY117" s="30">
        <f t="shared" si="34"/>
        <v>3</v>
      </c>
      <c r="BZ117" s="30">
        <f t="shared" si="35"/>
        <v>1</v>
      </c>
    </row>
    <row r="118" spans="1:78" ht="15.5" x14ac:dyDescent="0.35">
      <c r="A118" s="31" t="s">
        <v>1026</v>
      </c>
      <c r="B118" s="35">
        <v>242510167</v>
      </c>
      <c r="C118" s="47" t="s">
        <v>627</v>
      </c>
      <c r="D118" s="142" t="s">
        <v>230</v>
      </c>
      <c r="E118" s="42" t="s">
        <v>8</v>
      </c>
      <c r="F118" s="13"/>
      <c r="G118" s="13"/>
      <c r="H118" s="13"/>
      <c r="I118" s="14"/>
      <c r="J118" s="13"/>
      <c r="K118" s="13">
        <v>1</v>
      </c>
      <c r="L118" s="13"/>
      <c r="M118" s="13">
        <v>1</v>
      </c>
      <c r="N118" s="13">
        <v>1</v>
      </c>
      <c r="O118" s="13"/>
      <c r="P118" s="13"/>
      <c r="Q118" s="13">
        <v>1</v>
      </c>
      <c r="R118" s="13"/>
      <c r="S118" s="13"/>
      <c r="T118" s="13">
        <v>4</v>
      </c>
      <c r="U118" s="13"/>
      <c r="V118" s="13"/>
      <c r="W118" s="13"/>
      <c r="X118" s="30">
        <f t="shared" si="27"/>
        <v>0</v>
      </c>
      <c r="Y118" s="30">
        <f t="shared" si="28"/>
        <v>1</v>
      </c>
      <c r="Z118" s="30">
        <f t="shared" si="29"/>
        <v>7</v>
      </c>
      <c r="AC118" s="43" t="s">
        <v>449</v>
      </c>
      <c r="AD118" s="127" t="s">
        <v>226</v>
      </c>
      <c r="AE118" s="35" t="s">
        <v>6</v>
      </c>
      <c r="AF118" s="3"/>
      <c r="AG118" s="3"/>
      <c r="AH118" s="3"/>
      <c r="AI118" s="4"/>
      <c r="AJ118" s="5">
        <v>3</v>
      </c>
      <c r="AK118" s="5"/>
      <c r="AL118" s="4"/>
      <c r="AM118" s="4"/>
      <c r="AN118" s="4"/>
      <c r="AO118" s="13"/>
      <c r="AP118" s="5"/>
      <c r="AQ118" s="5"/>
      <c r="AR118" s="4"/>
      <c r="AS118" s="5"/>
      <c r="AT118" s="5"/>
      <c r="AU118" s="4"/>
      <c r="AV118" s="5">
        <v>1</v>
      </c>
      <c r="AW118" s="5"/>
      <c r="AX118" s="30">
        <f t="shared" si="30"/>
        <v>0</v>
      </c>
      <c r="AY118" s="30">
        <f t="shared" si="31"/>
        <v>4</v>
      </c>
      <c r="AZ118" s="30">
        <f t="shared" si="32"/>
        <v>0</v>
      </c>
      <c r="BC118" s="47" t="s">
        <v>583</v>
      </c>
      <c r="BD118" s="141" t="s">
        <v>229</v>
      </c>
      <c r="BE118" s="42" t="s">
        <v>6</v>
      </c>
      <c r="BF118" s="3"/>
      <c r="BG118" s="3">
        <v>1</v>
      </c>
      <c r="BH118" s="3"/>
      <c r="BI118" s="5"/>
      <c r="BJ118" s="5"/>
      <c r="BK118" s="4">
        <v>1</v>
      </c>
      <c r="BL118" s="4"/>
      <c r="BM118" s="4"/>
      <c r="BN118" s="4"/>
      <c r="BO118" s="4"/>
      <c r="BP118" s="4"/>
      <c r="BQ118" s="4"/>
      <c r="BR118" s="13"/>
      <c r="BS118" s="13"/>
      <c r="BT118" s="13"/>
      <c r="BU118" s="4"/>
      <c r="BV118" s="4"/>
      <c r="BW118" s="4"/>
      <c r="BX118" s="30">
        <f t="shared" si="33"/>
        <v>0</v>
      </c>
      <c r="BY118" s="30">
        <f t="shared" si="34"/>
        <v>1</v>
      </c>
      <c r="BZ118" s="30">
        <f t="shared" si="35"/>
        <v>1</v>
      </c>
    </row>
    <row r="119" spans="1:78" ht="15.5" x14ac:dyDescent="0.35">
      <c r="A119" s="31" t="s">
        <v>1027</v>
      </c>
      <c r="B119" s="35">
        <v>242510168</v>
      </c>
      <c r="C119" s="64" t="s">
        <v>628</v>
      </c>
      <c r="D119" s="142" t="s">
        <v>230</v>
      </c>
      <c r="E119" s="65" t="s">
        <v>8</v>
      </c>
      <c r="F119" s="13"/>
      <c r="G119" s="13"/>
      <c r="H119" s="13">
        <v>1</v>
      </c>
      <c r="I119" s="14"/>
      <c r="J119" s="14"/>
      <c r="K119" s="13"/>
      <c r="L119" s="13"/>
      <c r="M119" s="13"/>
      <c r="N119" s="13">
        <v>1</v>
      </c>
      <c r="O119" s="13"/>
      <c r="P119" s="13">
        <v>1</v>
      </c>
      <c r="Q119" s="13">
        <v>1</v>
      </c>
      <c r="R119" s="13"/>
      <c r="S119" s="13"/>
      <c r="T119" s="13">
        <v>2</v>
      </c>
      <c r="U119" s="13"/>
      <c r="V119" s="13"/>
      <c r="W119" s="13"/>
      <c r="X119" s="30">
        <f t="shared" si="27"/>
        <v>0</v>
      </c>
      <c r="Y119" s="30">
        <f t="shared" si="28"/>
        <v>1</v>
      </c>
      <c r="Z119" s="30">
        <f t="shared" si="29"/>
        <v>5</v>
      </c>
      <c r="AC119" s="43" t="s">
        <v>450</v>
      </c>
      <c r="AD119" s="127" t="s">
        <v>226</v>
      </c>
      <c r="AE119" s="35" t="s">
        <v>6</v>
      </c>
      <c r="AF119" s="3"/>
      <c r="AG119" s="3"/>
      <c r="AH119" s="3"/>
      <c r="AI119" s="4"/>
      <c r="AJ119" s="5">
        <v>1</v>
      </c>
      <c r="AK119" s="5"/>
      <c r="AL119" s="4">
        <v>1</v>
      </c>
      <c r="AM119" s="4"/>
      <c r="AN119" s="4">
        <v>1</v>
      </c>
      <c r="AO119" s="13"/>
      <c r="AP119" s="5"/>
      <c r="AQ119" s="5">
        <v>2</v>
      </c>
      <c r="AR119" s="4"/>
      <c r="AS119" s="5">
        <v>3</v>
      </c>
      <c r="AT119" s="5">
        <v>1</v>
      </c>
      <c r="AU119" s="4"/>
      <c r="AV119" s="5"/>
      <c r="AW119" s="5">
        <v>1</v>
      </c>
      <c r="AX119" s="30">
        <f t="shared" si="30"/>
        <v>1</v>
      </c>
      <c r="AY119" s="30">
        <f t="shared" si="31"/>
        <v>4</v>
      </c>
      <c r="AZ119" s="30">
        <f t="shared" si="32"/>
        <v>5</v>
      </c>
      <c r="BC119" s="47" t="s">
        <v>584</v>
      </c>
      <c r="BD119" s="141" t="s">
        <v>229</v>
      </c>
      <c r="BE119" s="42" t="s">
        <v>6</v>
      </c>
      <c r="BF119" s="3"/>
      <c r="BG119" s="3">
        <v>1</v>
      </c>
      <c r="BH119" s="3"/>
      <c r="BI119" s="4">
        <v>1</v>
      </c>
      <c r="BJ119" s="5">
        <v>1</v>
      </c>
      <c r="BK119" s="5">
        <v>1</v>
      </c>
      <c r="BL119" s="4"/>
      <c r="BM119" s="4"/>
      <c r="BN119" s="4"/>
      <c r="BO119" s="4"/>
      <c r="BP119" s="4">
        <v>1</v>
      </c>
      <c r="BQ119" s="4"/>
      <c r="BR119" s="13"/>
      <c r="BS119" s="13"/>
      <c r="BT119" s="13"/>
      <c r="BU119" s="4"/>
      <c r="BV119" s="4"/>
      <c r="BW119" s="4"/>
      <c r="BX119" s="30">
        <f t="shared" si="33"/>
        <v>1</v>
      </c>
      <c r="BY119" s="30">
        <f t="shared" si="34"/>
        <v>3</v>
      </c>
      <c r="BZ119" s="30">
        <f t="shared" si="35"/>
        <v>1</v>
      </c>
    </row>
    <row r="120" spans="1:78" ht="15.5" x14ac:dyDescent="0.35">
      <c r="A120" s="31" t="s">
        <v>1029</v>
      </c>
      <c r="B120" s="35">
        <v>242510169</v>
      </c>
      <c r="C120" s="47" t="s">
        <v>629</v>
      </c>
      <c r="D120" s="142" t="s">
        <v>230</v>
      </c>
      <c r="E120" s="42" t="s">
        <v>8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30">
        <f t="shared" si="27"/>
        <v>0</v>
      </c>
      <c r="Y120" s="30">
        <f t="shared" si="28"/>
        <v>0</v>
      </c>
      <c r="Z120" s="30">
        <f t="shared" si="29"/>
        <v>0</v>
      </c>
      <c r="AC120" s="41" t="s">
        <v>508</v>
      </c>
      <c r="AD120" s="140" t="s">
        <v>228</v>
      </c>
      <c r="AE120" s="42" t="s">
        <v>8</v>
      </c>
      <c r="AF120" s="19"/>
      <c r="AG120" s="19"/>
      <c r="AH120" s="19"/>
      <c r="AI120" s="13"/>
      <c r="AJ120" s="14">
        <v>2</v>
      </c>
      <c r="AK120" s="14"/>
      <c r="AL120" s="13"/>
      <c r="AM120" s="13"/>
      <c r="AN120" s="13"/>
      <c r="AO120" s="13"/>
      <c r="AP120" s="13"/>
      <c r="AQ120" s="13"/>
      <c r="AR120" s="13"/>
      <c r="AS120" s="13">
        <v>2</v>
      </c>
      <c r="AT120" s="13"/>
      <c r="AU120" s="13"/>
      <c r="AV120" s="13"/>
      <c r="AW120" s="13"/>
      <c r="AX120" s="30">
        <f t="shared" si="30"/>
        <v>0</v>
      </c>
      <c r="AY120" s="30">
        <f t="shared" si="31"/>
        <v>4</v>
      </c>
      <c r="AZ120" s="30">
        <f t="shared" si="32"/>
        <v>0</v>
      </c>
      <c r="BC120" s="47" t="s">
        <v>585</v>
      </c>
      <c r="BD120" s="141" t="s">
        <v>229</v>
      </c>
      <c r="BE120" s="42" t="s">
        <v>6</v>
      </c>
      <c r="BF120" s="3"/>
      <c r="BG120" s="6">
        <v>1</v>
      </c>
      <c r="BH120" s="3"/>
      <c r="BI120" s="4">
        <v>1</v>
      </c>
      <c r="BJ120" s="5">
        <v>1</v>
      </c>
      <c r="BK120" s="5">
        <v>1</v>
      </c>
      <c r="BL120" s="4"/>
      <c r="BM120" s="4"/>
      <c r="BN120" s="4"/>
      <c r="BO120" s="4"/>
      <c r="BP120" s="4">
        <v>2</v>
      </c>
      <c r="BQ120" s="4"/>
      <c r="BR120" s="13"/>
      <c r="BS120" s="13"/>
      <c r="BT120" s="13"/>
      <c r="BU120" s="4"/>
      <c r="BV120" s="4"/>
      <c r="BW120" s="4"/>
      <c r="BX120" s="30">
        <f t="shared" si="33"/>
        <v>1</v>
      </c>
      <c r="BY120" s="30">
        <f t="shared" si="34"/>
        <v>4</v>
      </c>
      <c r="BZ120" s="30">
        <f t="shared" si="35"/>
        <v>1</v>
      </c>
    </row>
    <row r="121" spans="1:78" ht="15.5" x14ac:dyDescent="0.35">
      <c r="A121" s="31" t="s">
        <v>27</v>
      </c>
      <c r="B121" s="35">
        <v>242510007</v>
      </c>
      <c r="C121" s="36" t="s">
        <v>432</v>
      </c>
      <c r="D121" s="139" t="s">
        <v>225</v>
      </c>
      <c r="E121" s="35" t="s">
        <v>8</v>
      </c>
      <c r="F121" s="19"/>
      <c r="G121" s="19"/>
      <c r="H121" s="19"/>
      <c r="I121" s="13"/>
      <c r="J121" s="13">
        <v>1</v>
      </c>
      <c r="K121" s="14"/>
      <c r="L121" s="13"/>
      <c r="M121" s="14">
        <v>1</v>
      </c>
      <c r="N121" s="14"/>
      <c r="O121" s="13"/>
      <c r="P121" s="14"/>
      <c r="Q121" s="14"/>
      <c r="R121" s="13">
        <v>1</v>
      </c>
      <c r="S121" s="14"/>
      <c r="T121" s="14"/>
      <c r="U121" s="13"/>
      <c r="V121" s="14"/>
      <c r="W121" s="14"/>
      <c r="X121" s="30">
        <f t="shared" si="27"/>
        <v>1</v>
      </c>
      <c r="Y121" s="30">
        <f t="shared" si="28"/>
        <v>2</v>
      </c>
      <c r="Z121" s="30">
        <f t="shared" si="29"/>
        <v>0</v>
      </c>
      <c r="AC121" s="41" t="s">
        <v>520</v>
      </c>
      <c r="AD121" s="140" t="s">
        <v>228</v>
      </c>
      <c r="AE121" s="42" t="s">
        <v>6</v>
      </c>
      <c r="AF121" s="27"/>
      <c r="AG121" s="27"/>
      <c r="AH121" s="27"/>
      <c r="AI121" s="15"/>
      <c r="AJ121" s="21">
        <v>2</v>
      </c>
      <c r="AK121" s="21"/>
      <c r="AL121" s="15">
        <v>1</v>
      </c>
      <c r="AM121" s="15">
        <v>1</v>
      </c>
      <c r="AN121" s="15"/>
      <c r="AO121" s="15"/>
      <c r="AP121" s="15">
        <v>1</v>
      </c>
      <c r="AQ121" s="15"/>
      <c r="AR121" s="15"/>
      <c r="AS121" s="15"/>
      <c r="AT121" s="15"/>
      <c r="AU121" s="15"/>
      <c r="AV121" s="15"/>
      <c r="AW121" s="15"/>
      <c r="AX121" s="30">
        <f t="shared" si="30"/>
        <v>1</v>
      </c>
      <c r="AY121" s="30">
        <f t="shared" si="31"/>
        <v>4</v>
      </c>
      <c r="AZ121" s="30">
        <f t="shared" si="32"/>
        <v>0</v>
      </c>
      <c r="BC121" s="46" t="s">
        <v>588</v>
      </c>
      <c r="BD121" s="141" t="s">
        <v>229</v>
      </c>
      <c r="BE121" s="42" t="s">
        <v>8</v>
      </c>
      <c r="BF121" s="3"/>
      <c r="BG121" s="3"/>
      <c r="BH121" s="3"/>
      <c r="BI121" s="4"/>
      <c r="BJ121" s="5">
        <v>2</v>
      </c>
      <c r="BK121" s="4">
        <v>1</v>
      </c>
      <c r="BL121" s="4"/>
      <c r="BM121" s="4"/>
      <c r="BN121" s="4"/>
      <c r="BO121" s="4"/>
      <c r="BP121" s="4">
        <v>1</v>
      </c>
      <c r="BQ121" s="4"/>
      <c r="BR121" s="13">
        <v>1</v>
      </c>
      <c r="BS121" s="13">
        <v>2</v>
      </c>
      <c r="BT121" s="13"/>
      <c r="BU121" s="4"/>
      <c r="BV121" s="4">
        <v>1</v>
      </c>
      <c r="BW121" s="4"/>
      <c r="BX121" s="30">
        <f t="shared" si="33"/>
        <v>1</v>
      </c>
      <c r="BY121" s="30">
        <f t="shared" si="34"/>
        <v>6</v>
      </c>
      <c r="BZ121" s="30">
        <f t="shared" si="35"/>
        <v>1</v>
      </c>
    </row>
    <row r="122" spans="1:78" ht="15.5" x14ac:dyDescent="0.35">
      <c r="A122" s="31" t="s">
        <v>31</v>
      </c>
      <c r="B122" s="35">
        <v>242510011</v>
      </c>
      <c r="C122" s="61" t="s">
        <v>436</v>
      </c>
      <c r="D122" s="139" t="s">
        <v>225</v>
      </c>
      <c r="E122" s="35" t="s">
        <v>8</v>
      </c>
      <c r="F122" s="19"/>
      <c r="G122" s="19"/>
      <c r="H122" s="19"/>
      <c r="I122" s="13"/>
      <c r="J122" s="14">
        <v>2</v>
      </c>
      <c r="K122" s="13"/>
      <c r="L122" s="13"/>
      <c r="M122" s="13">
        <v>2</v>
      </c>
      <c r="N122" s="14"/>
      <c r="O122" s="13">
        <v>1</v>
      </c>
      <c r="P122" s="13">
        <v>2</v>
      </c>
      <c r="Q122" s="14"/>
      <c r="R122" s="13"/>
      <c r="S122" s="13">
        <v>2</v>
      </c>
      <c r="T122" s="14">
        <v>1</v>
      </c>
      <c r="U122" s="13"/>
      <c r="V122" s="13"/>
      <c r="W122" s="14"/>
      <c r="X122" s="30">
        <f t="shared" si="27"/>
        <v>1</v>
      </c>
      <c r="Y122" s="30">
        <f t="shared" si="28"/>
        <v>8</v>
      </c>
      <c r="Z122" s="30">
        <f t="shared" si="29"/>
        <v>1</v>
      </c>
      <c r="AC122" s="41" t="s">
        <v>544</v>
      </c>
      <c r="AD122" s="140" t="s">
        <v>228</v>
      </c>
      <c r="AE122" s="42" t="s">
        <v>8</v>
      </c>
      <c r="AF122" s="19"/>
      <c r="AG122" s="19"/>
      <c r="AH122" s="19"/>
      <c r="AI122" s="13"/>
      <c r="AJ122" s="14">
        <v>3</v>
      </c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>
        <v>1</v>
      </c>
      <c r="AW122" s="13"/>
      <c r="AX122" s="30">
        <f t="shared" si="30"/>
        <v>0</v>
      </c>
      <c r="AY122" s="30">
        <f t="shared" si="31"/>
        <v>4</v>
      </c>
      <c r="AZ122" s="30">
        <f t="shared" si="32"/>
        <v>0</v>
      </c>
      <c r="BC122" s="61" t="s">
        <v>601</v>
      </c>
      <c r="BD122" s="141" t="s">
        <v>229</v>
      </c>
      <c r="BE122" s="52" t="s">
        <v>6</v>
      </c>
      <c r="BF122" s="3"/>
      <c r="BG122" s="3"/>
      <c r="BH122" s="3"/>
      <c r="BI122" s="4"/>
      <c r="BJ122" s="4"/>
      <c r="BK122" s="4"/>
      <c r="BL122" s="4"/>
      <c r="BM122" s="4">
        <v>2</v>
      </c>
      <c r="BN122" s="4"/>
      <c r="BO122" s="4"/>
      <c r="BP122" s="4">
        <v>1</v>
      </c>
      <c r="BQ122" s="4"/>
      <c r="BR122" s="13"/>
      <c r="BS122" s="13"/>
      <c r="BT122" s="13"/>
      <c r="BU122" s="4"/>
      <c r="BV122" s="4"/>
      <c r="BW122" s="4">
        <v>1</v>
      </c>
      <c r="BX122" s="30">
        <f t="shared" si="33"/>
        <v>0</v>
      </c>
      <c r="BY122" s="30">
        <f t="shared" si="34"/>
        <v>3</v>
      </c>
      <c r="BZ122" s="30">
        <f t="shared" si="35"/>
        <v>1</v>
      </c>
    </row>
    <row r="123" spans="1:78" ht="15.5" x14ac:dyDescent="0.35">
      <c r="A123" s="31" t="s">
        <v>35</v>
      </c>
      <c r="B123" s="35">
        <v>242510015</v>
      </c>
      <c r="C123" s="43" t="s">
        <v>440</v>
      </c>
      <c r="D123" s="127" t="s">
        <v>226</v>
      </c>
      <c r="E123" s="35" t="s">
        <v>6</v>
      </c>
      <c r="F123" s="3"/>
      <c r="G123" s="3"/>
      <c r="H123" s="3"/>
      <c r="I123" s="5"/>
      <c r="J123" s="4">
        <v>1</v>
      </c>
      <c r="K123" s="5"/>
      <c r="L123" s="4"/>
      <c r="M123" s="5"/>
      <c r="N123" s="4"/>
      <c r="O123" s="13">
        <v>1</v>
      </c>
      <c r="P123" s="4"/>
      <c r="Q123" s="4">
        <v>1</v>
      </c>
      <c r="R123" s="4"/>
      <c r="S123" s="4">
        <v>2</v>
      </c>
      <c r="T123" s="4">
        <v>1</v>
      </c>
      <c r="U123" s="4"/>
      <c r="V123" s="4"/>
      <c r="W123" s="4">
        <v>1</v>
      </c>
      <c r="X123" s="30">
        <f t="shared" si="27"/>
        <v>1</v>
      </c>
      <c r="Y123" s="30">
        <f t="shared" si="28"/>
        <v>3</v>
      </c>
      <c r="Z123" s="30">
        <f t="shared" si="29"/>
        <v>3</v>
      </c>
      <c r="AC123" s="54" t="s">
        <v>552</v>
      </c>
      <c r="AD123" s="140" t="s">
        <v>228</v>
      </c>
      <c r="AE123" s="52" t="s">
        <v>8</v>
      </c>
      <c r="AF123" s="19"/>
      <c r="AG123" s="20"/>
      <c r="AH123" s="19"/>
      <c r="AI123" s="13"/>
      <c r="AJ123" s="13">
        <v>2</v>
      </c>
      <c r="AK123" s="13"/>
      <c r="AL123" s="13"/>
      <c r="AM123" s="13"/>
      <c r="AN123" s="13"/>
      <c r="AO123" s="13"/>
      <c r="AP123" s="13"/>
      <c r="AQ123" s="13"/>
      <c r="AR123" s="13"/>
      <c r="AS123" s="13">
        <v>2</v>
      </c>
      <c r="AT123" s="13"/>
      <c r="AU123" s="13"/>
      <c r="AV123" s="13"/>
      <c r="AW123" s="13">
        <v>2</v>
      </c>
      <c r="AX123" s="30">
        <f t="shared" si="30"/>
        <v>0</v>
      </c>
      <c r="AY123" s="30">
        <f t="shared" si="31"/>
        <v>4</v>
      </c>
      <c r="AZ123" s="30">
        <f t="shared" si="32"/>
        <v>2</v>
      </c>
      <c r="BC123" s="36" t="s">
        <v>604</v>
      </c>
      <c r="BD123" s="142" t="s">
        <v>230</v>
      </c>
      <c r="BE123" s="35" t="s">
        <v>8</v>
      </c>
      <c r="BF123" s="13"/>
      <c r="BG123" s="14"/>
      <c r="BH123" s="13"/>
      <c r="BI123" s="13"/>
      <c r="BJ123" s="14">
        <v>1</v>
      </c>
      <c r="BK123" s="13">
        <v>1</v>
      </c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30">
        <f t="shared" si="33"/>
        <v>0</v>
      </c>
      <c r="BY123" s="30">
        <f t="shared" si="34"/>
        <v>1</v>
      </c>
      <c r="BZ123" s="30">
        <f t="shared" si="35"/>
        <v>1</v>
      </c>
    </row>
    <row r="124" spans="1:78" ht="15.5" x14ac:dyDescent="0.35">
      <c r="A124" s="31" t="s">
        <v>37</v>
      </c>
      <c r="B124" s="33">
        <v>242510017</v>
      </c>
      <c r="C124" s="43" t="s">
        <v>442</v>
      </c>
      <c r="D124" s="127" t="s">
        <v>226</v>
      </c>
      <c r="E124" s="35" t="s">
        <v>6</v>
      </c>
      <c r="F124" s="3"/>
      <c r="G124" s="3"/>
      <c r="H124" s="3"/>
      <c r="I124" s="4"/>
      <c r="J124" s="5"/>
      <c r="K124" s="4"/>
      <c r="L124" s="4">
        <v>1</v>
      </c>
      <c r="M124" s="4">
        <v>1</v>
      </c>
      <c r="N124" s="4"/>
      <c r="O124" s="13"/>
      <c r="P124" s="5"/>
      <c r="Q124" s="4">
        <v>1</v>
      </c>
      <c r="R124" s="4"/>
      <c r="S124" s="5">
        <v>1</v>
      </c>
      <c r="T124" s="4"/>
      <c r="U124" s="4"/>
      <c r="V124" s="5">
        <v>1</v>
      </c>
      <c r="W124" s="4"/>
      <c r="X124" s="30">
        <f t="shared" si="27"/>
        <v>1</v>
      </c>
      <c r="Y124" s="30">
        <f t="shared" si="28"/>
        <v>3</v>
      </c>
      <c r="Z124" s="30">
        <f t="shared" si="29"/>
        <v>1</v>
      </c>
      <c r="AC124" s="57" t="s">
        <v>572</v>
      </c>
      <c r="AD124" s="141" t="s">
        <v>229</v>
      </c>
      <c r="AE124" s="42" t="s">
        <v>8</v>
      </c>
      <c r="AF124" s="3"/>
      <c r="AG124" s="3"/>
      <c r="AH124" s="3"/>
      <c r="AI124" s="4"/>
      <c r="AJ124" s="5">
        <v>2</v>
      </c>
      <c r="AK124" s="5">
        <v>1</v>
      </c>
      <c r="AL124" s="4"/>
      <c r="AM124" s="4"/>
      <c r="AN124" s="4"/>
      <c r="AO124" s="4"/>
      <c r="AP124" s="4">
        <v>2</v>
      </c>
      <c r="AQ124" s="4"/>
      <c r="AR124" s="13"/>
      <c r="AS124" s="13"/>
      <c r="AT124" s="13"/>
      <c r="AU124" s="4"/>
      <c r="AV124" s="4"/>
      <c r="AW124" s="4"/>
      <c r="AX124" s="30">
        <f t="shared" si="30"/>
        <v>0</v>
      </c>
      <c r="AY124" s="30">
        <f t="shared" si="31"/>
        <v>4</v>
      </c>
      <c r="AZ124" s="30">
        <f t="shared" si="32"/>
        <v>1</v>
      </c>
      <c r="BC124" s="46" t="s">
        <v>605</v>
      </c>
      <c r="BD124" s="142" t="s">
        <v>230</v>
      </c>
      <c r="BE124" s="42" t="s">
        <v>8</v>
      </c>
      <c r="BF124" s="13"/>
      <c r="BG124" s="13"/>
      <c r="BH124" s="13"/>
      <c r="BI124" s="14">
        <v>2</v>
      </c>
      <c r="BJ124" s="14"/>
      <c r="BK124" s="14">
        <v>1</v>
      </c>
      <c r="BL124" s="13"/>
      <c r="BM124" s="13"/>
      <c r="BN124" s="13"/>
      <c r="BO124" s="13"/>
      <c r="BP124" s="13"/>
      <c r="BQ124" s="13"/>
      <c r="BR124" s="13"/>
      <c r="BS124" s="13">
        <v>1</v>
      </c>
      <c r="BT124" s="13"/>
      <c r="BU124" s="13"/>
      <c r="BV124" s="13"/>
      <c r="BW124" s="13"/>
      <c r="BX124" s="30">
        <f t="shared" si="33"/>
        <v>2</v>
      </c>
      <c r="BY124" s="30">
        <f t="shared" si="34"/>
        <v>1</v>
      </c>
      <c r="BZ124" s="30">
        <f t="shared" si="35"/>
        <v>1</v>
      </c>
    </row>
    <row r="125" spans="1:78" ht="15.5" x14ac:dyDescent="0.35">
      <c r="A125" s="31" t="s">
        <v>39</v>
      </c>
      <c r="B125" s="35">
        <v>242510019</v>
      </c>
      <c r="C125" s="43" t="s">
        <v>444</v>
      </c>
      <c r="D125" s="127" t="s">
        <v>226</v>
      </c>
      <c r="E125" s="35" t="s">
        <v>6</v>
      </c>
      <c r="F125" s="3"/>
      <c r="G125" s="3"/>
      <c r="H125" s="3"/>
      <c r="I125" s="4"/>
      <c r="J125" s="5"/>
      <c r="K125" s="5"/>
      <c r="L125" s="4"/>
      <c r="M125" s="5">
        <v>1</v>
      </c>
      <c r="N125" s="5">
        <v>1</v>
      </c>
      <c r="O125" s="13">
        <v>1</v>
      </c>
      <c r="P125" s="5"/>
      <c r="Q125" s="5">
        <v>1</v>
      </c>
      <c r="R125" s="4"/>
      <c r="S125" s="5">
        <v>2</v>
      </c>
      <c r="T125" s="5">
        <v>1</v>
      </c>
      <c r="U125" s="4"/>
      <c r="V125" s="5">
        <v>1</v>
      </c>
      <c r="W125" s="5"/>
      <c r="X125" s="30">
        <f t="shared" si="27"/>
        <v>1</v>
      </c>
      <c r="Y125" s="30">
        <f t="shared" si="28"/>
        <v>4</v>
      </c>
      <c r="Z125" s="30">
        <f t="shared" si="29"/>
        <v>3</v>
      </c>
      <c r="AC125" s="47" t="s">
        <v>585</v>
      </c>
      <c r="AD125" s="141" t="s">
        <v>229</v>
      </c>
      <c r="AE125" s="42" t="s">
        <v>6</v>
      </c>
      <c r="AF125" s="3"/>
      <c r="AG125" s="6">
        <v>1</v>
      </c>
      <c r="AH125" s="3"/>
      <c r="AI125" s="4">
        <v>1</v>
      </c>
      <c r="AJ125" s="5">
        <v>1</v>
      </c>
      <c r="AK125" s="5">
        <v>1</v>
      </c>
      <c r="AL125" s="4"/>
      <c r="AM125" s="4"/>
      <c r="AN125" s="4"/>
      <c r="AO125" s="4"/>
      <c r="AP125" s="4">
        <v>2</v>
      </c>
      <c r="AQ125" s="4"/>
      <c r="AR125" s="13"/>
      <c r="AS125" s="13"/>
      <c r="AT125" s="13"/>
      <c r="AU125" s="4"/>
      <c r="AV125" s="4"/>
      <c r="AW125" s="4"/>
      <c r="AX125" s="30">
        <f t="shared" si="30"/>
        <v>1</v>
      </c>
      <c r="AY125" s="30">
        <f t="shared" si="31"/>
        <v>4</v>
      </c>
      <c r="AZ125" s="30">
        <f t="shared" si="32"/>
        <v>1</v>
      </c>
      <c r="BC125" s="63" t="s">
        <v>616</v>
      </c>
      <c r="BD125" s="142" t="s">
        <v>230</v>
      </c>
      <c r="BE125" s="42" t="s">
        <v>8</v>
      </c>
      <c r="BF125" s="15"/>
      <c r="BG125" s="15"/>
      <c r="BH125" s="15"/>
      <c r="BI125" s="15">
        <v>2</v>
      </c>
      <c r="BJ125" s="21">
        <v>2</v>
      </c>
      <c r="BK125" s="15"/>
      <c r="BL125" s="15">
        <v>1</v>
      </c>
      <c r="BM125" s="15"/>
      <c r="BN125" s="15"/>
      <c r="BO125" s="15"/>
      <c r="BP125" s="15"/>
      <c r="BQ125" s="15"/>
      <c r="BR125" s="13">
        <v>1</v>
      </c>
      <c r="BS125" s="13"/>
      <c r="BT125" s="13">
        <v>1</v>
      </c>
      <c r="BU125" s="15"/>
      <c r="BV125" s="15"/>
      <c r="BW125" s="15"/>
      <c r="BX125" s="30">
        <f t="shared" si="33"/>
        <v>4</v>
      </c>
      <c r="BY125" s="30">
        <f t="shared" si="34"/>
        <v>2</v>
      </c>
      <c r="BZ125" s="30">
        <f t="shared" si="35"/>
        <v>1</v>
      </c>
    </row>
    <row r="126" spans="1:78" ht="15.5" x14ac:dyDescent="0.35">
      <c r="A126" s="31" t="s">
        <v>43</v>
      </c>
      <c r="B126" s="35">
        <v>242510023</v>
      </c>
      <c r="C126" s="43" t="s">
        <v>448</v>
      </c>
      <c r="D126" s="127" t="s">
        <v>226</v>
      </c>
      <c r="E126" s="35" t="s">
        <v>6</v>
      </c>
      <c r="F126" s="3"/>
      <c r="G126" s="3"/>
      <c r="H126" s="3"/>
      <c r="I126" s="4"/>
      <c r="J126" s="5">
        <v>1</v>
      </c>
      <c r="K126" s="5"/>
      <c r="L126" s="4"/>
      <c r="M126" s="4">
        <v>3</v>
      </c>
      <c r="N126" s="4">
        <v>1</v>
      </c>
      <c r="O126" s="13">
        <v>1</v>
      </c>
      <c r="P126" s="5">
        <v>1</v>
      </c>
      <c r="Q126" s="5"/>
      <c r="R126" s="4"/>
      <c r="S126" s="5">
        <v>2</v>
      </c>
      <c r="T126" s="5">
        <v>1</v>
      </c>
      <c r="U126" s="4"/>
      <c r="V126" s="5"/>
      <c r="W126" s="5"/>
      <c r="X126" s="30">
        <f t="shared" si="27"/>
        <v>1</v>
      </c>
      <c r="Y126" s="30">
        <f t="shared" si="28"/>
        <v>7</v>
      </c>
      <c r="Z126" s="30">
        <f t="shared" si="29"/>
        <v>2</v>
      </c>
      <c r="AC126" s="60" t="s">
        <v>586</v>
      </c>
      <c r="AD126" s="141" t="s">
        <v>229</v>
      </c>
      <c r="AE126" s="42" t="s">
        <v>6</v>
      </c>
      <c r="AF126" s="3"/>
      <c r="AG126" s="3"/>
      <c r="AH126" s="3"/>
      <c r="AI126" s="4"/>
      <c r="AJ126" s="4">
        <v>1</v>
      </c>
      <c r="AK126" s="4">
        <v>3</v>
      </c>
      <c r="AL126" s="4"/>
      <c r="AM126" s="4"/>
      <c r="AN126" s="4"/>
      <c r="AO126" s="4"/>
      <c r="AP126" s="4">
        <v>1</v>
      </c>
      <c r="AQ126" s="4"/>
      <c r="AR126" s="13">
        <v>2</v>
      </c>
      <c r="AS126" s="13">
        <v>1</v>
      </c>
      <c r="AT126" s="13"/>
      <c r="AU126" s="4"/>
      <c r="AV126" s="4">
        <v>1</v>
      </c>
      <c r="AW126" s="4"/>
      <c r="AX126" s="30">
        <f t="shared" si="30"/>
        <v>2</v>
      </c>
      <c r="AY126" s="30">
        <f t="shared" si="31"/>
        <v>4</v>
      </c>
      <c r="AZ126" s="30">
        <f t="shared" si="32"/>
        <v>3</v>
      </c>
      <c r="BC126" s="46" t="s">
        <v>618</v>
      </c>
      <c r="BD126" s="142" t="s">
        <v>230</v>
      </c>
      <c r="BE126" s="42" t="s">
        <v>8</v>
      </c>
      <c r="BF126" s="13"/>
      <c r="BG126" s="13"/>
      <c r="BH126" s="13"/>
      <c r="BI126" s="14"/>
      <c r="BJ126" s="14">
        <v>3</v>
      </c>
      <c r="BK126" s="14">
        <v>1</v>
      </c>
      <c r="BL126" s="13"/>
      <c r="BM126" s="13">
        <v>1</v>
      </c>
      <c r="BN126" s="13"/>
      <c r="BO126" s="13"/>
      <c r="BP126" s="13">
        <v>2</v>
      </c>
      <c r="BQ126" s="13"/>
      <c r="BR126" s="13"/>
      <c r="BS126" s="13">
        <v>1</v>
      </c>
      <c r="BT126" s="13"/>
      <c r="BU126" s="13"/>
      <c r="BV126" s="13"/>
      <c r="BW126" s="13"/>
      <c r="BX126" s="30">
        <f t="shared" si="33"/>
        <v>0</v>
      </c>
      <c r="BY126" s="30">
        <f t="shared" si="34"/>
        <v>7</v>
      </c>
      <c r="BZ126" s="30">
        <f t="shared" si="35"/>
        <v>1</v>
      </c>
    </row>
    <row r="127" spans="1:78" ht="15.5" x14ac:dyDescent="0.35">
      <c r="A127" s="31" t="s">
        <v>45</v>
      </c>
      <c r="B127" s="35">
        <v>242510025</v>
      </c>
      <c r="C127" s="43" t="s">
        <v>450</v>
      </c>
      <c r="D127" s="127" t="s">
        <v>226</v>
      </c>
      <c r="E127" s="35" t="s">
        <v>6</v>
      </c>
      <c r="F127" s="3"/>
      <c r="G127" s="3"/>
      <c r="H127" s="3"/>
      <c r="I127" s="4"/>
      <c r="J127" s="5">
        <v>1</v>
      </c>
      <c r="K127" s="5"/>
      <c r="L127" s="4">
        <v>1</v>
      </c>
      <c r="M127" s="4"/>
      <c r="N127" s="4">
        <v>1</v>
      </c>
      <c r="O127" s="13"/>
      <c r="P127" s="5"/>
      <c r="Q127" s="5">
        <v>2</v>
      </c>
      <c r="R127" s="4"/>
      <c r="S127" s="5">
        <v>3</v>
      </c>
      <c r="T127" s="5">
        <v>1</v>
      </c>
      <c r="U127" s="4"/>
      <c r="V127" s="5"/>
      <c r="W127" s="5">
        <v>1</v>
      </c>
      <c r="X127" s="30">
        <f t="shared" si="27"/>
        <v>1</v>
      </c>
      <c r="Y127" s="30">
        <f t="shared" si="28"/>
        <v>4</v>
      </c>
      <c r="Z127" s="30">
        <f t="shared" si="29"/>
        <v>5</v>
      </c>
      <c r="AC127" s="47" t="s">
        <v>590</v>
      </c>
      <c r="AD127" s="141" t="s">
        <v>229</v>
      </c>
      <c r="AE127" s="42" t="s">
        <v>6</v>
      </c>
      <c r="AF127" s="3"/>
      <c r="AG127" s="3">
        <v>1</v>
      </c>
      <c r="AH127" s="3"/>
      <c r="AI127" s="4"/>
      <c r="AJ127" s="5"/>
      <c r="AK127" s="4">
        <v>2</v>
      </c>
      <c r="AL127" s="4"/>
      <c r="AM127" s="4">
        <v>1</v>
      </c>
      <c r="AN127" s="4"/>
      <c r="AO127" s="4"/>
      <c r="AP127" s="4"/>
      <c r="AQ127" s="4"/>
      <c r="AR127" s="13">
        <v>1</v>
      </c>
      <c r="AS127" s="13">
        <v>2</v>
      </c>
      <c r="AT127" s="13"/>
      <c r="AU127" s="4">
        <v>1</v>
      </c>
      <c r="AV127" s="4"/>
      <c r="AW127" s="4"/>
      <c r="AX127" s="30">
        <f t="shared" si="30"/>
        <v>2</v>
      </c>
      <c r="AY127" s="30">
        <f t="shared" si="31"/>
        <v>4</v>
      </c>
      <c r="AZ127" s="30">
        <f t="shared" si="32"/>
        <v>2</v>
      </c>
      <c r="BC127" s="47" t="s">
        <v>622</v>
      </c>
      <c r="BD127" s="142" t="s">
        <v>230</v>
      </c>
      <c r="BE127" s="42" t="s">
        <v>8</v>
      </c>
      <c r="BF127" s="13"/>
      <c r="BG127" s="13"/>
      <c r="BH127" s="13"/>
      <c r="BI127" s="13"/>
      <c r="BJ127" s="14"/>
      <c r="BK127" s="13"/>
      <c r="BL127" s="13"/>
      <c r="BM127" s="13"/>
      <c r="BN127" s="13">
        <v>1</v>
      </c>
      <c r="BO127" s="13"/>
      <c r="BP127" s="13"/>
      <c r="BQ127" s="13"/>
      <c r="BR127" s="13"/>
      <c r="BS127" s="13">
        <v>1</v>
      </c>
      <c r="BT127" s="13"/>
      <c r="BU127" s="13"/>
      <c r="BV127" s="13"/>
      <c r="BW127" s="13"/>
      <c r="BX127" s="30">
        <f t="shared" si="33"/>
        <v>0</v>
      </c>
      <c r="BY127" s="30">
        <f t="shared" si="34"/>
        <v>1</v>
      </c>
      <c r="BZ127" s="30">
        <f t="shared" si="35"/>
        <v>1</v>
      </c>
    </row>
    <row r="128" spans="1:78" ht="15.5" x14ac:dyDescent="0.35">
      <c r="A128" s="31" t="s">
        <v>123</v>
      </c>
      <c r="B128" s="35">
        <v>242510033</v>
      </c>
      <c r="C128" s="34" t="s">
        <v>458</v>
      </c>
      <c r="D128" s="127" t="s">
        <v>226</v>
      </c>
      <c r="E128" s="38" t="s">
        <v>6</v>
      </c>
      <c r="F128" s="3">
        <v>1</v>
      </c>
      <c r="G128" s="3"/>
      <c r="H128" s="6"/>
      <c r="I128" s="4"/>
      <c r="J128" s="4">
        <v>1</v>
      </c>
      <c r="K128" s="5">
        <v>1</v>
      </c>
      <c r="L128" s="4"/>
      <c r="M128" s="4">
        <v>1</v>
      </c>
      <c r="N128" s="4"/>
      <c r="O128" s="13"/>
      <c r="P128" s="5">
        <v>1</v>
      </c>
      <c r="Q128" s="4"/>
      <c r="R128" s="4"/>
      <c r="S128" s="5"/>
      <c r="T128" s="4"/>
      <c r="U128" s="4"/>
      <c r="V128" s="5"/>
      <c r="W128" s="4">
        <v>1</v>
      </c>
      <c r="X128" s="30">
        <f t="shared" si="27"/>
        <v>1</v>
      </c>
      <c r="Y128" s="30">
        <f t="shared" si="28"/>
        <v>3</v>
      </c>
      <c r="Z128" s="30">
        <f t="shared" si="29"/>
        <v>2</v>
      </c>
      <c r="AC128" s="51" t="s">
        <v>600</v>
      </c>
      <c r="AD128" s="141" t="s">
        <v>229</v>
      </c>
      <c r="AE128" s="42" t="s">
        <v>8</v>
      </c>
      <c r="AF128" s="3"/>
      <c r="AG128" s="3"/>
      <c r="AH128" s="3"/>
      <c r="AI128" s="4"/>
      <c r="AJ128" s="5"/>
      <c r="AK128" s="4"/>
      <c r="AL128" s="4"/>
      <c r="AM128" s="4">
        <v>2</v>
      </c>
      <c r="AN128" s="4"/>
      <c r="AO128" s="4"/>
      <c r="AP128" s="4">
        <v>1</v>
      </c>
      <c r="AQ128" s="4"/>
      <c r="AR128" s="13"/>
      <c r="AS128" s="13">
        <v>1</v>
      </c>
      <c r="AT128" s="13"/>
      <c r="AU128" s="4"/>
      <c r="AV128" s="4"/>
      <c r="AW128" s="4"/>
      <c r="AX128" s="30">
        <f t="shared" si="30"/>
        <v>0</v>
      </c>
      <c r="AY128" s="30">
        <f t="shared" si="31"/>
        <v>4</v>
      </c>
      <c r="AZ128" s="30">
        <f t="shared" si="32"/>
        <v>0</v>
      </c>
      <c r="BC128" s="43" t="s">
        <v>626</v>
      </c>
      <c r="BD128" s="142" t="s">
        <v>230</v>
      </c>
      <c r="BE128" s="35" t="s">
        <v>8</v>
      </c>
      <c r="BF128" s="13"/>
      <c r="BG128" s="13"/>
      <c r="BH128" s="13"/>
      <c r="BI128" s="13"/>
      <c r="BJ128" s="14"/>
      <c r="BK128" s="13"/>
      <c r="BL128" s="13"/>
      <c r="BM128" s="13"/>
      <c r="BN128" s="13">
        <v>1</v>
      </c>
      <c r="BO128" s="13"/>
      <c r="BP128" s="13"/>
      <c r="BQ128" s="13"/>
      <c r="BR128" s="13"/>
      <c r="BS128" s="13"/>
      <c r="BT128" s="13"/>
      <c r="BU128" s="13"/>
      <c r="BV128" s="13"/>
      <c r="BW128" s="13"/>
      <c r="BX128" s="30">
        <f t="shared" si="33"/>
        <v>0</v>
      </c>
      <c r="BY128" s="30">
        <f t="shared" si="34"/>
        <v>0</v>
      </c>
      <c r="BZ128" s="30">
        <f t="shared" si="35"/>
        <v>1</v>
      </c>
    </row>
    <row r="129" spans="1:78" ht="15.5" x14ac:dyDescent="0.35">
      <c r="A129" s="31" t="s">
        <v>899</v>
      </c>
      <c r="B129" s="35">
        <v>242510043</v>
      </c>
      <c r="C129" s="34" t="s">
        <v>467</v>
      </c>
      <c r="D129" s="139" t="s">
        <v>227</v>
      </c>
      <c r="E129" s="35" t="s">
        <v>6</v>
      </c>
      <c r="F129" s="3"/>
      <c r="G129" s="3"/>
      <c r="H129" s="3">
        <v>1</v>
      </c>
      <c r="I129" s="5"/>
      <c r="J129" s="5">
        <v>1</v>
      </c>
      <c r="K129" s="4"/>
      <c r="L129" s="4"/>
      <c r="M129" s="5">
        <v>2</v>
      </c>
      <c r="N129" s="4"/>
      <c r="O129" s="13">
        <v>1</v>
      </c>
      <c r="P129" s="5"/>
      <c r="Q129" s="4"/>
      <c r="R129" s="4"/>
      <c r="S129" s="5"/>
      <c r="T129" s="4"/>
      <c r="U129" s="4"/>
      <c r="V129" s="5"/>
      <c r="W129" s="4"/>
      <c r="X129" s="30">
        <f t="shared" si="27"/>
        <v>1</v>
      </c>
      <c r="Y129" s="30">
        <f t="shared" si="28"/>
        <v>3</v>
      </c>
      <c r="Z129" s="30">
        <f t="shared" si="29"/>
        <v>1</v>
      </c>
      <c r="AC129" s="47" t="s">
        <v>603</v>
      </c>
      <c r="AD129" s="142" t="s">
        <v>230</v>
      </c>
      <c r="AE129" s="42" t="s">
        <v>8</v>
      </c>
      <c r="AF129" s="13"/>
      <c r="AG129" s="13"/>
      <c r="AH129" s="13"/>
      <c r="AI129" s="13"/>
      <c r="AJ129" s="14">
        <v>1</v>
      </c>
      <c r="AK129" s="13">
        <v>1</v>
      </c>
      <c r="AL129" s="13">
        <v>1</v>
      </c>
      <c r="AM129" s="13"/>
      <c r="AN129" s="13">
        <v>1</v>
      </c>
      <c r="AO129" s="13"/>
      <c r="AP129" s="13"/>
      <c r="AQ129" s="13">
        <v>1</v>
      </c>
      <c r="AR129" s="13">
        <v>1</v>
      </c>
      <c r="AS129" s="13">
        <v>2</v>
      </c>
      <c r="AT129" s="13"/>
      <c r="AU129" s="13"/>
      <c r="AV129" s="13">
        <v>1</v>
      </c>
      <c r="AW129" s="13"/>
      <c r="AX129" s="30">
        <f t="shared" si="30"/>
        <v>2</v>
      </c>
      <c r="AY129" s="30">
        <f t="shared" si="31"/>
        <v>4</v>
      </c>
      <c r="AZ129" s="30">
        <f t="shared" si="32"/>
        <v>3</v>
      </c>
      <c r="BC129" s="36" t="s">
        <v>427</v>
      </c>
      <c r="BD129" s="139" t="s">
        <v>225</v>
      </c>
      <c r="BE129" s="35" t="s">
        <v>8</v>
      </c>
      <c r="BF129" s="19"/>
      <c r="BG129" s="19"/>
      <c r="BH129" s="19"/>
      <c r="BI129" s="13"/>
      <c r="BJ129" s="13">
        <v>1</v>
      </c>
      <c r="BK129" s="13"/>
      <c r="BL129" s="13"/>
      <c r="BM129" s="13"/>
      <c r="BN129" s="13"/>
      <c r="BO129" s="13"/>
      <c r="BP129" s="13">
        <v>2</v>
      </c>
      <c r="BQ129" s="13">
        <v>1</v>
      </c>
      <c r="BR129" s="13"/>
      <c r="BS129" s="13">
        <v>2</v>
      </c>
      <c r="BT129" s="13">
        <v>1</v>
      </c>
      <c r="BU129" s="13"/>
      <c r="BV129" s="13"/>
      <c r="BW129" s="13"/>
      <c r="BX129" s="30">
        <f t="shared" si="33"/>
        <v>0</v>
      </c>
      <c r="BY129" s="30">
        <f t="shared" si="34"/>
        <v>5</v>
      </c>
      <c r="BZ129" s="30">
        <f t="shared" si="35"/>
        <v>2</v>
      </c>
    </row>
    <row r="130" spans="1:78" ht="15.5" x14ac:dyDescent="0.35">
      <c r="A130" s="31" t="s">
        <v>900</v>
      </c>
      <c r="B130" s="35">
        <v>242510044</v>
      </c>
      <c r="C130" s="43" t="s">
        <v>891</v>
      </c>
      <c r="D130" s="139" t="s">
        <v>227</v>
      </c>
      <c r="E130" s="35" t="s">
        <v>6</v>
      </c>
      <c r="F130" s="3">
        <v>1</v>
      </c>
      <c r="G130" s="3"/>
      <c r="H130" s="3"/>
      <c r="I130" s="4"/>
      <c r="J130" s="5">
        <v>1</v>
      </c>
      <c r="K130" s="4"/>
      <c r="L130" s="4"/>
      <c r="M130" s="4">
        <v>1</v>
      </c>
      <c r="N130" s="4"/>
      <c r="O130" s="13"/>
      <c r="P130" s="4">
        <v>2</v>
      </c>
      <c r="Q130" s="4"/>
      <c r="R130" s="4"/>
      <c r="S130" s="4">
        <v>2</v>
      </c>
      <c r="T130" s="4"/>
      <c r="U130" s="4"/>
      <c r="V130" s="4"/>
      <c r="W130" s="4"/>
      <c r="X130" s="30">
        <f t="shared" si="27"/>
        <v>1</v>
      </c>
      <c r="Y130" s="30">
        <f t="shared" si="28"/>
        <v>6</v>
      </c>
      <c r="Z130" s="30">
        <f t="shared" si="29"/>
        <v>0</v>
      </c>
      <c r="AC130" s="46" t="s">
        <v>611</v>
      </c>
      <c r="AD130" s="142" t="s">
        <v>230</v>
      </c>
      <c r="AE130" s="42" t="s">
        <v>8</v>
      </c>
      <c r="AF130" s="13"/>
      <c r="AG130" s="13"/>
      <c r="AH130" s="14"/>
      <c r="AI130" s="13"/>
      <c r="AJ130" s="14"/>
      <c r="AK130" s="14"/>
      <c r="AL130" s="13"/>
      <c r="AM130" s="13"/>
      <c r="AN130" s="13"/>
      <c r="AO130" s="13"/>
      <c r="AP130" s="13">
        <v>2</v>
      </c>
      <c r="AQ130" s="13"/>
      <c r="AR130" s="13"/>
      <c r="AS130" s="13">
        <v>2</v>
      </c>
      <c r="AT130" s="13"/>
      <c r="AU130" s="13"/>
      <c r="AV130" s="13"/>
      <c r="AW130" s="13"/>
      <c r="AX130" s="30">
        <f t="shared" si="30"/>
        <v>0</v>
      </c>
      <c r="AY130" s="30">
        <f t="shared" si="31"/>
        <v>4</v>
      </c>
      <c r="AZ130" s="30">
        <f t="shared" si="32"/>
        <v>0</v>
      </c>
      <c r="BC130" s="44" t="s">
        <v>445</v>
      </c>
      <c r="BD130" s="127" t="s">
        <v>226</v>
      </c>
      <c r="BE130" s="35" t="s">
        <v>6</v>
      </c>
      <c r="BF130" s="3"/>
      <c r="BG130" s="3"/>
      <c r="BH130" s="3"/>
      <c r="BI130" s="4"/>
      <c r="BJ130" s="5"/>
      <c r="BK130" s="5"/>
      <c r="BL130" s="4"/>
      <c r="BM130" s="4"/>
      <c r="BN130" s="4">
        <v>2</v>
      </c>
      <c r="BO130" s="13"/>
      <c r="BP130" s="5"/>
      <c r="BQ130" s="5"/>
      <c r="BR130" s="4"/>
      <c r="BS130" s="5">
        <v>2</v>
      </c>
      <c r="BT130" s="5"/>
      <c r="BU130" s="4"/>
      <c r="BV130" s="5"/>
      <c r="BW130" s="5"/>
      <c r="BX130" s="30">
        <f t="shared" si="33"/>
        <v>0</v>
      </c>
      <c r="BY130" s="30">
        <f t="shared" si="34"/>
        <v>2</v>
      </c>
      <c r="BZ130" s="30">
        <f t="shared" si="35"/>
        <v>2</v>
      </c>
    </row>
    <row r="131" spans="1:78" ht="15.5" x14ac:dyDescent="0.35">
      <c r="A131" s="31" t="s">
        <v>904</v>
      </c>
      <c r="B131" s="35">
        <v>242510048</v>
      </c>
      <c r="C131" s="44" t="s">
        <v>471</v>
      </c>
      <c r="D131" s="139" t="s">
        <v>227</v>
      </c>
      <c r="E131" s="35" t="s">
        <v>6</v>
      </c>
      <c r="F131" s="3"/>
      <c r="G131" s="3"/>
      <c r="H131" s="3"/>
      <c r="I131" s="4"/>
      <c r="J131" s="5"/>
      <c r="K131" s="4"/>
      <c r="L131" s="4"/>
      <c r="M131" s="4"/>
      <c r="N131" s="4"/>
      <c r="O131" s="13"/>
      <c r="P131" s="4">
        <v>4</v>
      </c>
      <c r="Q131" s="4"/>
      <c r="R131" s="4">
        <v>1</v>
      </c>
      <c r="S131" s="4">
        <v>2</v>
      </c>
      <c r="T131" s="4">
        <v>1</v>
      </c>
      <c r="U131" s="4"/>
      <c r="V131" s="4"/>
      <c r="W131" s="4">
        <v>1</v>
      </c>
      <c r="X131" s="30">
        <f t="shared" si="27"/>
        <v>1</v>
      </c>
      <c r="Y131" s="30">
        <f t="shared" si="28"/>
        <v>6</v>
      </c>
      <c r="Z131" s="30">
        <f t="shared" si="29"/>
        <v>2</v>
      </c>
      <c r="AC131" s="46" t="s">
        <v>614</v>
      </c>
      <c r="AD131" s="142" t="s">
        <v>230</v>
      </c>
      <c r="AE131" s="42" t="s">
        <v>6</v>
      </c>
      <c r="AF131" s="13"/>
      <c r="AG131" s="13"/>
      <c r="AH131" s="13"/>
      <c r="AI131" s="13">
        <v>2</v>
      </c>
      <c r="AJ131" s="13">
        <v>2</v>
      </c>
      <c r="AK131" s="13"/>
      <c r="AL131" s="13">
        <v>4</v>
      </c>
      <c r="AM131" s="13"/>
      <c r="AN131" s="13"/>
      <c r="AO131" s="13">
        <v>3</v>
      </c>
      <c r="AP131" s="13"/>
      <c r="AQ131" s="13">
        <v>2</v>
      </c>
      <c r="AR131" s="13">
        <v>1</v>
      </c>
      <c r="AS131" s="13">
        <v>2</v>
      </c>
      <c r="AT131" s="13">
        <v>1</v>
      </c>
      <c r="AU131" s="13"/>
      <c r="AV131" s="13"/>
      <c r="AW131" s="13"/>
      <c r="AX131" s="30">
        <f t="shared" si="30"/>
        <v>10</v>
      </c>
      <c r="AY131" s="30">
        <f t="shared" si="31"/>
        <v>4</v>
      </c>
      <c r="AZ131" s="30">
        <f t="shared" si="32"/>
        <v>3</v>
      </c>
      <c r="BC131" s="43" t="s">
        <v>448</v>
      </c>
      <c r="BD131" s="127" t="s">
        <v>226</v>
      </c>
      <c r="BE131" s="35" t="s">
        <v>6</v>
      </c>
      <c r="BF131" s="3"/>
      <c r="BG131" s="3"/>
      <c r="BH131" s="3"/>
      <c r="BI131" s="4"/>
      <c r="BJ131" s="5">
        <v>1</v>
      </c>
      <c r="BK131" s="5"/>
      <c r="BL131" s="4"/>
      <c r="BM131" s="4">
        <v>3</v>
      </c>
      <c r="BN131" s="4">
        <v>1</v>
      </c>
      <c r="BO131" s="13">
        <v>1</v>
      </c>
      <c r="BP131" s="5">
        <v>1</v>
      </c>
      <c r="BQ131" s="5"/>
      <c r="BR131" s="4"/>
      <c r="BS131" s="5">
        <v>2</v>
      </c>
      <c r="BT131" s="5">
        <v>1</v>
      </c>
      <c r="BU131" s="4"/>
      <c r="BV131" s="5"/>
      <c r="BW131" s="5"/>
      <c r="BX131" s="30">
        <f t="shared" si="33"/>
        <v>1</v>
      </c>
      <c r="BY131" s="30">
        <f t="shared" si="34"/>
        <v>7</v>
      </c>
      <c r="BZ131" s="30">
        <f t="shared" si="35"/>
        <v>2</v>
      </c>
    </row>
    <row r="132" spans="1:78" ht="15.5" x14ac:dyDescent="0.35">
      <c r="A132" s="31" t="s">
        <v>908</v>
      </c>
      <c r="B132" s="35">
        <v>242510052</v>
      </c>
      <c r="C132" s="36" t="s">
        <v>475</v>
      </c>
      <c r="D132" s="139" t="s">
        <v>227</v>
      </c>
      <c r="E132" s="35" t="s">
        <v>6</v>
      </c>
      <c r="F132" s="3"/>
      <c r="G132" s="3"/>
      <c r="H132" s="3"/>
      <c r="I132" s="4">
        <v>1</v>
      </c>
      <c r="J132" s="5"/>
      <c r="K132" s="4"/>
      <c r="L132" s="4"/>
      <c r="M132" s="4">
        <v>1</v>
      </c>
      <c r="N132" s="4"/>
      <c r="O132" s="13"/>
      <c r="P132" s="4">
        <v>1</v>
      </c>
      <c r="Q132" s="4"/>
      <c r="R132" s="4"/>
      <c r="S132" s="4">
        <v>1</v>
      </c>
      <c r="T132" s="4"/>
      <c r="U132" s="4"/>
      <c r="V132" s="4"/>
      <c r="W132" s="4"/>
      <c r="X132" s="30">
        <f t="shared" ref="X132:X163" si="36">SUM(F132,I132,L132,O132,R132,U132)</f>
        <v>1</v>
      </c>
      <c r="Y132" s="30">
        <f t="shared" ref="Y132:Y163" si="37">SUM(G132,J132,M132,P132,S132,V132)</f>
        <v>3</v>
      </c>
      <c r="Z132" s="30">
        <f t="shared" ref="Z132:Z163" si="38">SUM(H132,K132,N132,Q132,T132,W132)</f>
        <v>0</v>
      </c>
      <c r="AC132" s="58" t="s">
        <v>619</v>
      </c>
      <c r="AD132" s="142" t="s">
        <v>230</v>
      </c>
      <c r="AE132" s="42" t="s">
        <v>8</v>
      </c>
      <c r="AF132" s="13"/>
      <c r="AG132" s="13">
        <v>1</v>
      </c>
      <c r="AH132" s="13"/>
      <c r="AI132" s="13"/>
      <c r="AJ132" s="14">
        <v>2</v>
      </c>
      <c r="AK132" s="14">
        <v>1</v>
      </c>
      <c r="AL132" s="13"/>
      <c r="AM132" s="13"/>
      <c r="AN132" s="13"/>
      <c r="AO132" s="13"/>
      <c r="AP132" s="13"/>
      <c r="AQ132" s="13"/>
      <c r="AR132" s="13">
        <v>2</v>
      </c>
      <c r="AS132" s="13">
        <v>1</v>
      </c>
      <c r="AT132" s="13">
        <v>1</v>
      </c>
      <c r="AU132" s="13"/>
      <c r="AV132" s="13"/>
      <c r="AW132" s="13"/>
      <c r="AX132" s="30">
        <f t="shared" ref="AX132:AX163" si="39">SUM(AF132,AI132,AL132,AO132,AR132,AU132)</f>
        <v>2</v>
      </c>
      <c r="AY132" s="30">
        <f t="shared" ref="AY132:AY163" si="40">SUM(AG132,AJ132,AM132,AP132,AS132,AV132)</f>
        <v>4</v>
      </c>
      <c r="AZ132" s="30">
        <f t="shared" ref="AZ132:AZ163" si="41">SUM(AH132,AK132,AN132,AQ132,AT132,AW132)</f>
        <v>2</v>
      </c>
      <c r="BC132" s="36" t="s">
        <v>453</v>
      </c>
      <c r="BD132" s="127" t="s">
        <v>226</v>
      </c>
      <c r="BE132" s="35" t="s">
        <v>6</v>
      </c>
      <c r="BF132" s="3"/>
      <c r="BG132" s="3"/>
      <c r="BH132" s="3"/>
      <c r="BI132" s="4"/>
      <c r="BJ132" s="5"/>
      <c r="BK132" s="5"/>
      <c r="BL132" s="4"/>
      <c r="BM132" s="4"/>
      <c r="BN132" s="4"/>
      <c r="BO132" s="13"/>
      <c r="BP132" s="5"/>
      <c r="BQ132" s="5"/>
      <c r="BR132" s="4"/>
      <c r="BS132" s="5">
        <v>1</v>
      </c>
      <c r="BT132" s="5">
        <v>2</v>
      </c>
      <c r="BU132" s="4"/>
      <c r="BV132" s="5"/>
      <c r="BW132" s="5"/>
      <c r="BX132" s="30">
        <f t="shared" ref="BX132:BX163" si="42">SUM(BF132,BI132,BL132,BO132,BR132,BU132)</f>
        <v>0</v>
      </c>
      <c r="BY132" s="30">
        <f t="shared" ref="BY132:BY163" si="43">SUM(BG132,BJ132,BM132,BP132,BS132,BV132)</f>
        <v>1</v>
      </c>
      <c r="BZ132" s="30">
        <f t="shared" ref="BZ132:BZ163" si="44">SUM(BH132,BK132,BN132,BQ132,BT132,BW132)</f>
        <v>2</v>
      </c>
    </row>
    <row r="133" spans="1:78" ht="15.5" x14ac:dyDescent="0.35">
      <c r="A133" s="31" t="s">
        <v>913</v>
      </c>
      <c r="B133" s="35">
        <v>242510057</v>
      </c>
      <c r="C133" s="47" t="s">
        <v>480</v>
      </c>
      <c r="D133" s="139" t="s">
        <v>227</v>
      </c>
      <c r="E133" s="35" t="s">
        <v>6</v>
      </c>
      <c r="F133" s="3"/>
      <c r="G133" s="3"/>
      <c r="H133" s="3"/>
      <c r="I133" s="4"/>
      <c r="J133" s="5"/>
      <c r="K133" s="4"/>
      <c r="L133" s="4"/>
      <c r="M133" s="4"/>
      <c r="N133" s="4"/>
      <c r="O133" s="13"/>
      <c r="P133" s="4"/>
      <c r="Q133" s="4"/>
      <c r="R133" s="4">
        <v>1</v>
      </c>
      <c r="S133" s="4">
        <v>3</v>
      </c>
      <c r="T133" s="4"/>
      <c r="U133" s="4"/>
      <c r="V133" s="4"/>
      <c r="W133" s="4"/>
      <c r="X133" s="30">
        <f t="shared" si="36"/>
        <v>1</v>
      </c>
      <c r="Y133" s="30">
        <f t="shared" si="37"/>
        <v>3</v>
      </c>
      <c r="Z133" s="30">
        <f t="shared" si="38"/>
        <v>0</v>
      </c>
      <c r="AC133" s="36" t="s">
        <v>427</v>
      </c>
      <c r="AD133" s="139" t="s">
        <v>225</v>
      </c>
      <c r="AE133" s="35" t="s">
        <v>8</v>
      </c>
      <c r="AF133" s="19"/>
      <c r="AG133" s="19"/>
      <c r="AH133" s="19"/>
      <c r="AI133" s="13"/>
      <c r="AJ133" s="13">
        <v>1</v>
      </c>
      <c r="AK133" s="13"/>
      <c r="AL133" s="13"/>
      <c r="AM133" s="13"/>
      <c r="AN133" s="13"/>
      <c r="AO133" s="13"/>
      <c r="AP133" s="13">
        <v>2</v>
      </c>
      <c r="AQ133" s="13">
        <v>1</v>
      </c>
      <c r="AR133" s="13"/>
      <c r="AS133" s="13">
        <v>2</v>
      </c>
      <c r="AT133" s="13">
        <v>1</v>
      </c>
      <c r="AU133" s="13"/>
      <c r="AV133" s="13"/>
      <c r="AW133" s="13"/>
      <c r="AX133" s="30">
        <f t="shared" si="39"/>
        <v>0</v>
      </c>
      <c r="AY133" s="30">
        <f t="shared" si="40"/>
        <v>5</v>
      </c>
      <c r="AZ133" s="30">
        <f t="shared" si="41"/>
        <v>2</v>
      </c>
      <c r="BC133" s="41" t="s">
        <v>457</v>
      </c>
      <c r="BD133" s="127" t="s">
        <v>226</v>
      </c>
      <c r="BE133" s="40" t="s">
        <v>6</v>
      </c>
      <c r="BF133" s="3"/>
      <c r="BG133" s="3"/>
      <c r="BH133" s="3"/>
      <c r="BI133" s="4"/>
      <c r="BJ133" s="5"/>
      <c r="BK133" s="5"/>
      <c r="BL133" s="4"/>
      <c r="BM133" s="4"/>
      <c r="BN133" s="4"/>
      <c r="BO133" s="13"/>
      <c r="BP133" s="5"/>
      <c r="BQ133" s="5"/>
      <c r="BR133" s="4"/>
      <c r="BS133" s="5">
        <v>3</v>
      </c>
      <c r="BT133" s="5">
        <v>2</v>
      </c>
      <c r="BU133" s="4"/>
      <c r="BV133" s="5"/>
      <c r="BW133" s="5"/>
      <c r="BX133" s="30">
        <f t="shared" si="42"/>
        <v>0</v>
      </c>
      <c r="BY133" s="30">
        <f t="shared" si="43"/>
        <v>3</v>
      </c>
      <c r="BZ133" s="30">
        <f t="shared" si="44"/>
        <v>2</v>
      </c>
    </row>
    <row r="134" spans="1:78" ht="15.5" x14ac:dyDescent="0.35">
      <c r="A134" s="31" t="s">
        <v>917</v>
      </c>
      <c r="B134" s="35">
        <v>242510061</v>
      </c>
      <c r="C134" s="34" t="s">
        <v>484</v>
      </c>
      <c r="D134" s="139" t="s">
        <v>227</v>
      </c>
      <c r="E134" s="35" t="s">
        <v>6</v>
      </c>
      <c r="F134" s="3"/>
      <c r="G134" s="3"/>
      <c r="H134" s="3"/>
      <c r="I134" s="4"/>
      <c r="J134" s="5">
        <v>3</v>
      </c>
      <c r="K134" s="4"/>
      <c r="L134" s="4"/>
      <c r="M134" s="5"/>
      <c r="N134" s="4"/>
      <c r="O134" s="13"/>
      <c r="P134" s="5"/>
      <c r="Q134" s="4"/>
      <c r="R134" s="4">
        <v>1</v>
      </c>
      <c r="S134" s="5">
        <v>2</v>
      </c>
      <c r="T134" s="4"/>
      <c r="U134" s="4"/>
      <c r="V134" s="5"/>
      <c r="W134" s="4"/>
      <c r="X134" s="30">
        <f t="shared" si="36"/>
        <v>1</v>
      </c>
      <c r="Y134" s="30">
        <f t="shared" si="37"/>
        <v>5</v>
      </c>
      <c r="Z134" s="30">
        <f t="shared" si="38"/>
        <v>0</v>
      </c>
      <c r="AC134" s="39" t="s">
        <v>434</v>
      </c>
      <c r="AD134" s="139" t="s">
        <v>225</v>
      </c>
      <c r="AE134" s="40" t="s">
        <v>8</v>
      </c>
      <c r="AF134" s="19"/>
      <c r="AG134" s="19"/>
      <c r="AH134" s="19"/>
      <c r="AI134" s="13">
        <v>1</v>
      </c>
      <c r="AJ134" s="13">
        <v>1</v>
      </c>
      <c r="AK134" s="14"/>
      <c r="AL134" s="13"/>
      <c r="AM134" s="13">
        <v>1</v>
      </c>
      <c r="AN134" s="13"/>
      <c r="AO134" s="13"/>
      <c r="AP134" s="13">
        <v>2</v>
      </c>
      <c r="AQ134" s="13">
        <v>1</v>
      </c>
      <c r="AR134" s="13">
        <v>1</v>
      </c>
      <c r="AS134" s="13">
        <v>1</v>
      </c>
      <c r="AT134" s="13"/>
      <c r="AU134" s="13">
        <v>1</v>
      </c>
      <c r="AV134" s="13"/>
      <c r="AW134" s="13"/>
      <c r="AX134" s="30">
        <f t="shared" si="39"/>
        <v>3</v>
      </c>
      <c r="AY134" s="30">
        <f t="shared" si="40"/>
        <v>5</v>
      </c>
      <c r="AZ134" s="30">
        <f t="shared" si="41"/>
        <v>1</v>
      </c>
      <c r="BC134" s="34" t="s">
        <v>458</v>
      </c>
      <c r="BD134" s="127" t="s">
        <v>226</v>
      </c>
      <c r="BE134" s="38" t="s">
        <v>6</v>
      </c>
      <c r="BF134" s="3">
        <v>1</v>
      </c>
      <c r="BG134" s="3"/>
      <c r="BH134" s="6"/>
      <c r="BI134" s="4"/>
      <c r="BJ134" s="4">
        <v>1</v>
      </c>
      <c r="BK134" s="5">
        <v>1</v>
      </c>
      <c r="BL134" s="4"/>
      <c r="BM134" s="4">
        <v>1</v>
      </c>
      <c r="BN134" s="4"/>
      <c r="BO134" s="13"/>
      <c r="BP134" s="5">
        <v>1</v>
      </c>
      <c r="BQ134" s="4"/>
      <c r="BR134" s="4"/>
      <c r="BS134" s="5"/>
      <c r="BT134" s="4"/>
      <c r="BU134" s="4"/>
      <c r="BV134" s="5"/>
      <c r="BW134" s="4">
        <v>1</v>
      </c>
      <c r="BX134" s="30">
        <f t="shared" si="42"/>
        <v>1</v>
      </c>
      <c r="BY134" s="30">
        <f t="shared" si="43"/>
        <v>3</v>
      </c>
      <c r="BZ134" s="30">
        <f t="shared" si="44"/>
        <v>2</v>
      </c>
    </row>
    <row r="135" spans="1:78" ht="15.5" x14ac:dyDescent="0.35">
      <c r="A135" s="31" t="s">
        <v>920</v>
      </c>
      <c r="B135" s="35">
        <v>242510064</v>
      </c>
      <c r="C135" s="34" t="s">
        <v>487</v>
      </c>
      <c r="D135" s="139" t="s">
        <v>227</v>
      </c>
      <c r="E135" s="35" t="s">
        <v>6</v>
      </c>
      <c r="F135" s="3">
        <v>1</v>
      </c>
      <c r="G135" s="3"/>
      <c r="H135" s="3"/>
      <c r="I135" s="4"/>
      <c r="J135" s="5">
        <v>1</v>
      </c>
      <c r="K135" s="5"/>
      <c r="L135" s="4"/>
      <c r="M135" s="5"/>
      <c r="N135" s="5"/>
      <c r="O135" s="13"/>
      <c r="P135" s="5"/>
      <c r="Q135" s="5"/>
      <c r="R135" s="4"/>
      <c r="S135" s="5"/>
      <c r="T135" s="5"/>
      <c r="U135" s="4"/>
      <c r="V135" s="5"/>
      <c r="W135" s="5"/>
      <c r="X135" s="30">
        <f t="shared" si="36"/>
        <v>1</v>
      </c>
      <c r="Y135" s="30">
        <f t="shared" si="37"/>
        <v>1</v>
      </c>
      <c r="Z135" s="30">
        <f t="shared" si="38"/>
        <v>0</v>
      </c>
      <c r="AC135" s="34" t="s">
        <v>484</v>
      </c>
      <c r="AD135" s="139" t="s">
        <v>227</v>
      </c>
      <c r="AE135" s="35" t="s">
        <v>6</v>
      </c>
      <c r="AF135" s="3"/>
      <c r="AG135" s="3"/>
      <c r="AH135" s="3"/>
      <c r="AI135" s="4"/>
      <c r="AJ135" s="5">
        <v>3</v>
      </c>
      <c r="AK135" s="4"/>
      <c r="AL135" s="4"/>
      <c r="AM135" s="5"/>
      <c r="AN135" s="4"/>
      <c r="AO135" s="13"/>
      <c r="AP135" s="5"/>
      <c r="AQ135" s="4"/>
      <c r="AR135" s="4">
        <v>1</v>
      </c>
      <c r="AS135" s="5">
        <v>2</v>
      </c>
      <c r="AT135" s="4"/>
      <c r="AU135" s="4"/>
      <c r="AV135" s="5"/>
      <c r="AW135" s="4"/>
      <c r="AX135" s="30">
        <f t="shared" si="39"/>
        <v>1</v>
      </c>
      <c r="AY135" s="30">
        <f t="shared" si="40"/>
        <v>5</v>
      </c>
      <c r="AZ135" s="30">
        <f t="shared" si="41"/>
        <v>0</v>
      </c>
      <c r="BC135" s="43" t="s">
        <v>468</v>
      </c>
      <c r="BD135" s="139" t="s">
        <v>227</v>
      </c>
      <c r="BE135" s="35" t="s">
        <v>6</v>
      </c>
      <c r="BF135" s="3"/>
      <c r="BG135" s="3"/>
      <c r="BH135" s="3"/>
      <c r="BI135" s="4"/>
      <c r="BJ135" s="5"/>
      <c r="BK135" s="4"/>
      <c r="BL135" s="4"/>
      <c r="BM135" s="4"/>
      <c r="BN135" s="4"/>
      <c r="BO135" s="13"/>
      <c r="BP135" s="4">
        <v>2</v>
      </c>
      <c r="BQ135" s="4"/>
      <c r="BR135" s="4"/>
      <c r="BS135" s="4">
        <v>1</v>
      </c>
      <c r="BT135" s="4">
        <v>2</v>
      </c>
      <c r="BU135" s="4"/>
      <c r="BV135" s="4"/>
      <c r="BW135" s="4"/>
      <c r="BX135" s="30">
        <f t="shared" si="42"/>
        <v>0</v>
      </c>
      <c r="BY135" s="30">
        <f t="shared" si="43"/>
        <v>3</v>
      </c>
      <c r="BZ135" s="30">
        <f t="shared" si="44"/>
        <v>2</v>
      </c>
    </row>
    <row r="136" spans="1:78" ht="15.5" x14ac:dyDescent="0.35">
      <c r="A136" s="31" t="s">
        <v>938</v>
      </c>
      <c r="B136" s="33" t="s">
        <v>519</v>
      </c>
      <c r="C136" s="41" t="s">
        <v>520</v>
      </c>
      <c r="D136" s="140" t="s">
        <v>228</v>
      </c>
      <c r="E136" s="42" t="s">
        <v>6</v>
      </c>
      <c r="F136" s="27"/>
      <c r="G136" s="27"/>
      <c r="H136" s="27"/>
      <c r="I136" s="15"/>
      <c r="J136" s="21">
        <v>2</v>
      </c>
      <c r="K136" s="21"/>
      <c r="L136" s="15">
        <v>1</v>
      </c>
      <c r="M136" s="15">
        <v>1</v>
      </c>
      <c r="N136" s="15"/>
      <c r="O136" s="15"/>
      <c r="P136" s="15">
        <v>1</v>
      </c>
      <c r="Q136" s="15"/>
      <c r="R136" s="15"/>
      <c r="S136" s="15"/>
      <c r="T136" s="15"/>
      <c r="U136" s="15"/>
      <c r="V136" s="15"/>
      <c r="W136" s="15"/>
      <c r="X136" s="30">
        <f t="shared" si="36"/>
        <v>1</v>
      </c>
      <c r="Y136" s="30">
        <f t="shared" si="37"/>
        <v>4</v>
      </c>
      <c r="Z136" s="30">
        <f t="shared" si="38"/>
        <v>0</v>
      </c>
      <c r="AC136" s="37" t="s">
        <v>558</v>
      </c>
      <c r="AD136" s="140" t="s">
        <v>228</v>
      </c>
      <c r="AE136" s="35" t="s">
        <v>8</v>
      </c>
      <c r="AF136" s="19"/>
      <c r="AG136" s="19"/>
      <c r="AH136" s="19"/>
      <c r="AI136" s="13"/>
      <c r="AJ136" s="13">
        <v>1</v>
      </c>
      <c r="AK136" s="13"/>
      <c r="AL136" s="13"/>
      <c r="AM136" s="13">
        <v>2</v>
      </c>
      <c r="AN136" s="13"/>
      <c r="AO136" s="13"/>
      <c r="AP136" s="13"/>
      <c r="AQ136" s="13"/>
      <c r="AR136" s="13"/>
      <c r="AS136" s="13">
        <v>2</v>
      </c>
      <c r="AT136" s="13">
        <v>3</v>
      </c>
      <c r="AU136" s="13"/>
      <c r="AV136" s="13"/>
      <c r="AW136" s="13"/>
      <c r="AX136" s="30">
        <f t="shared" si="39"/>
        <v>0</v>
      </c>
      <c r="AY136" s="30">
        <f t="shared" si="40"/>
        <v>5</v>
      </c>
      <c r="AZ136" s="30">
        <f t="shared" si="41"/>
        <v>3</v>
      </c>
      <c r="BC136" s="36" t="s">
        <v>470</v>
      </c>
      <c r="BD136" s="139" t="s">
        <v>227</v>
      </c>
      <c r="BE136" s="35" t="s">
        <v>6</v>
      </c>
      <c r="BF136" s="3"/>
      <c r="BG136" s="3"/>
      <c r="BH136" s="3"/>
      <c r="BI136" s="4"/>
      <c r="BJ136" s="5"/>
      <c r="BK136" s="4">
        <v>1</v>
      </c>
      <c r="BL136" s="4"/>
      <c r="BM136" s="4"/>
      <c r="BN136" s="4"/>
      <c r="BO136" s="13"/>
      <c r="BP136" s="4"/>
      <c r="BQ136" s="4"/>
      <c r="BR136" s="4"/>
      <c r="BS136" s="4">
        <v>1</v>
      </c>
      <c r="BT136" s="4"/>
      <c r="BU136" s="4"/>
      <c r="BV136" s="4"/>
      <c r="BW136" s="4">
        <v>1</v>
      </c>
      <c r="BX136" s="30">
        <f t="shared" si="42"/>
        <v>0</v>
      </c>
      <c r="BY136" s="30">
        <f t="shared" si="43"/>
        <v>1</v>
      </c>
      <c r="BZ136" s="30">
        <f t="shared" si="44"/>
        <v>2</v>
      </c>
    </row>
    <row r="137" spans="1:78" ht="15.5" x14ac:dyDescent="0.35">
      <c r="A137" s="31" t="s">
        <v>949</v>
      </c>
      <c r="B137" s="33" t="s">
        <v>541</v>
      </c>
      <c r="C137" s="53" t="s">
        <v>542</v>
      </c>
      <c r="D137" s="140" t="s">
        <v>228</v>
      </c>
      <c r="E137" s="42" t="s">
        <v>8</v>
      </c>
      <c r="F137" s="19"/>
      <c r="G137" s="19"/>
      <c r="H137" s="19"/>
      <c r="I137" s="13">
        <v>1</v>
      </c>
      <c r="J137" s="14">
        <v>1</v>
      </c>
      <c r="K137" s="13"/>
      <c r="L137" s="13"/>
      <c r="M137" s="13"/>
      <c r="N137" s="13"/>
      <c r="O137" s="13"/>
      <c r="P137" s="13"/>
      <c r="Q137" s="13"/>
      <c r="R137" s="13"/>
      <c r="S137" s="13">
        <v>1</v>
      </c>
      <c r="T137" s="13"/>
      <c r="U137" s="13"/>
      <c r="V137" s="13"/>
      <c r="W137" s="13"/>
      <c r="X137" s="30">
        <f t="shared" si="36"/>
        <v>1</v>
      </c>
      <c r="Y137" s="30">
        <f t="shared" si="37"/>
        <v>2</v>
      </c>
      <c r="Z137" s="30">
        <f t="shared" si="38"/>
        <v>0</v>
      </c>
      <c r="AC137" s="59" t="s">
        <v>579</v>
      </c>
      <c r="AD137" s="141" t="s">
        <v>229</v>
      </c>
      <c r="AE137" s="42" t="s">
        <v>6</v>
      </c>
      <c r="AF137" s="26"/>
      <c r="AG137" s="26"/>
      <c r="AH137" s="26"/>
      <c r="AI137" s="9"/>
      <c r="AJ137" s="9"/>
      <c r="AK137" s="9">
        <v>3</v>
      </c>
      <c r="AL137" s="9"/>
      <c r="AM137" s="9"/>
      <c r="AN137" s="9"/>
      <c r="AO137" s="9"/>
      <c r="AP137" s="9">
        <v>2</v>
      </c>
      <c r="AQ137" s="9"/>
      <c r="AR137" s="15"/>
      <c r="AS137" s="15">
        <v>2</v>
      </c>
      <c r="AT137" s="15">
        <v>2</v>
      </c>
      <c r="AU137" s="9"/>
      <c r="AV137" s="9">
        <v>1</v>
      </c>
      <c r="AW137" s="9"/>
      <c r="AX137" s="30">
        <f t="shared" si="39"/>
        <v>0</v>
      </c>
      <c r="AY137" s="30">
        <f t="shared" si="40"/>
        <v>5</v>
      </c>
      <c r="AZ137" s="30">
        <f t="shared" si="41"/>
        <v>5</v>
      </c>
      <c r="BC137" s="44" t="s">
        <v>471</v>
      </c>
      <c r="BD137" s="139" t="s">
        <v>227</v>
      </c>
      <c r="BE137" s="35" t="s">
        <v>6</v>
      </c>
      <c r="BF137" s="3"/>
      <c r="BG137" s="3"/>
      <c r="BH137" s="3"/>
      <c r="BI137" s="4"/>
      <c r="BJ137" s="5"/>
      <c r="BK137" s="4"/>
      <c r="BL137" s="4"/>
      <c r="BM137" s="4"/>
      <c r="BN137" s="4"/>
      <c r="BO137" s="13"/>
      <c r="BP137" s="4">
        <v>4</v>
      </c>
      <c r="BQ137" s="4"/>
      <c r="BR137" s="4">
        <v>1</v>
      </c>
      <c r="BS137" s="4">
        <v>2</v>
      </c>
      <c r="BT137" s="4">
        <v>1</v>
      </c>
      <c r="BU137" s="4"/>
      <c r="BV137" s="4"/>
      <c r="BW137" s="4">
        <v>1</v>
      </c>
      <c r="BX137" s="30">
        <f t="shared" si="42"/>
        <v>1</v>
      </c>
      <c r="BY137" s="30">
        <f t="shared" si="43"/>
        <v>6</v>
      </c>
      <c r="BZ137" s="30">
        <f t="shared" si="44"/>
        <v>2</v>
      </c>
    </row>
    <row r="138" spans="1:78" ht="15.5" x14ac:dyDescent="0.35">
      <c r="A138" s="31" t="s">
        <v>963</v>
      </c>
      <c r="B138" s="35">
        <v>242510105</v>
      </c>
      <c r="C138" s="41" t="s">
        <v>565</v>
      </c>
      <c r="D138" s="141" t="s">
        <v>229</v>
      </c>
      <c r="E138" s="42" t="s">
        <v>8</v>
      </c>
      <c r="F138" s="3"/>
      <c r="G138" s="3"/>
      <c r="H138" s="3"/>
      <c r="I138" s="4"/>
      <c r="J138" s="4">
        <v>1</v>
      </c>
      <c r="K138" s="4"/>
      <c r="L138" s="4"/>
      <c r="M138" s="4">
        <v>2</v>
      </c>
      <c r="N138" s="4"/>
      <c r="O138" s="4"/>
      <c r="P138" s="4">
        <v>2</v>
      </c>
      <c r="Q138" s="4"/>
      <c r="R138" s="13">
        <v>1</v>
      </c>
      <c r="S138" s="13">
        <v>1</v>
      </c>
      <c r="T138" s="13"/>
      <c r="U138" s="4"/>
      <c r="V138" s="4">
        <v>1</v>
      </c>
      <c r="W138" s="4"/>
      <c r="X138" s="30">
        <f t="shared" si="36"/>
        <v>1</v>
      </c>
      <c r="Y138" s="30">
        <f t="shared" si="37"/>
        <v>7</v>
      </c>
      <c r="Z138" s="30">
        <f t="shared" si="38"/>
        <v>0</v>
      </c>
      <c r="AC138" s="46" t="s">
        <v>580</v>
      </c>
      <c r="AD138" s="141" t="s">
        <v>229</v>
      </c>
      <c r="AE138" s="42" t="s">
        <v>8</v>
      </c>
      <c r="AF138" s="3"/>
      <c r="AG138" s="3"/>
      <c r="AH138" s="3"/>
      <c r="AI138" s="4"/>
      <c r="AJ138" s="5">
        <v>3</v>
      </c>
      <c r="AK138" s="4"/>
      <c r="AL138" s="4"/>
      <c r="AM138" s="4"/>
      <c r="AN138" s="4"/>
      <c r="AO138" s="4"/>
      <c r="AP138" s="4"/>
      <c r="AQ138" s="4"/>
      <c r="AR138" s="13"/>
      <c r="AS138" s="13">
        <v>2</v>
      </c>
      <c r="AT138" s="13">
        <v>1</v>
      </c>
      <c r="AU138" s="4"/>
      <c r="AV138" s="4"/>
      <c r="AW138" s="4">
        <v>1</v>
      </c>
      <c r="AX138" s="30">
        <f t="shared" si="39"/>
        <v>0</v>
      </c>
      <c r="AY138" s="30">
        <f t="shared" si="40"/>
        <v>5</v>
      </c>
      <c r="AZ138" s="30">
        <f t="shared" si="41"/>
        <v>2</v>
      </c>
      <c r="BC138" s="41" t="s">
        <v>534</v>
      </c>
      <c r="BD138" s="140" t="s">
        <v>228</v>
      </c>
      <c r="BE138" s="42" t="s">
        <v>8</v>
      </c>
      <c r="BF138" s="19"/>
      <c r="BG138" s="19"/>
      <c r="BH138" s="19"/>
      <c r="BI138" s="13"/>
      <c r="BJ138" s="14">
        <v>3</v>
      </c>
      <c r="BK138" s="13"/>
      <c r="BL138" s="13"/>
      <c r="BM138" s="13"/>
      <c r="BN138" s="13"/>
      <c r="BO138" s="13"/>
      <c r="BP138" s="13"/>
      <c r="BQ138" s="13">
        <v>1</v>
      </c>
      <c r="BR138" s="13"/>
      <c r="BS138" s="13">
        <v>4</v>
      </c>
      <c r="BT138" s="13">
        <v>1</v>
      </c>
      <c r="BU138" s="13"/>
      <c r="BV138" s="13">
        <v>1</v>
      </c>
      <c r="BW138" s="13"/>
      <c r="BX138" s="30">
        <f t="shared" si="42"/>
        <v>0</v>
      </c>
      <c r="BY138" s="30">
        <f t="shared" si="43"/>
        <v>8</v>
      </c>
      <c r="BZ138" s="30">
        <f t="shared" si="44"/>
        <v>2</v>
      </c>
    </row>
    <row r="139" spans="1:78" ht="15.5" x14ac:dyDescent="0.35">
      <c r="A139" s="31" t="s">
        <v>966</v>
      </c>
      <c r="B139" s="35">
        <v>242510108</v>
      </c>
      <c r="C139" s="53" t="s">
        <v>568</v>
      </c>
      <c r="D139" s="141" t="s">
        <v>229</v>
      </c>
      <c r="E139" s="42" t="s">
        <v>6</v>
      </c>
      <c r="F139" s="3">
        <v>1</v>
      </c>
      <c r="G139" s="3"/>
      <c r="H139" s="3">
        <v>4</v>
      </c>
      <c r="I139" s="4"/>
      <c r="J139" s="5">
        <v>3</v>
      </c>
      <c r="K139" s="4">
        <v>4</v>
      </c>
      <c r="L139" s="4"/>
      <c r="M139" s="4"/>
      <c r="N139" s="4">
        <v>2</v>
      </c>
      <c r="O139" s="4"/>
      <c r="P139" s="4"/>
      <c r="Q139" s="4">
        <v>2</v>
      </c>
      <c r="R139" s="13"/>
      <c r="S139" s="13">
        <v>2</v>
      </c>
      <c r="T139" s="13">
        <v>3</v>
      </c>
      <c r="U139" s="4"/>
      <c r="V139" s="4">
        <v>2</v>
      </c>
      <c r="W139" s="4"/>
      <c r="X139" s="30">
        <f t="shared" si="36"/>
        <v>1</v>
      </c>
      <c r="Y139" s="30">
        <f t="shared" si="37"/>
        <v>7</v>
      </c>
      <c r="Z139" s="30">
        <f t="shared" si="38"/>
        <v>15</v>
      </c>
      <c r="AC139" s="47" t="s">
        <v>602</v>
      </c>
      <c r="AD139" s="142" t="s">
        <v>230</v>
      </c>
      <c r="AE139" s="42" t="s">
        <v>8</v>
      </c>
      <c r="AF139" s="13"/>
      <c r="AG139" s="13"/>
      <c r="AH139" s="13"/>
      <c r="AI139" s="14"/>
      <c r="AJ139" s="14">
        <v>1</v>
      </c>
      <c r="AK139" s="13">
        <v>1</v>
      </c>
      <c r="AL139" s="13">
        <v>1</v>
      </c>
      <c r="AM139" s="13">
        <v>1</v>
      </c>
      <c r="AN139" s="13"/>
      <c r="AO139" s="13"/>
      <c r="AP139" s="13"/>
      <c r="AQ139" s="13">
        <v>1</v>
      </c>
      <c r="AR139" s="148">
        <v>1</v>
      </c>
      <c r="AS139" s="148">
        <v>2</v>
      </c>
      <c r="AT139" s="148">
        <v>2</v>
      </c>
      <c r="AU139" s="13"/>
      <c r="AV139" s="13">
        <v>1</v>
      </c>
      <c r="AW139" s="13"/>
      <c r="AX139" s="30">
        <f t="shared" si="39"/>
        <v>2</v>
      </c>
      <c r="AY139" s="30">
        <f t="shared" si="40"/>
        <v>5</v>
      </c>
      <c r="AZ139" s="30">
        <f t="shared" si="41"/>
        <v>4</v>
      </c>
      <c r="BC139" s="54" t="s">
        <v>552</v>
      </c>
      <c r="BD139" s="140" t="s">
        <v>228</v>
      </c>
      <c r="BE139" s="52" t="s">
        <v>8</v>
      </c>
      <c r="BF139" s="19"/>
      <c r="BG139" s="20"/>
      <c r="BH139" s="19"/>
      <c r="BI139" s="13"/>
      <c r="BJ139" s="13">
        <v>2</v>
      </c>
      <c r="BK139" s="13"/>
      <c r="BL139" s="13"/>
      <c r="BM139" s="13"/>
      <c r="BN139" s="13"/>
      <c r="BO139" s="13"/>
      <c r="BP139" s="13"/>
      <c r="BQ139" s="13"/>
      <c r="BR139" s="13"/>
      <c r="BS139" s="13">
        <v>2</v>
      </c>
      <c r="BT139" s="13"/>
      <c r="BU139" s="13"/>
      <c r="BV139" s="13"/>
      <c r="BW139" s="13">
        <v>2</v>
      </c>
      <c r="BX139" s="30">
        <f t="shared" si="42"/>
        <v>0</v>
      </c>
      <c r="BY139" s="30">
        <f t="shared" si="43"/>
        <v>4</v>
      </c>
      <c r="BZ139" s="30">
        <f t="shared" si="44"/>
        <v>2</v>
      </c>
    </row>
    <row r="140" spans="1:78" ht="15.5" x14ac:dyDescent="0.35">
      <c r="A140" s="31" t="s">
        <v>972</v>
      </c>
      <c r="B140" s="35">
        <v>242510114</v>
      </c>
      <c r="C140" s="47" t="s">
        <v>574</v>
      </c>
      <c r="D140" s="141" t="s">
        <v>229</v>
      </c>
      <c r="E140" s="42" t="s">
        <v>6</v>
      </c>
      <c r="F140" s="3"/>
      <c r="G140" s="3"/>
      <c r="H140" s="6"/>
      <c r="I140" s="4"/>
      <c r="J140" s="5"/>
      <c r="K140" s="5">
        <v>1</v>
      </c>
      <c r="L140" s="4">
        <v>1</v>
      </c>
      <c r="M140" s="4">
        <v>2</v>
      </c>
      <c r="N140" s="4"/>
      <c r="O140" s="4"/>
      <c r="P140" s="4">
        <v>1</v>
      </c>
      <c r="Q140" s="4"/>
      <c r="R140" s="13"/>
      <c r="S140" s="13"/>
      <c r="T140" s="13"/>
      <c r="U140" s="4"/>
      <c r="V140" s="4">
        <v>3</v>
      </c>
      <c r="W140" s="4"/>
      <c r="X140" s="30">
        <f t="shared" si="36"/>
        <v>1</v>
      </c>
      <c r="Y140" s="30">
        <f t="shared" si="37"/>
        <v>6</v>
      </c>
      <c r="Z140" s="30">
        <f t="shared" si="38"/>
        <v>1</v>
      </c>
      <c r="AC140" s="47" t="s">
        <v>606</v>
      </c>
      <c r="AD140" s="142" t="s">
        <v>230</v>
      </c>
      <c r="AE140" s="42" t="s">
        <v>8</v>
      </c>
      <c r="AF140" s="13"/>
      <c r="AG140" s="13">
        <v>1</v>
      </c>
      <c r="AH140" s="13"/>
      <c r="AI140" s="13"/>
      <c r="AJ140" s="14">
        <v>1</v>
      </c>
      <c r="AK140" s="14">
        <v>1</v>
      </c>
      <c r="AL140" s="13"/>
      <c r="AM140" s="13"/>
      <c r="AN140" s="13"/>
      <c r="AO140" s="13"/>
      <c r="AP140" s="13">
        <v>1</v>
      </c>
      <c r="AQ140" s="13">
        <v>1</v>
      </c>
      <c r="AR140" s="13"/>
      <c r="AS140" s="13">
        <v>2</v>
      </c>
      <c r="AT140" s="13"/>
      <c r="AU140" s="13"/>
      <c r="AV140" s="13"/>
      <c r="AW140" s="13"/>
      <c r="AX140" s="30">
        <f t="shared" si="39"/>
        <v>0</v>
      </c>
      <c r="AY140" s="30">
        <f t="shared" si="40"/>
        <v>5</v>
      </c>
      <c r="AZ140" s="30">
        <f t="shared" si="41"/>
        <v>2</v>
      </c>
      <c r="BC140" s="47" t="s">
        <v>576</v>
      </c>
      <c r="BD140" s="141" t="s">
        <v>229</v>
      </c>
      <c r="BE140" s="42" t="s">
        <v>6</v>
      </c>
      <c r="BF140" s="3"/>
      <c r="BG140" s="3">
        <v>2</v>
      </c>
      <c r="BH140" s="3"/>
      <c r="BI140" s="4"/>
      <c r="BJ140" s="4">
        <v>2</v>
      </c>
      <c r="BK140" s="5"/>
      <c r="BL140" s="4">
        <v>1</v>
      </c>
      <c r="BM140" s="4"/>
      <c r="BN140" s="4"/>
      <c r="BO140" s="4">
        <v>1</v>
      </c>
      <c r="BP140" s="4">
        <v>3</v>
      </c>
      <c r="BQ140" s="4"/>
      <c r="BR140" s="13"/>
      <c r="BS140" s="13">
        <v>2</v>
      </c>
      <c r="BT140" s="13">
        <v>2</v>
      </c>
      <c r="BU140" s="4"/>
      <c r="BV140" s="4"/>
      <c r="BW140" s="4"/>
      <c r="BX140" s="30">
        <f t="shared" si="42"/>
        <v>2</v>
      </c>
      <c r="BY140" s="30">
        <f t="shared" si="43"/>
        <v>9</v>
      </c>
      <c r="BZ140" s="30">
        <f t="shared" si="44"/>
        <v>2</v>
      </c>
    </row>
    <row r="141" spans="1:78" ht="15.5" x14ac:dyDescent="0.35">
      <c r="A141" s="31" t="s">
        <v>975</v>
      </c>
      <c r="B141" s="35">
        <v>242510117</v>
      </c>
      <c r="C141" s="58" t="s">
        <v>577</v>
      </c>
      <c r="D141" s="141" t="s">
        <v>229</v>
      </c>
      <c r="E141" s="42" t="s">
        <v>6</v>
      </c>
      <c r="F141" s="3"/>
      <c r="G141" s="3"/>
      <c r="H141" s="3"/>
      <c r="I141" s="4"/>
      <c r="J141" s="4">
        <v>1</v>
      </c>
      <c r="K141" s="4">
        <v>1</v>
      </c>
      <c r="L141" s="4"/>
      <c r="M141" s="4"/>
      <c r="N141" s="4"/>
      <c r="O141" s="4"/>
      <c r="P141" s="4">
        <v>1</v>
      </c>
      <c r="Q141" s="4"/>
      <c r="R141" s="13"/>
      <c r="S141" s="13"/>
      <c r="T141" s="13"/>
      <c r="U141" s="4">
        <v>1</v>
      </c>
      <c r="V141" s="4"/>
      <c r="W141" s="4"/>
      <c r="X141" s="30">
        <f t="shared" si="36"/>
        <v>1</v>
      </c>
      <c r="Y141" s="30">
        <f t="shared" si="37"/>
        <v>2</v>
      </c>
      <c r="Z141" s="30">
        <f t="shared" si="38"/>
        <v>1</v>
      </c>
      <c r="AC141" s="47" t="s">
        <v>608</v>
      </c>
      <c r="AD141" s="142" t="s">
        <v>230</v>
      </c>
      <c r="AE141" s="42" t="s">
        <v>8</v>
      </c>
      <c r="AF141" s="13"/>
      <c r="AG141" s="13"/>
      <c r="AH141" s="13"/>
      <c r="AI141" s="13"/>
      <c r="AJ141" s="13"/>
      <c r="AK141" s="14">
        <v>1</v>
      </c>
      <c r="AL141" s="13"/>
      <c r="AM141" s="13"/>
      <c r="AN141" s="13"/>
      <c r="AO141" s="13">
        <v>1</v>
      </c>
      <c r="AP141" s="13">
        <v>3</v>
      </c>
      <c r="AQ141" s="13">
        <v>1</v>
      </c>
      <c r="AR141" s="13">
        <v>1</v>
      </c>
      <c r="AS141" s="13">
        <v>2</v>
      </c>
      <c r="AT141" s="13">
        <v>3</v>
      </c>
      <c r="AU141" s="13"/>
      <c r="AV141" s="13"/>
      <c r="AW141" s="13"/>
      <c r="AX141" s="30">
        <f t="shared" si="39"/>
        <v>2</v>
      </c>
      <c r="AY141" s="30">
        <f t="shared" si="40"/>
        <v>5</v>
      </c>
      <c r="AZ141" s="30">
        <f t="shared" si="41"/>
        <v>5</v>
      </c>
      <c r="BC141" s="46" t="s">
        <v>580</v>
      </c>
      <c r="BD141" s="141" t="s">
        <v>229</v>
      </c>
      <c r="BE141" s="42" t="s">
        <v>8</v>
      </c>
      <c r="BF141" s="3"/>
      <c r="BG141" s="3"/>
      <c r="BH141" s="3"/>
      <c r="BI141" s="4"/>
      <c r="BJ141" s="5">
        <v>3</v>
      </c>
      <c r="BK141" s="4"/>
      <c r="BL141" s="4"/>
      <c r="BM141" s="4"/>
      <c r="BN141" s="4"/>
      <c r="BO141" s="4"/>
      <c r="BP141" s="4"/>
      <c r="BQ141" s="4"/>
      <c r="BR141" s="13"/>
      <c r="BS141" s="13">
        <v>2</v>
      </c>
      <c r="BT141" s="13">
        <v>1</v>
      </c>
      <c r="BU141" s="4"/>
      <c r="BV141" s="4"/>
      <c r="BW141" s="4">
        <v>1</v>
      </c>
      <c r="BX141" s="30">
        <f t="shared" si="42"/>
        <v>0</v>
      </c>
      <c r="BY141" s="30">
        <f t="shared" si="43"/>
        <v>5</v>
      </c>
      <c r="BZ141" s="30">
        <f t="shared" si="44"/>
        <v>2</v>
      </c>
    </row>
    <row r="142" spans="1:78" ht="15.5" x14ac:dyDescent="0.35">
      <c r="A142" s="31" t="s">
        <v>976</v>
      </c>
      <c r="B142" s="35">
        <v>242510118</v>
      </c>
      <c r="C142" s="47" t="s">
        <v>578</v>
      </c>
      <c r="D142" s="141" t="s">
        <v>229</v>
      </c>
      <c r="E142" s="42" t="s">
        <v>6</v>
      </c>
      <c r="F142" s="3"/>
      <c r="G142" s="3"/>
      <c r="H142" s="3"/>
      <c r="I142" s="4"/>
      <c r="J142" s="5"/>
      <c r="K142" s="4"/>
      <c r="L142" s="4"/>
      <c r="M142" s="4"/>
      <c r="N142" s="4"/>
      <c r="O142" s="4"/>
      <c r="P142" s="4"/>
      <c r="Q142" s="4"/>
      <c r="R142" s="13">
        <v>1</v>
      </c>
      <c r="S142" s="13"/>
      <c r="T142" s="13">
        <v>1</v>
      </c>
      <c r="U142" s="4"/>
      <c r="V142" s="4"/>
      <c r="W142" s="4"/>
      <c r="X142" s="30">
        <f t="shared" si="36"/>
        <v>1</v>
      </c>
      <c r="Y142" s="30">
        <f t="shared" si="37"/>
        <v>0</v>
      </c>
      <c r="Z142" s="30">
        <f t="shared" si="38"/>
        <v>1</v>
      </c>
      <c r="AC142" s="47" t="s">
        <v>609</v>
      </c>
      <c r="AD142" s="142" t="s">
        <v>230</v>
      </c>
      <c r="AE142" s="42" t="s">
        <v>8</v>
      </c>
      <c r="AF142" s="13"/>
      <c r="AG142" s="13"/>
      <c r="AH142" s="13"/>
      <c r="AI142" s="13"/>
      <c r="AJ142" s="14">
        <v>1</v>
      </c>
      <c r="AK142" s="14">
        <v>1</v>
      </c>
      <c r="AL142" s="13"/>
      <c r="AM142" s="13">
        <v>1</v>
      </c>
      <c r="AN142" s="13">
        <v>1</v>
      </c>
      <c r="AO142" s="13"/>
      <c r="AP142" s="13">
        <v>1</v>
      </c>
      <c r="AQ142" s="13"/>
      <c r="AR142" s="13"/>
      <c r="AS142" s="13">
        <v>2</v>
      </c>
      <c r="AT142" s="13">
        <v>3</v>
      </c>
      <c r="AU142" s="13"/>
      <c r="AV142" s="13"/>
      <c r="AW142" s="13"/>
      <c r="AX142" s="30">
        <f t="shared" si="39"/>
        <v>0</v>
      </c>
      <c r="AY142" s="30">
        <f t="shared" si="40"/>
        <v>5</v>
      </c>
      <c r="AZ142" s="30">
        <f t="shared" si="41"/>
        <v>5</v>
      </c>
      <c r="BC142" s="47" t="s">
        <v>590</v>
      </c>
      <c r="BD142" s="141" t="s">
        <v>229</v>
      </c>
      <c r="BE142" s="42" t="s">
        <v>6</v>
      </c>
      <c r="BF142" s="3"/>
      <c r="BG142" s="3">
        <v>1</v>
      </c>
      <c r="BH142" s="3"/>
      <c r="BI142" s="4"/>
      <c r="BJ142" s="5"/>
      <c r="BK142" s="4">
        <v>2</v>
      </c>
      <c r="BL142" s="4"/>
      <c r="BM142" s="4">
        <v>1</v>
      </c>
      <c r="BN142" s="4"/>
      <c r="BO142" s="4"/>
      <c r="BP142" s="4"/>
      <c r="BQ142" s="4"/>
      <c r="BR142" s="13">
        <v>1</v>
      </c>
      <c r="BS142" s="13">
        <v>2</v>
      </c>
      <c r="BT142" s="13"/>
      <c r="BU142" s="4">
        <v>1</v>
      </c>
      <c r="BV142" s="4"/>
      <c r="BW142" s="4"/>
      <c r="BX142" s="30">
        <f t="shared" si="42"/>
        <v>2</v>
      </c>
      <c r="BY142" s="30">
        <f t="shared" si="43"/>
        <v>4</v>
      </c>
      <c r="BZ142" s="30">
        <f t="shared" si="44"/>
        <v>2</v>
      </c>
    </row>
    <row r="143" spans="1:78" ht="15.5" x14ac:dyDescent="0.35">
      <c r="A143" s="31" t="s">
        <v>979</v>
      </c>
      <c r="B143" s="35">
        <v>242510121</v>
      </c>
      <c r="C143" s="58" t="s">
        <v>581</v>
      </c>
      <c r="D143" s="141" t="s">
        <v>229</v>
      </c>
      <c r="E143" s="42" t="s">
        <v>6</v>
      </c>
      <c r="F143" s="3"/>
      <c r="G143" s="3"/>
      <c r="H143" s="3"/>
      <c r="I143" s="4"/>
      <c r="J143" s="5">
        <v>1</v>
      </c>
      <c r="K143" s="4">
        <v>1</v>
      </c>
      <c r="L143" s="4"/>
      <c r="M143" s="4">
        <v>1</v>
      </c>
      <c r="N143" s="4"/>
      <c r="O143" s="4"/>
      <c r="P143" s="4"/>
      <c r="Q143" s="4"/>
      <c r="R143" s="13">
        <v>1</v>
      </c>
      <c r="S143" s="13">
        <v>1</v>
      </c>
      <c r="T143" s="13"/>
      <c r="U143" s="4"/>
      <c r="V143" s="4"/>
      <c r="W143" s="4"/>
      <c r="X143" s="30">
        <f t="shared" si="36"/>
        <v>1</v>
      </c>
      <c r="Y143" s="30">
        <f t="shared" si="37"/>
        <v>3</v>
      </c>
      <c r="Z143" s="30">
        <f t="shared" si="38"/>
        <v>1</v>
      </c>
      <c r="AC143" s="36" t="s">
        <v>430</v>
      </c>
      <c r="AD143" s="139" t="s">
        <v>225</v>
      </c>
      <c r="AE143" s="35" t="s">
        <v>6</v>
      </c>
      <c r="AF143" s="19"/>
      <c r="AG143" s="19"/>
      <c r="AH143" s="19"/>
      <c r="AI143" s="13"/>
      <c r="AJ143" s="14"/>
      <c r="AK143" s="13">
        <v>1</v>
      </c>
      <c r="AL143" s="13"/>
      <c r="AM143" s="14"/>
      <c r="AN143" s="13"/>
      <c r="AO143" s="13">
        <v>1</v>
      </c>
      <c r="AP143" s="14"/>
      <c r="AQ143" s="13">
        <v>1</v>
      </c>
      <c r="AR143" s="13">
        <v>1</v>
      </c>
      <c r="AS143" s="14">
        <v>4</v>
      </c>
      <c r="AT143" s="13">
        <v>2</v>
      </c>
      <c r="AU143" s="13"/>
      <c r="AV143" s="14">
        <v>2</v>
      </c>
      <c r="AW143" s="13">
        <v>1</v>
      </c>
      <c r="AX143" s="30">
        <f t="shared" si="39"/>
        <v>2</v>
      </c>
      <c r="AY143" s="30">
        <f t="shared" si="40"/>
        <v>6</v>
      </c>
      <c r="AZ143" s="30">
        <f t="shared" si="41"/>
        <v>5</v>
      </c>
      <c r="BC143" s="44" t="s">
        <v>593</v>
      </c>
      <c r="BD143" s="141" t="s">
        <v>229</v>
      </c>
      <c r="BE143" s="35" t="s">
        <v>8</v>
      </c>
      <c r="BF143" s="26"/>
      <c r="BG143" s="26">
        <v>1</v>
      </c>
      <c r="BH143" s="26"/>
      <c r="BI143" s="9"/>
      <c r="BJ143" s="9"/>
      <c r="BK143" s="9">
        <v>1</v>
      </c>
      <c r="BL143" s="9"/>
      <c r="BM143" s="9"/>
      <c r="BN143" s="9"/>
      <c r="BO143" s="9"/>
      <c r="BP143" s="9"/>
      <c r="BQ143" s="9"/>
      <c r="BR143" s="15"/>
      <c r="BS143" s="15"/>
      <c r="BT143" s="15"/>
      <c r="BU143" s="9"/>
      <c r="BV143" s="9"/>
      <c r="BW143" s="9">
        <v>1</v>
      </c>
      <c r="BX143" s="30">
        <f t="shared" si="42"/>
        <v>0</v>
      </c>
      <c r="BY143" s="30">
        <f t="shared" si="43"/>
        <v>1</v>
      </c>
      <c r="BZ143" s="30">
        <f t="shared" si="44"/>
        <v>2</v>
      </c>
    </row>
    <row r="144" spans="1:78" ht="15.5" x14ac:dyDescent="0.35">
      <c r="A144" s="31" t="s">
        <v>980</v>
      </c>
      <c r="B144" s="35">
        <v>242510122</v>
      </c>
      <c r="C144" s="47" t="s">
        <v>582</v>
      </c>
      <c r="D144" s="141" t="s">
        <v>229</v>
      </c>
      <c r="E144" s="42" t="s">
        <v>6</v>
      </c>
      <c r="F144" s="3"/>
      <c r="G144" s="3"/>
      <c r="H144" s="3"/>
      <c r="I144" s="4"/>
      <c r="J144" s="5">
        <v>2</v>
      </c>
      <c r="K144" s="4"/>
      <c r="L144" s="4">
        <v>1</v>
      </c>
      <c r="M144" s="4"/>
      <c r="N144" s="4"/>
      <c r="O144" s="4"/>
      <c r="P144" s="4">
        <v>1</v>
      </c>
      <c r="Q144" s="4"/>
      <c r="R144" s="13"/>
      <c r="S144" s="13">
        <v>2</v>
      </c>
      <c r="T144" s="13"/>
      <c r="U144" s="4"/>
      <c r="V144" s="4">
        <v>1</v>
      </c>
      <c r="W144" s="4"/>
      <c r="X144" s="30">
        <f t="shared" si="36"/>
        <v>1</v>
      </c>
      <c r="Y144" s="30">
        <f t="shared" si="37"/>
        <v>6</v>
      </c>
      <c r="Z144" s="30">
        <f t="shared" si="38"/>
        <v>0</v>
      </c>
      <c r="AC144" s="36" t="s">
        <v>431</v>
      </c>
      <c r="AD144" s="139" t="s">
        <v>225</v>
      </c>
      <c r="AE144" s="35" t="s">
        <v>6</v>
      </c>
      <c r="AF144" s="19"/>
      <c r="AG144" s="19"/>
      <c r="AH144" s="19"/>
      <c r="AI144" s="13"/>
      <c r="AJ144" s="13"/>
      <c r="AK144" s="13"/>
      <c r="AL144" s="13"/>
      <c r="AM144" s="13"/>
      <c r="AN144" s="13"/>
      <c r="AO144" s="13"/>
      <c r="AP144" s="13">
        <v>5</v>
      </c>
      <c r="AQ144" s="13"/>
      <c r="AR144" s="13"/>
      <c r="AS144" s="13">
        <v>1</v>
      </c>
      <c r="AT144" s="13">
        <v>1</v>
      </c>
      <c r="AU144" s="13"/>
      <c r="AV144" s="13"/>
      <c r="AW144" s="13"/>
      <c r="AX144" s="30">
        <f t="shared" si="39"/>
        <v>0</v>
      </c>
      <c r="AY144" s="30">
        <f t="shared" si="40"/>
        <v>6</v>
      </c>
      <c r="AZ144" s="30">
        <f t="shared" si="41"/>
        <v>1</v>
      </c>
      <c r="BC144" s="47" t="s">
        <v>606</v>
      </c>
      <c r="BD144" s="142" t="s">
        <v>230</v>
      </c>
      <c r="BE144" s="42" t="s">
        <v>8</v>
      </c>
      <c r="BF144" s="13"/>
      <c r="BG144" s="13">
        <v>1</v>
      </c>
      <c r="BH144" s="13"/>
      <c r="BI144" s="13"/>
      <c r="BJ144" s="14">
        <v>1</v>
      </c>
      <c r="BK144" s="14">
        <v>1</v>
      </c>
      <c r="BL144" s="13"/>
      <c r="BM144" s="13"/>
      <c r="BN144" s="13"/>
      <c r="BO144" s="13"/>
      <c r="BP144" s="13">
        <v>1</v>
      </c>
      <c r="BQ144" s="13">
        <v>1</v>
      </c>
      <c r="BR144" s="13"/>
      <c r="BS144" s="13">
        <v>2</v>
      </c>
      <c r="BT144" s="13"/>
      <c r="BU144" s="13"/>
      <c r="BV144" s="13"/>
      <c r="BW144" s="13"/>
      <c r="BX144" s="30">
        <f t="shared" si="42"/>
        <v>0</v>
      </c>
      <c r="BY144" s="30">
        <f t="shared" si="43"/>
        <v>5</v>
      </c>
      <c r="BZ144" s="30">
        <f t="shared" si="44"/>
        <v>2</v>
      </c>
    </row>
    <row r="145" spans="1:78" ht="15.5" x14ac:dyDescent="0.35">
      <c r="A145" s="31" t="s">
        <v>982</v>
      </c>
      <c r="B145" s="35">
        <v>242510124</v>
      </c>
      <c r="C145" s="47" t="s">
        <v>584</v>
      </c>
      <c r="D145" s="141" t="s">
        <v>229</v>
      </c>
      <c r="E145" s="42" t="s">
        <v>6</v>
      </c>
      <c r="F145" s="3"/>
      <c r="G145" s="3">
        <v>1</v>
      </c>
      <c r="H145" s="3"/>
      <c r="I145" s="4">
        <v>1</v>
      </c>
      <c r="J145" s="5">
        <v>1</v>
      </c>
      <c r="K145" s="5">
        <v>1</v>
      </c>
      <c r="L145" s="4"/>
      <c r="M145" s="4"/>
      <c r="N145" s="4"/>
      <c r="O145" s="4"/>
      <c r="P145" s="4">
        <v>1</v>
      </c>
      <c r="Q145" s="4"/>
      <c r="R145" s="13"/>
      <c r="S145" s="13"/>
      <c r="T145" s="13"/>
      <c r="U145" s="4"/>
      <c r="V145" s="4"/>
      <c r="W145" s="4"/>
      <c r="X145" s="30">
        <f t="shared" si="36"/>
        <v>1</v>
      </c>
      <c r="Y145" s="30">
        <f t="shared" si="37"/>
        <v>3</v>
      </c>
      <c r="Z145" s="30">
        <f t="shared" si="38"/>
        <v>1</v>
      </c>
      <c r="AC145" s="43" t="s">
        <v>891</v>
      </c>
      <c r="AD145" s="139" t="s">
        <v>227</v>
      </c>
      <c r="AE145" s="35" t="s">
        <v>6</v>
      </c>
      <c r="AF145" s="3">
        <v>1</v>
      </c>
      <c r="AG145" s="3"/>
      <c r="AH145" s="3"/>
      <c r="AI145" s="4"/>
      <c r="AJ145" s="5">
        <v>1</v>
      </c>
      <c r="AK145" s="4"/>
      <c r="AL145" s="4"/>
      <c r="AM145" s="4">
        <v>1</v>
      </c>
      <c r="AN145" s="4"/>
      <c r="AO145" s="13"/>
      <c r="AP145" s="4">
        <v>2</v>
      </c>
      <c r="AQ145" s="4"/>
      <c r="AR145" s="4"/>
      <c r="AS145" s="4">
        <v>2</v>
      </c>
      <c r="AT145" s="4"/>
      <c r="AU145" s="4"/>
      <c r="AV145" s="4"/>
      <c r="AW145" s="4"/>
      <c r="AX145" s="30">
        <f t="shared" si="39"/>
        <v>1</v>
      </c>
      <c r="AY145" s="30">
        <f t="shared" si="40"/>
        <v>6</v>
      </c>
      <c r="AZ145" s="30">
        <f t="shared" si="41"/>
        <v>0</v>
      </c>
      <c r="BC145" s="47" t="s">
        <v>610</v>
      </c>
      <c r="BD145" s="142" t="s">
        <v>230</v>
      </c>
      <c r="BE145" s="42" t="s">
        <v>8</v>
      </c>
      <c r="BF145" s="13"/>
      <c r="BG145" s="13"/>
      <c r="BH145" s="13"/>
      <c r="BI145" s="14"/>
      <c r="BJ145" s="14">
        <v>1</v>
      </c>
      <c r="BK145" s="14"/>
      <c r="BL145" s="13"/>
      <c r="BM145" s="13"/>
      <c r="BN145" s="13">
        <v>1</v>
      </c>
      <c r="BO145" s="13"/>
      <c r="BP145" s="13">
        <v>1</v>
      </c>
      <c r="BQ145" s="13"/>
      <c r="BR145" s="13"/>
      <c r="BS145" s="13"/>
      <c r="BT145" s="13">
        <v>1</v>
      </c>
      <c r="BU145" s="13"/>
      <c r="BV145" s="13"/>
      <c r="BW145" s="13"/>
      <c r="BX145" s="30">
        <f t="shared" si="42"/>
        <v>0</v>
      </c>
      <c r="BY145" s="30">
        <f t="shared" si="43"/>
        <v>2</v>
      </c>
      <c r="BZ145" s="30">
        <f t="shared" si="44"/>
        <v>2</v>
      </c>
    </row>
    <row r="146" spans="1:78" ht="15.5" x14ac:dyDescent="0.35">
      <c r="A146" s="31" t="s">
        <v>983</v>
      </c>
      <c r="B146" s="127">
        <v>242510125</v>
      </c>
      <c r="C146" s="120" t="s">
        <v>585</v>
      </c>
      <c r="D146" s="141" t="s">
        <v>229</v>
      </c>
      <c r="E146" s="121" t="s">
        <v>6</v>
      </c>
      <c r="F146" s="130"/>
      <c r="G146" s="147">
        <v>1</v>
      </c>
      <c r="H146" s="130"/>
      <c r="I146" s="108">
        <v>1</v>
      </c>
      <c r="J146" s="113">
        <v>1</v>
      </c>
      <c r="K146" s="113">
        <v>1</v>
      </c>
      <c r="L146" s="108"/>
      <c r="M146" s="108"/>
      <c r="N146" s="108"/>
      <c r="O146" s="108"/>
      <c r="P146" s="108">
        <v>2</v>
      </c>
      <c r="Q146" s="108"/>
      <c r="R146" s="122"/>
      <c r="S146" s="122"/>
      <c r="T146" s="122"/>
      <c r="U146" s="108"/>
      <c r="V146" s="108"/>
      <c r="W146" s="108"/>
      <c r="X146" s="30">
        <f t="shared" si="36"/>
        <v>1</v>
      </c>
      <c r="Y146" s="30">
        <f t="shared" si="37"/>
        <v>4</v>
      </c>
      <c r="Z146" s="30">
        <f t="shared" si="38"/>
        <v>1</v>
      </c>
      <c r="AC146" s="133" t="s">
        <v>471</v>
      </c>
      <c r="AD146" s="139" t="s">
        <v>227</v>
      </c>
      <c r="AE146" s="127" t="s">
        <v>6</v>
      </c>
      <c r="AF146" s="130"/>
      <c r="AG146" s="130"/>
      <c r="AH146" s="130"/>
      <c r="AI146" s="108"/>
      <c r="AJ146" s="113"/>
      <c r="AK146" s="108"/>
      <c r="AL146" s="108"/>
      <c r="AM146" s="108"/>
      <c r="AN146" s="108"/>
      <c r="AO146" s="122"/>
      <c r="AP146" s="108">
        <v>4</v>
      </c>
      <c r="AQ146" s="108"/>
      <c r="AR146" s="108">
        <v>1</v>
      </c>
      <c r="AS146" s="108">
        <v>2</v>
      </c>
      <c r="AT146" s="108">
        <v>1</v>
      </c>
      <c r="AU146" s="108"/>
      <c r="AV146" s="108"/>
      <c r="AW146" s="108">
        <v>1</v>
      </c>
      <c r="AX146" s="30">
        <f t="shared" si="39"/>
        <v>1</v>
      </c>
      <c r="AY146" s="30">
        <f t="shared" si="40"/>
        <v>6</v>
      </c>
      <c r="AZ146" s="30">
        <f t="shared" si="41"/>
        <v>2</v>
      </c>
      <c r="BC146" s="152" t="s">
        <v>612</v>
      </c>
      <c r="BD146" s="142" t="s">
        <v>230</v>
      </c>
      <c r="BE146" s="121" t="s">
        <v>8</v>
      </c>
      <c r="BF146" s="122"/>
      <c r="BG146" s="122"/>
      <c r="BH146" s="122"/>
      <c r="BI146" s="122"/>
      <c r="BJ146" s="128">
        <v>3</v>
      </c>
      <c r="BK146" s="122"/>
      <c r="BL146" s="122"/>
      <c r="BM146" s="122">
        <v>1</v>
      </c>
      <c r="BN146" s="122"/>
      <c r="BO146" s="122"/>
      <c r="BP146" s="122">
        <v>2</v>
      </c>
      <c r="BQ146" s="122">
        <v>1</v>
      </c>
      <c r="BR146" s="122"/>
      <c r="BS146" s="122">
        <v>2</v>
      </c>
      <c r="BT146" s="122">
        <v>1</v>
      </c>
      <c r="BU146" s="122"/>
      <c r="BV146" s="122"/>
      <c r="BW146" s="122"/>
      <c r="BX146" s="30">
        <f t="shared" si="42"/>
        <v>0</v>
      </c>
      <c r="BY146" s="30">
        <f t="shared" si="43"/>
        <v>8</v>
      </c>
      <c r="BZ146" s="30">
        <f t="shared" si="44"/>
        <v>2</v>
      </c>
    </row>
    <row r="147" spans="1:78" ht="15.5" x14ac:dyDescent="0.35">
      <c r="A147" s="31" t="s">
        <v>986</v>
      </c>
      <c r="B147" s="127">
        <v>242510128</v>
      </c>
      <c r="C147" s="144" t="s">
        <v>588</v>
      </c>
      <c r="D147" s="141" t="s">
        <v>229</v>
      </c>
      <c r="E147" s="121" t="s">
        <v>8</v>
      </c>
      <c r="F147" s="130"/>
      <c r="G147" s="130"/>
      <c r="H147" s="130"/>
      <c r="I147" s="108"/>
      <c r="J147" s="113">
        <v>2</v>
      </c>
      <c r="K147" s="108">
        <v>1</v>
      </c>
      <c r="L147" s="108"/>
      <c r="M147" s="108"/>
      <c r="N147" s="108"/>
      <c r="O147" s="108"/>
      <c r="P147" s="108">
        <v>1</v>
      </c>
      <c r="Q147" s="108"/>
      <c r="R147" s="122">
        <v>1</v>
      </c>
      <c r="S147" s="122">
        <v>2</v>
      </c>
      <c r="T147" s="122"/>
      <c r="U147" s="108"/>
      <c r="V147" s="108">
        <v>1</v>
      </c>
      <c r="W147" s="108"/>
      <c r="X147" s="109">
        <f t="shared" si="36"/>
        <v>1</v>
      </c>
      <c r="Y147" s="109">
        <f t="shared" si="37"/>
        <v>6</v>
      </c>
      <c r="Z147" s="109">
        <f t="shared" si="38"/>
        <v>1</v>
      </c>
      <c r="AC147" s="126" t="s">
        <v>483</v>
      </c>
      <c r="AD147" s="139" t="s">
        <v>227</v>
      </c>
      <c r="AE147" s="127" t="s">
        <v>6</v>
      </c>
      <c r="AF147" s="130"/>
      <c r="AG147" s="130"/>
      <c r="AH147" s="130"/>
      <c r="AI147" s="108"/>
      <c r="AJ147" s="113">
        <v>2</v>
      </c>
      <c r="AK147" s="108"/>
      <c r="AL147" s="108">
        <v>2</v>
      </c>
      <c r="AM147" s="108"/>
      <c r="AN147" s="108"/>
      <c r="AO147" s="122"/>
      <c r="AP147" s="108">
        <v>1</v>
      </c>
      <c r="AQ147" s="108">
        <v>1</v>
      </c>
      <c r="AR147" s="108"/>
      <c r="AS147" s="108">
        <v>2</v>
      </c>
      <c r="AT147" s="108"/>
      <c r="AU147" s="108"/>
      <c r="AV147" s="108">
        <v>1</v>
      </c>
      <c r="AW147" s="108"/>
      <c r="AX147" s="109">
        <f t="shared" si="39"/>
        <v>2</v>
      </c>
      <c r="AY147" s="109">
        <f t="shared" si="40"/>
        <v>6</v>
      </c>
      <c r="AZ147" s="109">
        <f t="shared" si="41"/>
        <v>1</v>
      </c>
      <c r="BC147" s="123" t="s">
        <v>613</v>
      </c>
      <c r="BD147" s="142" t="s">
        <v>230</v>
      </c>
      <c r="BE147" s="121" t="s">
        <v>8</v>
      </c>
      <c r="BF147" s="122"/>
      <c r="BG147" s="122">
        <v>1</v>
      </c>
      <c r="BH147" s="122"/>
      <c r="BI147" s="128"/>
      <c r="BJ147" s="128"/>
      <c r="BK147" s="128"/>
      <c r="BL147" s="122">
        <v>1</v>
      </c>
      <c r="BM147" s="122"/>
      <c r="BN147" s="122"/>
      <c r="BO147" s="122">
        <v>1</v>
      </c>
      <c r="BP147" s="122"/>
      <c r="BQ147" s="122"/>
      <c r="BR147" s="122"/>
      <c r="BS147" s="122">
        <v>1</v>
      </c>
      <c r="BT147" s="122">
        <v>2</v>
      </c>
      <c r="BU147" s="122"/>
      <c r="BV147" s="122"/>
      <c r="BW147" s="122"/>
      <c r="BX147" s="109">
        <f t="shared" si="42"/>
        <v>2</v>
      </c>
      <c r="BY147" s="109">
        <f t="shared" si="43"/>
        <v>2</v>
      </c>
      <c r="BZ147" s="109">
        <f t="shared" si="44"/>
        <v>2</v>
      </c>
    </row>
    <row r="148" spans="1:78" ht="15.5" x14ac:dyDescent="0.35">
      <c r="A148" s="31" t="s">
        <v>987</v>
      </c>
      <c r="B148" s="35">
        <v>242510129</v>
      </c>
      <c r="C148" s="47" t="s">
        <v>589</v>
      </c>
      <c r="D148" s="141" t="s">
        <v>229</v>
      </c>
      <c r="E148" s="42" t="s">
        <v>8</v>
      </c>
      <c r="F148" s="3"/>
      <c r="G148" s="3"/>
      <c r="H148" s="3"/>
      <c r="I148" s="4"/>
      <c r="J148" s="5">
        <v>3</v>
      </c>
      <c r="K148" s="4"/>
      <c r="L148" s="4"/>
      <c r="M148" s="4">
        <v>1</v>
      </c>
      <c r="N148" s="4"/>
      <c r="O148" s="4">
        <v>1</v>
      </c>
      <c r="P148" s="4">
        <v>3</v>
      </c>
      <c r="Q148" s="4"/>
      <c r="R148" s="13"/>
      <c r="S148" s="13"/>
      <c r="T148" s="13"/>
      <c r="U148" s="4"/>
      <c r="V148" s="4"/>
      <c r="W148" s="4"/>
      <c r="X148" s="30">
        <f t="shared" si="36"/>
        <v>1</v>
      </c>
      <c r="Y148" s="30">
        <f t="shared" si="37"/>
        <v>7</v>
      </c>
      <c r="Z148" s="30">
        <f t="shared" si="38"/>
        <v>0</v>
      </c>
      <c r="AC148" s="36" t="s">
        <v>496</v>
      </c>
      <c r="AD148" s="140" t="s">
        <v>228</v>
      </c>
      <c r="AE148" s="35" t="s">
        <v>8</v>
      </c>
      <c r="AF148" s="19"/>
      <c r="AG148" s="20"/>
      <c r="AH148" s="19"/>
      <c r="AI148" s="13"/>
      <c r="AJ148" s="14">
        <v>2</v>
      </c>
      <c r="AK148" s="13"/>
      <c r="AL148" s="13"/>
      <c r="AM148" s="13">
        <v>1</v>
      </c>
      <c r="AN148" s="13"/>
      <c r="AO148" s="13"/>
      <c r="AP148" s="13"/>
      <c r="AQ148" s="13"/>
      <c r="AR148" s="13"/>
      <c r="AS148" s="13">
        <v>2</v>
      </c>
      <c r="AT148" s="13"/>
      <c r="AU148" s="13"/>
      <c r="AV148" s="13">
        <v>1</v>
      </c>
      <c r="AW148" s="13"/>
      <c r="AX148" s="30">
        <f t="shared" si="39"/>
        <v>0</v>
      </c>
      <c r="AY148" s="30">
        <f t="shared" si="40"/>
        <v>6</v>
      </c>
      <c r="AZ148" s="30">
        <f t="shared" si="41"/>
        <v>0</v>
      </c>
      <c r="BC148" s="47" t="s">
        <v>617</v>
      </c>
      <c r="BD148" s="142" t="s">
        <v>230</v>
      </c>
      <c r="BE148" s="42" t="s">
        <v>8</v>
      </c>
      <c r="BF148" s="13"/>
      <c r="BG148" s="13"/>
      <c r="BH148" s="13"/>
      <c r="BI148" s="13"/>
      <c r="BJ148" s="13"/>
      <c r="BK148" s="13"/>
      <c r="BL148" s="13"/>
      <c r="BM148" s="13">
        <v>1</v>
      </c>
      <c r="BN148" s="13"/>
      <c r="BO148" s="13"/>
      <c r="BP148" s="13"/>
      <c r="BQ148" s="13"/>
      <c r="BR148" s="15"/>
      <c r="BS148" s="15">
        <v>1</v>
      </c>
      <c r="BT148" s="15">
        <v>2</v>
      </c>
      <c r="BU148" s="13"/>
      <c r="BV148" s="13"/>
      <c r="BW148" s="13"/>
      <c r="BX148" s="30">
        <f t="shared" si="42"/>
        <v>0</v>
      </c>
      <c r="BY148" s="30">
        <f t="shared" si="43"/>
        <v>2</v>
      </c>
      <c r="BZ148" s="30">
        <f t="shared" si="44"/>
        <v>2</v>
      </c>
    </row>
    <row r="149" spans="1:78" ht="15.5" x14ac:dyDescent="0.35">
      <c r="A149" s="31" t="s">
        <v>993</v>
      </c>
      <c r="B149" s="35">
        <v>242510135</v>
      </c>
      <c r="C149" s="37" t="s">
        <v>595</v>
      </c>
      <c r="D149" s="141" t="s">
        <v>229</v>
      </c>
      <c r="E149" s="35" t="s">
        <v>6</v>
      </c>
      <c r="F149" s="3"/>
      <c r="G149" s="3"/>
      <c r="H149" s="3"/>
      <c r="I149" s="4"/>
      <c r="J149" s="4">
        <v>1</v>
      </c>
      <c r="K149" s="4"/>
      <c r="L149" s="4"/>
      <c r="M149" s="4"/>
      <c r="N149" s="4"/>
      <c r="O149" s="4"/>
      <c r="P149" s="4"/>
      <c r="Q149" s="4"/>
      <c r="R149" s="13">
        <v>1</v>
      </c>
      <c r="S149" s="13">
        <v>1</v>
      </c>
      <c r="T149" s="13"/>
      <c r="U149" s="4"/>
      <c r="V149" s="4"/>
      <c r="W149" s="4"/>
      <c r="X149" s="30">
        <f t="shared" si="36"/>
        <v>1</v>
      </c>
      <c r="Y149" s="30">
        <f t="shared" si="37"/>
        <v>2</v>
      </c>
      <c r="Z149" s="30">
        <f t="shared" si="38"/>
        <v>0</v>
      </c>
      <c r="AC149" s="47" t="s">
        <v>574</v>
      </c>
      <c r="AD149" s="141" t="s">
        <v>229</v>
      </c>
      <c r="AE149" s="42" t="s">
        <v>6</v>
      </c>
      <c r="AF149" s="3"/>
      <c r="AG149" s="3"/>
      <c r="AH149" s="6"/>
      <c r="AI149" s="4"/>
      <c r="AJ149" s="5"/>
      <c r="AK149" s="5">
        <v>1</v>
      </c>
      <c r="AL149" s="4">
        <v>1</v>
      </c>
      <c r="AM149" s="4">
        <v>2</v>
      </c>
      <c r="AN149" s="4"/>
      <c r="AO149" s="4"/>
      <c r="AP149" s="4">
        <v>1</v>
      </c>
      <c r="AQ149" s="4"/>
      <c r="AR149" s="13"/>
      <c r="AS149" s="13"/>
      <c r="AT149" s="13"/>
      <c r="AU149" s="4"/>
      <c r="AV149" s="4">
        <v>3</v>
      </c>
      <c r="AW149" s="4"/>
      <c r="AX149" s="30">
        <f t="shared" si="39"/>
        <v>1</v>
      </c>
      <c r="AY149" s="30">
        <f t="shared" si="40"/>
        <v>6</v>
      </c>
      <c r="AZ149" s="30">
        <f t="shared" si="41"/>
        <v>1</v>
      </c>
      <c r="BC149" s="58" t="s">
        <v>619</v>
      </c>
      <c r="BD149" s="142" t="s">
        <v>230</v>
      </c>
      <c r="BE149" s="42" t="s">
        <v>8</v>
      </c>
      <c r="BF149" s="13"/>
      <c r="BG149" s="13">
        <v>1</v>
      </c>
      <c r="BH149" s="13"/>
      <c r="BI149" s="13"/>
      <c r="BJ149" s="14">
        <v>2</v>
      </c>
      <c r="BK149" s="14">
        <v>1</v>
      </c>
      <c r="BL149" s="13"/>
      <c r="BM149" s="13"/>
      <c r="BN149" s="13"/>
      <c r="BO149" s="13"/>
      <c r="BP149" s="13"/>
      <c r="BQ149" s="13"/>
      <c r="BR149" s="13">
        <v>2</v>
      </c>
      <c r="BS149" s="13">
        <v>1</v>
      </c>
      <c r="BT149" s="13">
        <v>1</v>
      </c>
      <c r="BU149" s="13"/>
      <c r="BV149" s="13"/>
      <c r="BW149" s="13"/>
      <c r="BX149" s="30">
        <f t="shared" si="42"/>
        <v>2</v>
      </c>
      <c r="BY149" s="30">
        <f t="shared" si="43"/>
        <v>4</v>
      </c>
      <c r="BZ149" s="30">
        <f t="shared" si="44"/>
        <v>2</v>
      </c>
    </row>
    <row r="150" spans="1:78" ht="15.5" x14ac:dyDescent="0.35">
      <c r="A150" s="31" t="s">
        <v>1014</v>
      </c>
      <c r="B150" s="35">
        <v>242510155</v>
      </c>
      <c r="C150" s="47" t="s">
        <v>615</v>
      </c>
      <c r="D150" s="142" t="s">
        <v>230</v>
      </c>
      <c r="E150" s="42" t="s">
        <v>8</v>
      </c>
      <c r="F150" s="13"/>
      <c r="G150" s="13"/>
      <c r="H150" s="13"/>
      <c r="I150" s="13"/>
      <c r="J150" s="14">
        <v>1</v>
      </c>
      <c r="K150" s="13">
        <v>1</v>
      </c>
      <c r="L150" s="13"/>
      <c r="M150" s="13"/>
      <c r="N150" s="13"/>
      <c r="O150" s="13"/>
      <c r="P150" s="13"/>
      <c r="Q150" s="13">
        <v>1</v>
      </c>
      <c r="R150" s="13">
        <v>1</v>
      </c>
      <c r="S150" s="13"/>
      <c r="T150" s="13">
        <v>1</v>
      </c>
      <c r="U150" s="13"/>
      <c r="V150" s="13"/>
      <c r="W150" s="13"/>
      <c r="X150" s="30">
        <f t="shared" si="36"/>
        <v>1</v>
      </c>
      <c r="Y150" s="30">
        <f t="shared" si="37"/>
        <v>1</v>
      </c>
      <c r="Z150" s="30">
        <f t="shared" si="38"/>
        <v>3</v>
      </c>
      <c r="AC150" s="47" t="s">
        <v>582</v>
      </c>
      <c r="AD150" s="141" t="s">
        <v>229</v>
      </c>
      <c r="AE150" s="42" t="s">
        <v>6</v>
      </c>
      <c r="AF150" s="3"/>
      <c r="AG150" s="3"/>
      <c r="AH150" s="3"/>
      <c r="AI150" s="4"/>
      <c r="AJ150" s="5">
        <v>2</v>
      </c>
      <c r="AK150" s="4"/>
      <c r="AL150" s="4">
        <v>1</v>
      </c>
      <c r="AM150" s="4"/>
      <c r="AN150" s="4"/>
      <c r="AO150" s="4"/>
      <c r="AP150" s="4">
        <v>1</v>
      </c>
      <c r="AQ150" s="4"/>
      <c r="AR150" s="13"/>
      <c r="AS150" s="13">
        <v>2</v>
      </c>
      <c r="AT150" s="13"/>
      <c r="AU150" s="4"/>
      <c r="AV150" s="4">
        <v>1</v>
      </c>
      <c r="AW150" s="4"/>
      <c r="AX150" s="30">
        <f t="shared" si="39"/>
        <v>1</v>
      </c>
      <c r="AY150" s="30">
        <f t="shared" si="40"/>
        <v>6</v>
      </c>
      <c r="AZ150" s="30">
        <f t="shared" si="41"/>
        <v>0</v>
      </c>
      <c r="BC150" s="47" t="s">
        <v>623</v>
      </c>
      <c r="BD150" s="142" t="s">
        <v>230</v>
      </c>
      <c r="BE150" s="42" t="s">
        <v>8</v>
      </c>
      <c r="BF150" s="13"/>
      <c r="BG150" s="13"/>
      <c r="BH150" s="13"/>
      <c r="BI150" s="13">
        <v>2</v>
      </c>
      <c r="BJ150" s="14"/>
      <c r="BK150" s="13"/>
      <c r="BL150" s="13"/>
      <c r="BM150" s="13">
        <v>1</v>
      </c>
      <c r="BN150" s="13"/>
      <c r="BO150" s="13"/>
      <c r="BP150" s="13">
        <v>1</v>
      </c>
      <c r="BQ150" s="13">
        <v>1</v>
      </c>
      <c r="BR150" s="13">
        <v>2</v>
      </c>
      <c r="BS150" s="13">
        <v>1</v>
      </c>
      <c r="BT150" s="13">
        <v>1</v>
      </c>
      <c r="BU150" s="13"/>
      <c r="BV150" s="13"/>
      <c r="BW150" s="13"/>
      <c r="BX150" s="30">
        <f t="shared" si="42"/>
        <v>4</v>
      </c>
      <c r="BY150" s="30">
        <f t="shared" si="43"/>
        <v>3</v>
      </c>
      <c r="BZ150" s="30">
        <f t="shared" si="44"/>
        <v>2</v>
      </c>
    </row>
    <row r="151" spans="1:78" ht="15.5" x14ac:dyDescent="0.35">
      <c r="A151" s="31" t="s">
        <v>1023</v>
      </c>
      <c r="B151" s="35">
        <v>242510164</v>
      </c>
      <c r="C151" s="47" t="s">
        <v>624</v>
      </c>
      <c r="D151" s="142" t="s">
        <v>230</v>
      </c>
      <c r="E151" s="42" t="s">
        <v>8</v>
      </c>
      <c r="F151" s="13"/>
      <c r="G151" s="13"/>
      <c r="H151" s="13"/>
      <c r="I151" s="13">
        <v>1</v>
      </c>
      <c r="J151" s="13">
        <v>1</v>
      </c>
      <c r="K151" s="13">
        <v>1</v>
      </c>
      <c r="L151" s="13"/>
      <c r="M151" s="13">
        <v>1</v>
      </c>
      <c r="N151" s="13">
        <v>1</v>
      </c>
      <c r="O151" s="13"/>
      <c r="P151" s="13">
        <v>1</v>
      </c>
      <c r="Q151" s="13">
        <v>1</v>
      </c>
      <c r="R151" s="13"/>
      <c r="S151" s="13">
        <v>4</v>
      </c>
      <c r="T151" s="13">
        <v>3</v>
      </c>
      <c r="U151" s="13"/>
      <c r="V151" s="13"/>
      <c r="W151" s="13"/>
      <c r="X151" s="30">
        <f t="shared" si="36"/>
        <v>1</v>
      </c>
      <c r="Y151" s="30">
        <f t="shared" si="37"/>
        <v>7</v>
      </c>
      <c r="Z151" s="30">
        <f t="shared" si="38"/>
        <v>6</v>
      </c>
      <c r="AC151" s="46" t="s">
        <v>588</v>
      </c>
      <c r="AD151" s="141" t="s">
        <v>229</v>
      </c>
      <c r="AE151" s="42" t="s">
        <v>8</v>
      </c>
      <c r="AF151" s="3"/>
      <c r="AG151" s="3"/>
      <c r="AH151" s="3"/>
      <c r="AI151" s="4"/>
      <c r="AJ151" s="5">
        <v>2</v>
      </c>
      <c r="AK151" s="4">
        <v>1</v>
      </c>
      <c r="AL151" s="4"/>
      <c r="AM151" s="4"/>
      <c r="AN151" s="4"/>
      <c r="AO151" s="4"/>
      <c r="AP151" s="4">
        <v>1</v>
      </c>
      <c r="AQ151" s="4"/>
      <c r="AR151" s="13">
        <v>1</v>
      </c>
      <c r="AS151" s="13">
        <v>2</v>
      </c>
      <c r="AT151" s="13"/>
      <c r="AU151" s="4"/>
      <c r="AV151" s="4">
        <v>1</v>
      </c>
      <c r="AW151" s="4"/>
      <c r="AX151" s="30">
        <f t="shared" si="39"/>
        <v>1</v>
      </c>
      <c r="AY151" s="30">
        <f t="shared" si="40"/>
        <v>6</v>
      </c>
      <c r="AZ151" s="30">
        <f t="shared" si="41"/>
        <v>1</v>
      </c>
      <c r="BC151" s="43" t="s">
        <v>440</v>
      </c>
      <c r="BD151" s="127" t="s">
        <v>226</v>
      </c>
      <c r="BE151" s="35" t="s">
        <v>6</v>
      </c>
      <c r="BF151" s="3"/>
      <c r="BG151" s="3"/>
      <c r="BH151" s="3"/>
      <c r="BI151" s="5"/>
      <c r="BJ151" s="4">
        <v>1</v>
      </c>
      <c r="BK151" s="5"/>
      <c r="BL151" s="4"/>
      <c r="BM151" s="5"/>
      <c r="BN151" s="4"/>
      <c r="BO151" s="13">
        <v>1</v>
      </c>
      <c r="BP151" s="4"/>
      <c r="BQ151" s="4">
        <v>1</v>
      </c>
      <c r="BR151" s="4"/>
      <c r="BS151" s="4">
        <v>2</v>
      </c>
      <c r="BT151" s="4">
        <v>1</v>
      </c>
      <c r="BU151" s="4"/>
      <c r="BV151" s="4"/>
      <c r="BW151" s="4">
        <v>1</v>
      </c>
      <c r="BX151" s="30">
        <f t="shared" si="42"/>
        <v>1</v>
      </c>
      <c r="BY151" s="30">
        <f t="shared" si="43"/>
        <v>3</v>
      </c>
      <c r="BZ151" s="30">
        <f t="shared" si="44"/>
        <v>3</v>
      </c>
    </row>
    <row r="152" spans="1:78" ht="15.5" x14ac:dyDescent="0.35">
      <c r="A152" s="31" t="s">
        <v>1024</v>
      </c>
      <c r="B152" s="35">
        <v>242510165</v>
      </c>
      <c r="C152" s="47" t="s">
        <v>625</v>
      </c>
      <c r="D152" s="142" t="s">
        <v>230</v>
      </c>
      <c r="E152" s="42" t="s">
        <v>8</v>
      </c>
      <c r="F152" s="13"/>
      <c r="G152" s="13">
        <v>1</v>
      </c>
      <c r="H152" s="13"/>
      <c r="I152" s="13"/>
      <c r="J152" s="14"/>
      <c r="K152" s="13">
        <v>1</v>
      </c>
      <c r="L152" s="13"/>
      <c r="M152" s="13"/>
      <c r="N152" s="13"/>
      <c r="O152" s="13"/>
      <c r="P152" s="13"/>
      <c r="Q152" s="13">
        <v>1</v>
      </c>
      <c r="R152" s="13">
        <v>1</v>
      </c>
      <c r="S152" s="13"/>
      <c r="T152" s="13">
        <v>2</v>
      </c>
      <c r="U152" s="13"/>
      <c r="V152" s="13"/>
      <c r="W152" s="13"/>
      <c r="X152" s="30">
        <f t="shared" si="36"/>
        <v>1</v>
      </c>
      <c r="Y152" s="30">
        <f t="shared" si="37"/>
        <v>1</v>
      </c>
      <c r="Z152" s="30">
        <f t="shared" si="38"/>
        <v>4</v>
      </c>
      <c r="AC152" s="47" t="s">
        <v>607</v>
      </c>
      <c r="AD152" s="142" t="s">
        <v>230</v>
      </c>
      <c r="AE152" s="42" t="s">
        <v>8</v>
      </c>
      <c r="AF152" s="13"/>
      <c r="AG152" s="13"/>
      <c r="AH152" s="13"/>
      <c r="AI152" s="13"/>
      <c r="AJ152" s="14">
        <v>2</v>
      </c>
      <c r="AK152" s="13"/>
      <c r="AL152" s="13"/>
      <c r="AM152" s="13">
        <v>1</v>
      </c>
      <c r="AN152" s="13"/>
      <c r="AO152" s="13"/>
      <c r="AP152" s="13">
        <v>2</v>
      </c>
      <c r="AQ152" s="13"/>
      <c r="AR152" s="13"/>
      <c r="AS152" s="13">
        <v>1</v>
      </c>
      <c r="AT152" s="13"/>
      <c r="AU152" s="13"/>
      <c r="AV152" s="13"/>
      <c r="AW152" s="13"/>
      <c r="AX152" s="30">
        <f t="shared" si="39"/>
        <v>0</v>
      </c>
      <c r="AY152" s="30">
        <f t="shared" si="40"/>
        <v>6</v>
      </c>
      <c r="AZ152" s="30">
        <f t="shared" si="41"/>
        <v>0</v>
      </c>
      <c r="BC152" s="43" t="s">
        <v>444</v>
      </c>
      <c r="BD152" s="127" t="s">
        <v>226</v>
      </c>
      <c r="BE152" s="35" t="s">
        <v>6</v>
      </c>
      <c r="BF152" s="3"/>
      <c r="BG152" s="3"/>
      <c r="BH152" s="3"/>
      <c r="BI152" s="4"/>
      <c r="BJ152" s="5"/>
      <c r="BK152" s="5"/>
      <c r="BL152" s="4"/>
      <c r="BM152" s="5">
        <v>1</v>
      </c>
      <c r="BN152" s="5">
        <v>1</v>
      </c>
      <c r="BO152" s="13">
        <v>1</v>
      </c>
      <c r="BP152" s="5"/>
      <c r="BQ152" s="5">
        <v>1</v>
      </c>
      <c r="BR152" s="4"/>
      <c r="BS152" s="5">
        <v>2</v>
      </c>
      <c r="BT152" s="5">
        <v>1</v>
      </c>
      <c r="BU152" s="4"/>
      <c r="BV152" s="5">
        <v>1</v>
      </c>
      <c r="BW152" s="5"/>
      <c r="BX152" s="30">
        <f t="shared" si="42"/>
        <v>1</v>
      </c>
      <c r="BY152" s="30">
        <f t="shared" si="43"/>
        <v>4</v>
      </c>
      <c r="BZ152" s="30">
        <f t="shared" si="44"/>
        <v>3</v>
      </c>
    </row>
    <row r="153" spans="1:78" ht="15.5" x14ac:dyDescent="0.35">
      <c r="A153" s="31" t="s">
        <v>25</v>
      </c>
      <c r="B153" s="35">
        <v>242510005</v>
      </c>
      <c r="C153" s="36" t="s">
        <v>430</v>
      </c>
      <c r="D153" s="139" t="s">
        <v>225</v>
      </c>
      <c r="E153" s="35" t="s">
        <v>6</v>
      </c>
      <c r="F153" s="19"/>
      <c r="G153" s="19"/>
      <c r="H153" s="19"/>
      <c r="I153" s="13"/>
      <c r="J153" s="14"/>
      <c r="K153" s="13">
        <v>1</v>
      </c>
      <c r="L153" s="13"/>
      <c r="M153" s="14"/>
      <c r="N153" s="13"/>
      <c r="O153" s="13">
        <v>1</v>
      </c>
      <c r="P153" s="14"/>
      <c r="Q153" s="13">
        <v>1</v>
      </c>
      <c r="R153" s="13">
        <v>1</v>
      </c>
      <c r="S153" s="14">
        <v>4</v>
      </c>
      <c r="T153" s="13">
        <v>2</v>
      </c>
      <c r="U153" s="13"/>
      <c r="V153" s="14">
        <v>2</v>
      </c>
      <c r="W153" s="13">
        <v>1</v>
      </c>
      <c r="X153" s="30">
        <f t="shared" si="36"/>
        <v>2</v>
      </c>
      <c r="Y153" s="30">
        <f t="shared" si="37"/>
        <v>6</v>
      </c>
      <c r="Z153" s="30">
        <f t="shared" si="38"/>
        <v>5</v>
      </c>
      <c r="AC153" s="46" t="s">
        <v>621</v>
      </c>
      <c r="AD153" s="142" t="s">
        <v>230</v>
      </c>
      <c r="AE153" s="42" t="s">
        <v>8</v>
      </c>
      <c r="AF153" s="13"/>
      <c r="AG153" s="13">
        <v>1</v>
      </c>
      <c r="AH153" s="13"/>
      <c r="AI153" s="13"/>
      <c r="AJ153" s="13">
        <v>1</v>
      </c>
      <c r="AK153" s="13"/>
      <c r="AL153" s="13">
        <v>2</v>
      </c>
      <c r="AM153" s="13">
        <v>1</v>
      </c>
      <c r="AN153" s="13"/>
      <c r="AO153" s="13">
        <v>2</v>
      </c>
      <c r="AP153" s="13">
        <v>1</v>
      </c>
      <c r="AQ153" s="13"/>
      <c r="AR153" s="13"/>
      <c r="AS153" s="13">
        <v>2</v>
      </c>
      <c r="AT153" s="13"/>
      <c r="AU153" s="13"/>
      <c r="AV153" s="13"/>
      <c r="AW153" s="13"/>
      <c r="AX153" s="30">
        <f t="shared" si="39"/>
        <v>4</v>
      </c>
      <c r="AY153" s="30">
        <f t="shared" si="40"/>
        <v>6</v>
      </c>
      <c r="AZ153" s="30">
        <f t="shared" si="41"/>
        <v>0</v>
      </c>
      <c r="BC153" s="36" t="s">
        <v>473</v>
      </c>
      <c r="BD153" s="139" t="s">
        <v>227</v>
      </c>
      <c r="BE153" s="52" t="s">
        <v>6</v>
      </c>
      <c r="BF153" s="3"/>
      <c r="BG153" s="3"/>
      <c r="BH153" s="3"/>
      <c r="BI153" s="4"/>
      <c r="BJ153" s="5">
        <v>2</v>
      </c>
      <c r="BK153" s="4"/>
      <c r="BL153" s="4"/>
      <c r="BM153" s="4"/>
      <c r="BN153" s="4"/>
      <c r="BO153" s="13"/>
      <c r="BP153" s="4">
        <v>3</v>
      </c>
      <c r="BQ153" s="4">
        <v>1</v>
      </c>
      <c r="BR153" s="4"/>
      <c r="BS153" s="4">
        <v>2</v>
      </c>
      <c r="BT153" s="4">
        <v>2</v>
      </c>
      <c r="BU153" s="4"/>
      <c r="BV153" s="4"/>
      <c r="BW153" s="4"/>
      <c r="BX153" s="30">
        <f t="shared" si="42"/>
        <v>0</v>
      </c>
      <c r="BY153" s="30">
        <f t="shared" si="43"/>
        <v>7</v>
      </c>
      <c r="BZ153" s="30">
        <f t="shared" si="44"/>
        <v>3</v>
      </c>
    </row>
    <row r="154" spans="1:78" ht="15.5" x14ac:dyDescent="0.35">
      <c r="A154" s="31" t="s">
        <v>916</v>
      </c>
      <c r="B154" s="35">
        <v>242510060</v>
      </c>
      <c r="C154" s="43" t="s">
        <v>483</v>
      </c>
      <c r="D154" s="139" t="s">
        <v>227</v>
      </c>
      <c r="E154" s="35" t="s">
        <v>6</v>
      </c>
      <c r="F154" s="3"/>
      <c r="G154" s="3"/>
      <c r="H154" s="3"/>
      <c r="I154" s="4"/>
      <c r="J154" s="5">
        <v>2</v>
      </c>
      <c r="K154" s="4"/>
      <c r="L154" s="4">
        <v>2</v>
      </c>
      <c r="M154" s="4"/>
      <c r="N154" s="4"/>
      <c r="O154" s="13"/>
      <c r="P154" s="4">
        <v>1</v>
      </c>
      <c r="Q154" s="4">
        <v>1</v>
      </c>
      <c r="R154" s="4"/>
      <c r="S154" s="4">
        <v>2</v>
      </c>
      <c r="T154" s="4"/>
      <c r="U154" s="4"/>
      <c r="V154" s="4">
        <v>1</v>
      </c>
      <c r="W154" s="4"/>
      <c r="X154" s="30">
        <f t="shared" si="36"/>
        <v>2</v>
      </c>
      <c r="Y154" s="30">
        <f t="shared" si="37"/>
        <v>6</v>
      </c>
      <c r="Z154" s="30">
        <f t="shared" si="38"/>
        <v>1</v>
      </c>
      <c r="AC154" s="34" t="s">
        <v>428</v>
      </c>
      <c r="AD154" s="139" t="s">
        <v>225</v>
      </c>
      <c r="AE154" s="35" t="s">
        <v>6</v>
      </c>
      <c r="AF154" s="19"/>
      <c r="AG154" s="19"/>
      <c r="AH154" s="19"/>
      <c r="AI154" s="13"/>
      <c r="AJ154" s="13">
        <v>2</v>
      </c>
      <c r="AK154" s="13"/>
      <c r="AL154" s="13"/>
      <c r="AM154" s="14"/>
      <c r="AN154" s="13"/>
      <c r="AO154" s="13"/>
      <c r="AP154" s="14"/>
      <c r="AQ154" s="13"/>
      <c r="AR154" s="13"/>
      <c r="AS154" s="14">
        <v>4</v>
      </c>
      <c r="AT154" s="13"/>
      <c r="AU154" s="13"/>
      <c r="AV154" s="14">
        <v>1</v>
      </c>
      <c r="AW154" s="13"/>
      <c r="AX154" s="30">
        <f t="shared" si="39"/>
        <v>0</v>
      </c>
      <c r="AY154" s="30">
        <f t="shared" si="40"/>
        <v>7</v>
      </c>
      <c r="AZ154" s="30">
        <f t="shared" si="41"/>
        <v>0</v>
      </c>
      <c r="BC154" s="51" t="s">
        <v>512</v>
      </c>
      <c r="BD154" s="140" t="s">
        <v>228</v>
      </c>
      <c r="BE154" s="42" t="s">
        <v>8</v>
      </c>
      <c r="BF154" s="19"/>
      <c r="BG154" s="19"/>
      <c r="BH154" s="19"/>
      <c r="BI154" s="13"/>
      <c r="BJ154" s="14">
        <v>2</v>
      </c>
      <c r="BK154" s="13"/>
      <c r="BL154" s="13">
        <v>2</v>
      </c>
      <c r="BM154" s="13">
        <v>3</v>
      </c>
      <c r="BN154" s="13"/>
      <c r="BO154" s="13"/>
      <c r="BP154" s="13">
        <v>1</v>
      </c>
      <c r="BQ154" s="13">
        <v>1</v>
      </c>
      <c r="BR154" s="13"/>
      <c r="BS154" s="13">
        <v>3</v>
      </c>
      <c r="BT154" s="13">
        <v>2</v>
      </c>
      <c r="BU154" s="13"/>
      <c r="BV154" s="13">
        <v>1</v>
      </c>
      <c r="BW154" s="13"/>
      <c r="BX154" s="30">
        <f t="shared" si="42"/>
        <v>2</v>
      </c>
      <c r="BY154" s="30">
        <f t="shared" si="43"/>
        <v>10</v>
      </c>
      <c r="BZ154" s="30">
        <f t="shared" si="44"/>
        <v>3</v>
      </c>
    </row>
    <row r="155" spans="1:78" ht="15.5" x14ac:dyDescent="0.35">
      <c r="A155" s="31" t="s">
        <v>934</v>
      </c>
      <c r="B155" s="33" t="s">
        <v>511</v>
      </c>
      <c r="C155" s="51" t="s">
        <v>512</v>
      </c>
      <c r="D155" s="140" t="s">
        <v>228</v>
      </c>
      <c r="E155" s="42" t="s">
        <v>8</v>
      </c>
      <c r="F155" s="19"/>
      <c r="G155" s="19"/>
      <c r="H155" s="19"/>
      <c r="I155" s="13"/>
      <c r="J155" s="14">
        <v>2</v>
      </c>
      <c r="K155" s="13"/>
      <c r="L155" s="13">
        <v>2</v>
      </c>
      <c r="M155" s="13">
        <v>3</v>
      </c>
      <c r="N155" s="13"/>
      <c r="O155" s="13"/>
      <c r="P155" s="13">
        <v>1</v>
      </c>
      <c r="Q155" s="13">
        <v>1</v>
      </c>
      <c r="R155" s="13"/>
      <c r="S155" s="13">
        <v>3</v>
      </c>
      <c r="T155" s="13">
        <v>2</v>
      </c>
      <c r="U155" s="13"/>
      <c r="V155" s="13">
        <v>1</v>
      </c>
      <c r="W155" s="13"/>
      <c r="X155" s="30">
        <f t="shared" si="36"/>
        <v>2</v>
      </c>
      <c r="Y155" s="30">
        <f t="shared" si="37"/>
        <v>10</v>
      </c>
      <c r="Z155" s="30">
        <f t="shared" si="38"/>
        <v>3</v>
      </c>
      <c r="AC155" s="36" t="s">
        <v>429</v>
      </c>
      <c r="AD155" s="139" t="s">
        <v>225</v>
      </c>
      <c r="AE155" s="35" t="s">
        <v>8</v>
      </c>
      <c r="AF155" s="19"/>
      <c r="AG155" s="19"/>
      <c r="AH155" s="19"/>
      <c r="AI155" s="13"/>
      <c r="AJ155" s="14"/>
      <c r="AK155" s="13"/>
      <c r="AL155" s="13"/>
      <c r="AM155" s="13">
        <v>2</v>
      </c>
      <c r="AN155" s="13"/>
      <c r="AO155" s="13"/>
      <c r="AP155" s="13">
        <v>4</v>
      </c>
      <c r="AQ155" s="13">
        <v>1</v>
      </c>
      <c r="AR155" s="13"/>
      <c r="AS155" s="13">
        <v>1</v>
      </c>
      <c r="AT155" s="13"/>
      <c r="AU155" s="13"/>
      <c r="AV155" s="13"/>
      <c r="AW155" s="13"/>
      <c r="AX155" s="30">
        <f t="shared" si="39"/>
        <v>0</v>
      </c>
      <c r="AY155" s="30">
        <f t="shared" si="40"/>
        <v>7</v>
      </c>
      <c r="AZ155" s="30">
        <f t="shared" si="41"/>
        <v>1</v>
      </c>
      <c r="BC155" s="37" t="s">
        <v>558</v>
      </c>
      <c r="BD155" s="140" t="s">
        <v>228</v>
      </c>
      <c r="BE155" s="35" t="s">
        <v>8</v>
      </c>
      <c r="BF155" s="19"/>
      <c r="BG155" s="19"/>
      <c r="BH155" s="19"/>
      <c r="BI155" s="13"/>
      <c r="BJ155" s="13">
        <v>1</v>
      </c>
      <c r="BK155" s="13"/>
      <c r="BL155" s="13"/>
      <c r="BM155" s="13">
        <v>2</v>
      </c>
      <c r="BN155" s="13"/>
      <c r="BO155" s="13"/>
      <c r="BP155" s="13"/>
      <c r="BQ155" s="13"/>
      <c r="BR155" s="13"/>
      <c r="BS155" s="13">
        <v>2</v>
      </c>
      <c r="BT155" s="13">
        <v>3</v>
      </c>
      <c r="BU155" s="13"/>
      <c r="BV155" s="13"/>
      <c r="BW155" s="13"/>
      <c r="BX155" s="30">
        <f t="shared" si="42"/>
        <v>0</v>
      </c>
      <c r="BY155" s="30">
        <f t="shared" si="43"/>
        <v>5</v>
      </c>
      <c r="BZ155" s="30">
        <f t="shared" si="44"/>
        <v>3</v>
      </c>
    </row>
    <row r="156" spans="1:78" ht="15.5" x14ac:dyDescent="0.35">
      <c r="A156" s="31" t="s">
        <v>968</v>
      </c>
      <c r="B156" s="35">
        <v>242510110</v>
      </c>
      <c r="C156" s="41" t="s">
        <v>570</v>
      </c>
      <c r="D156" s="141" t="s">
        <v>229</v>
      </c>
      <c r="E156" s="42" t="s">
        <v>8</v>
      </c>
      <c r="F156" s="3"/>
      <c r="G156" s="3"/>
      <c r="H156" s="3"/>
      <c r="I156" s="4"/>
      <c r="J156" s="5"/>
      <c r="K156" s="4">
        <v>1</v>
      </c>
      <c r="L156" s="4"/>
      <c r="M156" s="4"/>
      <c r="N156" s="4"/>
      <c r="O156" s="4"/>
      <c r="P156" s="4"/>
      <c r="Q156" s="4"/>
      <c r="R156" s="13">
        <v>2</v>
      </c>
      <c r="S156" s="13">
        <v>1</v>
      </c>
      <c r="T156" s="13"/>
      <c r="U156" s="4"/>
      <c r="V156" s="4"/>
      <c r="W156" s="4"/>
      <c r="X156" s="30">
        <f t="shared" si="36"/>
        <v>2</v>
      </c>
      <c r="Y156" s="30">
        <f t="shared" si="37"/>
        <v>1</v>
      </c>
      <c r="Z156" s="30">
        <f t="shared" si="38"/>
        <v>1</v>
      </c>
      <c r="AC156" s="43" t="s">
        <v>448</v>
      </c>
      <c r="AD156" s="127" t="s">
        <v>226</v>
      </c>
      <c r="AE156" s="35" t="s">
        <v>6</v>
      </c>
      <c r="AF156" s="3"/>
      <c r="AG156" s="3"/>
      <c r="AH156" s="3"/>
      <c r="AI156" s="4"/>
      <c r="AJ156" s="5">
        <v>1</v>
      </c>
      <c r="AK156" s="5"/>
      <c r="AL156" s="4"/>
      <c r="AM156" s="4">
        <v>3</v>
      </c>
      <c r="AN156" s="4">
        <v>1</v>
      </c>
      <c r="AO156" s="13">
        <v>1</v>
      </c>
      <c r="AP156" s="5">
        <v>1</v>
      </c>
      <c r="AQ156" s="5"/>
      <c r="AR156" s="4"/>
      <c r="AS156" s="5">
        <v>2</v>
      </c>
      <c r="AT156" s="5">
        <v>1</v>
      </c>
      <c r="AU156" s="4"/>
      <c r="AV156" s="5"/>
      <c r="AW156" s="5"/>
      <c r="AX156" s="30">
        <f t="shared" si="39"/>
        <v>1</v>
      </c>
      <c r="AY156" s="30">
        <f t="shared" si="40"/>
        <v>7</v>
      </c>
      <c r="AZ156" s="30">
        <f t="shared" si="41"/>
        <v>2</v>
      </c>
      <c r="BC156" s="60" t="s">
        <v>586</v>
      </c>
      <c r="BD156" s="141" t="s">
        <v>229</v>
      </c>
      <c r="BE156" s="42" t="s">
        <v>6</v>
      </c>
      <c r="BF156" s="3"/>
      <c r="BG156" s="3"/>
      <c r="BH156" s="3"/>
      <c r="BI156" s="4"/>
      <c r="BJ156" s="4">
        <v>1</v>
      </c>
      <c r="BK156" s="4">
        <v>3</v>
      </c>
      <c r="BL156" s="4"/>
      <c r="BM156" s="4"/>
      <c r="BN156" s="4"/>
      <c r="BO156" s="4"/>
      <c r="BP156" s="4">
        <v>1</v>
      </c>
      <c r="BQ156" s="4"/>
      <c r="BR156" s="13">
        <v>2</v>
      </c>
      <c r="BS156" s="13">
        <v>1</v>
      </c>
      <c r="BT156" s="13"/>
      <c r="BU156" s="4"/>
      <c r="BV156" s="4">
        <v>1</v>
      </c>
      <c r="BW156" s="4"/>
      <c r="BX156" s="30">
        <f t="shared" si="42"/>
        <v>2</v>
      </c>
      <c r="BY156" s="30">
        <f t="shared" si="43"/>
        <v>4</v>
      </c>
      <c r="BZ156" s="30">
        <f t="shared" si="44"/>
        <v>3</v>
      </c>
    </row>
    <row r="157" spans="1:78" ht="15.5" x14ac:dyDescent="0.35">
      <c r="A157" s="31" t="s">
        <v>974</v>
      </c>
      <c r="B157" s="35">
        <v>242510116</v>
      </c>
      <c r="C157" s="47" t="s">
        <v>576</v>
      </c>
      <c r="D157" s="141" t="s">
        <v>229</v>
      </c>
      <c r="E157" s="42" t="s">
        <v>6</v>
      </c>
      <c r="F157" s="3"/>
      <c r="G157" s="3">
        <v>2</v>
      </c>
      <c r="H157" s="3"/>
      <c r="I157" s="4"/>
      <c r="J157" s="4">
        <v>2</v>
      </c>
      <c r="K157" s="5"/>
      <c r="L157" s="4">
        <v>1</v>
      </c>
      <c r="M157" s="4"/>
      <c r="N157" s="4"/>
      <c r="O157" s="4">
        <v>1</v>
      </c>
      <c r="P157" s="4">
        <v>3</v>
      </c>
      <c r="Q157" s="4"/>
      <c r="R157" s="13"/>
      <c r="S157" s="13">
        <v>2</v>
      </c>
      <c r="T157" s="13">
        <v>2</v>
      </c>
      <c r="U157" s="4"/>
      <c r="V157" s="4"/>
      <c r="W157" s="4"/>
      <c r="X157" s="30">
        <f t="shared" si="36"/>
        <v>2</v>
      </c>
      <c r="Y157" s="30">
        <f t="shared" si="37"/>
        <v>9</v>
      </c>
      <c r="Z157" s="30">
        <f t="shared" si="38"/>
        <v>2</v>
      </c>
      <c r="AC157" s="36" t="s">
        <v>473</v>
      </c>
      <c r="AD157" s="139" t="s">
        <v>227</v>
      </c>
      <c r="AE157" s="52" t="s">
        <v>6</v>
      </c>
      <c r="AF157" s="3"/>
      <c r="AG157" s="3"/>
      <c r="AH157" s="3"/>
      <c r="AI157" s="4"/>
      <c r="AJ157" s="5">
        <v>2</v>
      </c>
      <c r="AK157" s="4"/>
      <c r="AL157" s="4"/>
      <c r="AM157" s="4"/>
      <c r="AN157" s="4"/>
      <c r="AO157" s="13"/>
      <c r="AP157" s="4">
        <v>3</v>
      </c>
      <c r="AQ157" s="4">
        <v>1</v>
      </c>
      <c r="AR157" s="4"/>
      <c r="AS157" s="4">
        <v>2</v>
      </c>
      <c r="AT157" s="4">
        <v>2</v>
      </c>
      <c r="AU157" s="4"/>
      <c r="AV157" s="4"/>
      <c r="AW157" s="4"/>
      <c r="AX157" s="30">
        <f t="shared" si="39"/>
        <v>0</v>
      </c>
      <c r="AY157" s="30">
        <f t="shared" si="40"/>
        <v>7</v>
      </c>
      <c r="AZ157" s="30">
        <f t="shared" si="41"/>
        <v>3</v>
      </c>
      <c r="BC157" s="47" t="s">
        <v>592</v>
      </c>
      <c r="BD157" s="141" t="s">
        <v>229</v>
      </c>
      <c r="BE157" s="42" t="s">
        <v>8</v>
      </c>
      <c r="BF157" s="3"/>
      <c r="BG157" s="3"/>
      <c r="BH157" s="3"/>
      <c r="BI157" s="5"/>
      <c r="BJ157" s="5">
        <v>1</v>
      </c>
      <c r="BK157" s="4">
        <v>2</v>
      </c>
      <c r="BL157" s="4"/>
      <c r="BM157" s="4">
        <v>2</v>
      </c>
      <c r="BN157" s="4"/>
      <c r="BO157" s="4"/>
      <c r="BP157" s="4"/>
      <c r="BQ157" s="4"/>
      <c r="BR157" s="13"/>
      <c r="BS157" s="13"/>
      <c r="BT157" s="13"/>
      <c r="BU157" s="4"/>
      <c r="BV157" s="4"/>
      <c r="BW157" s="4">
        <v>1</v>
      </c>
      <c r="BX157" s="30">
        <f t="shared" si="42"/>
        <v>0</v>
      </c>
      <c r="BY157" s="30">
        <f t="shared" si="43"/>
        <v>3</v>
      </c>
      <c r="BZ157" s="30">
        <f t="shared" si="44"/>
        <v>3</v>
      </c>
    </row>
    <row r="158" spans="1:78" ht="15.5" x14ac:dyDescent="0.35">
      <c r="A158" s="31" t="s">
        <v>984</v>
      </c>
      <c r="B158" s="35">
        <v>242510126</v>
      </c>
      <c r="C158" s="60" t="s">
        <v>586</v>
      </c>
      <c r="D158" s="141" t="s">
        <v>229</v>
      </c>
      <c r="E158" s="42" t="s">
        <v>6</v>
      </c>
      <c r="F158" s="3"/>
      <c r="G158" s="3"/>
      <c r="H158" s="3"/>
      <c r="I158" s="4"/>
      <c r="J158" s="4">
        <v>1</v>
      </c>
      <c r="K158" s="4">
        <v>3</v>
      </c>
      <c r="L158" s="4"/>
      <c r="M158" s="4"/>
      <c r="N158" s="4"/>
      <c r="O158" s="4"/>
      <c r="P158" s="4">
        <v>1</v>
      </c>
      <c r="Q158" s="4"/>
      <c r="R158" s="13">
        <v>2</v>
      </c>
      <c r="S158" s="13">
        <v>1</v>
      </c>
      <c r="T158" s="13"/>
      <c r="U158" s="4"/>
      <c r="V158" s="4">
        <v>1</v>
      </c>
      <c r="W158" s="4"/>
      <c r="X158" s="30">
        <f t="shared" si="36"/>
        <v>2</v>
      </c>
      <c r="Y158" s="30">
        <f t="shared" si="37"/>
        <v>4</v>
      </c>
      <c r="Z158" s="30">
        <f t="shared" si="38"/>
        <v>3</v>
      </c>
      <c r="AC158" s="41" t="s">
        <v>565</v>
      </c>
      <c r="AD158" s="141" t="s">
        <v>229</v>
      </c>
      <c r="AE158" s="42" t="s">
        <v>8</v>
      </c>
      <c r="AF158" s="3"/>
      <c r="AG158" s="3"/>
      <c r="AH158" s="3"/>
      <c r="AI158" s="4"/>
      <c r="AJ158" s="4">
        <v>1</v>
      </c>
      <c r="AK158" s="4"/>
      <c r="AL158" s="4"/>
      <c r="AM158" s="4">
        <v>2</v>
      </c>
      <c r="AN158" s="4"/>
      <c r="AO158" s="4"/>
      <c r="AP158" s="4">
        <v>2</v>
      </c>
      <c r="AQ158" s="4"/>
      <c r="AR158" s="13">
        <v>1</v>
      </c>
      <c r="AS158" s="13">
        <v>1</v>
      </c>
      <c r="AT158" s="13"/>
      <c r="AU158" s="4"/>
      <c r="AV158" s="4">
        <v>1</v>
      </c>
      <c r="AW158" s="4"/>
      <c r="AX158" s="30">
        <f t="shared" si="39"/>
        <v>1</v>
      </c>
      <c r="AY158" s="30">
        <f t="shared" si="40"/>
        <v>7</v>
      </c>
      <c r="AZ158" s="30">
        <f t="shared" si="41"/>
        <v>0</v>
      </c>
      <c r="BC158" s="47" t="s">
        <v>603</v>
      </c>
      <c r="BD158" s="142" t="s">
        <v>230</v>
      </c>
      <c r="BE158" s="42" t="s">
        <v>8</v>
      </c>
      <c r="BF158" s="13"/>
      <c r="BG158" s="13"/>
      <c r="BH158" s="13"/>
      <c r="BI158" s="13"/>
      <c r="BJ158" s="14">
        <v>1</v>
      </c>
      <c r="BK158" s="13">
        <v>1</v>
      </c>
      <c r="BL158" s="13">
        <v>1</v>
      </c>
      <c r="BM158" s="13"/>
      <c r="BN158" s="13">
        <v>1</v>
      </c>
      <c r="BO158" s="13"/>
      <c r="BP158" s="13"/>
      <c r="BQ158" s="13">
        <v>1</v>
      </c>
      <c r="BR158" s="13">
        <v>1</v>
      </c>
      <c r="BS158" s="13">
        <v>2</v>
      </c>
      <c r="BT158" s="13"/>
      <c r="BU158" s="13"/>
      <c r="BV158" s="13">
        <v>1</v>
      </c>
      <c r="BW158" s="13"/>
      <c r="BX158" s="30">
        <f t="shared" si="42"/>
        <v>2</v>
      </c>
      <c r="BY158" s="30">
        <f t="shared" si="43"/>
        <v>4</v>
      </c>
      <c r="BZ158" s="30">
        <f t="shared" si="44"/>
        <v>3</v>
      </c>
    </row>
    <row r="159" spans="1:78" ht="15.5" x14ac:dyDescent="0.35">
      <c r="A159" s="31" t="s">
        <v>988</v>
      </c>
      <c r="B159" s="35">
        <v>242510130</v>
      </c>
      <c r="C159" s="47" t="s">
        <v>590</v>
      </c>
      <c r="D159" s="141" t="s">
        <v>229</v>
      </c>
      <c r="E159" s="42" t="s">
        <v>6</v>
      </c>
      <c r="F159" s="3"/>
      <c r="G159" s="3">
        <v>1</v>
      </c>
      <c r="H159" s="3"/>
      <c r="I159" s="4"/>
      <c r="J159" s="5"/>
      <c r="K159" s="4">
        <v>2</v>
      </c>
      <c r="L159" s="4"/>
      <c r="M159" s="4">
        <v>1</v>
      </c>
      <c r="N159" s="4"/>
      <c r="O159" s="4"/>
      <c r="P159" s="4"/>
      <c r="Q159" s="4"/>
      <c r="R159" s="13">
        <v>1</v>
      </c>
      <c r="S159" s="13">
        <v>2</v>
      </c>
      <c r="T159" s="13"/>
      <c r="U159" s="4">
        <v>1</v>
      </c>
      <c r="V159" s="4"/>
      <c r="W159" s="4"/>
      <c r="X159" s="30">
        <f t="shared" si="36"/>
        <v>2</v>
      </c>
      <c r="Y159" s="30">
        <f t="shared" si="37"/>
        <v>4</v>
      </c>
      <c r="Z159" s="30">
        <f t="shared" si="38"/>
        <v>2</v>
      </c>
      <c r="AC159" s="53" t="s">
        <v>568</v>
      </c>
      <c r="AD159" s="141" t="s">
        <v>229</v>
      </c>
      <c r="AE159" s="42" t="s">
        <v>6</v>
      </c>
      <c r="AF159" s="3">
        <v>1</v>
      </c>
      <c r="AG159" s="3"/>
      <c r="AH159" s="3">
        <v>4</v>
      </c>
      <c r="AI159" s="4"/>
      <c r="AJ159" s="5">
        <v>3</v>
      </c>
      <c r="AK159" s="4">
        <v>4</v>
      </c>
      <c r="AL159" s="4"/>
      <c r="AM159" s="4"/>
      <c r="AN159" s="4">
        <v>2</v>
      </c>
      <c r="AO159" s="4"/>
      <c r="AP159" s="4"/>
      <c r="AQ159" s="4">
        <v>2</v>
      </c>
      <c r="AR159" s="13"/>
      <c r="AS159" s="13">
        <v>2</v>
      </c>
      <c r="AT159" s="13">
        <v>3</v>
      </c>
      <c r="AU159" s="4"/>
      <c r="AV159" s="4">
        <v>2</v>
      </c>
      <c r="AW159" s="4"/>
      <c r="AX159" s="30">
        <f t="shared" si="39"/>
        <v>1</v>
      </c>
      <c r="AY159" s="30">
        <f t="shared" si="40"/>
        <v>7</v>
      </c>
      <c r="AZ159" s="30">
        <f t="shared" si="41"/>
        <v>15</v>
      </c>
      <c r="BC159" s="46" t="s">
        <v>614</v>
      </c>
      <c r="BD159" s="142" t="s">
        <v>230</v>
      </c>
      <c r="BE159" s="42" t="s">
        <v>6</v>
      </c>
      <c r="BF159" s="13"/>
      <c r="BG159" s="13"/>
      <c r="BH159" s="13"/>
      <c r="BI159" s="13">
        <v>2</v>
      </c>
      <c r="BJ159" s="13">
        <v>2</v>
      </c>
      <c r="BK159" s="13"/>
      <c r="BL159" s="13">
        <v>4</v>
      </c>
      <c r="BM159" s="13"/>
      <c r="BN159" s="13"/>
      <c r="BO159" s="13">
        <v>3</v>
      </c>
      <c r="BP159" s="13"/>
      <c r="BQ159" s="13">
        <v>2</v>
      </c>
      <c r="BR159" s="13">
        <v>1</v>
      </c>
      <c r="BS159" s="13">
        <v>2</v>
      </c>
      <c r="BT159" s="13">
        <v>1</v>
      </c>
      <c r="BU159" s="13"/>
      <c r="BV159" s="13"/>
      <c r="BW159" s="13"/>
      <c r="BX159" s="30">
        <f t="shared" si="42"/>
        <v>10</v>
      </c>
      <c r="BY159" s="30">
        <f t="shared" si="43"/>
        <v>4</v>
      </c>
      <c r="BZ159" s="30">
        <f t="shared" si="44"/>
        <v>3</v>
      </c>
    </row>
    <row r="160" spans="1:78" ht="15.5" x14ac:dyDescent="0.35">
      <c r="A160" s="31" t="s">
        <v>1001</v>
      </c>
      <c r="B160" s="35">
        <v>242510142</v>
      </c>
      <c r="C160" s="47" t="s">
        <v>602</v>
      </c>
      <c r="D160" s="142" t="s">
        <v>230</v>
      </c>
      <c r="E160" s="42" t="s">
        <v>8</v>
      </c>
      <c r="F160" s="13"/>
      <c r="G160" s="13"/>
      <c r="H160" s="13"/>
      <c r="I160" s="14"/>
      <c r="J160" s="14">
        <v>1</v>
      </c>
      <c r="K160" s="13">
        <v>1</v>
      </c>
      <c r="L160" s="13">
        <v>1</v>
      </c>
      <c r="M160" s="13">
        <v>1</v>
      </c>
      <c r="N160" s="13"/>
      <c r="O160" s="13"/>
      <c r="P160" s="13"/>
      <c r="Q160" s="13">
        <v>1</v>
      </c>
      <c r="R160" s="148">
        <v>1</v>
      </c>
      <c r="S160" s="148">
        <v>2</v>
      </c>
      <c r="T160" s="148">
        <v>2</v>
      </c>
      <c r="U160" s="13"/>
      <c r="V160" s="13">
        <v>1</v>
      </c>
      <c r="W160" s="13"/>
      <c r="X160" s="30">
        <f t="shared" si="36"/>
        <v>2</v>
      </c>
      <c r="Y160" s="30">
        <f t="shared" si="37"/>
        <v>5</v>
      </c>
      <c r="Z160" s="30">
        <f t="shared" si="38"/>
        <v>4</v>
      </c>
      <c r="AC160" s="47" t="s">
        <v>589</v>
      </c>
      <c r="AD160" s="141" t="s">
        <v>229</v>
      </c>
      <c r="AE160" s="42" t="s">
        <v>8</v>
      </c>
      <c r="AF160" s="3"/>
      <c r="AG160" s="3"/>
      <c r="AH160" s="3"/>
      <c r="AI160" s="4"/>
      <c r="AJ160" s="5">
        <v>3</v>
      </c>
      <c r="AK160" s="4"/>
      <c r="AL160" s="4"/>
      <c r="AM160" s="4">
        <v>1</v>
      </c>
      <c r="AN160" s="4"/>
      <c r="AO160" s="4">
        <v>1</v>
      </c>
      <c r="AP160" s="4">
        <v>3</v>
      </c>
      <c r="AQ160" s="4"/>
      <c r="AR160" s="13"/>
      <c r="AS160" s="13"/>
      <c r="AT160" s="13"/>
      <c r="AU160" s="4"/>
      <c r="AV160" s="4"/>
      <c r="AW160" s="4"/>
      <c r="AX160" s="30">
        <f t="shared" si="39"/>
        <v>1</v>
      </c>
      <c r="AY160" s="30">
        <f t="shared" si="40"/>
        <v>7</v>
      </c>
      <c r="AZ160" s="30">
        <f t="shared" si="41"/>
        <v>0</v>
      </c>
      <c r="BC160" s="47" t="s">
        <v>615</v>
      </c>
      <c r="BD160" s="142" t="s">
        <v>230</v>
      </c>
      <c r="BE160" s="42" t="s">
        <v>8</v>
      </c>
      <c r="BF160" s="13"/>
      <c r="BG160" s="13"/>
      <c r="BH160" s="13"/>
      <c r="BI160" s="13"/>
      <c r="BJ160" s="14">
        <v>1</v>
      </c>
      <c r="BK160" s="13">
        <v>1</v>
      </c>
      <c r="BL160" s="13"/>
      <c r="BM160" s="13"/>
      <c r="BN160" s="13"/>
      <c r="BO160" s="13"/>
      <c r="BP160" s="13"/>
      <c r="BQ160" s="13">
        <v>1</v>
      </c>
      <c r="BR160" s="13">
        <v>1</v>
      </c>
      <c r="BS160" s="13"/>
      <c r="BT160" s="13">
        <v>1</v>
      </c>
      <c r="BU160" s="13"/>
      <c r="BV160" s="13"/>
      <c r="BW160" s="13"/>
      <c r="BX160" s="30">
        <f t="shared" si="42"/>
        <v>1</v>
      </c>
      <c r="BY160" s="30">
        <f t="shared" si="43"/>
        <v>1</v>
      </c>
      <c r="BZ160" s="30">
        <f t="shared" si="44"/>
        <v>3</v>
      </c>
    </row>
    <row r="161" spans="1:78" ht="15.5" x14ac:dyDescent="0.35">
      <c r="A161" s="31" t="s">
        <v>1002</v>
      </c>
      <c r="B161" s="35">
        <v>242510143</v>
      </c>
      <c r="C161" s="47" t="s">
        <v>603</v>
      </c>
      <c r="D161" s="142" t="s">
        <v>230</v>
      </c>
      <c r="E161" s="42" t="s">
        <v>8</v>
      </c>
      <c r="F161" s="13"/>
      <c r="G161" s="13"/>
      <c r="H161" s="13"/>
      <c r="I161" s="13"/>
      <c r="J161" s="14">
        <v>1</v>
      </c>
      <c r="K161" s="13">
        <v>1</v>
      </c>
      <c r="L161" s="13">
        <v>1</v>
      </c>
      <c r="M161" s="13"/>
      <c r="N161" s="13">
        <v>1</v>
      </c>
      <c r="O161" s="13"/>
      <c r="P161" s="13"/>
      <c r="Q161" s="13">
        <v>1</v>
      </c>
      <c r="R161" s="13">
        <v>1</v>
      </c>
      <c r="S161" s="13">
        <v>2</v>
      </c>
      <c r="T161" s="13"/>
      <c r="U161" s="13"/>
      <c r="V161" s="13">
        <v>1</v>
      </c>
      <c r="W161" s="13"/>
      <c r="X161" s="30">
        <f t="shared" si="36"/>
        <v>2</v>
      </c>
      <c r="Y161" s="30">
        <f t="shared" si="37"/>
        <v>4</v>
      </c>
      <c r="Z161" s="30">
        <f t="shared" si="38"/>
        <v>3</v>
      </c>
      <c r="AC161" s="56" t="s">
        <v>596</v>
      </c>
      <c r="AD161" s="141" t="s">
        <v>229</v>
      </c>
      <c r="AE161" s="35" t="s">
        <v>8</v>
      </c>
      <c r="AF161" s="3"/>
      <c r="AG161" s="3"/>
      <c r="AH161" s="3"/>
      <c r="AI161" s="4"/>
      <c r="AJ161" s="5">
        <v>4</v>
      </c>
      <c r="AK161" s="5"/>
      <c r="AL161" s="4"/>
      <c r="AM161" s="4"/>
      <c r="AN161" s="4"/>
      <c r="AO161" s="4"/>
      <c r="AP161" s="4">
        <v>3</v>
      </c>
      <c r="AQ161" s="4"/>
      <c r="AR161" s="13"/>
      <c r="AS161" s="13"/>
      <c r="AT161" s="13"/>
      <c r="AU161" s="4"/>
      <c r="AV161" s="4"/>
      <c r="AW161" s="4"/>
      <c r="AX161" s="30">
        <f t="shared" si="39"/>
        <v>0</v>
      </c>
      <c r="AY161" s="30">
        <f t="shared" si="40"/>
        <v>7</v>
      </c>
      <c r="AZ161" s="30">
        <f t="shared" si="41"/>
        <v>0</v>
      </c>
      <c r="BC161" s="41" t="s">
        <v>437</v>
      </c>
      <c r="BD161" s="139" t="s">
        <v>225</v>
      </c>
      <c r="BE161" s="42" t="s">
        <v>8</v>
      </c>
      <c r="BF161" s="19"/>
      <c r="BG161" s="19">
        <v>2</v>
      </c>
      <c r="BH161" s="19"/>
      <c r="BI161" s="13"/>
      <c r="BJ161" s="13">
        <v>2</v>
      </c>
      <c r="BK161" s="14"/>
      <c r="BL161" s="13"/>
      <c r="BM161" s="13">
        <v>1</v>
      </c>
      <c r="BN161" s="13">
        <v>1</v>
      </c>
      <c r="BO161" s="13">
        <v>2</v>
      </c>
      <c r="BP161" s="13">
        <v>1</v>
      </c>
      <c r="BQ161" s="13">
        <v>2</v>
      </c>
      <c r="BR161" s="13">
        <v>1</v>
      </c>
      <c r="BS161" s="13">
        <v>2</v>
      </c>
      <c r="BT161" s="13">
        <v>1</v>
      </c>
      <c r="BU161" s="13"/>
      <c r="BV161" s="13"/>
      <c r="BW161" s="13"/>
      <c r="BX161" s="30">
        <f t="shared" si="42"/>
        <v>3</v>
      </c>
      <c r="BY161" s="30">
        <f t="shared" si="43"/>
        <v>8</v>
      </c>
      <c r="BZ161" s="30">
        <f t="shared" si="44"/>
        <v>4</v>
      </c>
    </row>
    <row r="162" spans="1:78" ht="15.5" x14ac:dyDescent="0.35">
      <c r="A162" s="31" t="s">
        <v>1004</v>
      </c>
      <c r="B162" s="35">
        <v>242510145</v>
      </c>
      <c r="C162" s="46" t="s">
        <v>605</v>
      </c>
      <c r="D162" s="142" t="s">
        <v>230</v>
      </c>
      <c r="E162" s="42" t="s">
        <v>8</v>
      </c>
      <c r="F162" s="13"/>
      <c r="G162" s="13"/>
      <c r="H162" s="13"/>
      <c r="I162" s="14">
        <v>2</v>
      </c>
      <c r="J162" s="14"/>
      <c r="K162" s="14">
        <v>1</v>
      </c>
      <c r="L162" s="13"/>
      <c r="M162" s="13"/>
      <c r="N162" s="13"/>
      <c r="O162" s="13"/>
      <c r="P162" s="13"/>
      <c r="Q162" s="13"/>
      <c r="R162" s="13"/>
      <c r="S162" s="13">
        <v>1</v>
      </c>
      <c r="T162" s="13"/>
      <c r="U162" s="13"/>
      <c r="V162" s="13"/>
      <c r="W162" s="13"/>
      <c r="X162" s="30">
        <f t="shared" si="36"/>
        <v>2</v>
      </c>
      <c r="Y162" s="30">
        <f t="shared" si="37"/>
        <v>1</v>
      </c>
      <c r="Z162" s="30">
        <f t="shared" si="38"/>
        <v>1</v>
      </c>
      <c r="AC162" s="46" t="s">
        <v>618</v>
      </c>
      <c r="AD162" s="142" t="s">
        <v>230</v>
      </c>
      <c r="AE162" s="42" t="s">
        <v>8</v>
      </c>
      <c r="AF162" s="13"/>
      <c r="AG162" s="13"/>
      <c r="AH162" s="13"/>
      <c r="AI162" s="14"/>
      <c r="AJ162" s="14">
        <v>3</v>
      </c>
      <c r="AK162" s="14">
        <v>1</v>
      </c>
      <c r="AL162" s="13"/>
      <c r="AM162" s="13">
        <v>1</v>
      </c>
      <c r="AN162" s="13"/>
      <c r="AO162" s="13"/>
      <c r="AP162" s="13">
        <v>2</v>
      </c>
      <c r="AQ162" s="13"/>
      <c r="AR162" s="13"/>
      <c r="AS162" s="13">
        <v>1</v>
      </c>
      <c r="AT162" s="13"/>
      <c r="AU162" s="13"/>
      <c r="AV162" s="13"/>
      <c r="AW162" s="13"/>
      <c r="AX162" s="30">
        <f t="shared" si="39"/>
        <v>0</v>
      </c>
      <c r="AY162" s="30">
        <f t="shared" si="40"/>
        <v>7</v>
      </c>
      <c r="AZ162" s="30">
        <f t="shared" si="41"/>
        <v>1</v>
      </c>
      <c r="BC162" s="47" t="s">
        <v>602</v>
      </c>
      <c r="BD162" s="142" t="s">
        <v>230</v>
      </c>
      <c r="BE162" s="42" t="s">
        <v>8</v>
      </c>
      <c r="BF162" s="13"/>
      <c r="BG162" s="13"/>
      <c r="BH162" s="13"/>
      <c r="BI162" s="14"/>
      <c r="BJ162" s="14">
        <v>1</v>
      </c>
      <c r="BK162" s="13">
        <v>1</v>
      </c>
      <c r="BL162" s="13">
        <v>1</v>
      </c>
      <c r="BM162" s="13">
        <v>1</v>
      </c>
      <c r="BN162" s="13"/>
      <c r="BO162" s="13"/>
      <c r="BP162" s="13"/>
      <c r="BQ162" s="13">
        <v>1</v>
      </c>
      <c r="BR162" s="148">
        <v>1</v>
      </c>
      <c r="BS162" s="148">
        <v>2</v>
      </c>
      <c r="BT162" s="148">
        <v>2</v>
      </c>
      <c r="BU162" s="13"/>
      <c r="BV162" s="13">
        <v>1</v>
      </c>
      <c r="BW162" s="13"/>
      <c r="BX162" s="30">
        <f t="shared" si="42"/>
        <v>2</v>
      </c>
      <c r="BY162" s="30">
        <f t="shared" si="43"/>
        <v>5</v>
      </c>
      <c r="BZ162" s="30">
        <f t="shared" si="44"/>
        <v>4</v>
      </c>
    </row>
    <row r="163" spans="1:78" ht="15.5" x14ac:dyDescent="0.35">
      <c r="A163" s="31" t="s">
        <v>1007</v>
      </c>
      <c r="B163" s="35">
        <v>242510148</v>
      </c>
      <c r="C163" s="47" t="s">
        <v>608</v>
      </c>
      <c r="D163" s="142" t="s">
        <v>230</v>
      </c>
      <c r="E163" s="42" t="s">
        <v>8</v>
      </c>
      <c r="F163" s="13"/>
      <c r="G163" s="13"/>
      <c r="H163" s="13"/>
      <c r="I163" s="13"/>
      <c r="J163" s="13"/>
      <c r="K163" s="14">
        <v>1</v>
      </c>
      <c r="L163" s="13"/>
      <c r="M163" s="13"/>
      <c r="N163" s="13"/>
      <c r="O163" s="13">
        <v>1</v>
      </c>
      <c r="P163" s="13">
        <v>3</v>
      </c>
      <c r="Q163" s="13">
        <v>1</v>
      </c>
      <c r="R163" s="13">
        <v>1</v>
      </c>
      <c r="S163" s="13">
        <v>2</v>
      </c>
      <c r="T163" s="13">
        <v>3</v>
      </c>
      <c r="U163" s="13"/>
      <c r="V163" s="13"/>
      <c r="W163" s="13"/>
      <c r="X163" s="30">
        <f t="shared" si="36"/>
        <v>2</v>
      </c>
      <c r="Y163" s="30">
        <f t="shared" si="37"/>
        <v>5</v>
      </c>
      <c r="Z163" s="30">
        <f t="shared" si="38"/>
        <v>5</v>
      </c>
      <c r="AC163" s="47" t="s">
        <v>624</v>
      </c>
      <c r="AD163" s="142" t="s">
        <v>230</v>
      </c>
      <c r="AE163" s="42" t="s">
        <v>8</v>
      </c>
      <c r="AF163" s="13"/>
      <c r="AG163" s="13"/>
      <c r="AH163" s="13"/>
      <c r="AI163" s="13">
        <v>1</v>
      </c>
      <c r="AJ163" s="13">
        <v>1</v>
      </c>
      <c r="AK163" s="13">
        <v>1</v>
      </c>
      <c r="AL163" s="13"/>
      <c r="AM163" s="13">
        <v>1</v>
      </c>
      <c r="AN163" s="13">
        <v>1</v>
      </c>
      <c r="AO163" s="13"/>
      <c r="AP163" s="13">
        <v>1</v>
      </c>
      <c r="AQ163" s="13">
        <v>1</v>
      </c>
      <c r="AR163" s="13"/>
      <c r="AS163" s="13">
        <v>4</v>
      </c>
      <c r="AT163" s="13">
        <v>3</v>
      </c>
      <c r="AU163" s="13"/>
      <c r="AV163" s="13"/>
      <c r="AW163" s="13"/>
      <c r="AX163" s="30">
        <f t="shared" si="39"/>
        <v>1</v>
      </c>
      <c r="AY163" s="30">
        <f t="shared" si="40"/>
        <v>7</v>
      </c>
      <c r="AZ163" s="30">
        <f t="shared" si="41"/>
        <v>6</v>
      </c>
      <c r="BC163" s="47" t="s">
        <v>625</v>
      </c>
      <c r="BD163" s="142" t="s">
        <v>230</v>
      </c>
      <c r="BE163" s="42" t="s">
        <v>8</v>
      </c>
      <c r="BF163" s="13"/>
      <c r="BG163" s="13">
        <v>1</v>
      </c>
      <c r="BH163" s="13"/>
      <c r="BI163" s="13"/>
      <c r="BJ163" s="14"/>
      <c r="BK163" s="13">
        <v>1</v>
      </c>
      <c r="BL163" s="13"/>
      <c r="BM163" s="13"/>
      <c r="BN163" s="13"/>
      <c r="BO163" s="13"/>
      <c r="BP163" s="13"/>
      <c r="BQ163" s="13">
        <v>1</v>
      </c>
      <c r="BR163" s="13">
        <v>1</v>
      </c>
      <c r="BS163" s="13"/>
      <c r="BT163" s="13">
        <v>2</v>
      </c>
      <c r="BU163" s="13"/>
      <c r="BV163" s="13"/>
      <c r="BW163" s="13"/>
      <c r="BX163" s="30">
        <f t="shared" si="42"/>
        <v>1</v>
      </c>
      <c r="BY163" s="30">
        <f t="shared" si="43"/>
        <v>1</v>
      </c>
      <c r="BZ163" s="30">
        <f t="shared" si="44"/>
        <v>4</v>
      </c>
    </row>
    <row r="164" spans="1:78" ht="15.5" x14ac:dyDescent="0.35">
      <c r="A164" s="31" t="s">
        <v>1012</v>
      </c>
      <c r="B164" s="35">
        <v>242510153</v>
      </c>
      <c r="C164" s="58" t="s">
        <v>613</v>
      </c>
      <c r="D164" s="142" t="s">
        <v>230</v>
      </c>
      <c r="E164" s="42" t="s">
        <v>8</v>
      </c>
      <c r="F164" s="13"/>
      <c r="G164" s="13">
        <v>1</v>
      </c>
      <c r="H164" s="13"/>
      <c r="I164" s="14"/>
      <c r="J164" s="14"/>
      <c r="K164" s="14"/>
      <c r="L164" s="13">
        <v>1</v>
      </c>
      <c r="M164" s="13"/>
      <c r="N164" s="13"/>
      <c r="O164" s="13">
        <v>1</v>
      </c>
      <c r="P164" s="13"/>
      <c r="Q164" s="13"/>
      <c r="R164" s="13"/>
      <c r="S164" s="13">
        <v>1</v>
      </c>
      <c r="T164" s="13">
        <v>2</v>
      </c>
      <c r="U164" s="13"/>
      <c r="V164" s="13"/>
      <c r="W164" s="13"/>
      <c r="X164" s="30">
        <f t="shared" ref="X164:X174" si="45">SUM(F164,I164,L164,O164,R164,U164)</f>
        <v>2</v>
      </c>
      <c r="Y164" s="30">
        <f t="shared" ref="Y164:Y174" si="46">SUM(G164,J164,M164,P164,S164,V164)</f>
        <v>2</v>
      </c>
      <c r="Z164" s="30">
        <f t="shared" ref="Z164:Z174" si="47">SUM(H164,K164,N164,Q164,T164,W164)</f>
        <v>2</v>
      </c>
      <c r="AC164" s="61" t="s">
        <v>436</v>
      </c>
      <c r="AD164" s="139" t="s">
        <v>225</v>
      </c>
      <c r="AE164" s="35" t="s">
        <v>8</v>
      </c>
      <c r="AF164" s="19"/>
      <c r="AG164" s="19"/>
      <c r="AH164" s="19"/>
      <c r="AI164" s="13"/>
      <c r="AJ164" s="14">
        <v>2</v>
      </c>
      <c r="AK164" s="13"/>
      <c r="AL164" s="13"/>
      <c r="AM164" s="13">
        <v>2</v>
      </c>
      <c r="AN164" s="14"/>
      <c r="AO164" s="13">
        <v>1</v>
      </c>
      <c r="AP164" s="13">
        <v>2</v>
      </c>
      <c r="AQ164" s="14"/>
      <c r="AR164" s="13"/>
      <c r="AS164" s="13">
        <v>2</v>
      </c>
      <c r="AT164" s="14">
        <v>1</v>
      </c>
      <c r="AU164" s="13"/>
      <c r="AV164" s="13"/>
      <c r="AW164" s="14"/>
      <c r="AX164" s="30">
        <f t="shared" ref="AX164:AX174" si="48">SUM(AF164,AI164,AL164,AO164,AR164,AU164)</f>
        <v>1</v>
      </c>
      <c r="AY164" s="30">
        <f t="shared" ref="AY164:AY174" si="49">SUM(AG164,AJ164,AM164,AP164,AS164,AV164)</f>
        <v>8</v>
      </c>
      <c r="AZ164" s="30">
        <f t="shared" ref="AZ164:AZ174" si="50">SUM(AH164,AK164,AN164,AQ164,AT164,AW164)</f>
        <v>1</v>
      </c>
      <c r="BC164" s="36" t="s">
        <v>430</v>
      </c>
      <c r="BD164" s="139" t="s">
        <v>225</v>
      </c>
      <c r="BE164" s="35" t="s">
        <v>6</v>
      </c>
      <c r="BF164" s="19"/>
      <c r="BG164" s="19"/>
      <c r="BH164" s="19"/>
      <c r="BI164" s="13"/>
      <c r="BJ164" s="14"/>
      <c r="BK164" s="13">
        <v>1</v>
      </c>
      <c r="BL164" s="13"/>
      <c r="BM164" s="14"/>
      <c r="BN164" s="13"/>
      <c r="BO164" s="13">
        <v>1</v>
      </c>
      <c r="BP164" s="14"/>
      <c r="BQ164" s="13">
        <v>1</v>
      </c>
      <c r="BR164" s="13">
        <v>1</v>
      </c>
      <c r="BS164" s="14">
        <v>4</v>
      </c>
      <c r="BT164" s="13">
        <v>2</v>
      </c>
      <c r="BU164" s="13"/>
      <c r="BV164" s="14">
        <v>2</v>
      </c>
      <c r="BW164" s="13">
        <v>1</v>
      </c>
      <c r="BX164" s="30">
        <f t="shared" ref="BX164:BX174" si="51">SUM(BF164,BI164,BL164,BO164,BR164,BU164)</f>
        <v>2</v>
      </c>
      <c r="BY164" s="30">
        <f t="shared" ref="BY164:BY174" si="52">SUM(BG164,BJ164,BM164,BP164,BS164,BV164)</f>
        <v>6</v>
      </c>
      <c r="BZ164" s="30">
        <f t="shared" ref="BZ164:BZ174" si="53">SUM(BH164,BK164,BN164,BQ164,BT164,BW164)</f>
        <v>5</v>
      </c>
    </row>
    <row r="165" spans="1:78" ht="15.5" x14ac:dyDescent="0.35">
      <c r="A165" s="31" t="s">
        <v>1018</v>
      </c>
      <c r="B165" s="35">
        <v>242510159</v>
      </c>
      <c r="C165" s="58" t="s">
        <v>619</v>
      </c>
      <c r="D165" s="142" t="s">
        <v>230</v>
      </c>
      <c r="E165" s="42" t="s">
        <v>8</v>
      </c>
      <c r="F165" s="13"/>
      <c r="G165" s="13">
        <v>1</v>
      </c>
      <c r="H165" s="13"/>
      <c r="I165" s="13"/>
      <c r="J165" s="14">
        <v>2</v>
      </c>
      <c r="K165" s="14">
        <v>1</v>
      </c>
      <c r="L165" s="13"/>
      <c r="M165" s="13"/>
      <c r="N165" s="13"/>
      <c r="O165" s="13"/>
      <c r="P165" s="13"/>
      <c r="Q165" s="13"/>
      <c r="R165" s="13">
        <v>2</v>
      </c>
      <c r="S165" s="13">
        <v>1</v>
      </c>
      <c r="T165" s="13">
        <v>1</v>
      </c>
      <c r="U165" s="13"/>
      <c r="V165" s="13"/>
      <c r="W165" s="13"/>
      <c r="X165" s="30">
        <f t="shared" si="45"/>
        <v>2</v>
      </c>
      <c r="Y165" s="30">
        <f t="shared" si="46"/>
        <v>4</v>
      </c>
      <c r="Z165" s="30">
        <f t="shared" si="47"/>
        <v>2</v>
      </c>
      <c r="AC165" s="41" t="s">
        <v>437</v>
      </c>
      <c r="AD165" s="139" t="s">
        <v>225</v>
      </c>
      <c r="AE165" s="42" t="s">
        <v>8</v>
      </c>
      <c r="AF165" s="19"/>
      <c r="AG165" s="19">
        <v>2</v>
      </c>
      <c r="AH165" s="19"/>
      <c r="AI165" s="13"/>
      <c r="AJ165" s="13">
        <v>2</v>
      </c>
      <c r="AK165" s="14"/>
      <c r="AL165" s="13"/>
      <c r="AM165" s="13">
        <v>1</v>
      </c>
      <c r="AN165" s="13">
        <v>1</v>
      </c>
      <c r="AO165" s="13">
        <v>2</v>
      </c>
      <c r="AP165" s="13">
        <v>1</v>
      </c>
      <c r="AQ165" s="13">
        <v>2</v>
      </c>
      <c r="AR165" s="13">
        <v>1</v>
      </c>
      <c r="AS165" s="13">
        <v>2</v>
      </c>
      <c r="AT165" s="13">
        <v>1</v>
      </c>
      <c r="AU165" s="13"/>
      <c r="AV165" s="13"/>
      <c r="AW165" s="13"/>
      <c r="AX165" s="30">
        <f t="shared" si="48"/>
        <v>3</v>
      </c>
      <c r="AY165" s="30">
        <f t="shared" si="49"/>
        <v>8</v>
      </c>
      <c r="AZ165" s="30">
        <f t="shared" si="50"/>
        <v>4</v>
      </c>
      <c r="BC165" s="43" t="s">
        <v>450</v>
      </c>
      <c r="BD165" s="127" t="s">
        <v>226</v>
      </c>
      <c r="BE165" s="35" t="s">
        <v>6</v>
      </c>
      <c r="BF165" s="3"/>
      <c r="BG165" s="3"/>
      <c r="BH165" s="3"/>
      <c r="BI165" s="4"/>
      <c r="BJ165" s="5">
        <v>1</v>
      </c>
      <c r="BK165" s="5"/>
      <c r="BL165" s="4">
        <v>1</v>
      </c>
      <c r="BM165" s="4"/>
      <c r="BN165" s="4">
        <v>1</v>
      </c>
      <c r="BO165" s="13"/>
      <c r="BP165" s="5"/>
      <c r="BQ165" s="5">
        <v>2</v>
      </c>
      <c r="BR165" s="4"/>
      <c r="BS165" s="5">
        <v>3</v>
      </c>
      <c r="BT165" s="5">
        <v>1</v>
      </c>
      <c r="BU165" s="4"/>
      <c r="BV165" s="5"/>
      <c r="BW165" s="5">
        <v>1</v>
      </c>
      <c r="BX165" s="30">
        <f t="shared" si="51"/>
        <v>1</v>
      </c>
      <c r="BY165" s="30">
        <f t="shared" si="52"/>
        <v>4</v>
      </c>
      <c r="BZ165" s="30">
        <f t="shared" si="53"/>
        <v>5</v>
      </c>
    </row>
    <row r="166" spans="1:78" ht="15.5" x14ac:dyDescent="0.35">
      <c r="A166" s="31" t="s">
        <v>29</v>
      </c>
      <c r="B166" s="38">
        <v>242510009</v>
      </c>
      <c r="C166" s="39" t="s">
        <v>434</v>
      </c>
      <c r="D166" s="139" t="s">
        <v>225</v>
      </c>
      <c r="E166" s="40" t="s">
        <v>8</v>
      </c>
      <c r="F166" s="19"/>
      <c r="G166" s="19"/>
      <c r="H166" s="19"/>
      <c r="I166" s="13">
        <v>1</v>
      </c>
      <c r="J166" s="13">
        <v>1</v>
      </c>
      <c r="K166" s="14"/>
      <c r="L166" s="13"/>
      <c r="M166" s="13">
        <v>1</v>
      </c>
      <c r="N166" s="13"/>
      <c r="O166" s="13"/>
      <c r="P166" s="13">
        <v>2</v>
      </c>
      <c r="Q166" s="13">
        <v>1</v>
      </c>
      <c r="R166" s="13">
        <v>1</v>
      </c>
      <c r="S166" s="13">
        <v>1</v>
      </c>
      <c r="T166" s="13"/>
      <c r="U166" s="13">
        <v>1</v>
      </c>
      <c r="V166" s="13"/>
      <c r="W166" s="13"/>
      <c r="X166" s="30">
        <f t="shared" si="45"/>
        <v>3</v>
      </c>
      <c r="Y166" s="30">
        <f t="shared" si="46"/>
        <v>5</v>
      </c>
      <c r="Z166" s="30">
        <f t="shared" si="47"/>
        <v>1</v>
      </c>
      <c r="AC166" s="36" t="s">
        <v>476</v>
      </c>
      <c r="AD166" s="139" t="s">
        <v>227</v>
      </c>
      <c r="AE166" s="35" t="s">
        <v>6</v>
      </c>
      <c r="AF166" s="3"/>
      <c r="AG166" s="3">
        <v>1</v>
      </c>
      <c r="AH166" s="3"/>
      <c r="AI166" s="4"/>
      <c r="AJ166" s="5"/>
      <c r="AK166" s="4"/>
      <c r="AL166" s="4">
        <v>1</v>
      </c>
      <c r="AM166" s="4">
        <v>1</v>
      </c>
      <c r="AN166" s="4">
        <v>2</v>
      </c>
      <c r="AO166" s="13"/>
      <c r="AP166" s="4">
        <v>4</v>
      </c>
      <c r="AQ166" s="4">
        <v>2</v>
      </c>
      <c r="AR166" s="4">
        <v>5</v>
      </c>
      <c r="AS166" s="4"/>
      <c r="AT166" s="4">
        <v>2</v>
      </c>
      <c r="AU166" s="4"/>
      <c r="AV166" s="4">
        <v>2</v>
      </c>
      <c r="AW166" s="4">
        <v>1</v>
      </c>
      <c r="AX166" s="30">
        <f t="shared" si="48"/>
        <v>6</v>
      </c>
      <c r="AY166" s="30">
        <f t="shared" si="49"/>
        <v>8</v>
      </c>
      <c r="AZ166" s="30">
        <f t="shared" si="50"/>
        <v>7</v>
      </c>
      <c r="BC166" s="59" t="s">
        <v>579</v>
      </c>
      <c r="BD166" s="141" t="s">
        <v>229</v>
      </c>
      <c r="BE166" s="42" t="s">
        <v>6</v>
      </c>
      <c r="BF166" s="26"/>
      <c r="BG166" s="26"/>
      <c r="BH166" s="26"/>
      <c r="BI166" s="9"/>
      <c r="BJ166" s="9"/>
      <c r="BK166" s="9">
        <v>3</v>
      </c>
      <c r="BL166" s="9"/>
      <c r="BM166" s="9"/>
      <c r="BN166" s="9"/>
      <c r="BO166" s="9"/>
      <c r="BP166" s="9">
        <v>2</v>
      </c>
      <c r="BQ166" s="9"/>
      <c r="BR166" s="15"/>
      <c r="BS166" s="15">
        <v>2</v>
      </c>
      <c r="BT166" s="15">
        <v>2</v>
      </c>
      <c r="BU166" s="9"/>
      <c r="BV166" s="9">
        <v>1</v>
      </c>
      <c r="BW166" s="9"/>
      <c r="BX166" s="30">
        <f t="shared" si="51"/>
        <v>0</v>
      </c>
      <c r="BY166" s="30">
        <f t="shared" si="52"/>
        <v>5</v>
      </c>
      <c r="BZ166" s="30">
        <f t="shared" si="53"/>
        <v>5</v>
      </c>
    </row>
    <row r="167" spans="1:78" ht="15.5" x14ac:dyDescent="0.35">
      <c r="A167" s="31" t="s">
        <v>32</v>
      </c>
      <c r="B167" s="35">
        <v>242510012</v>
      </c>
      <c r="C167" s="41" t="s">
        <v>437</v>
      </c>
      <c r="D167" s="139" t="s">
        <v>225</v>
      </c>
      <c r="E167" s="42" t="s">
        <v>8</v>
      </c>
      <c r="F167" s="19"/>
      <c r="G167" s="19">
        <v>2</v>
      </c>
      <c r="H167" s="19"/>
      <c r="I167" s="13"/>
      <c r="J167" s="13">
        <v>2</v>
      </c>
      <c r="K167" s="14"/>
      <c r="L167" s="13"/>
      <c r="M167" s="13">
        <v>1</v>
      </c>
      <c r="N167" s="13">
        <v>1</v>
      </c>
      <c r="O167" s="13">
        <v>2</v>
      </c>
      <c r="P167" s="13">
        <v>1</v>
      </c>
      <c r="Q167" s="13">
        <v>2</v>
      </c>
      <c r="R167" s="13">
        <v>1</v>
      </c>
      <c r="S167" s="13">
        <v>2</v>
      </c>
      <c r="T167" s="13">
        <v>1</v>
      </c>
      <c r="U167" s="13"/>
      <c r="V167" s="13"/>
      <c r="W167" s="13"/>
      <c r="X167" s="30">
        <f t="shared" si="45"/>
        <v>3</v>
      </c>
      <c r="Y167" s="30">
        <f t="shared" si="46"/>
        <v>8</v>
      </c>
      <c r="Z167" s="30">
        <f t="shared" si="47"/>
        <v>4</v>
      </c>
      <c r="AC167" s="41" t="s">
        <v>510</v>
      </c>
      <c r="AD167" s="140" t="s">
        <v>228</v>
      </c>
      <c r="AE167" s="42" t="s">
        <v>6</v>
      </c>
      <c r="AF167" s="19"/>
      <c r="AG167" s="19">
        <v>1</v>
      </c>
      <c r="AH167" s="20"/>
      <c r="AI167" s="13"/>
      <c r="AJ167" s="14">
        <v>1</v>
      </c>
      <c r="AK167" s="14"/>
      <c r="AL167" s="13"/>
      <c r="AM167" s="13"/>
      <c r="AN167" s="13"/>
      <c r="AO167" s="13"/>
      <c r="AP167" s="13">
        <v>2</v>
      </c>
      <c r="AQ167" s="13"/>
      <c r="AR167" s="13"/>
      <c r="AS167" s="13">
        <v>4</v>
      </c>
      <c r="AT167" s="13"/>
      <c r="AU167" s="13"/>
      <c r="AV167" s="13"/>
      <c r="AW167" s="13"/>
      <c r="AX167" s="30">
        <f t="shared" si="48"/>
        <v>0</v>
      </c>
      <c r="AY167" s="30">
        <f t="shared" si="49"/>
        <v>8</v>
      </c>
      <c r="AZ167" s="30">
        <f t="shared" si="50"/>
        <v>0</v>
      </c>
      <c r="BC167" s="47" t="s">
        <v>608</v>
      </c>
      <c r="BD167" s="142" t="s">
        <v>230</v>
      </c>
      <c r="BE167" s="42" t="s">
        <v>8</v>
      </c>
      <c r="BF167" s="13"/>
      <c r="BG167" s="13"/>
      <c r="BH167" s="13"/>
      <c r="BI167" s="13"/>
      <c r="BJ167" s="13"/>
      <c r="BK167" s="14">
        <v>1</v>
      </c>
      <c r="BL167" s="13"/>
      <c r="BM167" s="13"/>
      <c r="BN167" s="13"/>
      <c r="BO167" s="13">
        <v>1</v>
      </c>
      <c r="BP167" s="13">
        <v>3</v>
      </c>
      <c r="BQ167" s="13">
        <v>1</v>
      </c>
      <c r="BR167" s="13">
        <v>1</v>
      </c>
      <c r="BS167" s="13">
        <v>2</v>
      </c>
      <c r="BT167" s="13">
        <v>3</v>
      </c>
      <c r="BU167" s="13"/>
      <c r="BV167" s="13"/>
      <c r="BW167" s="13"/>
      <c r="BX167" s="30">
        <f t="shared" si="51"/>
        <v>2</v>
      </c>
      <c r="BY167" s="30">
        <f t="shared" si="52"/>
        <v>5</v>
      </c>
      <c r="BZ167" s="30">
        <f t="shared" si="53"/>
        <v>5</v>
      </c>
    </row>
    <row r="168" spans="1:78" ht="15.5" x14ac:dyDescent="0.35">
      <c r="A168" s="31" t="s">
        <v>1019</v>
      </c>
      <c r="B168" s="35">
        <v>242510160</v>
      </c>
      <c r="C168" s="46" t="s">
        <v>620</v>
      </c>
      <c r="D168" s="142" t="s">
        <v>230</v>
      </c>
      <c r="E168" s="42" t="s">
        <v>6</v>
      </c>
      <c r="F168" s="13"/>
      <c r="G168" s="13"/>
      <c r="H168" s="13"/>
      <c r="I168" s="13">
        <v>1</v>
      </c>
      <c r="J168" s="13">
        <v>1</v>
      </c>
      <c r="K168" s="13">
        <v>2</v>
      </c>
      <c r="L168" s="13"/>
      <c r="M168" s="13">
        <v>1</v>
      </c>
      <c r="N168" s="13"/>
      <c r="O168" s="13">
        <v>1</v>
      </c>
      <c r="P168" s="13"/>
      <c r="Q168" s="13">
        <v>1</v>
      </c>
      <c r="R168" s="13">
        <v>1</v>
      </c>
      <c r="S168" s="13">
        <v>1</v>
      </c>
      <c r="T168" s="13">
        <v>2</v>
      </c>
      <c r="U168" s="13"/>
      <c r="V168" s="13"/>
      <c r="W168" s="13"/>
      <c r="X168" s="30">
        <f t="shared" si="45"/>
        <v>3</v>
      </c>
      <c r="Y168" s="30">
        <f t="shared" si="46"/>
        <v>3</v>
      </c>
      <c r="Z168" s="30">
        <f t="shared" si="47"/>
        <v>5</v>
      </c>
      <c r="AC168" s="41" t="s">
        <v>534</v>
      </c>
      <c r="AD168" s="140" t="s">
        <v>228</v>
      </c>
      <c r="AE168" s="42" t="s">
        <v>8</v>
      </c>
      <c r="AF168" s="19"/>
      <c r="AG168" s="19"/>
      <c r="AH168" s="19"/>
      <c r="AI168" s="13"/>
      <c r="AJ168" s="14">
        <v>3</v>
      </c>
      <c r="AK168" s="13"/>
      <c r="AL168" s="13"/>
      <c r="AM168" s="13"/>
      <c r="AN168" s="13"/>
      <c r="AO168" s="13"/>
      <c r="AP168" s="13"/>
      <c r="AQ168" s="13">
        <v>1</v>
      </c>
      <c r="AR168" s="13"/>
      <c r="AS168" s="13">
        <v>4</v>
      </c>
      <c r="AT168" s="13">
        <v>1</v>
      </c>
      <c r="AU168" s="13"/>
      <c r="AV168" s="13">
        <v>1</v>
      </c>
      <c r="AW168" s="13"/>
      <c r="AX168" s="30">
        <f t="shared" si="48"/>
        <v>0</v>
      </c>
      <c r="AY168" s="30">
        <f t="shared" si="49"/>
        <v>8</v>
      </c>
      <c r="AZ168" s="30">
        <f t="shared" si="50"/>
        <v>2</v>
      </c>
      <c r="BC168" s="47" t="s">
        <v>609</v>
      </c>
      <c r="BD168" s="142" t="s">
        <v>230</v>
      </c>
      <c r="BE168" s="42" t="s">
        <v>8</v>
      </c>
      <c r="BF168" s="13"/>
      <c r="BG168" s="13"/>
      <c r="BH168" s="13"/>
      <c r="BI168" s="13"/>
      <c r="BJ168" s="14">
        <v>1</v>
      </c>
      <c r="BK168" s="14">
        <v>1</v>
      </c>
      <c r="BL168" s="13"/>
      <c r="BM168" s="13">
        <v>1</v>
      </c>
      <c r="BN168" s="13">
        <v>1</v>
      </c>
      <c r="BO168" s="13"/>
      <c r="BP168" s="13">
        <v>1</v>
      </c>
      <c r="BQ168" s="13"/>
      <c r="BR168" s="13"/>
      <c r="BS168" s="13">
        <v>2</v>
      </c>
      <c r="BT168" s="13">
        <v>3</v>
      </c>
      <c r="BU168" s="13"/>
      <c r="BV168" s="13"/>
      <c r="BW168" s="13"/>
      <c r="BX168" s="30">
        <f t="shared" si="51"/>
        <v>0</v>
      </c>
      <c r="BY168" s="30">
        <f t="shared" si="52"/>
        <v>5</v>
      </c>
      <c r="BZ168" s="30">
        <f t="shared" si="53"/>
        <v>5</v>
      </c>
    </row>
    <row r="169" spans="1:78" ht="15.5" x14ac:dyDescent="0.35">
      <c r="A169" s="31" t="s">
        <v>1015</v>
      </c>
      <c r="B169" s="35">
        <v>242510156</v>
      </c>
      <c r="C169" s="63" t="s">
        <v>616</v>
      </c>
      <c r="D169" s="142" t="s">
        <v>230</v>
      </c>
      <c r="E169" s="42" t="s">
        <v>8</v>
      </c>
      <c r="F169" s="15"/>
      <c r="G169" s="15"/>
      <c r="H169" s="15"/>
      <c r="I169" s="15">
        <v>2</v>
      </c>
      <c r="J169" s="21">
        <v>2</v>
      </c>
      <c r="K169" s="15"/>
      <c r="L169" s="15">
        <v>1</v>
      </c>
      <c r="M169" s="15"/>
      <c r="N169" s="15"/>
      <c r="O169" s="15"/>
      <c r="P169" s="15"/>
      <c r="Q169" s="15"/>
      <c r="R169" s="13">
        <v>1</v>
      </c>
      <c r="S169" s="13"/>
      <c r="T169" s="13">
        <v>1</v>
      </c>
      <c r="U169" s="15"/>
      <c r="V169" s="15"/>
      <c r="W169" s="15"/>
      <c r="X169" s="30">
        <f t="shared" si="45"/>
        <v>4</v>
      </c>
      <c r="Y169" s="30">
        <f t="shared" si="46"/>
        <v>2</v>
      </c>
      <c r="Z169" s="30">
        <f t="shared" si="47"/>
        <v>1</v>
      </c>
      <c r="AC169" s="62" t="s">
        <v>612</v>
      </c>
      <c r="AD169" s="142" t="s">
        <v>230</v>
      </c>
      <c r="AE169" s="42" t="s">
        <v>8</v>
      </c>
      <c r="AF169" s="13"/>
      <c r="AG169" s="13"/>
      <c r="AH169" s="13"/>
      <c r="AI169" s="13"/>
      <c r="AJ169" s="14">
        <v>3</v>
      </c>
      <c r="AK169" s="13"/>
      <c r="AL169" s="13"/>
      <c r="AM169" s="13">
        <v>1</v>
      </c>
      <c r="AN169" s="13"/>
      <c r="AO169" s="13"/>
      <c r="AP169" s="13">
        <v>2</v>
      </c>
      <c r="AQ169" s="13">
        <v>1</v>
      </c>
      <c r="AR169" s="13"/>
      <c r="AS169" s="13">
        <v>2</v>
      </c>
      <c r="AT169" s="13">
        <v>1</v>
      </c>
      <c r="AU169" s="13"/>
      <c r="AV169" s="13"/>
      <c r="AW169" s="13"/>
      <c r="AX169" s="30">
        <f t="shared" si="48"/>
        <v>0</v>
      </c>
      <c r="AY169" s="30">
        <f t="shared" si="49"/>
        <v>8</v>
      </c>
      <c r="AZ169" s="30">
        <f t="shared" si="50"/>
        <v>2</v>
      </c>
      <c r="BC169" s="46" t="s">
        <v>620</v>
      </c>
      <c r="BD169" s="142" t="s">
        <v>230</v>
      </c>
      <c r="BE169" s="42" t="s">
        <v>6</v>
      </c>
      <c r="BF169" s="13"/>
      <c r="BG169" s="13"/>
      <c r="BH169" s="13"/>
      <c r="BI169" s="13">
        <v>1</v>
      </c>
      <c r="BJ169" s="13">
        <v>1</v>
      </c>
      <c r="BK169" s="13">
        <v>2</v>
      </c>
      <c r="BL169" s="13"/>
      <c r="BM169" s="13">
        <v>1</v>
      </c>
      <c r="BN169" s="13"/>
      <c r="BO169" s="13">
        <v>1</v>
      </c>
      <c r="BP169" s="13"/>
      <c r="BQ169" s="13">
        <v>1</v>
      </c>
      <c r="BR169" s="13">
        <v>1</v>
      </c>
      <c r="BS169" s="13">
        <v>1</v>
      </c>
      <c r="BT169" s="13">
        <v>2</v>
      </c>
      <c r="BU169" s="13"/>
      <c r="BV169" s="13"/>
      <c r="BW169" s="13"/>
      <c r="BX169" s="30">
        <f t="shared" si="51"/>
        <v>3</v>
      </c>
      <c r="BY169" s="30">
        <f t="shared" si="52"/>
        <v>3</v>
      </c>
      <c r="BZ169" s="30">
        <f t="shared" si="53"/>
        <v>5</v>
      </c>
    </row>
    <row r="170" spans="1:78" ht="15.5" x14ac:dyDescent="0.35">
      <c r="A170" s="31" t="s">
        <v>1020</v>
      </c>
      <c r="B170" s="35">
        <v>242510161</v>
      </c>
      <c r="C170" s="46" t="s">
        <v>621</v>
      </c>
      <c r="D170" s="142" t="s">
        <v>230</v>
      </c>
      <c r="E170" s="42" t="s">
        <v>8</v>
      </c>
      <c r="F170" s="13"/>
      <c r="G170" s="13">
        <v>1</v>
      </c>
      <c r="H170" s="13"/>
      <c r="I170" s="13"/>
      <c r="J170" s="13">
        <v>1</v>
      </c>
      <c r="K170" s="13"/>
      <c r="L170" s="13">
        <v>2</v>
      </c>
      <c r="M170" s="13">
        <v>1</v>
      </c>
      <c r="N170" s="13"/>
      <c r="O170" s="13">
        <v>2</v>
      </c>
      <c r="P170" s="13">
        <v>1</v>
      </c>
      <c r="Q170" s="13"/>
      <c r="R170" s="13"/>
      <c r="S170" s="13">
        <v>2</v>
      </c>
      <c r="T170" s="13"/>
      <c r="U170" s="13"/>
      <c r="V170" s="13"/>
      <c r="W170" s="13"/>
      <c r="X170" s="30">
        <f t="shared" si="45"/>
        <v>4</v>
      </c>
      <c r="Y170" s="30">
        <f t="shared" si="46"/>
        <v>6</v>
      </c>
      <c r="Z170" s="30">
        <f t="shared" si="47"/>
        <v>0</v>
      </c>
      <c r="AC170" s="53" t="s">
        <v>536</v>
      </c>
      <c r="AD170" s="140" t="s">
        <v>228</v>
      </c>
      <c r="AE170" s="42" t="s">
        <v>6</v>
      </c>
      <c r="AF170" s="19"/>
      <c r="AG170" s="19"/>
      <c r="AH170" s="19"/>
      <c r="AI170" s="13"/>
      <c r="AJ170" s="14">
        <v>1</v>
      </c>
      <c r="AK170" s="13"/>
      <c r="AL170" s="13"/>
      <c r="AM170" s="13"/>
      <c r="AN170" s="13"/>
      <c r="AO170" s="13"/>
      <c r="AP170" s="13">
        <v>1</v>
      </c>
      <c r="AQ170" s="13"/>
      <c r="AR170" s="13"/>
      <c r="AS170" s="13">
        <v>6</v>
      </c>
      <c r="AT170" s="13"/>
      <c r="AU170" s="13"/>
      <c r="AV170" s="13">
        <v>1</v>
      </c>
      <c r="AW170" s="13"/>
      <c r="AX170" s="30">
        <f t="shared" si="48"/>
        <v>0</v>
      </c>
      <c r="AY170" s="30">
        <f t="shared" si="49"/>
        <v>9</v>
      </c>
      <c r="AZ170" s="30">
        <f t="shared" si="50"/>
        <v>0</v>
      </c>
      <c r="BC170" s="64" t="s">
        <v>628</v>
      </c>
      <c r="BD170" s="142" t="s">
        <v>230</v>
      </c>
      <c r="BE170" s="65" t="s">
        <v>8</v>
      </c>
      <c r="BF170" s="13"/>
      <c r="BG170" s="13"/>
      <c r="BH170" s="13">
        <v>1</v>
      </c>
      <c r="BI170" s="14"/>
      <c r="BJ170" s="14"/>
      <c r="BK170" s="13"/>
      <c r="BL170" s="13"/>
      <c r="BM170" s="13"/>
      <c r="BN170" s="13">
        <v>1</v>
      </c>
      <c r="BO170" s="13"/>
      <c r="BP170" s="13">
        <v>1</v>
      </c>
      <c r="BQ170" s="13">
        <v>1</v>
      </c>
      <c r="BR170" s="13"/>
      <c r="BS170" s="13"/>
      <c r="BT170" s="13">
        <v>2</v>
      </c>
      <c r="BU170" s="13"/>
      <c r="BV170" s="13"/>
      <c r="BW170" s="13"/>
      <c r="BX170" s="30">
        <f t="shared" si="51"/>
        <v>0</v>
      </c>
      <c r="BY170" s="30">
        <f t="shared" si="52"/>
        <v>1</v>
      </c>
      <c r="BZ170" s="30">
        <f t="shared" si="53"/>
        <v>5</v>
      </c>
    </row>
    <row r="171" spans="1:78" ht="15.5" x14ac:dyDescent="0.35">
      <c r="A171" s="31" t="s">
        <v>1022</v>
      </c>
      <c r="B171" s="35">
        <v>242510163</v>
      </c>
      <c r="C171" s="47" t="s">
        <v>623</v>
      </c>
      <c r="D171" s="142" t="s">
        <v>230</v>
      </c>
      <c r="E171" s="42" t="s">
        <v>8</v>
      </c>
      <c r="F171" s="13"/>
      <c r="G171" s="13"/>
      <c r="H171" s="13"/>
      <c r="I171" s="13">
        <v>2</v>
      </c>
      <c r="J171" s="14"/>
      <c r="K171" s="13"/>
      <c r="L171" s="13"/>
      <c r="M171" s="13">
        <v>1</v>
      </c>
      <c r="N171" s="13"/>
      <c r="O171" s="13"/>
      <c r="P171" s="13">
        <v>1</v>
      </c>
      <c r="Q171" s="13">
        <v>1</v>
      </c>
      <c r="R171" s="13">
        <v>2</v>
      </c>
      <c r="S171" s="13">
        <v>1</v>
      </c>
      <c r="T171" s="13">
        <v>1</v>
      </c>
      <c r="U171" s="13"/>
      <c r="V171" s="13"/>
      <c r="W171" s="13"/>
      <c r="X171" s="30">
        <f t="shared" si="45"/>
        <v>4</v>
      </c>
      <c r="Y171" s="30">
        <f t="shared" si="46"/>
        <v>3</v>
      </c>
      <c r="Z171" s="30">
        <f t="shared" si="47"/>
        <v>2</v>
      </c>
      <c r="AC171" s="47" t="s">
        <v>576</v>
      </c>
      <c r="AD171" s="141" t="s">
        <v>229</v>
      </c>
      <c r="AE171" s="42" t="s">
        <v>6</v>
      </c>
      <c r="AF171" s="3"/>
      <c r="AG171" s="3">
        <v>2</v>
      </c>
      <c r="AH171" s="3"/>
      <c r="AI171" s="4"/>
      <c r="AJ171" s="4">
        <v>2</v>
      </c>
      <c r="AK171" s="5"/>
      <c r="AL171" s="4">
        <v>1</v>
      </c>
      <c r="AM171" s="4"/>
      <c r="AN171" s="4"/>
      <c r="AO171" s="4">
        <v>1</v>
      </c>
      <c r="AP171" s="4">
        <v>3</v>
      </c>
      <c r="AQ171" s="4"/>
      <c r="AR171" s="13"/>
      <c r="AS171" s="13">
        <v>2</v>
      </c>
      <c r="AT171" s="13">
        <v>2</v>
      </c>
      <c r="AU171" s="4"/>
      <c r="AV171" s="4"/>
      <c r="AW171" s="4"/>
      <c r="AX171" s="30">
        <f t="shared" si="48"/>
        <v>2</v>
      </c>
      <c r="AY171" s="30">
        <f t="shared" si="49"/>
        <v>9</v>
      </c>
      <c r="AZ171" s="30">
        <f t="shared" si="50"/>
        <v>2</v>
      </c>
      <c r="BC171" s="47" t="s">
        <v>624</v>
      </c>
      <c r="BD171" s="142" t="s">
        <v>230</v>
      </c>
      <c r="BE171" s="42" t="s">
        <v>8</v>
      </c>
      <c r="BF171" s="13"/>
      <c r="BG171" s="13"/>
      <c r="BH171" s="13"/>
      <c r="BI171" s="13">
        <v>1</v>
      </c>
      <c r="BJ171" s="13">
        <v>1</v>
      </c>
      <c r="BK171" s="13">
        <v>1</v>
      </c>
      <c r="BL171" s="13"/>
      <c r="BM171" s="13">
        <v>1</v>
      </c>
      <c r="BN171" s="13">
        <v>1</v>
      </c>
      <c r="BO171" s="13"/>
      <c r="BP171" s="13">
        <v>1</v>
      </c>
      <c r="BQ171" s="13">
        <v>1</v>
      </c>
      <c r="BR171" s="13"/>
      <c r="BS171" s="13">
        <v>4</v>
      </c>
      <c r="BT171" s="13">
        <v>3</v>
      </c>
      <c r="BU171" s="13"/>
      <c r="BV171" s="13"/>
      <c r="BW171" s="13"/>
      <c r="BX171" s="30">
        <f t="shared" si="51"/>
        <v>1</v>
      </c>
      <c r="BY171" s="30">
        <f t="shared" si="52"/>
        <v>7</v>
      </c>
      <c r="BZ171" s="30">
        <f t="shared" si="53"/>
        <v>6</v>
      </c>
    </row>
    <row r="172" spans="1:78" ht="15.5" x14ac:dyDescent="0.35">
      <c r="A172" s="31" t="s">
        <v>909</v>
      </c>
      <c r="B172" s="35">
        <v>242510053</v>
      </c>
      <c r="C172" s="36" t="s">
        <v>476</v>
      </c>
      <c r="D172" s="139" t="s">
        <v>227</v>
      </c>
      <c r="E172" s="35" t="s">
        <v>6</v>
      </c>
      <c r="F172" s="3"/>
      <c r="G172" s="3">
        <v>1</v>
      </c>
      <c r="H172" s="3"/>
      <c r="I172" s="4"/>
      <c r="J172" s="5"/>
      <c r="K172" s="4"/>
      <c r="L172" s="4">
        <v>1</v>
      </c>
      <c r="M172" s="4">
        <v>1</v>
      </c>
      <c r="N172" s="4">
        <v>2</v>
      </c>
      <c r="O172" s="13"/>
      <c r="P172" s="4">
        <v>4</v>
      </c>
      <c r="Q172" s="4">
        <v>2</v>
      </c>
      <c r="R172" s="4">
        <v>5</v>
      </c>
      <c r="S172" s="4"/>
      <c r="T172" s="4">
        <v>2</v>
      </c>
      <c r="U172" s="4"/>
      <c r="V172" s="4">
        <v>2</v>
      </c>
      <c r="W172" s="4">
        <v>1</v>
      </c>
      <c r="X172" s="135">
        <f t="shared" si="45"/>
        <v>6</v>
      </c>
      <c r="Y172" s="30">
        <f t="shared" si="46"/>
        <v>8</v>
      </c>
      <c r="Z172" s="30">
        <f t="shared" si="47"/>
        <v>7</v>
      </c>
      <c r="AC172" s="51" t="s">
        <v>512</v>
      </c>
      <c r="AD172" s="140" t="s">
        <v>228</v>
      </c>
      <c r="AE172" s="42" t="s">
        <v>8</v>
      </c>
      <c r="AF172" s="19"/>
      <c r="AG172" s="19"/>
      <c r="AH172" s="19"/>
      <c r="AI172" s="13"/>
      <c r="AJ172" s="14">
        <v>2</v>
      </c>
      <c r="AK172" s="13"/>
      <c r="AL172" s="13">
        <v>2</v>
      </c>
      <c r="AM172" s="13">
        <v>3</v>
      </c>
      <c r="AN172" s="13"/>
      <c r="AO172" s="13"/>
      <c r="AP172" s="13">
        <v>1</v>
      </c>
      <c r="AQ172" s="13">
        <v>1</v>
      </c>
      <c r="AR172" s="13"/>
      <c r="AS172" s="13">
        <v>3</v>
      </c>
      <c r="AT172" s="13">
        <v>2</v>
      </c>
      <c r="AU172" s="13"/>
      <c r="AV172" s="13">
        <v>1</v>
      </c>
      <c r="AW172" s="13"/>
      <c r="AX172" s="30">
        <f t="shared" si="48"/>
        <v>2</v>
      </c>
      <c r="AY172" s="135">
        <f t="shared" si="49"/>
        <v>10</v>
      </c>
      <c r="AZ172" s="30">
        <f t="shared" si="50"/>
        <v>3</v>
      </c>
      <c r="BC172" s="36" t="s">
        <v>476</v>
      </c>
      <c r="BD172" s="139" t="s">
        <v>227</v>
      </c>
      <c r="BE172" s="35" t="s">
        <v>6</v>
      </c>
      <c r="BF172" s="3"/>
      <c r="BG172" s="3">
        <v>1</v>
      </c>
      <c r="BH172" s="3"/>
      <c r="BI172" s="4"/>
      <c r="BJ172" s="5"/>
      <c r="BK172" s="4"/>
      <c r="BL172" s="4">
        <v>1</v>
      </c>
      <c r="BM172" s="4">
        <v>1</v>
      </c>
      <c r="BN172" s="4">
        <v>2</v>
      </c>
      <c r="BO172" s="13"/>
      <c r="BP172" s="4">
        <v>4</v>
      </c>
      <c r="BQ172" s="4">
        <v>2</v>
      </c>
      <c r="BR172" s="4">
        <v>5</v>
      </c>
      <c r="BS172" s="4"/>
      <c r="BT172" s="4">
        <v>2</v>
      </c>
      <c r="BU172" s="4"/>
      <c r="BV172" s="4">
        <v>2</v>
      </c>
      <c r="BW172" s="4">
        <v>1</v>
      </c>
      <c r="BX172" s="30">
        <f t="shared" si="51"/>
        <v>6</v>
      </c>
      <c r="BY172" s="30">
        <f t="shared" si="52"/>
        <v>8</v>
      </c>
      <c r="BZ172" s="135">
        <f t="shared" si="53"/>
        <v>7</v>
      </c>
    </row>
    <row r="173" spans="1:78" ht="15.5" x14ac:dyDescent="0.35">
      <c r="A173" s="31" t="s">
        <v>959</v>
      </c>
      <c r="B173" s="33" t="s">
        <v>561</v>
      </c>
      <c r="C173" s="47" t="s">
        <v>562</v>
      </c>
      <c r="D173" s="140" t="s">
        <v>228</v>
      </c>
      <c r="E173" s="42" t="s">
        <v>8</v>
      </c>
      <c r="F173" s="19"/>
      <c r="G173" s="19">
        <v>1</v>
      </c>
      <c r="H173" s="19"/>
      <c r="I173" s="13">
        <v>1</v>
      </c>
      <c r="J173" s="14">
        <v>1</v>
      </c>
      <c r="K173" s="13"/>
      <c r="L173" s="13">
        <v>1</v>
      </c>
      <c r="M173" s="13"/>
      <c r="N173" s="13"/>
      <c r="O173" s="13">
        <v>1</v>
      </c>
      <c r="P173" s="13"/>
      <c r="Q173" s="13"/>
      <c r="R173" s="13">
        <v>3</v>
      </c>
      <c r="S173" s="13"/>
      <c r="T173" s="13"/>
      <c r="U173" s="13"/>
      <c r="V173" s="13"/>
      <c r="W173" s="13"/>
      <c r="X173" s="135">
        <f t="shared" si="45"/>
        <v>6</v>
      </c>
      <c r="Y173" s="30">
        <f t="shared" si="46"/>
        <v>2</v>
      </c>
      <c r="Z173" s="30">
        <f t="shared" si="47"/>
        <v>0</v>
      </c>
      <c r="AC173" s="45" t="s">
        <v>454</v>
      </c>
      <c r="AD173" s="127" t="s">
        <v>226</v>
      </c>
      <c r="AE173" s="38" t="s">
        <v>6</v>
      </c>
      <c r="AF173" s="3"/>
      <c r="AG173" s="3">
        <v>1</v>
      </c>
      <c r="AH173" s="3"/>
      <c r="AI173" s="4"/>
      <c r="AJ173" s="5">
        <v>2</v>
      </c>
      <c r="AK173" s="5"/>
      <c r="AL173" s="4"/>
      <c r="AM173" s="4">
        <v>3</v>
      </c>
      <c r="AN173" s="4"/>
      <c r="AO173" s="13"/>
      <c r="AP173" s="5">
        <v>1</v>
      </c>
      <c r="AQ173" s="5"/>
      <c r="AR173" s="4"/>
      <c r="AS173" s="5">
        <v>2</v>
      </c>
      <c r="AT173" s="5"/>
      <c r="AU173" s="4"/>
      <c r="AV173" s="5">
        <v>2</v>
      </c>
      <c r="AW173" s="5"/>
      <c r="AX173" s="30">
        <f t="shared" si="48"/>
        <v>0</v>
      </c>
      <c r="AY173" s="135">
        <f t="shared" si="49"/>
        <v>11</v>
      </c>
      <c r="AZ173" s="30">
        <f t="shared" si="50"/>
        <v>0</v>
      </c>
      <c r="BC173" s="47" t="s">
        <v>627</v>
      </c>
      <c r="BD173" s="142" t="s">
        <v>230</v>
      </c>
      <c r="BE173" s="42" t="s">
        <v>8</v>
      </c>
      <c r="BF173" s="13"/>
      <c r="BG173" s="13"/>
      <c r="BH173" s="13"/>
      <c r="BI173" s="14"/>
      <c r="BJ173" s="13"/>
      <c r="BK173" s="13">
        <v>1</v>
      </c>
      <c r="BL173" s="13"/>
      <c r="BM173" s="13">
        <v>1</v>
      </c>
      <c r="BN173" s="13">
        <v>1</v>
      </c>
      <c r="BO173" s="13"/>
      <c r="BP173" s="13"/>
      <c r="BQ173" s="13">
        <v>1</v>
      </c>
      <c r="BR173" s="13"/>
      <c r="BS173" s="13"/>
      <c r="BT173" s="13">
        <v>4</v>
      </c>
      <c r="BU173" s="13"/>
      <c r="BV173" s="13"/>
      <c r="BW173" s="13"/>
      <c r="BX173" s="30">
        <f t="shared" si="51"/>
        <v>0</v>
      </c>
      <c r="BY173" s="30">
        <f t="shared" si="52"/>
        <v>1</v>
      </c>
      <c r="BZ173" s="135">
        <f t="shared" si="53"/>
        <v>7</v>
      </c>
    </row>
    <row r="174" spans="1:78" ht="15.5" x14ac:dyDescent="0.35">
      <c r="A174" s="31" t="s">
        <v>1013</v>
      </c>
      <c r="B174" s="35">
        <v>242510154</v>
      </c>
      <c r="C174" s="46" t="s">
        <v>614</v>
      </c>
      <c r="D174" s="142" t="s">
        <v>230</v>
      </c>
      <c r="E174" s="42" t="s">
        <v>6</v>
      </c>
      <c r="F174" s="13"/>
      <c r="G174" s="13"/>
      <c r="H174" s="13"/>
      <c r="I174" s="13">
        <v>2</v>
      </c>
      <c r="J174" s="13">
        <v>2</v>
      </c>
      <c r="K174" s="13"/>
      <c r="L174" s="13">
        <v>4</v>
      </c>
      <c r="M174" s="13"/>
      <c r="N174" s="13"/>
      <c r="O174" s="13">
        <v>3</v>
      </c>
      <c r="P174" s="13"/>
      <c r="Q174" s="13">
        <v>2</v>
      </c>
      <c r="R174" s="13">
        <v>1</v>
      </c>
      <c r="S174" s="13">
        <v>2</v>
      </c>
      <c r="T174" s="13">
        <v>1</v>
      </c>
      <c r="U174" s="13"/>
      <c r="V174" s="13"/>
      <c r="W174" s="13"/>
      <c r="X174" s="135">
        <f t="shared" si="45"/>
        <v>10</v>
      </c>
      <c r="Y174" s="30">
        <f t="shared" si="46"/>
        <v>4</v>
      </c>
      <c r="Z174" s="30">
        <f t="shared" si="47"/>
        <v>3</v>
      </c>
      <c r="AC174" s="36" t="s">
        <v>464</v>
      </c>
      <c r="AD174" s="127" t="s">
        <v>226</v>
      </c>
      <c r="AE174" s="38" t="s">
        <v>6</v>
      </c>
      <c r="AF174" s="3"/>
      <c r="AG174" s="6"/>
      <c r="AH174" s="3"/>
      <c r="AI174" s="4"/>
      <c r="AJ174" s="5">
        <v>3</v>
      </c>
      <c r="AK174" s="5"/>
      <c r="AL174" s="4"/>
      <c r="AM174" s="4">
        <v>1</v>
      </c>
      <c r="AN174" s="4"/>
      <c r="AO174" s="14"/>
      <c r="AP174" s="5">
        <v>3</v>
      </c>
      <c r="AQ174" s="5">
        <v>1</v>
      </c>
      <c r="AR174" s="5"/>
      <c r="AS174" s="5">
        <v>4</v>
      </c>
      <c r="AT174" s="5"/>
      <c r="AU174" s="5"/>
      <c r="AV174" s="5">
        <v>1</v>
      </c>
      <c r="AW174" s="5"/>
      <c r="AX174" s="30">
        <f t="shared" si="48"/>
        <v>0</v>
      </c>
      <c r="AY174" s="135">
        <f t="shared" si="49"/>
        <v>12</v>
      </c>
      <c r="AZ174" s="30">
        <f t="shared" si="50"/>
        <v>1</v>
      </c>
      <c r="BC174" s="53" t="s">
        <v>568</v>
      </c>
      <c r="BD174" s="141" t="s">
        <v>229</v>
      </c>
      <c r="BE174" s="42" t="s">
        <v>6</v>
      </c>
      <c r="BF174" s="3">
        <v>1</v>
      </c>
      <c r="BG174" s="3"/>
      <c r="BH174" s="3">
        <v>4</v>
      </c>
      <c r="BI174" s="4"/>
      <c r="BJ174" s="5">
        <v>3</v>
      </c>
      <c r="BK174" s="4">
        <v>4</v>
      </c>
      <c r="BL174" s="4"/>
      <c r="BM174" s="4"/>
      <c r="BN174" s="4">
        <v>2</v>
      </c>
      <c r="BO174" s="4"/>
      <c r="BP174" s="4"/>
      <c r="BQ174" s="4">
        <v>2</v>
      </c>
      <c r="BR174" s="13"/>
      <c r="BS174" s="13">
        <v>2</v>
      </c>
      <c r="BT174" s="13">
        <v>3</v>
      </c>
      <c r="BU174" s="4"/>
      <c r="BV174" s="4">
        <v>2</v>
      </c>
      <c r="BW174" s="4"/>
      <c r="BX174" s="30">
        <f t="shared" si="51"/>
        <v>1</v>
      </c>
      <c r="BY174" s="30">
        <f t="shared" si="52"/>
        <v>7</v>
      </c>
      <c r="BZ174" s="135">
        <f t="shared" si="53"/>
        <v>15</v>
      </c>
    </row>
    <row r="178" spans="2:25" x14ac:dyDescent="0.35">
      <c r="B178" s="456" t="s">
        <v>1034</v>
      </c>
      <c r="C178" s="456" t="s">
        <v>1035</v>
      </c>
      <c r="D178" s="456" t="s">
        <v>1036</v>
      </c>
      <c r="E178" s="456" t="s">
        <v>4</v>
      </c>
      <c r="F178" s="463" t="s">
        <v>1038</v>
      </c>
      <c r="G178" s="464"/>
      <c r="H178" s="465"/>
    </row>
    <row r="179" spans="2:25" x14ac:dyDescent="0.35">
      <c r="B179" s="457"/>
      <c r="C179" s="457"/>
      <c r="D179" s="457"/>
      <c r="E179" s="457"/>
      <c r="F179" s="104" t="s">
        <v>20</v>
      </c>
      <c r="G179" s="23" t="s">
        <v>19</v>
      </c>
      <c r="H179" s="23" t="s">
        <v>52</v>
      </c>
    </row>
    <row r="180" spans="2:25" ht="15.5" x14ac:dyDescent="0.35">
      <c r="B180" s="160" t="s">
        <v>21</v>
      </c>
      <c r="C180" s="46" t="s">
        <v>614</v>
      </c>
      <c r="D180" s="52" t="s">
        <v>230</v>
      </c>
      <c r="E180" s="42" t="s">
        <v>6</v>
      </c>
      <c r="F180" s="13">
        <v>10</v>
      </c>
      <c r="G180" s="13"/>
      <c r="H180" s="13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6"/>
      <c r="X180" s="156"/>
      <c r="Y180" s="156"/>
    </row>
    <row r="181" spans="2:25" ht="15.5" x14ac:dyDescent="0.35">
      <c r="B181" s="160" t="s">
        <v>22</v>
      </c>
      <c r="C181" s="47" t="s">
        <v>562</v>
      </c>
      <c r="D181" s="40" t="s">
        <v>228</v>
      </c>
      <c r="E181" s="42" t="s">
        <v>8</v>
      </c>
      <c r="F181" s="19">
        <v>6</v>
      </c>
      <c r="G181" s="19"/>
      <c r="H181" s="19"/>
      <c r="I181" s="157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6"/>
      <c r="X181" s="156"/>
      <c r="Y181" s="156"/>
    </row>
    <row r="182" spans="2:25" ht="15.5" x14ac:dyDescent="0.35">
      <c r="B182" s="160" t="s">
        <v>23</v>
      </c>
      <c r="C182" s="36" t="s">
        <v>476</v>
      </c>
      <c r="D182" s="38" t="s">
        <v>227</v>
      </c>
      <c r="E182" s="35" t="s">
        <v>6</v>
      </c>
      <c r="F182" s="3">
        <v>6</v>
      </c>
      <c r="G182" s="3"/>
      <c r="H182" s="3"/>
      <c r="I182" s="24"/>
      <c r="J182" s="8"/>
      <c r="K182" s="8"/>
      <c r="L182" s="8"/>
      <c r="M182" s="8"/>
      <c r="N182" s="155"/>
      <c r="O182" s="8"/>
      <c r="P182" s="8"/>
      <c r="Q182" s="8"/>
      <c r="R182" s="8"/>
      <c r="S182" s="8"/>
      <c r="T182" s="8"/>
      <c r="U182" s="8"/>
      <c r="V182" s="8"/>
      <c r="W182" s="156"/>
      <c r="X182" s="156"/>
      <c r="Y182" s="156"/>
    </row>
    <row r="183" spans="2:25" ht="15.5" x14ac:dyDescent="0.35">
      <c r="B183" s="160" t="s">
        <v>24</v>
      </c>
      <c r="C183" s="36" t="s">
        <v>464</v>
      </c>
      <c r="D183" s="35" t="s">
        <v>226</v>
      </c>
      <c r="E183" s="38" t="s">
        <v>6</v>
      </c>
      <c r="F183" s="158"/>
      <c r="G183" s="23">
        <v>12</v>
      </c>
      <c r="H183" s="23"/>
    </row>
    <row r="184" spans="2:25" ht="15.5" x14ac:dyDescent="0.35">
      <c r="B184" s="160" t="s">
        <v>25</v>
      </c>
      <c r="C184" s="45" t="s">
        <v>454</v>
      </c>
      <c r="D184" s="35" t="s">
        <v>226</v>
      </c>
      <c r="E184" s="38" t="s">
        <v>6</v>
      </c>
      <c r="F184" s="158"/>
      <c r="G184" s="23">
        <v>11</v>
      </c>
      <c r="H184" s="23"/>
    </row>
    <row r="185" spans="2:25" ht="15.5" x14ac:dyDescent="0.35">
      <c r="B185" s="160" t="s">
        <v>26</v>
      </c>
      <c r="C185" s="51" t="s">
        <v>512</v>
      </c>
      <c r="D185" s="40" t="s">
        <v>228</v>
      </c>
      <c r="E185" s="42" t="s">
        <v>6</v>
      </c>
      <c r="F185" s="158"/>
      <c r="G185" s="23">
        <v>10</v>
      </c>
      <c r="H185" s="23"/>
    </row>
    <row r="186" spans="2:25" ht="15.5" x14ac:dyDescent="0.35">
      <c r="B186" s="160" t="s">
        <v>27</v>
      </c>
      <c r="C186" s="53" t="s">
        <v>568</v>
      </c>
      <c r="D186" s="159" t="s">
        <v>229</v>
      </c>
      <c r="E186" s="42" t="s">
        <v>6</v>
      </c>
      <c r="F186" s="23"/>
      <c r="G186" s="23"/>
      <c r="H186" s="23">
        <v>15</v>
      </c>
    </row>
    <row r="187" spans="2:25" ht="15.5" x14ac:dyDescent="0.35">
      <c r="B187" s="160" t="s">
        <v>28</v>
      </c>
      <c r="C187" s="47" t="s">
        <v>627</v>
      </c>
      <c r="D187" s="52" t="s">
        <v>230</v>
      </c>
      <c r="E187" s="42" t="s">
        <v>8</v>
      </c>
      <c r="F187" s="23"/>
      <c r="G187" s="23"/>
      <c r="H187" s="23">
        <v>7</v>
      </c>
    </row>
    <row r="188" spans="2:25" ht="15.5" x14ac:dyDescent="0.35">
      <c r="B188" s="160" t="s">
        <v>29</v>
      </c>
      <c r="C188" s="36" t="s">
        <v>476</v>
      </c>
      <c r="D188" s="38" t="s">
        <v>227</v>
      </c>
      <c r="E188" s="35" t="s">
        <v>6</v>
      </c>
      <c r="F188" s="23"/>
      <c r="G188" s="23"/>
      <c r="H188" s="23">
        <v>7</v>
      </c>
    </row>
  </sheetData>
  <sortState xmlns:xlrd2="http://schemas.microsoft.com/office/spreadsheetml/2017/richdata2" ref="BC4:BZ174">
    <sortCondition ref="BZ4:BZ174" customList="A"/>
  </sortState>
  <mergeCells count="37">
    <mergeCell ref="A2:A3"/>
    <mergeCell ref="B2:B3"/>
    <mergeCell ref="C2:C3"/>
    <mergeCell ref="E2:E3"/>
    <mergeCell ref="F2:H2"/>
    <mergeCell ref="BO2:BQ2"/>
    <mergeCell ref="BR2:BT2"/>
    <mergeCell ref="BU2:BW2"/>
    <mergeCell ref="BX2:BZ2"/>
    <mergeCell ref="F178:H178"/>
    <mergeCell ref="AX2:AZ2"/>
    <mergeCell ref="BC2:BC3"/>
    <mergeCell ref="BD2:BD3"/>
    <mergeCell ref="BE2:BE3"/>
    <mergeCell ref="BF2:BH2"/>
    <mergeCell ref="BI2:BK2"/>
    <mergeCell ref="AF2:AH2"/>
    <mergeCell ref="AI2:AK2"/>
    <mergeCell ref="AL2:AN2"/>
    <mergeCell ref="AO2:AQ2"/>
    <mergeCell ref="AR2:AT2"/>
    <mergeCell ref="B178:B179"/>
    <mergeCell ref="C178:C179"/>
    <mergeCell ref="D178:D179"/>
    <mergeCell ref="E178:E179"/>
    <mergeCell ref="BL2:BN2"/>
    <mergeCell ref="AU2:AW2"/>
    <mergeCell ref="D2:D3"/>
    <mergeCell ref="AC2:AC3"/>
    <mergeCell ref="AD2:AD3"/>
    <mergeCell ref="AE2:AE3"/>
    <mergeCell ref="R2:T2"/>
    <mergeCell ref="U2:W2"/>
    <mergeCell ref="X2:Z2"/>
    <mergeCell ref="I2:K2"/>
    <mergeCell ref="L2:N2"/>
    <mergeCell ref="O2:Q2"/>
  </mergeCells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30DB-6228-49B5-BCE4-91F519CF12D9}">
  <dimension ref="A1:BF304"/>
  <sheetViews>
    <sheetView topLeftCell="Y1" zoomScale="60" zoomScaleNormal="60" workbookViewId="0">
      <selection activeCell="AT4" sqref="Z1:AT1048576"/>
    </sheetView>
  </sheetViews>
  <sheetFormatPr defaultColWidth="8.81640625" defaultRowHeight="15.5" x14ac:dyDescent="0.35"/>
  <cols>
    <col min="1" max="1" width="5.36328125" style="322" customWidth="1"/>
    <col min="2" max="2" width="12.81640625" style="322" customWidth="1"/>
    <col min="3" max="3" width="37.54296875" style="322" customWidth="1"/>
    <col min="4" max="4" width="6.1796875" style="322" customWidth="1"/>
    <col min="5" max="5" width="8.6328125" style="337" customWidth="1"/>
    <col min="6" max="8" width="5.6328125" style="338" customWidth="1"/>
    <col min="9" max="11" width="8.6328125" style="338" customWidth="1"/>
    <col min="12" max="12" width="8.6328125" style="220" customWidth="1"/>
    <col min="13" max="15" width="5.6328125" style="220" customWidth="1"/>
    <col min="16" max="18" width="8.6328125" style="220" customWidth="1"/>
    <col min="19" max="19" width="8.6328125" style="254" customWidth="1"/>
    <col min="20" max="22" width="5.6328125" style="254" customWidth="1"/>
    <col min="23" max="25" width="8.6328125" style="254" customWidth="1"/>
    <col min="26" max="26" width="8.6328125" style="282" hidden="1" customWidth="1"/>
    <col min="27" max="29" width="5.6328125" style="282" hidden="1" customWidth="1"/>
    <col min="30" max="32" width="8.6328125" style="282" hidden="1" customWidth="1"/>
    <col min="33" max="33" width="8.6328125" style="317" hidden="1" customWidth="1"/>
    <col min="34" max="36" width="5.6328125" style="317" hidden="1" customWidth="1"/>
    <col min="37" max="39" width="8.6328125" style="317" hidden="1" customWidth="1"/>
    <col min="40" max="40" width="8.6328125" style="318" hidden="1" customWidth="1"/>
    <col min="41" max="43" width="5.6328125" style="318" hidden="1" customWidth="1"/>
    <col min="44" max="46" width="8.6328125" style="318" hidden="1" customWidth="1"/>
    <col min="47" max="49" width="5.6328125" style="301" customWidth="1"/>
    <col min="50" max="50" width="9.90625" style="301" customWidth="1"/>
    <col min="51" max="51" width="9.54296875" style="301" customWidth="1"/>
    <col min="52" max="52" width="13.1796875" style="301" customWidth="1"/>
    <col min="53" max="53" width="17.54296875" style="301" customWidth="1"/>
    <col min="54" max="54" width="10.6328125" style="399" customWidth="1"/>
    <col min="55" max="55" width="17.54296875" style="302" customWidth="1"/>
    <col min="56" max="56" width="20.453125" style="302" customWidth="1"/>
    <col min="57" max="57" width="17.36328125" style="284" customWidth="1"/>
    <col min="58" max="58" width="9.1796875" style="321" customWidth="1"/>
    <col min="59" max="16384" width="8.81640625" style="322"/>
  </cols>
  <sheetData>
    <row r="1" spans="1:58" x14ac:dyDescent="0.35">
      <c r="A1" s="449" t="s">
        <v>220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279"/>
      <c r="AY1" s="279"/>
      <c r="AZ1" s="279"/>
      <c r="BA1" s="283"/>
      <c r="BB1" s="439" t="s">
        <v>887</v>
      </c>
      <c r="BC1" s="439"/>
      <c r="BD1" s="439"/>
    </row>
    <row r="2" spans="1:58" x14ac:dyDescent="0.35">
      <c r="A2" s="449" t="s">
        <v>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279"/>
      <c r="AY2" s="279"/>
      <c r="AZ2" s="279"/>
      <c r="BA2" s="283"/>
      <c r="BB2" s="439" t="s">
        <v>888</v>
      </c>
      <c r="BC2" s="439"/>
      <c r="BD2" s="285" t="s">
        <v>886</v>
      </c>
    </row>
    <row r="3" spans="1:58" x14ac:dyDescent="0.35">
      <c r="A3" s="449" t="s">
        <v>1078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279"/>
      <c r="AY3" s="279"/>
      <c r="AZ3" s="279"/>
      <c r="BA3" s="283"/>
      <c r="BB3" s="440" t="s">
        <v>881</v>
      </c>
      <c r="BC3" s="440"/>
      <c r="BD3" s="245">
        <v>2</v>
      </c>
    </row>
    <row r="4" spans="1:58" x14ac:dyDescent="0.35">
      <c r="A4" s="279"/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83"/>
      <c r="BB4" s="471" t="s">
        <v>885</v>
      </c>
      <c r="BC4" s="472"/>
      <c r="BD4" s="475">
        <v>2</v>
      </c>
    </row>
    <row r="5" spans="1:58" s="323" customFormat="1" x14ac:dyDescent="0.35"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86"/>
      <c r="AV5" s="286"/>
      <c r="AW5" s="286"/>
      <c r="AX5" s="286"/>
      <c r="AY5" s="286"/>
      <c r="AZ5" s="286"/>
      <c r="BA5" s="286"/>
      <c r="BB5" s="473"/>
      <c r="BC5" s="474"/>
      <c r="BD5" s="476"/>
      <c r="BE5" s="287"/>
      <c r="BF5" s="319"/>
    </row>
    <row r="6" spans="1:58" s="323" customFormat="1" x14ac:dyDescent="0.35"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86"/>
      <c r="AV6" s="286"/>
      <c r="AW6" s="286"/>
      <c r="AX6" s="286"/>
      <c r="AY6" s="286"/>
      <c r="AZ6" s="286"/>
      <c r="BA6" s="286"/>
      <c r="BB6" s="442" t="s">
        <v>882</v>
      </c>
      <c r="BC6" s="442"/>
      <c r="BD6" s="246" t="s">
        <v>889</v>
      </c>
      <c r="BE6" s="287"/>
      <c r="BF6" s="319"/>
    </row>
    <row r="7" spans="1:58" s="323" customFormat="1" ht="16" thickBot="1" x14ac:dyDescent="0.4">
      <c r="A7" s="324" t="s">
        <v>231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86"/>
      <c r="AV7" s="286"/>
      <c r="AW7" s="286"/>
      <c r="AX7" s="286"/>
      <c r="AY7" s="286"/>
      <c r="AZ7" s="286"/>
      <c r="BA7" s="286"/>
      <c r="BB7" s="470"/>
      <c r="BC7" s="470"/>
      <c r="BD7" s="288"/>
      <c r="BE7" s="287"/>
      <c r="BF7" s="319"/>
    </row>
    <row r="8" spans="1:58" s="325" customFormat="1" ht="25" customHeight="1" thickBot="1" x14ac:dyDescent="0.4">
      <c r="A8" s="447" t="s">
        <v>1072</v>
      </c>
      <c r="B8" s="447" t="s">
        <v>2</v>
      </c>
      <c r="C8" s="448" t="s">
        <v>1606</v>
      </c>
      <c r="D8" s="448" t="s">
        <v>4</v>
      </c>
      <c r="E8" s="431" t="s">
        <v>1612</v>
      </c>
      <c r="F8" s="431"/>
      <c r="G8" s="431"/>
      <c r="H8" s="431"/>
      <c r="I8" s="431"/>
      <c r="J8" s="431"/>
      <c r="K8" s="431"/>
      <c r="L8" s="432" t="s">
        <v>1613</v>
      </c>
      <c r="M8" s="432"/>
      <c r="N8" s="432"/>
      <c r="O8" s="432"/>
      <c r="P8" s="432"/>
      <c r="Q8" s="432"/>
      <c r="R8" s="432"/>
      <c r="S8" s="433" t="s">
        <v>1614</v>
      </c>
      <c r="T8" s="433"/>
      <c r="U8" s="433"/>
      <c r="V8" s="433"/>
      <c r="W8" s="433"/>
      <c r="X8" s="433"/>
      <c r="Y8" s="433"/>
      <c r="Z8" s="434" t="s">
        <v>1615</v>
      </c>
      <c r="AA8" s="434"/>
      <c r="AB8" s="434"/>
      <c r="AC8" s="434"/>
      <c r="AD8" s="434"/>
      <c r="AE8" s="434"/>
      <c r="AF8" s="434"/>
      <c r="AG8" s="435" t="s">
        <v>1616</v>
      </c>
      <c r="AH8" s="435"/>
      <c r="AI8" s="435"/>
      <c r="AJ8" s="435"/>
      <c r="AK8" s="435"/>
      <c r="AL8" s="435"/>
      <c r="AM8" s="435"/>
      <c r="AN8" s="436" t="s">
        <v>1617</v>
      </c>
      <c r="AO8" s="436"/>
      <c r="AP8" s="436"/>
      <c r="AQ8" s="436"/>
      <c r="AR8" s="436"/>
      <c r="AS8" s="436"/>
      <c r="AT8" s="436"/>
      <c r="AU8" s="438" t="s">
        <v>224</v>
      </c>
      <c r="AV8" s="438"/>
      <c r="AW8" s="438"/>
      <c r="AX8" s="437" t="s">
        <v>1602</v>
      </c>
      <c r="AY8" s="437" t="s">
        <v>1603</v>
      </c>
      <c r="AZ8" s="437" t="s">
        <v>1604</v>
      </c>
      <c r="BA8" s="468" t="s">
        <v>1076</v>
      </c>
      <c r="BB8" s="430" t="s">
        <v>883</v>
      </c>
      <c r="BC8" s="428" t="s">
        <v>880</v>
      </c>
      <c r="BD8" s="428"/>
      <c r="BE8" s="428"/>
      <c r="BF8" s="467" t="s">
        <v>884</v>
      </c>
    </row>
    <row r="9" spans="1:58" s="325" customFormat="1" ht="55" customHeight="1" thickBot="1" x14ac:dyDescent="0.4">
      <c r="A9" s="447"/>
      <c r="B9" s="447"/>
      <c r="C9" s="448"/>
      <c r="D9" s="448"/>
      <c r="E9" s="235" t="s">
        <v>1598</v>
      </c>
      <c r="F9" s="236" t="s">
        <v>20</v>
      </c>
      <c r="G9" s="236" t="s">
        <v>19</v>
      </c>
      <c r="H9" s="236" t="s">
        <v>52</v>
      </c>
      <c r="I9" s="237" t="s">
        <v>1599</v>
      </c>
      <c r="J9" s="237" t="s">
        <v>1600</v>
      </c>
      <c r="K9" s="237" t="s">
        <v>1601</v>
      </c>
      <c r="L9" s="202" t="s">
        <v>1598</v>
      </c>
      <c r="M9" s="206" t="s">
        <v>20</v>
      </c>
      <c r="N9" s="206" t="s">
        <v>19</v>
      </c>
      <c r="O9" s="206" t="s">
        <v>52</v>
      </c>
      <c r="P9" s="207" t="s">
        <v>1599</v>
      </c>
      <c r="Q9" s="207" t="s">
        <v>1600</v>
      </c>
      <c r="R9" s="207" t="s">
        <v>1601</v>
      </c>
      <c r="S9" s="238" t="s">
        <v>1598</v>
      </c>
      <c r="T9" s="239" t="s">
        <v>20</v>
      </c>
      <c r="U9" s="239" t="s">
        <v>19</v>
      </c>
      <c r="V9" s="239" t="s">
        <v>52</v>
      </c>
      <c r="W9" s="224" t="s">
        <v>1599</v>
      </c>
      <c r="X9" s="224" t="s">
        <v>1600</v>
      </c>
      <c r="Y9" s="224" t="s">
        <v>1601</v>
      </c>
      <c r="Z9" s="240" t="s">
        <v>1598</v>
      </c>
      <c r="AA9" s="241" t="s">
        <v>20</v>
      </c>
      <c r="AB9" s="241" t="s">
        <v>19</v>
      </c>
      <c r="AC9" s="241" t="s">
        <v>52</v>
      </c>
      <c r="AD9" s="208" t="s">
        <v>1599</v>
      </c>
      <c r="AE9" s="208" t="s">
        <v>1600</v>
      </c>
      <c r="AF9" s="208" t="s">
        <v>1601</v>
      </c>
      <c r="AG9" s="209" t="s">
        <v>1598</v>
      </c>
      <c r="AH9" s="210" t="s">
        <v>20</v>
      </c>
      <c r="AI9" s="210" t="s">
        <v>19</v>
      </c>
      <c r="AJ9" s="210" t="s">
        <v>52</v>
      </c>
      <c r="AK9" s="211" t="s">
        <v>1599</v>
      </c>
      <c r="AL9" s="211" t="s">
        <v>1600</v>
      </c>
      <c r="AM9" s="211" t="s">
        <v>1601</v>
      </c>
      <c r="AN9" s="212" t="s">
        <v>1598</v>
      </c>
      <c r="AO9" s="213" t="s">
        <v>20</v>
      </c>
      <c r="AP9" s="213" t="s">
        <v>19</v>
      </c>
      <c r="AQ9" s="213" t="s">
        <v>52</v>
      </c>
      <c r="AR9" s="214" t="s">
        <v>1599</v>
      </c>
      <c r="AS9" s="214" t="s">
        <v>1600</v>
      </c>
      <c r="AT9" s="214" t="s">
        <v>1601</v>
      </c>
      <c r="AU9" s="203" t="s">
        <v>20</v>
      </c>
      <c r="AV9" s="204" t="s">
        <v>19</v>
      </c>
      <c r="AW9" s="204" t="s">
        <v>52</v>
      </c>
      <c r="AX9" s="437"/>
      <c r="AY9" s="437"/>
      <c r="AZ9" s="437"/>
      <c r="BA9" s="469"/>
      <c r="BB9" s="430"/>
      <c r="BC9" s="375" t="s">
        <v>881</v>
      </c>
      <c r="BD9" s="377" t="s">
        <v>885</v>
      </c>
      <c r="BE9" s="376" t="s">
        <v>882</v>
      </c>
      <c r="BF9" s="467"/>
    </row>
    <row r="10" spans="1:58" x14ac:dyDescent="0.35">
      <c r="A10" s="242">
        <v>1</v>
      </c>
      <c r="B10" s="131">
        <v>242510001</v>
      </c>
      <c r="C10" s="132" t="s">
        <v>426</v>
      </c>
      <c r="D10" s="127" t="s">
        <v>6</v>
      </c>
      <c r="E10" s="215">
        <v>19</v>
      </c>
      <c r="F10" s="216"/>
      <c r="G10" s="216"/>
      <c r="H10" s="216"/>
      <c r="I10" s="326">
        <f>SUM(F10:H10)</f>
        <v>0</v>
      </c>
      <c r="J10" s="326">
        <f>E10-I10</f>
        <v>19</v>
      </c>
      <c r="K10" s="327">
        <f>J10/E10</f>
        <v>1</v>
      </c>
      <c r="L10" s="221">
        <v>14</v>
      </c>
      <c r="M10" s="221"/>
      <c r="N10" s="221"/>
      <c r="O10" s="221"/>
      <c r="P10" s="328">
        <f>SUM(M10:O10)</f>
        <v>0</v>
      </c>
      <c r="Q10" s="328">
        <f>L10-P10</f>
        <v>14</v>
      </c>
      <c r="R10" s="329">
        <f>Q10/L10</f>
        <v>1</v>
      </c>
      <c r="S10" s="225">
        <v>12</v>
      </c>
      <c r="T10" s="225"/>
      <c r="U10" s="225"/>
      <c r="V10" s="225"/>
      <c r="W10" s="330">
        <f>SUM(T10:V10)</f>
        <v>0</v>
      </c>
      <c r="X10" s="330">
        <f>S10-W10</f>
        <v>12</v>
      </c>
      <c r="Y10" s="331">
        <f>X10/S10</f>
        <v>1</v>
      </c>
      <c r="Z10" s="228">
        <v>21</v>
      </c>
      <c r="AA10" s="228"/>
      <c r="AB10" s="228"/>
      <c r="AC10" s="228"/>
      <c r="AD10" s="280">
        <f>SUM(AA10:AC10)</f>
        <v>0</v>
      </c>
      <c r="AE10" s="280">
        <f>Z10-AD10</f>
        <v>21</v>
      </c>
      <c r="AF10" s="281">
        <f>AE10/Z10</f>
        <v>1</v>
      </c>
      <c r="AG10" s="229">
        <v>18</v>
      </c>
      <c r="AH10" s="229"/>
      <c r="AI10" s="229"/>
      <c r="AJ10" s="229"/>
      <c r="AK10" s="305">
        <f>SUM(AH10:AJ10)</f>
        <v>0</v>
      </c>
      <c r="AL10" s="305">
        <f>AG10-AK10</f>
        <v>18</v>
      </c>
      <c r="AM10" s="306">
        <f>AL10/AG10</f>
        <v>1</v>
      </c>
      <c r="AN10" s="230">
        <v>14</v>
      </c>
      <c r="AO10" s="230"/>
      <c r="AP10" s="230"/>
      <c r="AQ10" s="230"/>
      <c r="AR10" s="307">
        <f>SUM(AO10:AQ10)</f>
        <v>0</v>
      </c>
      <c r="AS10" s="307">
        <f>AN10-AR10</f>
        <v>14</v>
      </c>
      <c r="AT10" s="308">
        <f>AS10/AN10</f>
        <v>1</v>
      </c>
      <c r="AU10" s="289">
        <f>F10+M10+T10+AA10+AH10+AO10</f>
        <v>0</v>
      </c>
      <c r="AV10" s="289">
        <f t="shared" ref="AV10:AW10" si="0">G10+N10+U10+AB10+AI10+AP10</f>
        <v>0</v>
      </c>
      <c r="AW10" s="289">
        <f t="shared" si="0"/>
        <v>0</v>
      </c>
      <c r="AX10" s="290">
        <v>98</v>
      </c>
      <c r="AY10" s="289">
        <f>AX10-AU10-AV10-AW10</f>
        <v>98</v>
      </c>
      <c r="AZ10" s="291">
        <f>AY10/AX10</f>
        <v>1</v>
      </c>
      <c r="BA10" s="292"/>
      <c r="BB10" s="393" cm="1">
        <f t="array" ref="BB10:BB20">[1]XI!$BF$10:$BF$20</f>
        <v>94</v>
      </c>
      <c r="BC10" s="378">
        <f>BA10*2</f>
        <v>0</v>
      </c>
      <c r="BD10" s="378">
        <f>AW10*2</f>
        <v>0</v>
      </c>
      <c r="BE10" s="380"/>
      <c r="BF10" s="393">
        <f>BB10-BC10-BD10-BE10</f>
        <v>94</v>
      </c>
    </row>
    <row r="11" spans="1:58" x14ac:dyDescent="0.35">
      <c r="A11" s="243">
        <v>2</v>
      </c>
      <c r="B11" s="35">
        <v>242510002</v>
      </c>
      <c r="C11" s="36" t="s">
        <v>427</v>
      </c>
      <c r="D11" s="35" t="s">
        <v>8</v>
      </c>
      <c r="E11" s="215">
        <v>19</v>
      </c>
      <c r="F11" s="217"/>
      <c r="G11" s="217"/>
      <c r="H11" s="217"/>
      <c r="I11" s="326">
        <f t="shared" ref="I11:I20" si="1">SUM(F11:H11)</f>
        <v>0</v>
      </c>
      <c r="J11" s="326">
        <f t="shared" ref="J11:J20" si="2">E11-I11</f>
        <v>19</v>
      </c>
      <c r="K11" s="327">
        <f t="shared" ref="K11:K20" si="3">J11/E11</f>
        <v>1</v>
      </c>
      <c r="L11" s="221">
        <v>14</v>
      </c>
      <c r="M11" s="222"/>
      <c r="N11" s="222"/>
      <c r="O11" s="222"/>
      <c r="P11" s="328">
        <f t="shared" ref="P11:P20" si="4">SUM(M11:O11)</f>
        <v>0</v>
      </c>
      <c r="Q11" s="328">
        <f t="shared" ref="Q11:Q20" si="5">L11-P11</f>
        <v>14</v>
      </c>
      <c r="R11" s="329">
        <f t="shared" ref="R11:R20" si="6">Q11/L11</f>
        <v>1</v>
      </c>
      <c r="S11" s="225">
        <v>12</v>
      </c>
      <c r="T11" s="226"/>
      <c r="U11" s="226"/>
      <c r="V11" s="226"/>
      <c r="W11" s="330">
        <f t="shared" ref="W11:W20" si="7">SUM(T11:V11)</f>
        <v>0</v>
      </c>
      <c r="X11" s="330">
        <f t="shared" ref="X11:X20" si="8">S11-W11</f>
        <v>12</v>
      </c>
      <c r="Y11" s="331">
        <f t="shared" ref="Y11:Y20" si="9">X11/S11</f>
        <v>1</v>
      </c>
      <c r="Z11" s="228">
        <v>21</v>
      </c>
      <c r="AA11" s="255"/>
      <c r="AB11" s="255"/>
      <c r="AC11" s="255"/>
      <c r="AD11" s="280">
        <f t="shared" ref="AD11:AD20" si="10">SUM(AA11:AC11)</f>
        <v>0</v>
      </c>
      <c r="AE11" s="280">
        <f t="shared" ref="AE11:AE20" si="11">Z11-AD11</f>
        <v>21</v>
      </c>
      <c r="AF11" s="281">
        <f t="shared" ref="AF11:AF20" si="12">AE11/Z11</f>
        <v>1</v>
      </c>
      <c r="AG11" s="229">
        <v>18</v>
      </c>
      <c r="AH11" s="257"/>
      <c r="AI11" s="257"/>
      <c r="AJ11" s="257"/>
      <c r="AK11" s="305">
        <f t="shared" ref="AK11:AK20" si="13">SUM(AH11:AJ11)</f>
        <v>0</v>
      </c>
      <c r="AL11" s="305">
        <f t="shared" ref="AL11:AL20" si="14">AG11-AK11</f>
        <v>18</v>
      </c>
      <c r="AM11" s="306">
        <f t="shared" ref="AM11:AM20" si="15">AL11/AG11</f>
        <v>1</v>
      </c>
      <c r="AN11" s="230">
        <v>14</v>
      </c>
      <c r="AO11" s="259"/>
      <c r="AP11" s="259"/>
      <c r="AQ11" s="259"/>
      <c r="AR11" s="307">
        <f t="shared" ref="AR11:AR20" si="16">SUM(AO11:AQ11)</f>
        <v>0</v>
      </c>
      <c r="AS11" s="307">
        <f t="shared" ref="AS11:AS20" si="17">AN11-AR11</f>
        <v>14</v>
      </c>
      <c r="AT11" s="308">
        <f t="shared" ref="AT11:AT20" si="18">AS11/AN11</f>
        <v>1</v>
      </c>
      <c r="AU11" s="289">
        <f t="shared" ref="AU11:AU20" si="19">F11+M11+T11+AA11+AH11+AO11</f>
        <v>0</v>
      </c>
      <c r="AV11" s="289">
        <f t="shared" ref="AV11:AV20" si="20">G11+N11+U11+AB11+AI11+AP11</f>
        <v>0</v>
      </c>
      <c r="AW11" s="289">
        <f t="shared" ref="AW11:AW20" si="21">H11+O11+V11+AC11+AJ11+AQ11</f>
        <v>0</v>
      </c>
      <c r="AX11" s="290">
        <v>98</v>
      </c>
      <c r="AY11" s="289">
        <f t="shared" ref="AY11:AY20" si="22">AX11-AU11-AV11-AW11</f>
        <v>98</v>
      </c>
      <c r="AZ11" s="291">
        <f t="shared" ref="AZ11:AZ20" si="23">AY11/AX11</f>
        <v>1</v>
      </c>
      <c r="BA11" s="293"/>
      <c r="BB11" s="394">
        <v>90</v>
      </c>
      <c r="BC11" s="379">
        <f t="shared" ref="BC11:BC20" si="24">BA11*2</f>
        <v>0</v>
      </c>
      <c r="BD11" s="378">
        <f t="shared" ref="BD11:BD20" si="25">AW11*2</f>
        <v>0</v>
      </c>
      <c r="BE11" s="381"/>
      <c r="BF11" s="393">
        <f t="shared" ref="BF11:BF20" si="26">BB11-BC11-BD11-BE11</f>
        <v>90</v>
      </c>
    </row>
    <row r="12" spans="1:58" x14ac:dyDescent="0.35">
      <c r="A12" s="243">
        <v>3</v>
      </c>
      <c r="B12" s="33">
        <v>242510003</v>
      </c>
      <c r="C12" s="34" t="s">
        <v>428</v>
      </c>
      <c r="D12" s="35" t="s">
        <v>6</v>
      </c>
      <c r="E12" s="215">
        <v>19</v>
      </c>
      <c r="F12" s="217"/>
      <c r="G12" s="217"/>
      <c r="H12" s="217"/>
      <c r="I12" s="326">
        <f t="shared" si="1"/>
        <v>0</v>
      </c>
      <c r="J12" s="326">
        <f t="shared" si="2"/>
        <v>19</v>
      </c>
      <c r="K12" s="327">
        <f t="shared" si="3"/>
        <v>1</v>
      </c>
      <c r="L12" s="221">
        <v>14</v>
      </c>
      <c r="M12" s="222"/>
      <c r="N12" s="222"/>
      <c r="O12" s="222"/>
      <c r="P12" s="328">
        <f t="shared" si="4"/>
        <v>0</v>
      </c>
      <c r="Q12" s="328">
        <f t="shared" si="5"/>
        <v>14</v>
      </c>
      <c r="R12" s="329">
        <f t="shared" si="6"/>
        <v>1</v>
      </c>
      <c r="S12" s="225">
        <v>12</v>
      </c>
      <c r="T12" s="226"/>
      <c r="U12" s="227"/>
      <c r="V12" s="226"/>
      <c r="W12" s="330">
        <f t="shared" si="7"/>
        <v>0</v>
      </c>
      <c r="X12" s="330">
        <f t="shared" si="8"/>
        <v>12</v>
      </c>
      <c r="Y12" s="331">
        <f t="shared" si="9"/>
        <v>1</v>
      </c>
      <c r="Z12" s="228">
        <v>21</v>
      </c>
      <c r="AA12" s="255"/>
      <c r="AB12" s="256"/>
      <c r="AC12" s="255"/>
      <c r="AD12" s="280">
        <f t="shared" si="10"/>
        <v>0</v>
      </c>
      <c r="AE12" s="280">
        <f t="shared" si="11"/>
        <v>21</v>
      </c>
      <c r="AF12" s="281">
        <f t="shared" si="12"/>
        <v>1</v>
      </c>
      <c r="AG12" s="229">
        <v>18</v>
      </c>
      <c r="AH12" s="257"/>
      <c r="AI12" s="258"/>
      <c r="AJ12" s="257"/>
      <c r="AK12" s="305">
        <f t="shared" si="13"/>
        <v>0</v>
      </c>
      <c r="AL12" s="305">
        <f t="shared" si="14"/>
        <v>18</v>
      </c>
      <c r="AM12" s="306">
        <f t="shared" si="15"/>
        <v>1</v>
      </c>
      <c r="AN12" s="230">
        <v>14</v>
      </c>
      <c r="AO12" s="259"/>
      <c r="AP12" s="260"/>
      <c r="AQ12" s="259"/>
      <c r="AR12" s="307">
        <f t="shared" si="16"/>
        <v>0</v>
      </c>
      <c r="AS12" s="307">
        <f t="shared" si="17"/>
        <v>14</v>
      </c>
      <c r="AT12" s="308">
        <f t="shared" si="18"/>
        <v>1</v>
      </c>
      <c r="AU12" s="289">
        <f t="shared" si="19"/>
        <v>0</v>
      </c>
      <c r="AV12" s="289">
        <f t="shared" si="20"/>
        <v>0</v>
      </c>
      <c r="AW12" s="289">
        <f t="shared" si="21"/>
        <v>0</v>
      </c>
      <c r="AX12" s="290">
        <v>98</v>
      </c>
      <c r="AY12" s="289">
        <f t="shared" si="22"/>
        <v>98</v>
      </c>
      <c r="AZ12" s="291">
        <f t="shared" si="23"/>
        <v>1</v>
      </c>
      <c r="BA12" s="293">
        <v>1</v>
      </c>
      <c r="BB12" s="394">
        <v>96</v>
      </c>
      <c r="BC12" s="379">
        <f t="shared" si="24"/>
        <v>2</v>
      </c>
      <c r="BD12" s="378">
        <f t="shared" si="25"/>
        <v>0</v>
      </c>
      <c r="BE12" s="381"/>
      <c r="BF12" s="393">
        <f t="shared" si="26"/>
        <v>94</v>
      </c>
    </row>
    <row r="13" spans="1:58" x14ac:dyDescent="0.35">
      <c r="A13" s="243">
        <v>4</v>
      </c>
      <c r="B13" s="35">
        <v>242510004</v>
      </c>
      <c r="C13" s="36" t="s">
        <v>429</v>
      </c>
      <c r="D13" s="35" t="s">
        <v>8</v>
      </c>
      <c r="E13" s="215">
        <v>19</v>
      </c>
      <c r="F13" s="217"/>
      <c r="G13" s="217"/>
      <c r="H13" s="217"/>
      <c r="I13" s="326">
        <f t="shared" si="1"/>
        <v>0</v>
      </c>
      <c r="J13" s="326">
        <f t="shared" si="2"/>
        <v>19</v>
      </c>
      <c r="K13" s="327">
        <f t="shared" si="3"/>
        <v>1</v>
      </c>
      <c r="L13" s="221">
        <v>14</v>
      </c>
      <c r="M13" s="222"/>
      <c r="N13" s="223"/>
      <c r="O13" s="222"/>
      <c r="P13" s="328">
        <f t="shared" si="4"/>
        <v>0</v>
      </c>
      <c r="Q13" s="328">
        <f t="shared" si="5"/>
        <v>14</v>
      </c>
      <c r="R13" s="329">
        <f t="shared" si="6"/>
        <v>1</v>
      </c>
      <c r="S13" s="225">
        <v>12</v>
      </c>
      <c r="T13" s="226"/>
      <c r="U13" s="226"/>
      <c r="V13" s="226"/>
      <c r="W13" s="330">
        <f t="shared" si="7"/>
        <v>0</v>
      </c>
      <c r="X13" s="330">
        <f t="shared" si="8"/>
        <v>12</v>
      </c>
      <c r="Y13" s="331">
        <f t="shared" si="9"/>
        <v>1</v>
      </c>
      <c r="Z13" s="228">
        <v>21</v>
      </c>
      <c r="AA13" s="255"/>
      <c r="AB13" s="255"/>
      <c r="AC13" s="255"/>
      <c r="AD13" s="280">
        <f t="shared" si="10"/>
        <v>0</v>
      </c>
      <c r="AE13" s="280">
        <f t="shared" si="11"/>
        <v>21</v>
      </c>
      <c r="AF13" s="281">
        <f>AE13/Z13</f>
        <v>1</v>
      </c>
      <c r="AG13" s="229">
        <v>18</v>
      </c>
      <c r="AH13" s="257"/>
      <c r="AI13" s="257"/>
      <c r="AJ13" s="257"/>
      <c r="AK13" s="305">
        <f t="shared" si="13"/>
        <v>0</v>
      </c>
      <c r="AL13" s="305">
        <f t="shared" si="14"/>
        <v>18</v>
      </c>
      <c r="AM13" s="306">
        <f t="shared" si="15"/>
        <v>1</v>
      </c>
      <c r="AN13" s="230">
        <v>14</v>
      </c>
      <c r="AO13" s="259"/>
      <c r="AP13" s="259"/>
      <c r="AQ13" s="259"/>
      <c r="AR13" s="307">
        <f t="shared" si="16"/>
        <v>0</v>
      </c>
      <c r="AS13" s="307">
        <f t="shared" si="17"/>
        <v>14</v>
      </c>
      <c r="AT13" s="308">
        <f t="shared" si="18"/>
        <v>1</v>
      </c>
      <c r="AU13" s="289">
        <f t="shared" si="19"/>
        <v>0</v>
      </c>
      <c r="AV13" s="289">
        <f t="shared" si="20"/>
        <v>0</v>
      </c>
      <c r="AW13" s="289">
        <f t="shared" si="21"/>
        <v>0</v>
      </c>
      <c r="AX13" s="290">
        <v>98</v>
      </c>
      <c r="AY13" s="289">
        <f t="shared" si="22"/>
        <v>98</v>
      </c>
      <c r="AZ13" s="291">
        <f t="shared" si="23"/>
        <v>1</v>
      </c>
      <c r="BA13" s="293"/>
      <c r="BB13" s="394">
        <v>100</v>
      </c>
      <c r="BC13" s="379">
        <f t="shared" si="24"/>
        <v>0</v>
      </c>
      <c r="BD13" s="378">
        <f t="shared" si="25"/>
        <v>0</v>
      </c>
      <c r="BE13" s="381"/>
      <c r="BF13" s="393">
        <f t="shared" si="26"/>
        <v>100</v>
      </c>
    </row>
    <row r="14" spans="1:58" x14ac:dyDescent="0.35">
      <c r="A14" s="244">
        <v>5</v>
      </c>
      <c r="B14" s="35">
        <v>242510005</v>
      </c>
      <c r="C14" s="36" t="s">
        <v>430</v>
      </c>
      <c r="D14" s="35" t="s">
        <v>6</v>
      </c>
      <c r="E14" s="215">
        <v>19</v>
      </c>
      <c r="F14" s="217"/>
      <c r="G14" s="217"/>
      <c r="H14" s="217"/>
      <c r="I14" s="326">
        <f t="shared" si="1"/>
        <v>0</v>
      </c>
      <c r="J14" s="326">
        <f t="shared" si="2"/>
        <v>19</v>
      </c>
      <c r="K14" s="327">
        <f t="shared" si="3"/>
        <v>1</v>
      </c>
      <c r="L14" s="221">
        <v>14</v>
      </c>
      <c r="M14" s="222"/>
      <c r="N14" s="223"/>
      <c r="O14" s="222"/>
      <c r="P14" s="328">
        <f t="shared" si="4"/>
        <v>0</v>
      </c>
      <c r="Q14" s="328">
        <f t="shared" si="5"/>
        <v>14</v>
      </c>
      <c r="R14" s="329">
        <f t="shared" si="6"/>
        <v>1</v>
      </c>
      <c r="S14" s="225">
        <v>12</v>
      </c>
      <c r="T14" s="226"/>
      <c r="U14" s="227"/>
      <c r="V14" s="226"/>
      <c r="W14" s="330">
        <f t="shared" si="7"/>
        <v>0</v>
      </c>
      <c r="X14" s="330">
        <f t="shared" si="8"/>
        <v>12</v>
      </c>
      <c r="Y14" s="331">
        <f t="shared" si="9"/>
        <v>1</v>
      </c>
      <c r="Z14" s="228">
        <v>21</v>
      </c>
      <c r="AA14" s="255"/>
      <c r="AB14" s="256"/>
      <c r="AC14" s="255"/>
      <c r="AD14" s="280">
        <f t="shared" si="10"/>
        <v>0</v>
      </c>
      <c r="AE14" s="280">
        <f t="shared" si="11"/>
        <v>21</v>
      </c>
      <c r="AF14" s="281">
        <f t="shared" si="12"/>
        <v>1</v>
      </c>
      <c r="AG14" s="229">
        <v>18</v>
      </c>
      <c r="AH14" s="257"/>
      <c r="AI14" s="258"/>
      <c r="AJ14" s="257"/>
      <c r="AK14" s="305">
        <f t="shared" si="13"/>
        <v>0</v>
      </c>
      <c r="AL14" s="305">
        <f t="shared" si="14"/>
        <v>18</v>
      </c>
      <c r="AM14" s="306">
        <f t="shared" si="15"/>
        <v>1</v>
      </c>
      <c r="AN14" s="230">
        <v>14</v>
      </c>
      <c r="AO14" s="259"/>
      <c r="AP14" s="260"/>
      <c r="AQ14" s="259"/>
      <c r="AR14" s="307">
        <f t="shared" si="16"/>
        <v>0</v>
      </c>
      <c r="AS14" s="307">
        <f t="shared" si="17"/>
        <v>14</v>
      </c>
      <c r="AT14" s="308">
        <f t="shared" si="18"/>
        <v>1</v>
      </c>
      <c r="AU14" s="289">
        <f t="shared" si="19"/>
        <v>0</v>
      </c>
      <c r="AV14" s="289">
        <f t="shared" si="20"/>
        <v>0</v>
      </c>
      <c r="AW14" s="289">
        <f t="shared" si="21"/>
        <v>0</v>
      </c>
      <c r="AX14" s="290">
        <v>98</v>
      </c>
      <c r="AY14" s="289">
        <f t="shared" si="22"/>
        <v>98</v>
      </c>
      <c r="AZ14" s="291">
        <f t="shared" si="23"/>
        <v>1</v>
      </c>
      <c r="BA14" s="293">
        <v>2</v>
      </c>
      <c r="BB14" s="394">
        <v>84</v>
      </c>
      <c r="BC14" s="379">
        <f t="shared" si="24"/>
        <v>4</v>
      </c>
      <c r="BD14" s="378">
        <f t="shared" si="25"/>
        <v>0</v>
      </c>
      <c r="BE14" s="381"/>
      <c r="BF14" s="393">
        <f t="shared" si="26"/>
        <v>80</v>
      </c>
    </row>
    <row r="15" spans="1:58" x14ac:dyDescent="0.35">
      <c r="A15" s="243">
        <v>6</v>
      </c>
      <c r="B15" s="35">
        <v>242510006</v>
      </c>
      <c r="C15" s="36" t="s">
        <v>431</v>
      </c>
      <c r="D15" s="35" t="s">
        <v>6</v>
      </c>
      <c r="E15" s="215">
        <v>19</v>
      </c>
      <c r="F15" s="217"/>
      <c r="G15" s="217"/>
      <c r="H15" s="217"/>
      <c r="I15" s="326">
        <f t="shared" si="1"/>
        <v>0</v>
      </c>
      <c r="J15" s="326">
        <f t="shared" si="2"/>
        <v>19</v>
      </c>
      <c r="K15" s="327">
        <f t="shared" si="3"/>
        <v>1</v>
      </c>
      <c r="L15" s="221">
        <v>14</v>
      </c>
      <c r="M15" s="222"/>
      <c r="N15" s="222"/>
      <c r="O15" s="222"/>
      <c r="P15" s="328">
        <f t="shared" si="4"/>
        <v>0</v>
      </c>
      <c r="Q15" s="328">
        <f t="shared" si="5"/>
        <v>14</v>
      </c>
      <c r="R15" s="329">
        <f t="shared" si="6"/>
        <v>1</v>
      </c>
      <c r="S15" s="225">
        <v>12</v>
      </c>
      <c r="T15" s="226"/>
      <c r="U15" s="226"/>
      <c r="V15" s="226"/>
      <c r="W15" s="330">
        <f t="shared" si="7"/>
        <v>0</v>
      </c>
      <c r="X15" s="330">
        <f t="shared" si="8"/>
        <v>12</v>
      </c>
      <c r="Y15" s="331">
        <f t="shared" si="9"/>
        <v>1</v>
      </c>
      <c r="Z15" s="228">
        <v>21</v>
      </c>
      <c r="AA15" s="255"/>
      <c r="AB15" s="255"/>
      <c r="AC15" s="255"/>
      <c r="AD15" s="280">
        <f t="shared" si="10"/>
        <v>0</v>
      </c>
      <c r="AE15" s="280">
        <f t="shared" si="11"/>
        <v>21</v>
      </c>
      <c r="AF15" s="281">
        <f t="shared" si="12"/>
        <v>1</v>
      </c>
      <c r="AG15" s="229">
        <v>18</v>
      </c>
      <c r="AH15" s="257"/>
      <c r="AI15" s="257"/>
      <c r="AJ15" s="257"/>
      <c r="AK15" s="305">
        <f t="shared" si="13"/>
        <v>0</v>
      </c>
      <c r="AL15" s="305">
        <f t="shared" si="14"/>
        <v>18</v>
      </c>
      <c r="AM15" s="306">
        <f t="shared" si="15"/>
        <v>1</v>
      </c>
      <c r="AN15" s="230">
        <v>14</v>
      </c>
      <c r="AO15" s="259"/>
      <c r="AP15" s="259"/>
      <c r="AQ15" s="259"/>
      <c r="AR15" s="307">
        <f t="shared" si="16"/>
        <v>0</v>
      </c>
      <c r="AS15" s="307">
        <f t="shared" si="17"/>
        <v>14</v>
      </c>
      <c r="AT15" s="308">
        <f t="shared" si="18"/>
        <v>1</v>
      </c>
      <c r="AU15" s="289">
        <f t="shared" si="19"/>
        <v>0</v>
      </c>
      <c r="AV15" s="289">
        <f t="shared" si="20"/>
        <v>0</v>
      </c>
      <c r="AW15" s="289">
        <f t="shared" si="21"/>
        <v>0</v>
      </c>
      <c r="AX15" s="290">
        <v>98</v>
      </c>
      <c r="AY15" s="289">
        <f t="shared" si="22"/>
        <v>98</v>
      </c>
      <c r="AZ15" s="291">
        <f t="shared" si="23"/>
        <v>1</v>
      </c>
      <c r="BA15" s="293"/>
      <c r="BB15" s="394">
        <v>100</v>
      </c>
      <c r="BC15" s="379">
        <f t="shared" si="24"/>
        <v>0</v>
      </c>
      <c r="BD15" s="378">
        <f t="shared" si="25"/>
        <v>0</v>
      </c>
      <c r="BE15" s="381"/>
      <c r="BF15" s="393">
        <f t="shared" si="26"/>
        <v>100</v>
      </c>
    </row>
    <row r="16" spans="1:58" x14ac:dyDescent="0.35">
      <c r="A16" s="243">
        <v>7</v>
      </c>
      <c r="B16" s="35">
        <v>242510007</v>
      </c>
      <c r="C16" s="36" t="s">
        <v>432</v>
      </c>
      <c r="D16" s="35" t="s">
        <v>8</v>
      </c>
      <c r="E16" s="215">
        <v>19</v>
      </c>
      <c r="F16" s="217"/>
      <c r="G16" s="217"/>
      <c r="H16" s="217"/>
      <c r="I16" s="326">
        <f t="shared" si="1"/>
        <v>0</v>
      </c>
      <c r="J16" s="326">
        <f t="shared" si="2"/>
        <v>19</v>
      </c>
      <c r="K16" s="327">
        <f t="shared" si="3"/>
        <v>1</v>
      </c>
      <c r="L16" s="221">
        <v>14</v>
      </c>
      <c r="M16" s="222"/>
      <c r="N16" s="222"/>
      <c r="O16" s="223"/>
      <c r="P16" s="328">
        <f t="shared" si="4"/>
        <v>0</v>
      </c>
      <c r="Q16" s="328">
        <f t="shared" si="5"/>
        <v>14</v>
      </c>
      <c r="R16" s="329">
        <f t="shared" si="6"/>
        <v>1</v>
      </c>
      <c r="S16" s="225">
        <v>12</v>
      </c>
      <c r="T16" s="226"/>
      <c r="U16" s="227"/>
      <c r="V16" s="227"/>
      <c r="W16" s="330">
        <f t="shared" si="7"/>
        <v>0</v>
      </c>
      <c r="X16" s="330">
        <f t="shared" si="8"/>
        <v>12</v>
      </c>
      <c r="Y16" s="331">
        <f t="shared" si="9"/>
        <v>1</v>
      </c>
      <c r="Z16" s="228">
        <v>21</v>
      </c>
      <c r="AA16" s="255"/>
      <c r="AB16" s="256"/>
      <c r="AC16" s="256"/>
      <c r="AD16" s="280">
        <f t="shared" si="10"/>
        <v>0</v>
      </c>
      <c r="AE16" s="280">
        <f t="shared" si="11"/>
        <v>21</v>
      </c>
      <c r="AF16" s="281">
        <f t="shared" si="12"/>
        <v>1</v>
      </c>
      <c r="AG16" s="229">
        <v>18</v>
      </c>
      <c r="AH16" s="257"/>
      <c r="AI16" s="258"/>
      <c r="AJ16" s="258"/>
      <c r="AK16" s="305">
        <f t="shared" si="13"/>
        <v>0</v>
      </c>
      <c r="AL16" s="305">
        <f t="shared" si="14"/>
        <v>18</v>
      </c>
      <c r="AM16" s="306">
        <f t="shared" si="15"/>
        <v>1</v>
      </c>
      <c r="AN16" s="230">
        <v>14</v>
      </c>
      <c r="AO16" s="259"/>
      <c r="AP16" s="260"/>
      <c r="AQ16" s="260"/>
      <c r="AR16" s="307">
        <f t="shared" si="16"/>
        <v>0</v>
      </c>
      <c r="AS16" s="307">
        <f t="shared" si="17"/>
        <v>14</v>
      </c>
      <c r="AT16" s="308">
        <f t="shared" si="18"/>
        <v>1</v>
      </c>
      <c r="AU16" s="289">
        <f t="shared" si="19"/>
        <v>0</v>
      </c>
      <c r="AV16" s="289">
        <f t="shared" si="20"/>
        <v>0</v>
      </c>
      <c r="AW16" s="289">
        <f t="shared" si="21"/>
        <v>0</v>
      </c>
      <c r="AX16" s="290">
        <v>98</v>
      </c>
      <c r="AY16" s="289">
        <f t="shared" si="22"/>
        <v>98</v>
      </c>
      <c r="AZ16" s="291">
        <f t="shared" si="23"/>
        <v>1</v>
      </c>
      <c r="BA16" s="293"/>
      <c r="BB16" s="394">
        <v>86</v>
      </c>
      <c r="BC16" s="379">
        <f t="shared" si="24"/>
        <v>0</v>
      </c>
      <c r="BD16" s="378">
        <f t="shared" si="25"/>
        <v>0</v>
      </c>
      <c r="BE16" s="381"/>
      <c r="BF16" s="393">
        <f t="shared" si="26"/>
        <v>86</v>
      </c>
    </row>
    <row r="17" spans="1:58" x14ac:dyDescent="0.35">
      <c r="A17" s="243">
        <v>8</v>
      </c>
      <c r="B17" s="35">
        <v>242510008</v>
      </c>
      <c r="C17" s="37" t="s">
        <v>433</v>
      </c>
      <c r="D17" s="38" t="s">
        <v>6</v>
      </c>
      <c r="E17" s="215">
        <v>19</v>
      </c>
      <c r="F17" s="217"/>
      <c r="G17" s="217"/>
      <c r="H17" s="217"/>
      <c r="I17" s="326">
        <f t="shared" si="1"/>
        <v>0</v>
      </c>
      <c r="J17" s="326">
        <f t="shared" si="2"/>
        <v>19</v>
      </c>
      <c r="K17" s="327">
        <f t="shared" si="3"/>
        <v>1</v>
      </c>
      <c r="L17" s="221">
        <v>14</v>
      </c>
      <c r="M17" s="222"/>
      <c r="N17" s="223"/>
      <c r="O17" s="223"/>
      <c r="P17" s="328">
        <f t="shared" si="4"/>
        <v>0</v>
      </c>
      <c r="Q17" s="328">
        <f t="shared" si="5"/>
        <v>14</v>
      </c>
      <c r="R17" s="329">
        <f t="shared" si="6"/>
        <v>1</v>
      </c>
      <c r="S17" s="225">
        <v>12</v>
      </c>
      <c r="T17" s="226"/>
      <c r="U17" s="226"/>
      <c r="V17" s="226"/>
      <c r="W17" s="330">
        <f t="shared" si="7"/>
        <v>0</v>
      </c>
      <c r="X17" s="330">
        <f t="shared" si="8"/>
        <v>12</v>
      </c>
      <c r="Y17" s="331">
        <f t="shared" si="9"/>
        <v>1</v>
      </c>
      <c r="Z17" s="228">
        <v>21</v>
      </c>
      <c r="AA17" s="255"/>
      <c r="AB17" s="255"/>
      <c r="AC17" s="255"/>
      <c r="AD17" s="280">
        <f t="shared" si="10"/>
        <v>0</v>
      </c>
      <c r="AE17" s="280">
        <f t="shared" si="11"/>
        <v>21</v>
      </c>
      <c r="AF17" s="281">
        <f t="shared" si="12"/>
        <v>1</v>
      </c>
      <c r="AG17" s="229">
        <v>18</v>
      </c>
      <c r="AH17" s="257"/>
      <c r="AI17" s="257"/>
      <c r="AJ17" s="257"/>
      <c r="AK17" s="305">
        <f t="shared" si="13"/>
        <v>0</v>
      </c>
      <c r="AL17" s="305">
        <f t="shared" si="14"/>
        <v>18</v>
      </c>
      <c r="AM17" s="306">
        <f t="shared" si="15"/>
        <v>1</v>
      </c>
      <c r="AN17" s="230">
        <v>14</v>
      </c>
      <c r="AO17" s="259"/>
      <c r="AP17" s="259"/>
      <c r="AQ17" s="259"/>
      <c r="AR17" s="307">
        <f t="shared" si="16"/>
        <v>0</v>
      </c>
      <c r="AS17" s="307">
        <f t="shared" si="17"/>
        <v>14</v>
      </c>
      <c r="AT17" s="308">
        <f t="shared" si="18"/>
        <v>1</v>
      </c>
      <c r="AU17" s="289">
        <f t="shared" si="19"/>
        <v>0</v>
      </c>
      <c r="AV17" s="289">
        <f t="shared" si="20"/>
        <v>0</v>
      </c>
      <c r="AW17" s="289">
        <f t="shared" si="21"/>
        <v>0</v>
      </c>
      <c r="AX17" s="290">
        <v>98</v>
      </c>
      <c r="AY17" s="289">
        <f t="shared" si="22"/>
        <v>98</v>
      </c>
      <c r="AZ17" s="291">
        <f t="shared" si="23"/>
        <v>1</v>
      </c>
      <c r="BA17" s="293"/>
      <c r="BB17" s="394">
        <v>100</v>
      </c>
      <c r="BC17" s="379">
        <f t="shared" si="24"/>
        <v>0</v>
      </c>
      <c r="BD17" s="378">
        <f t="shared" si="25"/>
        <v>0</v>
      </c>
      <c r="BE17" s="381"/>
      <c r="BF17" s="393">
        <f t="shared" si="26"/>
        <v>100</v>
      </c>
    </row>
    <row r="18" spans="1:58" x14ac:dyDescent="0.35">
      <c r="A18" s="243">
        <v>9</v>
      </c>
      <c r="B18" s="38">
        <v>242510009</v>
      </c>
      <c r="C18" s="39" t="s">
        <v>434</v>
      </c>
      <c r="D18" s="40" t="s">
        <v>8</v>
      </c>
      <c r="E18" s="215">
        <v>19</v>
      </c>
      <c r="F18" s="217"/>
      <c r="G18" s="217"/>
      <c r="H18" s="217"/>
      <c r="I18" s="326">
        <f t="shared" si="1"/>
        <v>0</v>
      </c>
      <c r="J18" s="326">
        <f t="shared" si="2"/>
        <v>19</v>
      </c>
      <c r="K18" s="327">
        <f t="shared" si="3"/>
        <v>1</v>
      </c>
      <c r="L18" s="221">
        <v>14</v>
      </c>
      <c r="M18" s="222"/>
      <c r="N18" s="222"/>
      <c r="O18" s="223"/>
      <c r="P18" s="328">
        <f t="shared" si="4"/>
        <v>0</v>
      </c>
      <c r="Q18" s="328">
        <f t="shared" si="5"/>
        <v>14</v>
      </c>
      <c r="R18" s="329">
        <f t="shared" si="6"/>
        <v>1</v>
      </c>
      <c r="S18" s="225">
        <v>12</v>
      </c>
      <c r="T18" s="226"/>
      <c r="U18" s="226"/>
      <c r="V18" s="226"/>
      <c r="W18" s="330">
        <f t="shared" si="7"/>
        <v>0</v>
      </c>
      <c r="X18" s="330">
        <f t="shared" si="8"/>
        <v>12</v>
      </c>
      <c r="Y18" s="331">
        <f t="shared" si="9"/>
        <v>1</v>
      </c>
      <c r="Z18" s="228">
        <v>21</v>
      </c>
      <c r="AA18" s="255"/>
      <c r="AB18" s="255"/>
      <c r="AC18" s="255"/>
      <c r="AD18" s="280">
        <f t="shared" si="10"/>
        <v>0</v>
      </c>
      <c r="AE18" s="280">
        <f t="shared" si="11"/>
        <v>21</v>
      </c>
      <c r="AF18" s="281">
        <f t="shared" si="12"/>
        <v>1</v>
      </c>
      <c r="AG18" s="229">
        <v>18</v>
      </c>
      <c r="AH18" s="257"/>
      <c r="AI18" s="257"/>
      <c r="AJ18" s="257"/>
      <c r="AK18" s="305">
        <f t="shared" si="13"/>
        <v>0</v>
      </c>
      <c r="AL18" s="305">
        <f t="shared" si="14"/>
        <v>18</v>
      </c>
      <c r="AM18" s="306">
        <f t="shared" si="15"/>
        <v>1</v>
      </c>
      <c r="AN18" s="230">
        <v>14</v>
      </c>
      <c r="AO18" s="259"/>
      <c r="AP18" s="259"/>
      <c r="AQ18" s="259"/>
      <c r="AR18" s="307">
        <f t="shared" si="16"/>
        <v>0</v>
      </c>
      <c r="AS18" s="307">
        <f t="shared" si="17"/>
        <v>14</v>
      </c>
      <c r="AT18" s="308">
        <f t="shared" si="18"/>
        <v>1</v>
      </c>
      <c r="AU18" s="289">
        <f t="shared" si="19"/>
        <v>0</v>
      </c>
      <c r="AV18" s="289">
        <f t="shared" si="20"/>
        <v>0</v>
      </c>
      <c r="AW18" s="289">
        <f t="shared" si="21"/>
        <v>0</v>
      </c>
      <c r="AX18" s="290">
        <v>98</v>
      </c>
      <c r="AY18" s="289">
        <f t="shared" si="22"/>
        <v>98</v>
      </c>
      <c r="AZ18" s="291">
        <f t="shared" si="23"/>
        <v>1</v>
      </c>
      <c r="BA18" s="293"/>
      <c r="BB18" s="394">
        <v>58</v>
      </c>
      <c r="BC18" s="379">
        <f t="shared" si="24"/>
        <v>0</v>
      </c>
      <c r="BD18" s="378">
        <f t="shared" si="25"/>
        <v>0</v>
      </c>
      <c r="BE18" s="381"/>
      <c r="BF18" s="393">
        <f t="shared" si="26"/>
        <v>58</v>
      </c>
    </row>
    <row r="19" spans="1:58" x14ac:dyDescent="0.35">
      <c r="A19" s="243">
        <v>10</v>
      </c>
      <c r="B19" s="35">
        <v>242510010</v>
      </c>
      <c r="C19" s="41" t="s">
        <v>435</v>
      </c>
      <c r="D19" s="42" t="s">
        <v>8</v>
      </c>
      <c r="E19" s="215">
        <v>19</v>
      </c>
      <c r="F19" s="217"/>
      <c r="G19" s="217"/>
      <c r="H19" s="218"/>
      <c r="I19" s="326">
        <f t="shared" si="1"/>
        <v>0</v>
      </c>
      <c r="J19" s="326">
        <f t="shared" si="2"/>
        <v>19</v>
      </c>
      <c r="K19" s="327">
        <f t="shared" si="3"/>
        <v>1</v>
      </c>
      <c r="L19" s="221">
        <v>14</v>
      </c>
      <c r="M19" s="222"/>
      <c r="N19" s="222"/>
      <c r="O19" s="223"/>
      <c r="P19" s="328">
        <f t="shared" si="4"/>
        <v>0</v>
      </c>
      <c r="Q19" s="328">
        <f t="shared" si="5"/>
        <v>14</v>
      </c>
      <c r="R19" s="329">
        <f t="shared" si="6"/>
        <v>1</v>
      </c>
      <c r="S19" s="225">
        <v>12</v>
      </c>
      <c r="T19" s="226"/>
      <c r="U19" s="226"/>
      <c r="V19" s="227"/>
      <c r="W19" s="330">
        <f t="shared" si="7"/>
        <v>0</v>
      </c>
      <c r="X19" s="330">
        <f t="shared" si="8"/>
        <v>12</v>
      </c>
      <c r="Y19" s="331">
        <f t="shared" si="9"/>
        <v>1</v>
      </c>
      <c r="Z19" s="228">
        <v>21</v>
      </c>
      <c r="AA19" s="255"/>
      <c r="AB19" s="255"/>
      <c r="AC19" s="256"/>
      <c r="AD19" s="280">
        <f t="shared" si="10"/>
        <v>0</v>
      </c>
      <c r="AE19" s="280">
        <f t="shared" si="11"/>
        <v>21</v>
      </c>
      <c r="AF19" s="281">
        <f t="shared" si="12"/>
        <v>1</v>
      </c>
      <c r="AG19" s="229">
        <v>18</v>
      </c>
      <c r="AH19" s="257"/>
      <c r="AI19" s="257"/>
      <c r="AJ19" s="258"/>
      <c r="AK19" s="305">
        <f t="shared" si="13"/>
        <v>0</v>
      </c>
      <c r="AL19" s="305">
        <f t="shared" si="14"/>
        <v>18</v>
      </c>
      <c r="AM19" s="306">
        <f t="shared" si="15"/>
        <v>1</v>
      </c>
      <c r="AN19" s="230">
        <v>14</v>
      </c>
      <c r="AO19" s="259"/>
      <c r="AP19" s="259"/>
      <c r="AQ19" s="260"/>
      <c r="AR19" s="307">
        <f t="shared" si="16"/>
        <v>0</v>
      </c>
      <c r="AS19" s="307">
        <f t="shared" si="17"/>
        <v>14</v>
      </c>
      <c r="AT19" s="308">
        <f t="shared" si="18"/>
        <v>1</v>
      </c>
      <c r="AU19" s="289">
        <f t="shared" si="19"/>
        <v>0</v>
      </c>
      <c r="AV19" s="289">
        <f t="shared" si="20"/>
        <v>0</v>
      </c>
      <c r="AW19" s="289">
        <f t="shared" si="21"/>
        <v>0</v>
      </c>
      <c r="AX19" s="290">
        <v>98</v>
      </c>
      <c r="AY19" s="289">
        <f t="shared" si="22"/>
        <v>98</v>
      </c>
      <c r="AZ19" s="291">
        <f t="shared" si="23"/>
        <v>1</v>
      </c>
      <c r="BA19" s="293"/>
      <c r="BB19" s="394">
        <v>94</v>
      </c>
      <c r="BC19" s="379">
        <f t="shared" si="24"/>
        <v>0</v>
      </c>
      <c r="BD19" s="378">
        <f t="shared" si="25"/>
        <v>0</v>
      </c>
      <c r="BE19" s="381"/>
      <c r="BF19" s="393">
        <f t="shared" si="26"/>
        <v>94</v>
      </c>
    </row>
    <row r="20" spans="1:58" x14ac:dyDescent="0.35">
      <c r="A20" s="243">
        <v>11</v>
      </c>
      <c r="B20" s="35">
        <v>242510011</v>
      </c>
      <c r="C20" s="61" t="s">
        <v>1618</v>
      </c>
      <c r="D20" s="35" t="s">
        <v>8</v>
      </c>
      <c r="E20" s="215">
        <v>19</v>
      </c>
      <c r="F20" s="217"/>
      <c r="G20" s="217"/>
      <c r="H20" s="217"/>
      <c r="I20" s="326">
        <f t="shared" si="1"/>
        <v>0</v>
      </c>
      <c r="J20" s="326">
        <f t="shared" si="2"/>
        <v>19</v>
      </c>
      <c r="K20" s="327">
        <f t="shared" si="3"/>
        <v>1</v>
      </c>
      <c r="L20" s="221">
        <v>14</v>
      </c>
      <c r="M20" s="222"/>
      <c r="N20" s="223"/>
      <c r="O20" s="222"/>
      <c r="P20" s="328">
        <f t="shared" si="4"/>
        <v>0</v>
      </c>
      <c r="Q20" s="328">
        <f t="shared" si="5"/>
        <v>14</v>
      </c>
      <c r="R20" s="329">
        <f t="shared" si="6"/>
        <v>1</v>
      </c>
      <c r="S20" s="225">
        <v>12</v>
      </c>
      <c r="T20" s="226"/>
      <c r="U20" s="226"/>
      <c r="V20" s="227"/>
      <c r="W20" s="330">
        <f t="shared" si="7"/>
        <v>0</v>
      </c>
      <c r="X20" s="330">
        <f t="shared" si="8"/>
        <v>12</v>
      </c>
      <c r="Y20" s="331">
        <f t="shared" si="9"/>
        <v>1</v>
      </c>
      <c r="Z20" s="228">
        <v>21</v>
      </c>
      <c r="AA20" s="255"/>
      <c r="AB20" s="255"/>
      <c r="AC20" s="256"/>
      <c r="AD20" s="280">
        <f t="shared" si="10"/>
        <v>0</v>
      </c>
      <c r="AE20" s="280">
        <f t="shared" si="11"/>
        <v>21</v>
      </c>
      <c r="AF20" s="281">
        <f t="shared" si="12"/>
        <v>1</v>
      </c>
      <c r="AG20" s="229">
        <v>18</v>
      </c>
      <c r="AH20" s="257"/>
      <c r="AI20" s="257"/>
      <c r="AJ20" s="258"/>
      <c r="AK20" s="305">
        <f t="shared" si="13"/>
        <v>0</v>
      </c>
      <c r="AL20" s="305">
        <f t="shared" si="14"/>
        <v>18</v>
      </c>
      <c r="AM20" s="306">
        <f t="shared" si="15"/>
        <v>1</v>
      </c>
      <c r="AN20" s="230">
        <v>14</v>
      </c>
      <c r="AO20" s="259"/>
      <c r="AP20" s="259"/>
      <c r="AQ20" s="260"/>
      <c r="AR20" s="307">
        <f t="shared" si="16"/>
        <v>0</v>
      </c>
      <c r="AS20" s="307">
        <f t="shared" si="17"/>
        <v>14</v>
      </c>
      <c r="AT20" s="308">
        <f t="shared" si="18"/>
        <v>1</v>
      </c>
      <c r="AU20" s="289">
        <f t="shared" si="19"/>
        <v>0</v>
      </c>
      <c r="AV20" s="289">
        <f t="shared" si="20"/>
        <v>0</v>
      </c>
      <c r="AW20" s="289">
        <f t="shared" si="21"/>
        <v>0</v>
      </c>
      <c r="AX20" s="290">
        <v>98</v>
      </c>
      <c r="AY20" s="289">
        <f t="shared" si="22"/>
        <v>98</v>
      </c>
      <c r="AZ20" s="291">
        <f t="shared" si="23"/>
        <v>1</v>
      </c>
      <c r="BA20" s="293"/>
      <c r="BB20" s="394">
        <v>76</v>
      </c>
      <c r="BC20" s="379">
        <f t="shared" si="24"/>
        <v>0</v>
      </c>
      <c r="BD20" s="378">
        <f t="shared" si="25"/>
        <v>0</v>
      </c>
      <c r="BE20" s="381"/>
      <c r="BF20" s="393">
        <f t="shared" si="26"/>
        <v>76</v>
      </c>
    </row>
    <row r="21" spans="1:58" s="323" customFormat="1" x14ac:dyDescent="0.35"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86"/>
      <c r="AV21" s="286"/>
      <c r="AW21" s="286"/>
      <c r="AX21" s="286"/>
      <c r="AY21" s="286"/>
      <c r="AZ21" s="286"/>
      <c r="BA21" s="286"/>
      <c r="BB21" s="395"/>
      <c r="BC21" s="205"/>
      <c r="BD21" s="205"/>
      <c r="BE21" s="287"/>
      <c r="BF21" s="319"/>
    </row>
    <row r="22" spans="1:58" s="323" customFormat="1" x14ac:dyDescent="0.35"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86"/>
      <c r="AV22" s="286"/>
      <c r="AW22" s="286"/>
      <c r="AX22" s="286"/>
      <c r="AY22" s="286"/>
      <c r="AZ22" s="286"/>
      <c r="BA22" s="286"/>
      <c r="BB22" s="395"/>
      <c r="BC22" s="205"/>
      <c r="BD22" s="205"/>
      <c r="BE22" s="287"/>
      <c r="BF22" s="319"/>
    </row>
    <row r="23" spans="1:58" s="323" customFormat="1" ht="16" thickBot="1" x14ac:dyDescent="0.4">
      <c r="A23" s="324" t="s">
        <v>236</v>
      </c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86"/>
      <c r="AV23" s="286"/>
      <c r="AW23" s="286"/>
      <c r="AX23" s="286"/>
      <c r="AY23" s="286"/>
      <c r="AZ23" s="286"/>
      <c r="BA23" s="286"/>
      <c r="BB23" s="395"/>
      <c r="BC23" s="205"/>
      <c r="BD23" s="205"/>
      <c r="BE23" s="287"/>
      <c r="BF23" s="319"/>
    </row>
    <row r="24" spans="1:58" s="325" customFormat="1" ht="25" customHeight="1" thickBot="1" x14ac:dyDescent="0.4">
      <c r="A24" s="447" t="s">
        <v>1072</v>
      </c>
      <c r="B24" s="447" t="s">
        <v>2</v>
      </c>
      <c r="C24" s="448" t="s">
        <v>1606</v>
      </c>
      <c r="D24" s="448" t="s">
        <v>4</v>
      </c>
      <c r="E24" s="431" t="s">
        <v>1612</v>
      </c>
      <c r="F24" s="431"/>
      <c r="G24" s="431"/>
      <c r="H24" s="431"/>
      <c r="I24" s="431"/>
      <c r="J24" s="431"/>
      <c r="K24" s="431"/>
      <c r="L24" s="432" t="s">
        <v>1613</v>
      </c>
      <c r="M24" s="432"/>
      <c r="N24" s="432"/>
      <c r="O24" s="432"/>
      <c r="P24" s="432"/>
      <c r="Q24" s="432"/>
      <c r="R24" s="432"/>
      <c r="S24" s="433" t="s">
        <v>1614</v>
      </c>
      <c r="T24" s="433"/>
      <c r="U24" s="433"/>
      <c r="V24" s="433"/>
      <c r="W24" s="433"/>
      <c r="X24" s="433"/>
      <c r="Y24" s="433"/>
      <c r="Z24" s="434" t="s">
        <v>1615</v>
      </c>
      <c r="AA24" s="434"/>
      <c r="AB24" s="434"/>
      <c r="AC24" s="434"/>
      <c r="AD24" s="434"/>
      <c r="AE24" s="434"/>
      <c r="AF24" s="434"/>
      <c r="AG24" s="435" t="s">
        <v>1616</v>
      </c>
      <c r="AH24" s="435"/>
      <c r="AI24" s="435"/>
      <c r="AJ24" s="435"/>
      <c r="AK24" s="435"/>
      <c r="AL24" s="435"/>
      <c r="AM24" s="435"/>
      <c r="AN24" s="436" t="s">
        <v>1617</v>
      </c>
      <c r="AO24" s="436"/>
      <c r="AP24" s="436"/>
      <c r="AQ24" s="436"/>
      <c r="AR24" s="436"/>
      <c r="AS24" s="436"/>
      <c r="AT24" s="436"/>
      <c r="AU24" s="438" t="s">
        <v>224</v>
      </c>
      <c r="AV24" s="438"/>
      <c r="AW24" s="438"/>
      <c r="AX24" s="437" t="s">
        <v>1602</v>
      </c>
      <c r="AY24" s="437" t="s">
        <v>1603</v>
      </c>
      <c r="AZ24" s="437" t="s">
        <v>1604</v>
      </c>
      <c r="BA24" s="445" t="s">
        <v>1076</v>
      </c>
      <c r="BB24" s="430" t="s">
        <v>883</v>
      </c>
      <c r="BC24" s="428" t="s">
        <v>880</v>
      </c>
      <c r="BD24" s="428"/>
      <c r="BE24" s="428"/>
      <c r="BF24" s="429" t="s">
        <v>884</v>
      </c>
    </row>
    <row r="25" spans="1:58" s="325" customFormat="1" ht="55" customHeight="1" thickBot="1" x14ac:dyDescent="0.4">
      <c r="A25" s="447"/>
      <c r="B25" s="447"/>
      <c r="C25" s="448"/>
      <c r="D25" s="448"/>
      <c r="E25" s="235" t="s">
        <v>1598</v>
      </c>
      <c r="F25" s="236" t="s">
        <v>20</v>
      </c>
      <c r="G25" s="236" t="s">
        <v>19</v>
      </c>
      <c r="H25" s="236" t="s">
        <v>52</v>
      </c>
      <c r="I25" s="237" t="s">
        <v>1599</v>
      </c>
      <c r="J25" s="237" t="s">
        <v>1600</v>
      </c>
      <c r="K25" s="237" t="s">
        <v>1601</v>
      </c>
      <c r="L25" s="202" t="s">
        <v>1598</v>
      </c>
      <c r="M25" s="206" t="s">
        <v>20</v>
      </c>
      <c r="N25" s="206" t="s">
        <v>19</v>
      </c>
      <c r="O25" s="206" t="s">
        <v>52</v>
      </c>
      <c r="P25" s="207" t="s">
        <v>1599</v>
      </c>
      <c r="Q25" s="207" t="s">
        <v>1600</v>
      </c>
      <c r="R25" s="207" t="s">
        <v>1601</v>
      </c>
      <c r="S25" s="238" t="s">
        <v>1598</v>
      </c>
      <c r="T25" s="239" t="s">
        <v>20</v>
      </c>
      <c r="U25" s="239" t="s">
        <v>19</v>
      </c>
      <c r="V25" s="239" t="s">
        <v>52</v>
      </c>
      <c r="W25" s="224" t="s">
        <v>1599</v>
      </c>
      <c r="X25" s="224" t="s">
        <v>1600</v>
      </c>
      <c r="Y25" s="224" t="s">
        <v>1601</v>
      </c>
      <c r="Z25" s="240" t="s">
        <v>1598</v>
      </c>
      <c r="AA25" s="241" t="s">
        <v>20</v>
      </c>
      <c r="AB25" s="241" t="s">
        <v>19</v>
      </c>
      <c r="AC25" s="241" t="s">
        <v>52</v>
      </c>
      <c r="AD25" s="208" t="s">
        <v>1599</v>
      </c>
      <c r="AE25" s="208" t="s">
        <v>1600</v>
      </c>
      <c r="AF25" s="208" t="s">
        <v>1601</v>
      </c>
      <c r="AG25" s="209" t="s">
        <v>1598</v>
      </c>
      <c r="AH25" s="210" t="s">
        <v>20</v>
      </c>
      <c r="AI25" s="210" t="s">
        <v>19</v>
      </c>
      <c r="AJ25" s="210" t="s">
        <v>52</v>
      </c>
      <c r="AK25" s="211" t="s">
        <v>1599</v>
      </c>
      <c r="AL25" s="211" t="s">
        <v>1600</v>
      </c>
      <c r="AM25" s="211" t="s">
        <v>1601</v>
      </c>
      <c r="AN25" s="212" t="s">
        <v>1598</v>
      </c>
      <c r="AO25" s="213" t="s">
        <v>20</v>
      </c>
      <c r="AP25" s="213" t="s">
        <v>19</v>
      </c>
      <c r="AQ25" s="213" t="s">
        <v>52</v>
      </c>
      <c r="AR25" s="214" t="s">
        <v>1599</v>
      </c>
      <c r="AS25" s="214" t="s">
        <v>1600</v>
      </c>
      <c r="AT25" s="214" t="s">
        <v>1601</v>
      </c>
      <c r="AU25" s="203" t="s">
        <v>20</v>
      </c>
      <c r="AV25" s="204" t="s">
        <v>19</v>
      </c>
      <c r="AW25" s="204" t="s">
        <v>52</v>
      </c>
      <c r="AX25" s="437"/>
      <c r="AY25" s="437"/>
      <c r="AZ25" s="437"/>
      <c r="BA25" s="446"/>
      <c r="BB25" s="430"/>
      <c r="BC25" s="375" t="s">
        <v>881</v>
      </c>
      <c r="BD25" s="377" t="s">
        <v>885</v>
      </c>
      <c r="BE25" s="376" t="s">
        <v>882</v>
      </c>
      <c r="BF25" s="429"/>
    </row>
    <row r="26" spans="1:58" x14ac:dyDescent="0.35">
      <c r="A26" s="193" t="s">
        <v>21</v>
      </c>
      <c r="B26" s="35">
        <v>242510013</v>
      </c>
      <c r="C26" s="261" t="s">
        <v>1310</v>
      </c>
      <c r="D26" s="127" t="s">
        <v>6</v>
      </c>
      <c r="E26" s="215">
        <v>19</v>
      </c>
      <c r="F26" s="216">
        <v>5</v>
      </c>
      <c r="G26" s="216"/>
      <c r="H26" s="216"/>
      <c r="I26" s="326">
        <f>SUM(F26:H26)</f>
        <v>5</v>
      </c>
      <c r="J26" s="326">
        <f>E26-I26</f>
        <v>14</v>
      </c>
      <c r="K26" s="327">
        <f>J26/E26</f>
        <v>0.73684210526315785</v>
      </c>
      <c r="L26" s="221">
        <v>14</v>
      </c>
      <c r="M26" s="221"/>
      <c r="N26" s="221">
        <v>3</v>
      </c>
      <c r="O26" s="221"/>
      <c r="P26" s="328">
        <f>SUM(M26:O26)</f>
        <v>3</v>
      </c>
      <c r="Q26" s="328">
        <f>L26-P26</f>
        <v>11</v>
      </c>
      <c r="R26" s="329">
        <f>Q26/L26</f>
        <v>0.7857142857142857</v>
      </c>
      <c r="S26" s="225">
        <v>12</v>
      </c>
      <c r="T26" s="225"/>
      <c r="U26" s="225"/>
      <c r="V26" s="225"/>
      <c r="W26" s="330">
        <f>SUM(T26:V26)</f>
        <v>0</v>
      </c>
      <c r="X26" s="330">
        <f>S26-W26</f>
        <v>12</v>
      </c>
      <c r="Y26" s="331">
        <f>X26/S26</f>
        <v>1</v>
      </c>
      <c r="Z26" s="228">
        <v>21</v>
      </c>
      <c r="AA26" s="228"/>
      <c r="AB26" s="228"/>
      <c r="AC26" s="228"/>
      <c r="AD26" s="280">
        <f>SUM(AA26:AC26)</f>
        <v>0</v>
      </c>
      <c r="AE26" s="280">
        <f>Z26-AD26</f>
        <v>21</v>
      </c>
      <c r="AF26" s="281">
        <f>AE26/Z26</f>
        <v>1</v>
      </c>
      <c r="AG26" s="229">
        <v>18</v>
      </c>
      <c r="AH26" s="229"/>
      <c r="AI26" s="229"/>
      <c r="AJ26" s="229"/>
      <c r="AK26" s="305">
        <f>SUM(AH26:AJ26)</f>
        <v>0</v>
      </c>
      <c r="AL26" s="305">
        <f>AG26-AK26</f>
        <v>18</v>
      </c>
      <c r="AM26" s="306">
        <f>AL26/AG26</f>
        <v>1</v>
      </c>
      <c r="AN26" s="230">
        <v>14</v>
      </c>
      <c r="AO26" s="230"/>
      <c r="AP26" s="230"/>
      <c r="AQ26" s="230"/>
      <c r="AR26" s="307">
        <f>SUM(AO26:AQ26)</f>
        <v>0</v>
      </c>
      <c r="AS26" s="307">
        <f>AN26-AR26</f>
        <v>14</v>
      </c>
      <c r="AT26" s="308">
        <f>AS26/AN26</f>
        <v>1</v>
      </c>
      <c r="AU26" s="289">
        <f>F26+M26+T26+AA26+AH26+AO26</f>
        <v>5</v>
      </c>
      <c r="AV26" s="289">
        <f t="shared" ref="AV26" si="27">G26+N26+U26+AB26+AI26+AP26</f>
        <v>3</v>
      </c>
      <c r="AW26" s="289">
        <f t="shared" ref="AW26" si="28">H26+O26+V26+AC26+AJ26+AQ26</f>
        <v>0</v>
      </c>
      <c r="AX26" s="290">
        <v>98</v>
      </c>
      <c r="AY26" s="289">
        <f>AX26-AU26-AV26-AW26</f>
        <v>90</v>
      </c>
      <c r="AZ26" s="291">
        <f t="shared" ref="AZ26" si="29">AY26/AX26</f>
        <v>0.91836734693877553</v>
      </c>
      <c r="BA26" s="292"/>
      <c r="BB26" s="393" cm="1">
        <f t="array" ref="BB26:BB53">[1]XI!$BF$27:$BF$54</f>
        <v>98</v>
      </c>
      <c r="BC26" s="379">
        <f t="shared" ref="BC26" si="30">BA26*2</f>
        <v>0</v>
      </c>
      <c r="BD26" s="378">
        <f>AW26*2</f>
        <v>0</v>
      </c>
      <c r="BE26" s="381"/>
      <c r="BF26" s="393">
        <f t="shared" ref="BF26:BF53" si="31">BB26-BC26-BD26-BE26</f>
        <v>98</v>
      </c>
    </row>
    <row r="27" spans="1:58" x14ac:dyDescent="0.35">
      <c r="A27" s="193" t="s">
        <v>22</v>
      </c>
      <c r="B27" s="35">
        <v>242510014</v>
      </c>
      <c r="C27" s="261" t="s">
        <v>1311</v>
      </c>
      <c r="D27" s="35" t="s">
        <v>6</v>
      </c>
      <c r="E27" s="215">
        <v>19</v>
      </c>
      <c r="F27" s="217"/>
      <c r="G27" s="217"/>
      <c r="H27" s="217"/>
      <c r="I27" s="326">
        <f t="shared" ref="I27:I53" si="32">SUM(F27:H27)</f>
        <v>0</v>
      </c>
      <c r="J27" s="326">
        <f t="shared" ref="J27:J53" si="33">E27-I27</f>
        <v>19</v>
      </c>
      <c r="K27" s="327">
        <f t="shared" ref="K27:K53" si="34">J27/E27</f>
        <v>1</v>
      </c>
      <c r="L27" s="221">
        <v>14</v>
      </c>
      <c r="M27" s="222"/>
      <c r="N27" s="223"/>
      <c r="O27" s="222"/>
      <c r="P27" s="328">
        <f t="shared" ref="P27:P53" si="35">SUM(M27:O27)</f>
        <v>0</v>
      </c>
      <c r="Q27" s="328">
        <f t="shared" ref="Q27:Q53" si="36">L27-P27</f>
        <v>14</v>
      </c>
      <c r="R27" s="329">
        <f t="shared" ref="R27:R53" si="37">Q27/L27</f>
        <v>1</v>
      </c>
      <c r="S27" s="225">
        <v>12</v>
      </c>
      <c r="T27" s="227"/>
      <c r="U27" s="226"/>
      <c r="V27" s="227"/>
      <c r="W27" s="330">
        <f t="shared" ref="W27:W53" si="38">SUM(T27:V27)</f>
        <v>0</v>
      </c>
      <c r="X27" s="330">
        <f t="shared" ref="X27:X53" si="39">S27-W27</f>
        <v>12</v>
      </c>
      <c r="Y27" s="331">
        <f t="shared" ref="Y27:Y53" si="40">X27/S27</f>
        <v>1</v>
      </c>
      <c r="Z27" s="228">
        <v>21</v>
      </c>
      <c r="AA27" s="255"/>
      <c r="AB27" s="255"/>
      <c r="AC27" s="256"/>
      <c r="AD27" s="280">
        <f t="shared" ref="AD27:AD53" si="41">SUM(AA27:AC27)</f>
        <v>0</v>
      </c>
      <c r="AE27" s="280">
        <f t="shared" ref="AE27:AE53" si="42">Z27-AD27</f>
        <v>21</v>
      </c>
      <c r="AF27" s="281">
        <f t="shared" ref="AF27:AF53" si="43">AE27/Z27</f>
        <v>1</v>
      </c>
      <c r="AG27" s="229">
        <v>18</v>
      </c>
      <c r="AH27" s="257"/>
      <c r="AI27" s="257"/>
      <c r="AJ27" s="258"/>
      <c r="AK27" s="305">
        <f t="shared" ref="AK27:AK53" si="44">SUM(AH27:AJ27)</f>
        <v>0</v>
      </c>
      <c r="AL27" s="305">
        <f t="shared" ref="AL27:AL53" si="45">AG27-AK27</f>
        <v>18</v>
      </c>
      <c r="AM27" s="306">
        <f t="shared" ref="AM27:AM53" si="46">AL27/AG27</f>
        <v>1</v>
      </c>
      <c r="AN27" s="230">
        <v>14</v>
      </c>
      <c r="AO27" s="259"/>
      <c r="AP27" s="259"/>
      <c r="AQ27" s="260"/>
      <c r="AR27" s="307">
        <f t="shared" ref="AR27:AR53" si="47">SUM(AO27:AQ27)</f>
        <v>0</v>
      </c>
      <c r="AS27" s="307">
        <f t="shared" ref="AS27:AS53" si="48">AN27-AR27</f>
        <v>14</v>
      </c>
      <c r="AT27" s="308">
        <f t="shared" ref="AT27:AT53" si="49">AS27/AN27</f>
        <v>1</v>
      </c>
      <c r="AU27" s="289">
        <f t="shared" ref="AU27:AU53" si="50">F27+M27+T27+AA27+AH27+AO27</f>
        <v>0</v>
      </c>
      <c r="AV27" s="289">
        <f t="shared" ref="AV27:AV53" si="51">G27+N27+U27+AB27+AI27+AP27</f>
        <v>0</v>
      </c>
      <c r="AW27" s="289">
        <f t="shared" ref="AW27:AW53" si="52">H27+O27+V27+AC27+AJ27+AQ27</f>
        <v>0</v>
      </c>
      <c r="AX27" s="290">
        <v>98</v>
      </c>
      <c r="AY27" s="289">
        <f t="shared" ref="AY27:AY53" si="53">AX27-AU27-AV27-AW27</f>
        <v>98</v>
      </c>
      <c r="AZ27" s="291">
        <f t="shared" ref="AZ27:AZ53" si="54">AY27/AX27</f>
        <v>1</v>
      </c>
      <c r="BA27" s="293"/>
      <c r="BB27" s="394">
        <v>96</v>
      </c>
      <c r="BC27" s="379">
        <f t="shared" ref="BC27:BC53" si="55">BA27*2</f>
        <v>0</v>
      </c>
      <c r="BD27" s="378">
        <f t="shared" ref="BD27:BD53" si="56">AW27*2</f>
        <v>0</v>
      </c>
      <c r="BE27" s="381"/>
      <c r="BF27" s="393">
        <f t="shared" si="31"/>
        <v>96</v>
      </c>
    </row>
    <row r="28" spans="1:58" x14ac:dyDescent="0.35">
      <c r="A28" s="193" t="s">
        <v>23</v>
      </c>
      <c r="B28" s="35">
        <v>242510015</v>
      </c>
      <c r="C28" s="261" t="s">
        <v>1312</v>
      </c>
      <c r="D28" s="35" t="s">
        <v>6</v>
      </c>
      <c r="E28" s="215">
        <v>19</v>
      </c>
      <c r="F28" s="217"/>
      <c r="G28" s="217">
        <v>1</v>
      </c>
      <c r="H28" s="217"/>
      <c r="I28" s="326">
        <f t="shared" si="32"/>
        <v>1</v>
      </c>
      <c r="J28" s="326">
        <f t="shared" si="33"/>
        <v>18</v>
      </c>
      <c r="K28" s="327">
        <f t="shared" si="34"/>
        <v>0.94736842105263153</v>
      </c>
      <c r="L28" s="221">
        <v>14</v>
      </c>
      <c r="M28" s="223"/>
      <c r="N28" s="222">
        <v>2</v>
      </c>
      <c r="O28" s="223">
        <v>2</v>
      </c>
      <c r="P28" s="328">
        <f t="shared" si="35"/>
        <v>4</v>
      </c>
      <c r="Q28" s="328">
        <f t="shared" si="36"/>
        <v>10</v>
      </c>
      <c r="R28" s="329">
        <f t="shared" si="37"/>
        <v>0.7142857142857143</v>
      </c>
      <c r="S28" s="225">
        <v>12</v>
      </c>
      <c r="T28" s="226"/>
      <c r="U28" s="227"/>
      <c r="V28" s="226"/>
      <c r="W28" s="330">
        <f t="shared" si="38"/>
        <v>0</v>
      </c>
      <c r="X28" s="330">
        <f t="shared" si="39"/>
        <v>12</v>
      </c>
      <c r="Y28" s="331">
        <f t="shared" si="40"/>
        <v>1</v>
      </c>
      <c r="Z28" s="228">
        <v>21</v>
      </c>
      <c r="AA28" s="255"/>
      <c r="AB28" s="255"/>
      <c r="AC28" s="255"/>
      <c r="AD28" s="280">
        <f t="shared" si="41"/>
        <v>0</v>
      </c>
      <c r="AE28" s="280">
        <f t="shared" si="42"/>
        <v>21</v>
      </c>
      <c r="AF28" s="281">
        <f t="shared" si="43"/>
        <v>1</v>
      </c>
      <c r="AG28" s="229">
        <v>18</v>
      </c>
      <c r="AH28" s="257"/>
      <c r="AI28" s="257"/>
      <c r="AJ28" s="257"/>
      <c r="AK28" s="305">
        <f t="shared" si="44"/>
        <v>0</v>
      </c>
      <c r="AL28" s="305">
        <f t="shared" si="45"/>
        <v>18</v>
      </c>
      <c r="AM28" s="306">
        <f t="shared" si="46"/>
        <v>1</v>
      </c>
      <c r="AN28" s="230">
        <v>14</v>
      </c>
      <c r="AO28" s="259"/>
      <c r="AP28" s="259"/>
      <c r="AQ28" s="259"/>
      <c r="AR28" s="307">
        <f t="shared" si="47"/>
        <v>0</v>
      </c>
      <c r="AS28" s="307">
        <f t="shared" si="48"/>
        <v>14</v>
      </c>
      <c r="AT28" s="308">
        <f t="shared" si="49"/>
        <v>1</v>
      </c>
      <c r="AU28" s="289">
        <f t="shared" si="50"/>
        <v>0</v>
      </c>
      <c r="AV28" s="289">
        <f t="shared" si="51"/>
        <v>3</v>
      </c>
      <c r="AW28" s="289">
        <f t="shared" si="52"/>
        <v>2</v>
      </c>
      <c r="AX28" s="290">
        <v>98</v>
      </c>
      <c r="AY28" s="289">
        <f t="shared" si="53"/>
        <v>93</v>
      </c>
      <c r="AZ28" s="291">
        <f t="shared" si="54"/>
        <v>0.94897959183673475</v>
      </c>
      <c r="BA28" s="293"/>
      <c r="BB28" s="394">
        <v>96</v>
      </c>
      <c r="BC28" s="379">
        <f t="shared" si="55"/>
        <v>0</v>
      </c>
      <c r="BD28" s="378">
        <f t="shared" si="56"/>
        <v>4</v>
      </c>
      <c r="BE28" s="381"/>
      <c r="BF28" s="393">
        <f t="shared" si="31"/>
        <v>92</v>
      </c>
    </row>
    <row r="29" spans="1:58" x14ac:dyDescent="0.35">
      <c r="A29" s="193" t="s">
        <v>24</v>
      </c>
      <c r="B29" s="35">
        <v>242510016</v>
      </c>
      <c r="C29" s="261" t="s">
        <v>1313</v>
      </c>
      <c r="D29" s="35" t="s">
        <v>6</v>
      </c>
      <c r="E29" s="215">
        <v>19</v>
      </c>
      <c r="F29" s="217"/>
      <c r="G29" s="217"/>
      <c r="H29" s="217"/>
      <c r="I29" s="326">
        <f t="shared" si="32"/>
        <v>0</v>
      </c>
      <c r="J29" s="326">
        <f t="shared" si="33"/>
        <v>19</v>
      </c>
      <c r="K29" s="327">
        <f t="shared" si="34"/>
        <v>1</v>
      </c>
      <c r="L29" s="221">
        <v>14</v>
      </c>
      <c r="M29" s="222"/>
      <c r="N29" s="223"/>
      <c r="O29" s="223"/>
      <c r="P29" s="328">
        <f t="shared" si="35"/>
        <v>0</v>
      </c>
      <c r="Q29" s="328">
        <f t="shared" si="36"/>
        <v>14</v>
      </c>
      <c r="R29" s="329">
        <f t="shared" si="37"/>
        <v>1</v>
      </c>
      <c r="S29" s="225">
        <v>12</v>
      </c>
      <c r="T29" s="226"/>
      <c r="U29" s="226"/>
      <c r="V29" s="227"/>
      <c r="W29" s="330">
        <f t="shared" si="38"/>
        <v>0</v>
      </c>
      <c r="X29" s="330">
        <f t="shared" si="39"/>
        <v>12</v>
      </c>
      <c r="Y29" s="331">
        <f t="shared" si="40"/>
        <v>1</v>
      </c>
      <c r="Z29" s="228">
        <v>21</v>
      </c>
      <c r="AA29" s="255"/>
      <c r="AB29" s="255"/>
      <c r="AC29" s="255"/>
      <c r="AD29" s="280">
        <f t="shared" si="41"/>
        <v>0</v>
      </c>
      <c r="AE29" s="280">
        <f t="shared" si="42"/>
        <v>21</v>
      </c>
      <c r="AF29" s="281">
        <f t="shared" si="43"/>
        <v>1</v>
      </c>
      <c r="AG29" s="229">
        <v>18</v>
      </c>
      <c r="AH29" s="257"/>
      <c r="AI29" s="257"/>
      <c r="AJ29" s="257"/>
      <c r="AK29" s="305">
        <f t="shared" si="44"/>
        <v>0</v>
      </c>
      <c r="AL29" s="305">
        <f t="shared" si="45"/>
        <v>18</v>
      </c>
      <c r="AM29" s="306">
        <f t="shared" si="46"/>
        <v>1</v>
      </c>
      <c r="AN29" s="230">
        <v>14</v>
      </c>
      <c r="AO29" s="259"/>
      <c r="AP29" s="259"/>
      <c r="AQ29" s="259"/>
      <c r="AR29" s="307">
        <f t="shared" si="47"/>
        <v>0</v>
      </c>
      <c r="AS29" s="307">
        <f t="shared" si="48"/>
        <v>14</v>
      </c>
      <c r="AT29" s="308">
        <f t="shared" si="49"/>
        <v>1</v>
      </c>
      <c r="AU29" s="289">
        <f t="shared" si="50"/>
        <v>0</v>
      </c>
      <c r="AV29" s="289">
        <f t="shared" si="51"/>
        <v>0</v>
      </c>
      <c r="AW29" s="289">
        <f t="shared" si="52"/>
        <v>0</v>
      </c>
      <c r="AX29" s="290">
        <v>98</v>
      </c>
      <c r="AY29" s="289">
        <f t="shared" si="53"/>
        <v>98</v>
      </c>
      <c r="AZ29" s="291">
        <f t="shared" si="54"/>
        <v>1</v>
      </c>
      <c r="BA29" s="293"/>
      <c r="BB29" s="394">
        <v>96</v>
      </c>
      <c r="BC29" s="379">
        <f t="shared" si="55"/>
        <v>0</v>
      </c>
      <c r="BD29" s="378">
        <f t="shared" si="56"/>
        <v>0</v>
      </c>
      <c r="BE29" s="381"/>
      <c r="BF29" s="393">
        <f t="shared" si="31"/>
        <v>96</v>
      </c>
    </row>
    <row r="30" spans="1:58" x14ac:dyDescent="0.35">
      <c r="A30" s="193" t="s">
        <v>25</v>
      </c>
      <c r="B30" s="35">
        <v>242510017</v>
      </c>
      <c r="C30" s="261" t="s">
        <v>1314</v>
      </c>
      <c r="D30" s="35" t="s">
        <v>6</v>
      </c>
      <c r="E30" s="215">
        <v>19</v>
      </c>
      <c r="F30" s="217"/>
      <c r="G30" s="217"/>
      <c r="H30" s="217">
        <v>2</v>
      </c>
      <c r="I30" s="326">
        <f t="shared" si="32"/>
        <v>2</v>
      </c>
      <c r="J30" s="326">
        <f t="shared" si="33"/>
        <v>17</v>
      </c>
      <c r="K30" s="327">
        <f t="shared" si="34"/>
        <v>0.89473684210526316</v>
      </c>
      <c r="L30" s="221">
        <v>14</v>
      </c>
      <c r="M30" s="222">
        <v>1</v>
      </c>
      <c r="N30" s="223"/>
      <c r="O30" s="222">
        <v>1</v>
      </c>
      <c r="P30" s="328">
        <f t="shared" si="35"/>
        <v>2</v>
      </c>
      <c r="Q30" s="328">
        <f t="shared" si="36"/>
        <v>12</v>
      </c>
      <c r="R30" s="329">
        <f t="shared" si="37"/>
        <v>0.8571428571428571</v>
      </c>
      <c r="S30" s="225">
        <v>12</v>
      </c>
      <c r="T30" s="226"/>
      <c r="U30" s="226"/>
      <c r="V30" s="226"/>
      <c r="W30" s="330">
        <f t="shared" si="38"/>
        <v>0</v>
      </c>
      <c r="X30" s="330">
        <f t="shared" si="39"/>
        <v>12</v>
      </c>
      <c r="Y30" s="331">
        <f t="shared" si="40"/>
        <v>1</v>
      </c>
      <c r="Z30" s="228">
        <v>21</v>
      </c>
      <c r="AA30" s="255"/>
      <c r="AB30" s="256"/>
      <c r="AC30" s="255"/>
      <c r="AD30" s="280">
        <f t="shared" si="41"/>
        <v>0</v>
      </c>
      <c r="AE30" s="280">
        <f t="shared" si="42"/>
        <v>21</v>
      </c>
      <c r="AF30" s="281">
        <f t="shared" si="43"/>
        <v>1</v>
      </c>
      <c r="AG30" s="229">
        <v>18</v>
      </c>
      <c r="AH30" s="257"/>
      <c r="AI30" s="258"/>
      <c r="AJ30" s="257"/>
      <c r="AK30" s="305">
        <f t="shared" si="44"/>
        <v>0</v>
      </c>
      <c r="AL30" s="305">
        <f t="shared" si="45"/>
        <v>18</v>
      </c>
      <c r="AM30" s="306">
        <f t="shared" si="46"/>
        <v>1</v>
      </c>
      <c r="AN30" s="230">
        <v>14</v>
      </c>
      <c r="AO30" s="259"/>
      <c r="AP30" s="260"/>
      <c r="AQ30" s="259"/>
      <c r="AR30" s="307">
        <f t="shared" si="47"/>
        <v>0</v>
      </c>
      <c r="AS30" s="307">
        <f t="shared" si="48"/>
        <v>14</v>
      </c>
      <c r="AT30" s="308">
        <f t="shared" si="49"/>
        <v>1</v>
      </c>
      <c r="AU30" s="289">
        <f t="shared" si="50"/>
        <v>1</v>
      </c>
      <c r="AV30" s="289">
        <f t="shared" si="51"/>
        <v>0</v>
      </c>
      <c r="AW30" s="289">
        <f t="shared" si="52"/>
        <v>3</v>
      </c>
      <c r="AX30" s="290">
        <v>98</v>
      </c>
      <c r="AY30" s="289">
        <f t="shared" si="53"/>
        <v>94</v>
      </c>
      <c r="AZ30" s="291">
        <f t="shared" si="54"/>
        <v>0.95918367346938771</v>
      </c>
      <c r="BA30" s="293">
        <v>1</v>
      </c>
      <c r="BB30" s="394">
        <v>94</v>
      </c>
      <c r="BC30" s="379">
        <f t="shared" si="55"/>
        <v>2</v>
      </c>
      <c r="BD30" s="378">
        <f t="shared" si="56"/>
        <v>6</v>
      </c>
      <c r="BE30" s="381"/>
      <c r="BF30" s="393">
        <f t="shared" si="31"/>
        <v>86</v>
      </c>
    </row>
    <row r="31" spans="1:58" x14ac:dyDescent="0.35">
      <c r="A31" s="193" t="s">
        <v>26</v>
      </c>
      <c r="B31" s="35">
        <v>242510018</v>
      </c>
      <c r="C31" s="261" t="s">
        <v>1315</v>
      </c>
      <c r="D31" s="35" t="s">
        <v>6</v>
      </c>
      <c r="E31" s="215">
        <v>19</v>
      </c>
      <c r="F31" s="217"/>
      <c r="G31" s="218">
        <v>1</v>
      </c>
      <c r="H31" s="217">
        <v>1</v>
      </c>
      <c r="I31" s="326">
        <f t="shared" si="32"/>
        <v>2</v>
      </c>
      <c r="J31" s="326">
        <f t="shared" si="33"/>
        <v>17</v>
      </c>
      <c r="K31" s="327">
        <f t="shared" si="34"/>
        <v>0.89473684210526316</v>
      </c>
      <c r="L31" s="221">
        <v>14</v>
      </c>
      <c r="M31" s="222">
        <v>1</v>
      </c>
      <c r="N31" s="223">
        <v>1</v>
      </c>
      <c r="O31" s="223">
        <v>2</v>
      </c>
      <c r="P31" s="328">
        <f t="shared" si="35"/>
        <v>4</v>
      </c>
      <c r="Q31" s="328">
        <f t="shared" si="36"/>
        <v>10</v>
      </c>
      <c r="R31" s="329">
        <f t="shared" si="37"/>
        <v>0.7142857142857143</v>
      </c>
      <c r="S31" s="225">
        <v>12</v>
      </c>
      <c r="T31" s="226"/>
      <c r="U31" s="226"/>
      <c r="V31" s="226"/>
      <c r="W31" s="330">
        <f t="shared" si="38"/>
        <v>0</v>
      </c>
      <c r="X31" s="330">
        <f t="shared" si="39"/>
        <v>12</v>
      </c>
      <c r="Y31" s="331">
        <f t="shared" si="40"/>
        <v>1</v>
      </c>
      <c r="Z31" s="228">
        <v>21</v>
      </c>
      <c r="AA31" s="255"/>
      <c r="AB31" s="256"/>
      <c r="AC31" s="255"/>
      <c r="AD31" s="280">
        <f t="shared" si="41"/>
        <v>0</v>
      </c>
      <c r="AE31" s="280">
        <f t="shared" si="42"/>
        <v>21</v>
      </c>
      <c r="AF31" s="281">
        <f t="shared" si="43"/>
        <v>1</v>
      </c>
      <c r="AG31" s="229">
        <v>18</v>
      </c>
      <c r="AH31" s="257"/>
      <c r="AI31" s="258"/>
      <c r="AJ31" s="257"/>
      <c r="AK31" s="305">
        <f t="shared" si="44"/>
        <v>0</v>
      </c>
      <c r="AL31" s="305">
        <f t="shared" si="45"/>
        <v>18</v>
      </c>
      <c r="AM31" s="306">
        <f t="shared" si="46"/>
        <v>1</v>
      </c>
      <c r="AN31" s="230">
        <v>14</v>
      </c>
      <c r="AO31" s="259"/>
      <c r="AP31" s="260"/>
      <c r="AQ31" s="259"/>
      <c r="AR31" s="307">
        <f t="shared" si="47"/>
        <v>0</v>
      </c>
      <c r="AS31" s="307">
        <f t="shared" si="48"/>
        <v>14</v>
      </c>
      <c r="AT31" s="308">
        <f t="shared" si="49"/>
        <v>1</v>
      </c>
      <c r="AU31" s="344">
        <f t="shared" si="50"/>
        <v>1</v>
      </c>
      <c r="AV31" s="344">
        <f t="shared" si="51"/>
        <v>2</v>
      </c>
      <c r="AW31" s="344">
        <f t="shared" si="52"/>
        <v>3</v>
      </c>
      <c r="AX31" s="290">
        <v>98</v>
      </c>
      <c r="AY31" s="344">
        <f t="shared" si="53"/>
        <v>92</v>
      </c>
      <c r="AZ31" s="424">
        <f t="shared" si="54"/>
        <v>0.93877551020408168</v>
      </c>
      <c r="BA31" s="293"/>
      <c r="BB31" s="394">
        <v>64</v>
      </c>
      <c r="BC31" s="379">
        <f t="shared" si="55"/>
        <v>0</v>
      </c>
      <c r="BD31" s="378">
        <f t="shared" si="56"/>
        <v>6</v>
      </c>
      <c r="BE31" s="381"/>
      <c r="BF31" s="393">
        <f t="shared" si="31"/>
        <v>58</v>
      </c>
    </row>
    <row r="32" spans="1:58" x14ac:dyDescent="0.35">
      <c r="A32" s="423" t="s">
        <v>27</v>
      </c>
      <c r="B32" s="38">
        <v>242510019</v>
      </c>
      <c r="C32" s="94" t="s">
        <v>1316</v>
      </c>
      <c r="D32" s="38" t="s">
        <v>6</v>
      </c>
      <c r="E32" s="215">
        <v>19</v>
      </c>
      <c r="F32" s="217"/>
      <c r="G32" s="217"/>
      <c r="H32" s="217">
        <v>1</v>
      </c>
      <c r="I32" s="326">
        <f t="shared" si="32"/>
        <v>1</v>
      </c>
      <c r="J32" s="326">
        <f t="shared" si="33"/>
        <v>18</v>
      </c>
      <c r="K32" s="327">
        <f t="shared" si="34"/>
        <v>0.94736842105263153</v>
      </c>
      <c r="L32" s="221">
        <v>14</v>
      </c>
      <c r="M32" s="222"/>
      <c r="N32" s="223"/>
      <c r="O32" s="223">
        <v>8</v>
      </c>
      <c r="P32" s="328">
        <f t="shared" si="35"/>
        <v>8</v>
      </c>
      <c r="Q32" s="328">
        <f t="shared" si="36"/>
        <v>6</v>
      </c>
      <c r="R32" s="329">
        <f t="shared" si="37"/>
        <v>0.42857142857142855</v>
      </c>
      <c r="S32" s="225">
        <v>12</v>
      </c>
      <c r="T32" s="226"/>
      <c r="U32" s="227"/>
      <c r="V32" s="227"/>
      <c r="W32" s="330">
        <f t="shared" si="38"/>
        <v>0</v>
      </c>
      <c r="X32" s="330">
        <f t="shared" si="39"/>
        <v>12</v>
      </c>
      <c r="Y32" s="331">
        <f t="shared" si="40"/>
        <v>1</v>
      </c>
      <c r="Z32" s="228">
        <v>21</v>
      </c>
      <c r="AA32" s="255"/>
      <c r="AB32" s="256"/>
      <c r="AC32" s="256"/>
      <c r="AD32" s="280">
        <f t="shared" si="41"/>
        <v>0</v>
      </c>
      <c r="AE32" s="280">
        <f t="shared" si="42"/>
        <v>21</v>
      </c>
      <c r="AF32" s="281">
        <f t="shared" si="43"/>
        <v>1</v>
      </c>
      <c r="AG32" s="229">
        <v>18</v>
      </c>
      <c r="AH32" s="257"/>
      <c r="AI32" s="258"/>
      <c r="AJ32" s="258"/>
      <c r="AK32" s="305">
        <f t="shared" si="44"/>
        <v>0</v>
      </c>
      <c r="AL32" s="305">
        <f t="shared" si="45"/>
        <v>18</v>
      </c>
      <c r="AM32" s="306">
        <f t="shared" si="46"/>
        <v>1</v>
      </c>
      <c r="AN32" s="230">
        <v>14</v>
      </c>
      <c r="AO32" s="259"/>
      <c r="AP32" s="260"/>
      <c r="AQ32" s="260"/>
      <c r="AR32" s="307">
        <f t="shared" si="47"/>
        <v>0</v>
      </c>
      <c r="AS32" s="307">
        <f t="shared" si="48"/>
        <v>14</v>
      </c>
      <c r="AT32" s="308">
        <f t="shared" si="49"/>
        <v>1</v>
      </c>
      <c r="AU32" s="344">
        <f t="shared" si="50"/>
        <v>0</v>
      </c>
      <c r="AV32" s="344">
        <f t="shared" si="51"/>
        <v>0</v>
      </c>
      <c r="AW32" s="344">
        <f t="shared" si="52"/>
        <v>9</v>
      </c>
      <c r="AX32" s="290">
        <v>98</v>
      </c>
      <c r="AY32" s="344">
        <f t="shared" si="53"/>
        <v>89</v>
      </c>
      <c r="AZ32" s="424">
        <f t="shared" si="54"/>
        <v>0.90816326530612246</v>
      </c>
      <c r="BA32" s="293">
        <v>2</v>
      </c>
      <c r="BB32" s="394">
        <v>46</v>
      </c>
      <c r="BC32" s="379">
        <f t="shared" si="55"/>
        <v>4</v>
      </c>
      <c r="BD32" s="378">
        <f t="shared" si="56"/>
        <v>18</v>
      </c>
      <c r="BE32" s="381"/>
      <c r="BF32" s="393">
        <f t="shared" si="31"/>
        <v>24</v>
      </c>
    </row>
    <row r="33" spans="1:58" x14ac:dyDescent="0.35">
      <c r="A33" s="423" t="s">
        <v>28</v>
      </c>
      <c r="B33" s="38">
        <v>242510020</v>
      </c>
      <c r="C33" s="94" t="s">
        <v>1317</v>
      </c>
      <c r="D33" s="38" t="s">
        <v>6</v>
      </c>
      <c r="E33" s="215">
        <v>19</v>
      </c>
      <c r="F33" s="217"/>
      <c r="G33" s="217"/>
      <c r="H33" s="217"/>
      <c r="I33" s="326">
        <f t="shared" si="32"/>
        <v>0</v>
      </c>
      <c r="J33" s="326">
        <f t="shared" si="33"/>
        <v>19</v>
      </c>
      <c r="K33" s="327">
        <f t="shared" si="34"/>
        <v>1</v>
      </c>
      <c r="L33" s="221">
        <v>14</v>
      </c>
      <c r="M33" s="222"/>
      <c r="N33" s="223"/>
      <c r="O33" s="223"/>
      <c r="P33" s="328">
        <f t="shared" si="35"/>
        <v>0</v>
      </c>
      <c r="Q33" s="328">
        <f t="shared" si="36"/>
        <v>14</v>
      </c>
      <c r="R33" s="329">
        <f t="shared" si="37"/>
        <v>1</v>
      </c>
      <c r="S33" s="225">
        <v>12</v>
      </c>
      <c r="T33" s="226"/>
      <c r="U33" s="226"/>
      <c r="V33" s="226"/>
      <c r="W33" s="330">
        <f t="shared" si="38"/>
        <v>0</v>
      </c>
      <c r="X33" s="330">
        <f t="shared" si="39"/>
        <v>12</v>
      </c>
      <c r="Y33" s="331">
        <f t="shared" si="40"/>
        <v>1</v>
      </c>
      <c r="Z33" s="228">
        <v>21</v>
      </c>
      <c r="AA33" s="255"/>
      <c r="AB33" s="256"/>
      <c r="AC33" s="256"/>
      <c r="AD33" s="280">
        <f t="shared" si="41"/>
        <v>0</v>
      </c>
      <c r="AE33" s="280">
        <f t="shared" si="42"/>
        <v>21</v>
      </c>
      <c r="AF33" s="281">
        <f t="shared" si="43"/>
        <v>1</v>
      </c>
      <c r="AG33" s="229">
        <v>18</v>
      </c>
      <c r="AH33" s="257"/>
      <c r="AI33" s="258"/>
      <c r="AJ33" s="258"/>
      <c r="AK33" s="305">
        <f t="shared" si="44"/>
        <v>0</v>
      </c>
      <c r="AL33" s="305">
        <f t="shared" si="45"/>
        <v>18</v>
      </c>
      <c r="AM33" s="306">
        <f t="shared" si="46"/>
        <v>1</v>
      </c>
      <c r="AN33" s="230">
        <v>14</v>
      </c>
      <c r="AO33" s="259"/>
      <c r="AP33" s="260"/>
      <c r="AQ33" s="260"/>
      <c r="AR33" s="307">
        <f t="shared" si="47"/>
        <v>0</v>
      </c>
      <c r="AS33" s="307">
        <f t="shared" si="48"/>
        <v>14</v>
      </c>
      <c r="AT33" s="308">
        <f t="shared" si="49"/>
        <v>1</v>
      </c>
      <c r="AU33" s="344">
        <f t="shared" si="50"/>
        <v>0</v>
      </c>
      <c r="AV33" s="344">
        <f t="shared" si="51"/>
        <v>0</v>
      </c>
      <c r="AW33" s="344">
        <f t="shared" si="52"/>
        <v>0</v>
      </c>
      <c r="AX33" s="290">
        <v>98</v>
      </c>
      <c r="AY33" s="344">
        <f t="shared" si="53"/>
        <v>98</v>
      </c>
      <c r="AZ33" s="424">
        <f t="shared" si="54"/>
        <v>1</v>
      </c>
      <c r="BA33" s="293">
        <v>1</v>
      </c>
      <c r="BB33" s="394">
        <v>100</v>
      </c>
      <c r="BC33" s="379">
        <f t="shared" si="55"/>
        <v>2</v>
      </c>
      <c r="BD33" s="378">
        <f t="shared" si="56"/>
        <v>0</v>
      </c>
      <c r="BE33" s="381"/>
      <c r="BF33" s="393">
        <f t="shared" si="31"/>
        <v>98</v>
      </c>
    </row>
    <row r="34" spans="1:58" x14ac:dyDescent="0.35">
      <c r="A34" s="423" t="s">
        <v>29</v>
      </c>
      <c r="B34" s="38">
        <v>242510021</v>
      </c>
      <c r="C34" s="94" t="s">
        <v>1318</v>
      </c>
      <c r="D34" s="38" t="s">
        <v>6</v>
      </c>
      <c r="E34" s="215">
        <v>19</v>
      </c>
      <c r="F34" s="217"/>
      <c r="G34" s="217"/>
      <c r="H34" s="217"/>
      <c r="I34" s="326">
        <f t="shared" si="32"/>
        <v>0</v>
      </c>
      <c r="J34" s="326">
        <f t="shared" si="33"/>
        <v>19</v>
      </c>
      <c r="K34" s="327">
        <f t="shared" si="34"/>
        <v>1</v>
      </c>
      <c r="L34" s="221">
        <v>14</v>
      </c>
      <c r="M34" s="222"/>
      <c r="N34" s="223"/>
      <c r="O34" s="223"/>
      <c r="P34" s="328">
        <f t="shared" si="35"/>
        <v>0</v>
      </c>
      <c r="Q34" s="328">
        <f t="shared" si="36"/>
        <v>14</v>
      </c>
      <c r="R34" s="329">
        <f t="shared" si="37"/>
        <v>1</v>
      </c>
      <c r="S34" s="225">
        <v>12</v>
      </c>
      <c r="T34" s="226"/>
      <c r="U34" s="226"/>
      <c r="V34" s="226"/>
      <c r="W34" s="330">
        <f t="shared" si="38"/>
        <v>0</v>
      </c>
      <c r="X34" s="330">
        <f t="shared" si="39"/>
        <v>12</v>
      </c>
      <c r="Y34" s="331">
        <f t="shared" si="40"/>
        <v>1</v>
      </c>
      <c r="Z34" s="228">
        <v>21</v>
      </c>
      <c r="AA34" s="255"/>
      <c r="AB34" s="256"/>
      <c r="AC34" s="256"/>
      <c r="AD34" s="280">
        <f t="shared" si="41"/>
        <v>0</v>
      </c>
      <c r="AE34" s="280">
        <f t="shared" si="42"/>
        <v>21</v>
      </c>
      <c r="AF34" s="281">
        <f t="shared" si="43"/>
        <v>1</v>
      </c>
      <c r="AG34" s="229">
        <v>18</v>
      </c>
      <c r="AH34" s="257"/>
      <c r="AI34" s="258"/>
      <c r="AJ34" s="258"/>
      <c r="AK34" s="305">
        <f t="shared" si="44"/>
        <v>0</v>
      </c>
      <c r="AL34" s="305">
        <f t="shared" si="45"/>
        <v>18</v>
      </c>
      <c r="AM34" s="306">
        <f t="shared" si="46"/>
        <v>1</v>
      </c>
      <c r="AN34" s="230">
        <v>14</v>
      </c>
      <c r="AO34" s="259"/>
      <c r="AP34" s="260"/>
      <c r="AQ34" s="260"/>
      <c r="AR34" s="307">
        <f t="shared" si="47"/>
        <v>0</v>
      </c>
      <c r="AS34" s="307">
        <f t="shared" si="48"/>
        <v>14</v>
      </c>
      <c r="AT34" s="308">
        <f t="shared" si="49"/>
        <v>1</v>
      </c>
      <c r="AU34" s="344">
        <f t="shared" si="50"/>
        <v>0</v>
      </c>
      <c r="AV34" s="344">
        <f t="shared" si="51"/>
        <v>0</v>
      </c>
      <c r="AW34" s="344">
        <f t="shared" si="52"/>
        <v>0</v>
      </c>
      <c r="AX34" s="290">
        <v>98</v>
      </c>
      <c r="AY34" s="344">
        <f t="shared" si="53"/>
        <v>98</v>
      </c>
      <c r="AZ34" s="424">
        <f t="shared" si="54"/>
        <v>1</v>
      </c>
      <c r="BA34" s="293"/>
      <c r="BB34" s="394">
        <v>100</v>
      </c>
      <c r="BC34" s="379">
        <f t="shared" si="55"/>
        <v>0</v>
      </c>
      <c r="BD34" s="378">
        <f t="shared" si="56"/>
        <v>0</v>
      </c>
      <c r="BE34" s="381"/>
      <c r="BF34" s="393">
        <f t="shared" si="31"/>
        <v>100</v>
      </c>
    </row>
    <row r="35" spans="1:58" x14ac:dyDescent="0.35">
      <c r="A35" s="423" t="s">
        <v>30</v>
      </c>
      <c r="B35" s="38">
        <v>242510022</v>
      </c>
      <c r="C35" s="94" t="s">
        <v>1319</v>
      </c>
      <c r="D35" s="38" t="s">
        <v>6</v>
      </c>
      <c r="E35" s="215">
        <v>19</v>
      </c>
      <c r="F35" s="217"/>
      <c r="G35" s="217"/>
      <c r="H35" s="217"/>
      <c r="I35" s="326">
        <f t="shared" si="32"/>
        <v>0</v>
      </c>
      <c r="J35" s="326">
        <f t="shared" si="33"/>
        <v>19</v>
      </c>
      <c r="K35" s="327">
        <f t="shared" si="34"/>
        <v>1</v>
      </c>
      <c r="L35" s="221">
        <v>14</v>
      </c>
      <c r="M35" s="222"/>
      <c r="N35" s="223"/>
      <c r="O35" s="223"/>
      <c r="P35" s="328">
        <f t="shared" si="35"/>
        <v>0</v>
      </c>
      <c r="Q35" s="328">
        <f t="shared" si="36"/>
        <v>14</v>
      </c>
      <c r="R35" s="329">
        <f t="shared" si="37"/>
        <v>1</v>
      </c>
      <c r="S35" s="225">
        <v>12</v>
      </c>
      <c r="T35" s="226"/>
      <c r="U35" s="226"/>
      <c r="V35" s="226"/>
      <c r="W35" s="330">
        <f t="shared" si="38"/>
        <v>0</v>
      </c>
      <c r="X35" s="330">
        <f t="shared" si="39"/>
        <v>12</v>
      </c>
      <c r="Y35" s="331">
        <f t="shared" si="40"/>
        <v>1</v>
      </c>
      <c r="Z35" s="228">
        <v>21</v>
      </c>
      <c r="AA35" s="255"/>
      <c r="AB35" s="256"/>
      <c r="AC35" s="256"/>
      <c r="AD35" s="280">
        <f t="shared" si="41"/>
        <v>0</v>
      </c>
      <c r="AE35" s="280">
        <f t="shared" si="42"/>
        <v>21</v>
      </c>
      <c r="AF35" s="281">
        <f t="shared" si="43"/>
        <v>1</v>
      </c>
      <c r="AG35" s="229">
        <v>18</v>
      </c>
      <c r="AH35" s="257"/>
      <c r="AI35" s="258"/>
      <c r="AJ35" s="258"/>
      <c r="AK35" s="305">
        <f t="shared" si="44"/>
        <v>0</v>
      </c>
      <c r="AL35" s="305">
        <f t="shared" si="45"/>
        <v>18</v>
      </c>
      <c r="AM35" s="306">
        <f t="shared" si="46"/>
        <v>1</v>
      </c>
      <c r="AN35" s="230">
        <v>14</v>
      </c>
      <c r="AO35" s="259"/>
      <c r="AP35" s="260"/>
      <c r="AQ35" s="260"/>
      <c r="AR35" s="307">
        <f t="shared" si="47"/>
        <v>0</v>
      </c>
      <c r="AS35" s="307">
        <f t="shared" si="48"/>
        <v>14</v>
      </c>
      <c r="AT35" s="308">
        <f t="shared" si="49"/>
        <v>1</v>
      </c>
      <c r="AU35" s="344">
        <f t="shared" si="50"/>
        <v>0</v>
      </c>
      <c r="AV35" s="344">
        <f t="shared" si="51"/>
        <v>0</v>
      </c>
      <c r="AW35" s="344">
        <f t="shared" si="52"/>
        <v>0</v>
      </c>
      <c r="AX35" s="290">
        <v>98</v>
      </c>
      <c r="AY35" s="344">
        <f t="shared" si="53"/>
        <v>98</v>
      </c>
      <c r="AZ35" s="424">
        <f t="shared" si="54"/>
        <v>1</v>
      </c>
      <c r="BA35" s="293"/>
      <c r="BB35" s="394">
        <v>98</v>
      </c>
      <c r="BC35" s="379">
        <f t="shared" si="55"/>
        <v>0</v>
      </c>
      <c r="BD35" s="378">
        <f t="shared" si="56"/>
        <v>0</v>
      </c>
      <c r="BE35" s="381"/>
      <c r="BF35" s="393">
        <f t="shared" si="31"/>
        <v>98</v>
      </c>
    </row>
    <row r="36" spans="1:58" x14ac:dyDescent="0.35">
      <c r="A36" s="423" t="s">
        <v>31</v>
      </c>
      <c r="B36" s="38">
        <v>242510023</v>
      </c>
      <c r="C36" s="94" t="s">
        <v>1320</v>
      </c>
      <c r="D36" s="38" t="s">
        <v>6</v>
      </c>
      <c r="E36" s="215">
        <v>19</v>
      </c>
      <c r="F36" s="217"/>
      <c r="G36" s="217"/>
      <c r="H36" s="217">
        <v>1</v>
      </c>
      <c r="I36" s="326">
        <f t="shared" si="32"/>
        <v>1</v>
      </c>
      <c r="J36" s="326">
        <f t="shared" si="33"/>
        <v>18</v>
      </c>
      <c r="K36" s="327">
        <f t="shared" si="34"/>
        <v>0.94736842105263153</v>
      </c>
      <c r="L36" s="221">
        <v>14</v>
      </c>
      <c r="M36" s="222">
        <v>2</v>
      </c>
      <c r="N36" s="223">
        <v>1</v>
      </c>
      <c r="O36" s="223">
        <v>2</v>
      </c>
      <c r="P36" s="328">
        <f t="shared" si="35"/>
        <v>5</v>
      </c>
      <c r="Q36" s="328">
        <f t="shared" si="36"/>
        <v>9</v>
      </c>
      <c r="R36" s="329">
        <f t="shared" si="37"/>
        <v>0.6428571428571429</v>
      </c>
      <c r="S36" s="225">
        <v>12</v>
      </c>
      <c r="T36" s="226"/>
      <c r="U36" s="226"/>
      <c r="V36" s="226"/>
      <c r="W36" s="330">
        <f t="shared" si="38"/>
        <v>0</v>
      </c>
      <c r="X36" s="330">
        <f t="shared" si="39"/>
        <v>12</v>
      </c>
      <c r="Y36" s="331">
        <f t="shared" si="40"/>
        <v>1</v>
      </c>
      <c r="Z36" s="228">
        <v>21</v>
      </c>
      <c r="AA36" s="255"/>
      <c r="AB36" s="256"/>
      <c r="AC36" s="256"/>
      <c r="AD36" s="280">
        <f t="shared" si="41"/>
        <v>0</v>
      </c>
      <c r="AE36" s="280">
        <f t="shared" si="42"/>
        <v>21</v>
      </c>
      <c r="AF36" s="281">
        <f t="shared" si="43"/>
        <v>1</v>
      </c>
      <c r="AG36" s="229">
        <v>18</v>
      </c>
      <c r="AH36" s="257"/>
      <c r="AI36" s="258"/>
      <c r="AJ36" s="258"/>
      <c r="AK36" s="305">
        <f t="shared" si="44"/>
        <v>0</v>
      </c>
      <c r="AL36" s="305">
        <f t="shared" si="45"/>
        <v>18</v>
      </c>
      <c r="AM36" s="306">
        <f t="shared" si="46"/>
        <v>1</v>
      </c>
      <c r="AN36" s="230">
        <v>14</v>
      </c>
      <c r="AO36" s="259"/>
      <c r="AP36" s="260"/>
      <c r="AQ36" s="260"/>
      <c r="AR36" s="307">
        <f t="shared" si="47"/>
        <v>0</v>
      </c>
      <c r="AS36" s="307">
        <f t="shared" si="48"/>
        <v>14</v>
      </c>
      <c r="AT36" s="308">
        <f t="shared" si="49"/>
        <v>1</v>
      </c>
      <c r="AU36" s="344">
        <f t="shared" si="50"/>
        <v>2</v>
      </c>
      <c r="AV36" s="344">
        <f t="shared" si="51"/>
        <v>1</v>
      </c>
      <c r="AW36" s="344">
        <f t="shared" si="52"/>
        <v>3</v>
      </c>
      <c r="AX36" s="290">
        <v>98</v>
      </c>
      <c r="AY36" s="344">
        <f t="shared" si="53"/>
        <v>92</v>
      </c>
      <c r="AZ36" s="424">
        <f t="shared" si="54"/>
        <v>0.93877551020408168</v>
      </c>
      <c r="BA36" s="293"/>
      <c r="BB36" s="394">
        <v>72</v>
      </c>
      <c r="BC36" s="379">
        <f t="shared" si="55"/>
        <v>0</v>
      </c>
      <c r="BD36" s="378">
        <f>AW36*2</f>
        <v>6</v>
      </c>
      <c r="BE36" s="381"/>
      <c r="BF36" s="393">
        <f t="shared" si="31"/>
        <v>66</v>
      </c>
    </row>
    <row r="37" spans="1:58" x14ac:dyDescent="0.35">
      <c r="A37" s="423" t="s">
        <v>32</v>
      </c>
      <c r="B37" s="38">
        <v>242510024</v>
      </c>
      <c r="C37" s="94" t="s">
        <v>1321</v>
      </c>
      <c r="D37" s="38" t="s">
        <v>6</v>
      </c>
      <c r="E37" s="215">
        <v>19</v>
      </c>
      <c r="F37" s="217"/>
      <c r="G37" s="217">
        <v>1</v>
      </c>
      <c r="H37" s="217"/>
      <c r="I37" s="326">
        <f t="shared" si="32"/>
        <v>1</v>
      </c>
      <c r="J37" s="326">
        <f t="shared" si="33"/>
        <v>18</v>
      </c>
      <c r="K37" s="327">
        <f t="shared" si="34"/>
        <v>0.94736842105263153</v>
      </c>
      <c r="L37" s="221">
        <v>14</v>
      </c>
      <c r="M37" s="222"/>
      <c r="N37" s="223">
        <v>1</v>
      </c>
      <c r="O37" s="223">
        <v>1</v>
      </c>
      <c r="P37" s="328">
        <f t="shared" si="35"/>
        <v>2</v>
      </c>
      <c r="Q37" s="328">
        <f t="shared" si="36"/>
        <v>12</v>
      </c>
      <c r="R37" s="329">
        <f t="shared" si="37"/>
        <v>0.8571428571428571</v>
      </c>
      <c r="S37" s="225">
        <v>12</v>
      </c>
      <c r="T37" s="226"/>
      <c r="U37" s="226"/>
      <c r="V37" s="226"/>
      <c r="W37" s="330">
        <f t="shared" si="38"/>
        <v>0</v>
      </c>
      <c r="X37" s="330">
        <f t="shared" si="39"/>
        <v>12</v>
      </c>
      <c r="Y37" s="331">
        <f t="shared" si="40"/>
        <v>1</v>
      </c>
      <c r="Z37" s="228">
        <v>21</v>
      </c>
      <c r="AA37" s="255"/>
      <c r="AB37" s="256"/>
      <c r="AC37" s="256"/>
      <c r="AD37" s="280">
        <f t="shared" si="41"/>
        <v>0</v>
      </c>
      <c r="AE37" s="280">
        <f t="shared" si="42"/>
        <v>21</v>
      </c>
      <c r="AF37" s="281">
        <f t="shared" si="43"/>
        <v>1</v>
      </c>
      <c r="AG37" s="229">
        <v>18</v>
      </c>
      <c r="AH37" s="257"/>
      <c r="AI37" s="258"/>
      <c r="AJ37" s="258"/>
      <c r="AK37" s="305">
        <f t="shared" si="44"/>
        <v>0</v>
      </c>
      <c r="AL37" s="305">
        <f t="shared" si="45"/>
        <v>18</v>
      </c>
      <c r="AM37" s="306">
        <f t="shared" si="46"/>
        <v>1</v>
      </c>
      <c r="AN37" s="230">
        <v>14</v>
      </c>
      <c r="AO37" s="259"/>
      <c r="AP37" s="260"/>
      <c r="AQ37" s="260"/>
      <c r="AR37" s="307">
        <f t="shared" si="47"/>
        <v>0</v>
      </c>
      <c r="AS37" s="307">
        <f t="shared" si="48"/>
        <v>14</v>
      </c>
      <c r="AT37" s="308">
        <f t="shared" si="49"/>
        <v>1</v>
      </c>
      <c r="AU37" s="344">
        <f t="shared" si="50"/>
        <v>0</v>
      </c>
      <c r="AV37" s="344">
        <f t="shared" si="51"/>
        <v>2</v>
      </c>
      <c r="AW37" s="344">
        <f t="shared" si="52"/>
        <v>1</v>
      </c>
      <c r="AX37" s="290">
        <v>98</v>
      </c>
      <c r="AY37" s="344">
        <f t="shared" si="53"/>
        <v>95</v>
      </c>
      <c r="AZ37" s="424">
        <f t="shared" si="54"/>
        <v>0.96938775510204078</v>
      </c>
      <c r="BA37" s="293"/>
      <c r="BB37" s="394">
        <v>98</v>
      </c>
      <c r="BC37" s="379">
        <f t="shared" si="55"/>
        <v>0</v>
      </c>
      <c r="BD37" s="378">
        <f t="shared" si="56"/>
        <v>2</v>
      </c>
      <c r="BE37" s="381"/>
      <c r="BF37" s="393">
        <f t="shared" si="31"/>
        <v>96</v>
      </c>
    </row>
    <row r="38" spans="1:58" x14ac:dyDescent="0.35">
      <c r="A38" s="423" t="s">
        <v>33</v>
      </c>
      <c r="B38" s="38">
        <v>242510025</v>
      </c>
      <c r="C38" s="94" t="s">
        <v>1322</v>
      </c>
      <c r="D38" s="38" t="s">
        <v>6</v>
      </c>
      <c r="E38" s="215">
        <v>19</v>
      </c>
      <c r="F38" s="217"/>
      <c r="G38" s="217">
        <v>3</v>
      </c>
      <c r="H38" s="217"/>
      <c r="I38" s="326">
        <f t="shared" si="32"/>
        <v>3</v>
      </c>
      <c r="J38" s="326">
        <f t="shared" si="33"/>
        <v>16</v>
      </c>
      <c r="K38" s="327">
        <f t="shared" si="34"/>
        <v>0.84210526315789469</v>
      </c>
      <c r="L38" s="221">
        <v>14</v>
      </c>
      <c r="M38" s="222"/>
      <c r="N38" s="223"/>
      <c r="O38" s="223"/>
      <c r="P38" s="328">
        <f t="shared" si="35"/>
        <v>0</v>
      </c>
      <c r="Q38" s="328">
        <f t="shared" si="36"/>
        <v>14</v>
      </c>
      <c r="R38" s="329">
        <f t="shared" si="37"/>
        <v>1</v>
      </c>
      <c r="S38" s="225">
        <v>12</v>
      </c>
      <c r="T38" s="226"/>
      <c r="U38" s="226"/>
      <c r="V38" s="226"/>
      <c r="W38" s="330">
        <f t="shared" si="38"/>
        <v>0</v>
      </c>
      <c r="X38" s="330">
        <f t="shared" si="39"/>
        <v>12</v>
      </c>
      <c r="Y38" s="331">
        <f t="shared" si="40"/>
        <v>1</v>
      </c>
      <c r="Z38" s="228">
        <v>21</v>
      </c>
      <c r="AA38" s="255"/>
      <c r="AB38" s="256"/>
      <c r="AC38" s="256"/>
      <c r="AD38" s="280">
        <f t="shared" si="41"/>
        <v>0</v>
      </c>
      <c r="AE38" s="280">
        <f t="shared" si="42"/>
        <v>21</v>
      </c>
      <c r="AF38" s="281">
        <f t="shared" si="43"/>
        <v>1</v>
      </c>
      <c r="AG38" s="229">
        <v>18</v>
      </c>
      <c r="AH38" s="257"/>
      <c r="AI38" s="258"/>
      <c r="AJ38" s="258"/>
      <c r="AK38" s="305">
        <f t="shared" si="44"/>
        <v>0</v>
      </c>
      <c r="AL38" s="305">
        <f t="shared" si="45"/>
        <v>18</v>
      </c>
      <c r="AM38" s="306">
        <f t="shared" si="46"/>
        <v>1</v>
      </c>
      <c r="AN38" s="230">
        <v>14</v>
      </c>
      <c r="AO38" s="259"/>
      <c r="AP38" s="260"/>
      <c r="AQ38" s="260"/>
      <c r="AR38" s="307">
        <f t="shared" si="47"/>
        <v>0</v>
      </c>
      <c r="AS38" s="307">
        <f t="shared" si="48"/>
        <v>14</v>
      </c>
      <c r="AT38" s="308">
        <f t="shared" si="49"/>
        <v>1</v>
      </c>
      <c r="AU38" s="344">
        <f t="shared" si="50"/>
        <v>0</v>
      </c>
      <c r="AV38" s="344">
        <f t="shared" si="51"/>
        <v>3</v>
      </c>
      <c r="AW38" s="344">
        <f t="shared" si="52"/>
        <v>0</v>
      </c>
      <c r="AX38" s="290">
        <v>98</v>
      </c>
      <c r="AY38" s="344">
        <f t="shared" si="53"/>
        <v>95</v>
      </c>
      <c r="AZ38" s="424">
        <f t="shared" si="54"/>
        <v>0.96938775510204078</v>
      </c>
      <c r="BA38" s="293"/>
      <c r="BB38" s="394">
        <v>72</v>
      </c>
      <c r="BC38" s="379">
        <f>BA38*2</f>
        <v>0</v>
      </c>
      <c r="BD38" s="378">
        <f t="shared" si="56"/>
        <v>0</v>
      </c>
      <c r="BE38" s="381"/>
      <c r="BF38" s="393">
        <f t="shared" si="31"/>
        <v>72</v>
      </c>
    </row>
    <row r="39" spans="1:58" x14ac:dyDescent="0.35">
      <c r="A39" s="423" t="s">
        <v>34</v>
      </c>
      <c r="B39" s="38">
        <v>242510026</v>
      </c>
      <c r="C39" s="94" t="s">
        <v>1323</v>
      </c>
      <c r="D39" s="38" t="s">
        <v>6</v>
      </c>
      <c r="E39" s="215">
        <v>19</v>
      </c>
      <c r="F39" s="217"/>
      <c r="G39" s="217"/>
      <c r="H39" s="217"/>
      <c r="I39" s="326">
        <f t="shared" si="32"/>
        <v>0</v>
      </c>
      <c r="J39" s="326">
        <f t="shared" si="33"/>
        <v>19</v>
      </c>
      <c r="K39" s="327">
        <f t="shared" si="34"/>
        <v>1</v>
      </c>
      <c r="L39" s="221">
        <v>14</v>
      </c>
      <c r="M39" s="222"/>
      <c r="N39" s="223"/>
      <c r="O39" s="223"/>
      <c r="P39" s="328">
        <f t="shared" si="35"/>
        <v>0</v>
      </c>
      <c r="Q39" s="328">
        <f t="shared" si="36"/>
        <v>14</v>
      </c>
      <c r="R39" s="329">
        <f t="shared" si="37"/>
        <v>1</v>
      </c>
      <c r="S39" s="225">
        <v>12</v>
      </c>
      <c r="T39" s="226"/>
      <c r="U39" s="226"/>
      <c r="V39" s="226"/>
      <c r="W39" s="330">
        <f t="shared" si="38"/>
        <v>0</v>
      </c>
      <c r="X39" s="330">
        <f t="shared" si="39"/>
        <v>12</v>
      </c>
      <c r="Y39" s="331">
        <f t="shared" si="40"/>
        <v>1</v>
      </c>
      <c r="Z39" s="228">
        <v>21</v>
      </c>
      <c r="AA39" s="255"/>
      <c r="AB39" s="256"/>
      <c r="AC39" s="256"/>
      <c r="AD39" s="280">
        <f t="shared" si="41"/>
        <v>0</v>
      </c>
      <c r="AE39" s="280">
        <f t="shared" si="42"/>
        <v>21</v>
      </c>
      <c r="AF39" s="281">
        <f t="shared" si="43"/>
        <v>1</v>
      </c>
      <c r="AG39" s="229">
        <v>18</v>
      </c>
      <c r="AH39" s="257"/>
      <c r="AI39" s="258"/>
      <c r="AJ39" s="258"/>
      <c r="AK39" s="305">
        <f t="shared" si="44"/>
        <v>0</v>
      </c>
      <c r="AL39" s="305">
        <f t="shared" si="45"/>
        <v>18</v>
      </c>
      <c r="AM39" s="306">
        <f t="shared" si="46"/>
        <v>1</v>
      </c>
      <c r="AN39" s="230">
        <v>14</v>
      </c>
      <c r="AO39" s="259"/>
      <c r="AP39" s="260"/>
      <c r="AQ39" s="260"/>
      <c r="AR39" s="307">
        <f t="shared" si="47"/>
        <v>0</v>
      </c>
      <c r="AS39" s="307">
        <f t="shared" si="48"/>
        <v>14</v>
      </c>
      <c r="AT39" s="308">
        <f t="shared" si="49"/>
        <v>1</v>
      </c>
      <c r="AU39" s="344">
        <f t="shared" si="50"/>
        <v>0</v>
      </c>
      <c r="AV39" s="344">
        <f t="shared" si="51"/>
        <v>0</v>
      </c>
      <c r="AW39" s="344">
        <f t="shared" si="52"/>
        <v>0</v>
      </c>
      <c r="AX39" s="290">
        <v>98</v>
      </c>
      <c r="AY39" s="344">
        <f t="shared" si="53"/>
        <v>98</v>
      </c>
      <c r="AZ39" s="424">
        <f t="shared" si="54"/>
        <v>1</v>
      </c>
      <c r="BA39" s="293"/>
      <c r="BB39" s="394">
        <v>88</v>
      </c>
      <c r="BC39" s="379">
        <f t="shared" si="55"/>
        <v>0</v>
      </c>
      <c r="BD39" s="378">
        <f t="shared" si="56"/>
        <v>0</v>
      </c>
      <c r="BE39" s="381"/>
      <c r="BF39" s="393">
        <f t="shared" si="31"/>
        <v>88</v>
      </c>
    </row>
    <row r="40" spans="1:58" ht="15.5" customHeight="1" x14ac:dyDescent="0.35">
      <c r="A40" s="423" t="s">
        <v>35</v>
      </c>
      <c r="B40" s="38">
        <v>242510027</v>
      </c>
      <c r="C40" s="94" t="s">
        <v>1324</v>
      </c>
      <c r="D40" s="38" t="s">
        <v>6</v>
      </c>
      <c r="E40" s="215">
        <v>19</v>
      </c>
      <c r="F40" s="217"/>
      <c r="G40" s="217"/>
      <c r="H40" s="217"/>
      <c r="I40" s="326">
        <f t="shared" si="32"/>
        <v>0</v>
      </c>
      <c r="J40" s="326">
        <f t="shared" si="33"/>
        <v>19</v>
      </c>
      <c r="K40" s="327">
        <f t="shared" si="34"/>
        <v>1</v>
      </c>
      <c r="L40" s="221">
        <v>14</v>
      </c>
      <c r="M40" s="222"/>
      <c r="N40" s="223"/>
      <c r="O40" s="223"/>
      <c r="P40" s="328">
        <f t="shared" si="35"/>
        <v>0</v>
      </c>
      <c r="Q40" s="328">
        <f t="shared" si="36"/>
        <v>14</v>
      </c>
      <c r="R40" s="329">
        <f t="shared" si="37"/>
        <v>1</v>
      </c>
      <c r="S40" s="225">
        <v>12</v>
      </c>
      <c r="T40" s="226"/>
      <c r="U40" s="226"/>
      <c r="V40" s="226"/>
      <c r="W40" s="330">
        <f t="shared" si="38"/>
        <v>0</v>
      </c>
      <c r="X40" s="330">
        <f t="shared" si="39"/>
        <v>12</v>
      </c>
      <c r="Y40" s="331">
        <f t="shared" si="40"/>
        <v>1</v>
      </c>
      <c r="Z40" s="228">
        <v>21</v>
      </c>
      <c r="AA40" s="255"/>
      <c r="AB40" s="256"/>
      <c r="AC40" s="256"/>
      <c r="AD40" s="280">
        <f t="shared" si="41"/>
        <v>0</v>
      </c>
      <c r="AE40" s="280">
        <f t="shared" si="42"/>
        <v>21</v>
      </c>
      <c r="AF40" s="281">
        <f t="shared" si="43"/>
        <v>1</v>
      </c>
      <c r="AG40" s="229">
        <v>18</v>
      </c>
      <c r="AH40" s="257"/>
      <c r="AI40" s="258"/>
      <c r="AJ40" s="258"/>
      <c r="AK40" s="305">
        <f t="shared" si="44"/>
        <v>0</v>
      </c>
      <c r="AL40" s="305">
        <f t="shared" si="45"/>
        <v>18</v>
      </c>
      <c r="AM40" s="306">
        <f t="shared" si="46"/>
        <v>1</v>
      </c>
      <c r="AN40" s="230">
        <v>14</v>
      </c>
      <c r="AO40" s="259"/>
      <c r="AP40" s="260"/>
      <c r="AQ40" s="260"/>
      <c r="AR40" s="307">
        <f t="shared" si="47"/>
        <v>0</v>
      </c>
      <c r="AS40" s="307">
        <f t="shared" si="48"/>
        <v>14</v>
      </c>
      <c r="AT40" s="308">
        <f t="shared" si="49"/>
        <v>1</v>
      </c>
      <c r="AU40" s="344">
        <f t="shared" si="50"/>
        <v>0</v>
      </c>
      <c r="AV40" s="344">
        <f t="shared" si="51"/>
        <v>0</v>
      </c>
      <c r="AW40" s="344">
        <f t="shared" si="52"/>
        <v>0</v>
      </c>
      <c r="AX40" s="290">
        <v>98</v>
      </c>
      <c r="AY40" s="344">
        <f t="shared" si="53"/>
        <v>98</v>
      </c>
      <c r="AZ40" s="424">
        <f t="shared" si="54"/>
        <v>1</v>
      </c>
      <c r="BA40" s="293"/>
      <c r="BB40" s="394">
        <v>50</v>
      </c>
      <c r="BC40" s="379">
        <f t="shared" si="55"/>
        <v>0</v>
      </c>
      <c r="BD40" s="378">
        <f t="shared" si="56"/>
        <v>0</v>
      </c>
      <c r="BE40" s="381"/>
      <c r="BF40" s="393">
        <f t="shared" si="31"/>
        <v>50</v>
      </c>
    </row>
    <row r="41" spans="1:58" x14ac:dyDescent="0.35">
      <c r="A41" s="423" t="s">
        <v>36</v>
      </c>
      <c r="B41" s="266">
        <v>242510028</v>
      </c>
      <c r="C41" s="94" t="s">
        <v>1325</v>
      </c>
      <c r="D41" s="38" t="s">
        <v>6</v>
      </c>
      <c r="E41" s="215">
        <v>19</v>
      </c>
      <c r="F41" s="217"/>
      <c r="G41" s="217"/>
      <c r="H41" s="217"/>
      <c r="I41" s="326">
        <f t="shared" si="32"/>
        <v>0</v>
      </c>
      <c r="J41" s="326">
        <f t="shared" si="33"/>
        <v>19</v>
      </c>
      <c r="K41" s="327">
        <f t="shared" si="34"/>
        <v>1</v>
      </c>
      <c r="L41" s="221">
        <v>14</v>
      </c>
      <c r="M41" s="222"/>
      <c r="N41" s="223"/>
      <c r="O41" s="223"/>
      <c r="P41" s="328">
        <f t="shared" si="35"/>
        <v>0</v>
      </c>
      <c r="Q41" s="328">
        <f t="shared" si="36"/>
        <v>14</v>
      </c>
      <c r="R41" s="329">
        <f t="shared" si="37"/>
        <v>1</v>
      </c>
      <c r="S41" s="225">
        <v>12</v>
      </c>
      <c r="T41" s="226"/>
      <c r="U41" s="226"/>
      <c r="V41" s="226"/>
      <c r="W41" s="330">
        <f t="shared" si="38"/>
        <v>0</v>
      </c>
      <c r="X41" s="330">
        <f t="shared" si="39"/>
        <v>12</v>
      </c>
      <c r="Y41" s="331">
        <f t="shared" si="40"/>
        <v>1</v>
      </c>
      <c r="Z41" s="228">
        <v>21</v>
      </c>
      <c r="AA41" s="255"/>
      <c r="AB41" s="256"/>
      <c r="AC41" s="256"/>
      <c r="AD41" s="280">
        <f t="shared" si="41"/>
        <v>0</v>
      </c>
      <c r="AE41" s="280">
        <f t="shared" si="42"/>
        <v>21</v>
      </c>
      <c r="AF41" s="281">
        <f t="shared" si="43"/>
        <v>1</v>
      </c>
      <c r="AG41" s="229">
        <v>18</v>
      </c>
      <c r="AH41" s="257"/>
      <c r="AI41" s="258"/>
      <c r="AJ41" s="258"/>
      <c r="AK41" s="305">
        <f t="shared" si="44"/>
        <v>0</v>
      </c>
      <c r="AL41" s="305">
        <f t="shared" si="45"/>
        <v>18</v>
      </c>
      <c r="AM41" s="306">
        <f t="shared" si="46"/>
        <v>1</v>
      </c>
      <c r="AN41" s="230">
        <v>14</v>
      </c>
      <c r="AO41" s="259"/>
      <c r="AP41" s="260"/>
      <c r="AQ41" s="260"/>
      <c r="AR41" s="307">
        <f t="shared" si="47"/>
        <v>0</v>
      </c>
      <c r="AS41" s="307">
        <f t="shared" si="48"/>
        <v>14</v>
      </c>
      <c r="AT41" s="308">
        <f t="shared" si="49"/>
        <v>1</v>
      </c>
      <c r="AU41" s="344">
        <f t="shared" si="50"/>
        <v>0</v>
      </c>
      <c r="AV41" s="344">
        <f t="shared" si="51"/>
        <v>0</v>
      </c>
      <c r="AW41" s="344">
        <f t="shared" si="52"/>
        <v>0</v>
      </c>
      <c r="AX41" s="290">
        <v>98</v>
      </c>
      <c r="AY41" s="344">
        <f t="shared" si="53"/>
        <v>98</v>
      </c>
      <c r="AZ41" s="424">
        <f t="shared" si="54"/>
        <v>1</v>
      </c>
      <c r="BA41" s="293"/>
      <c r="BB41" s="394">
        <v>88</v>
      </c>
      <c r="BC41" s="379">
        <f t="shared" si="55"/>
        <v>0</v>
      </c>
      <c r="BD41" s="378">
        <f t="shared" si="56"/>
        <v>0</v>
      </c>
      <c r="BE41" s="381"/>
      <c r="BF41" s="393">
        <f t="shared" si="31"/>
        <v>88</v>
      </c>
    </row>
    <row r="42" spans="1:58" x14ac:dyDescent="0.35">
      <c r="A42" s="423" t="s">
        <v>37</v>
      </c>
      <c r="B42" s="38">
        <v>242510029</v>
      </c>
      <c r="C42" s="94" t="s">
        <v>1326</v>
      </c>
      <c r="D42" s="38" t="s">
        <v>6</v>
      </c>
      <c r="E42" s="215">
        <v>19</v>
      </c>
      <c r="F42" s="217"/>
      <c r="G42" s="217"/>
      <c r="H42" s="217"/>
      <c r="I42" s="326">
        <f t="shared" si="32"/>
        <v>0</v>
      </c>
      <c r="J42" s="326">
        <f t="shared" si="33"/>
        <v>19</v>
      </c>
      <c r="K42" s="327">
        <f t="shared" si="34"/>
        <v>1</v>
      </c>
      <c r="L42" s="221">
        <v>14</v>
      </c>
      <c r="M42" s="222"/>
      <c r="N42" s="223"/>
      <c r="O42" s="223"/>
      <c r="P42" s="328">
        <f t="shared" si="35"/>
        <v>0</v>
      </c>
      <c r="Q42" s="328">
        <f t="shared" si="36"/>
        <v>14</v>
      </c>
      <c r="R42" s="329">
        <f t="shared" si="37"/>
        <v>1</v>
      </c>
      <c r="S42" s="225">
        <v>12</v>
      </c>
      <c r="T42" s="226"/>
      <c r="U42" s="226"/>
      <c r="V42" s="226"/>
      <c r="W42" s="330">
        <f t="shared" si="38"/>
        <v>0</v>
      </c>
      <c r="X42" s="330">
        <f t="shared" si="39"/>
        <v>12</v>
      </c>
      <c r="Y42" s="331">
        <f t="shared" si="40"/>
        <v>1</v>
      </c>
      <c r="Z42" s="228">
        <v>21</v>
      </c>
      <c r="AA42" s="255"/>
      <c r="AB42" s="256"/>
      <c r="AC42" s="256"/>
      <c r="AD42" s="280">
        <f t="shared" si="41"/>
        <v>0</v>
      </c>
      <c r="AE42" s="280">
        <f t="shared" si="42"/>
        <v>21</v>
      </c>
      <c r="AF42" s="281">
        <f t="shared" si="43"/>
        <v>1</v>
      </c>
      <c r="AG42" s="229">
        <v>18</v>
      </c>
      <c r="AH42" s="257"/>
      <c r="AI42" s="258"/>
      <c r="AJ42" s="258"/>
      <c r="AK42" s="305">
        <f t="shared" si="44"/>
        <v>0</v>
      </c>
      <c r="AL42" s="305">
        <f t="shared" si="45"/>
        <v>18</v>
      </c>
      <c r="AM42" s="306">
        <f t="shared" si="46"/>
        <v>1</v>
      </c>
      <c r="AN42" s="230">
        <v>14</v>
      </c>
      <c r="AO42" s="259"/>
      <c r="AP42" s="260"/>
      <c r="AQ42" s="260"/>
      <c r="AR42" s="307">
        <f t="shared" si="47"/>
        <v>0</v>
      </c>
      <c r="AS42" s="307">
        <f t="shared" si="48"/>
        <v>14</v>
      </c>
      <c r="AT42" s="308">
        <f t="shared" si="49"/>
        <v>1</v>
      </c>
      <c r="AU42" s="344">
        <f t="shared" si="50"/>
        <v>0</v>
      </c>
      <c r="AV42" s="344">
        <f t="shared" si="51"/>
        <v>0</v>
      </c>
      <c r="AW42" s="344">
        <f t="shared" si="52"/>
        <v>0</v>
      </c>
      <c r="AX42" s="290">
        <v>98</v>
      </c>
      <c r="AY42" s="344">
        <f t="shared" si="53"/>
        <v>98</v>
      </c>
      <c r="AZ42" s="424">
        <f t="shared" si="54"/>
        <v>1</v>
      </c>
      <c r="BA42" s="293"/>
      <c r="BB42" s="394">
        <v>98</v>
      </c>
      <c r="BC42" s="379">
        <f t="shared" si="55"/>
        <v>0</v>
      </c>
      <c r="BD42" s="378">
        <f t="shared" si="56"/>
        <v>0</v>
      </c>
      <c r="BE42" s="381"/>
      <c r="BF42" s="393">
        <f t="shared" si="31"/>
        <v>98</v>
      </c>
    </row>
    <row r="43" spans="1:58" x14ac:dyDescent="0.35">
      <c r="A43" s="423" t="s">
        <v>38</v>
      </c>
      <c r="B43" s="38">
        <v>242510030</v>
      </c>
      <c r="C43" s="94" t="s">
        <v>1327</v>
      </c>
      <c r="D43" s="40" t="s">
        <v>6</v>
      </c>
      <c r="E43" s="215">
        <v>19</v>
      </c>
      <c r="F43" s="217"/>
      <c r="G43" s="217"/>
      <c r="H43" s="217">
        <v>1</v>
      </c>
      <c r="I43" s="326">
        <f t="shared" si="32"/>
        <v>1</v>
      </c>
      <c r="J43" s="326">
        <f t="shared" si="33"/>
        <v>18</v>
      </c>
      <c r="K43" s="327">
        <f t="shared" si="34"/>
        <v>0.94736842105263153</v>
      </c>
      <c r="L43" s="221">
        <v>14</v>
      </c>
      <c r="M43" s="222"/>
      <c r="N43" s="223">
        <v>1</v>
      </c>
      <c r="O43" s="223"/>
      <c r="P43" s="328">
        <f t="shared" si="35"/>
        <v>1</v>
      </c>
      <c r="Q43" s="328">
        <f t="shared" si="36"/>
        <v>13</v>
      </c>
      <c r="R43" s="329">
        <f t="shared" si="37"/>
        <v>0.9285714285714286</v>
      </c>
      <c r="S43" s="225">
        <v>12</v>
      </c>
      <c r="T43" s="226"/>
      <c r="U43" s="226"/>
      <c r="V43" s="226"/>
      <c r="W43" s="330">
        <f t="shared" si="38"/>
        <v>0</v>
      </c>
      <c r="X43" s="330">
        <f t="shared" si="39"/>
        <v>12</v>
      </c>
      <c r="Y43" s="331">
        <f t="shared" si="40"/>
        <v>1</v>
      </c>
      <c r="Z43" s="228">
        <v>21</v>
      </c>
      <c r="AA43" s="255"/>
      <c r="AB43" s="256"/>
      <c r="AC43" s="256"/>
      <c r="AD43" s="280">
        <f t="shared" si="41"/>
        <v>0</v>
      </c>
      <c r="AE43" s="280">
        <f t="shared" si="42"/>
        <v>21</v>
      </c>
      <c r="AF43" s="281">
        <f t="shared" si="43"/>
        <v>1</v>
      </c>
      <c r="AG43" s="229">
        <v>18</v>
      </c>
      <c r="AH43" s="257"/>
      <c r="AI43" s="258"/>
      <c r="AJ43" s="258"/>
      <c r="AK43" s="305">
        <f t="shared" si="44"/>
        <v>0</v>
      </c>
      <c r="AL43" s="305">
        <f t="shared" si="45"/>
        <v>18</v>
      </c>
      <c r="AM43" s="306">
        <f t="shared" si="46"/>
        <v>1</v>
      </c>
      <c r="AN43" s="230">
        <v>14</v>
      </c>
      <c r="AO43" s="259"/>
      <c r="AP43" s="260"/>
      <c r="AQ43" s="260"/>
      <c r="AR43" s="307">
        <f t="shared" si="47"/>
        <v>0</v>
      </c>
      <c r="AS43" s="307">
        <f t="shared" si="48"/>
        <v>14</v>
      </c>
      <c r="AT43" s="308">
        <f t="shared" si="49"/>
        <v>1</v>
      </c>
      <c r="AU43" s="344">
        <f t="shared" si="50"/>
        <v>0</v>
      </c>
      <c r="AV43" s="344">
        <f t="shared" si="51"/>
        <v>1</v>
      </c>
      <c r="AW43" s="344">
        <f t="shared" si="52"/>
        <v>1</v>
      </c>
      <c r="AX43" s="290">
        <v>98</v>
      </c>
      <c r="AY43" s="344">
        <f t="shared" si="53"/>
        <v>96</v>
      </c>
      <c r="AZ43" s="424">
        <f t="shared" si="54"/>
        <v>0.97959183673469385</v>
      </c>
      <c r="BA43" s="293">
        <v>2</v>
      </c>
      <c r="BB43" s="394">
        <v>96</v>
      </c>
      <c r="BC43" s="379">
        <f t="shared" si="55"/>
        <v>4</v>
      </c>
      <c r="BD43" s="378">
        <f t="shared" si="56"/>
        <v>2</v>
      </c>
      <c r="BE43" s="381"/>
      <c r="BF43" s="393">
        <f t="shared" si="31"/>
        <v>90</v>
      </c>
    </row>
    <row r="44" spans="1:58" x14ac:dyDescent="0.35">
      <c r="A44" s="423" t="s">
        <v>39</v>
      </c>
      <c r="B44" s="38">
        <v>242510031</v>
      </c>
      <c r="C44" s="94" t="s">
        <v>1328</v>
      </c>
      <c r="D44" s="38" t="s">
        <v>6</v>
      </c>
      <c r="E44" s="215">
        <v>19</v>
      </c>
      <c r="F44" s="217"/>
      <c r="G44" s="217">
        <v>1</v>
      </c>
      <c r="H44" s="217"/>
      <c r="I44" s="326">
        <f t="shared" si="32"/>
        <v>1</v>
      </c>
      <c r="J44" s="326">
        <f t="shared" si="33"/>
        <v>18</v>
      </c>
      <c r="K44" s="327">
        <f t="shared" si="34"/>
        <v>0.94736842105263153</v>
      </c>
      <c r="L44" s="221">
        <v>14</v>
      </c>
      <c r="M44" s="222">
        <v>2</v>
      </c>
      <c r="N44" s="223">
        <v>2</v>
      </c>
      <c r="O44" s="223"/>
      <c r="P44" s="328">
        <f t="shared" si="35"/>
        <v>4</v>
      </c>
      <c r="Q44" s="328">
        <f t="shared" si="36"/>
        <v>10</v>
      </c>
      <c r="R44" s="329">
        <f t="shared" si="37"/>
        <v>0.7142857142857143</v>
      </c>
      <c r="S44" s="225">
        <v>12</v>
      </c>
      <c r="T44" s="226"/>
      <c r="U44" s="226"/>
      <c r="V44" s="226"/>
      <c r="W44" s="330">
        <f t="shared" si="38"/>
        <v>0</v>
      </c>
      <c r="X44" s="330">
        <f t="shared" si="39"/>
        <v>12</v>
      </c>
      <c r="Y44" s="331">
        <f t="shared" si="40"/>
        <v>1</v>
      </c>
      <c r="Z44" s="228">
        <v>21</v>
      </c>
      <c r="AA44" s="255"/>
      <c r="AB44" s="256"/>
      <c r="AC44" s="256"/>
      <c r="AD44" s="280">
        <f t="shared" si="41"/>
        <v>0</v>
      </c>
      <c r="AE44" s="280">
        <f t="shared" si="42"/>
        <v>21</v>
      </c>
      <c r="AF44" s="281">
        <f t="shared" si="43"/>
        <v>1</v>
      </c>
      <c r="AG44" s="229">
        <v>18</v>
      </c>
      <c r="AH44" s="257"/>
      <c r="AI44" s="258"/>
      <c r="AJ44" s="258"/>
      <c r="AK44" s="305">
        <f t="shared" si="44"/>
        <v>0</v>
      </c>
      <c r="AL44" s="305">
        <f t="shared" si="45"/>
        <v>18</v>
      </c>
      <c r="AM44" s="306">
        <f t="shared" si="46"/>
        <v>1</v>
      </c>
      <c r="AN44" s="230">
        <v>14</v>
      </c>
      <c r="AO44" s="259"/>
      <c r="AP44" s="260"/>
      <c r="AQ44" s="260"/>
      <c r="AR44" s="307">
        <f t="shared" si="47"/>
        <v>0</v>
      </c>
      <c r="AS44" s="307">
        <f t="shared" si="48"/>
        <v>14</v>
      </c>
      <c r="AT44" s="308">
        <f t="shared" si="49"/>
        <v>1</v>
      </c>
      <c r="AU44" s="344">
        <f t="shared" si="50"/>
        <v>2</v>
      </c>
      <c r="AV44" s="344">
        <f t="shared" si="51"/>
        <v>3</v>
      </c>
      <c r="AW44" s="344">
        <f t="shared" si="52"/>
        <v>0</v>
      </c>
      <c r="AX44" s="290">
        <v>98</v>
      </c>
      <c r="AY44" s="344">
        <f t="shared" si="53"/>
        <v>93</v>
      </c>
      <c r="AZ44" s="424">
        <f t="shared" si="54"/>
        <v>0.94897959183673475</v>
      </c>
      <c r="BA44" s="293"/>
      <c r="BB44" s="394">
        <v>98</v>
      </c>
      <c r="BC44" s="379">
        <f t="shared" si="55"/>
        <v>0</v>
      </c>
      <c r="BD44" s="378">
        <f t="shared" si="56"/>
        <v>0</v>
      </c>
      <c r="BE44" s="381"/>
      <c r="BF44" s="393">
        <f t="shared" si="31"/>
        <v>98</v>
      </c>
    </row>
    <row r="45" spans="1:58" x14ac:dyDescent="0.35">
      <c r="A45" s="423" t="s">
        <v>40</v>
      </c>
      <c r="B45" s="38">
        <v>242510032</v>
      </c>
      <c r="C45" s="94" t="s">
        <v>1329</v>
      </c>
      <c r="D45" s="40" t="s">
        <v>6</v>
      </c>
      <c r="E45" s="215">
        <v>19</v>
      </c>
      <c r="F45" s="217"/>
      <c r="G45" s="217"/>
      <c r="H45" s="217">
        <v>1</v>
      </c>
      <c r="I45" s="326">
        <f t="shared" si="32"/>
        <v>1</v>
      </c>
      <c r="J45" s="326">
        <f t="shared" si="33"/>
        <v>18</v>
      </c>
      <c r="K45" s="327">
        <f t="shared" si="34"/>
        <v>0.94736842105263153</v>
      </c>
      <c r="L45" s="221">
        <v>14</v>
      </c>
      <c r="M45" s="222"/>
      <c r="N45" s="223"/>
      <c r="O45" s="223"/>
      <c r="P45" s="328">
        <f t="shared" si="35"/>
        <v>0</v>
      </c>
      <c r="Q45" s="328">
        <f t="shared" si="36"/>
        <v>14</v>
      </c>
      <c r="R45" s="329">
        <f t="shared" si="37"/>
        <v>1</v>
      </c>
      <c r="S45" s="225">
        <v>12</v>
      </c>
      <c r="T45" s="226"/>
      <c r="U45" s="226"/>
      <c r="V45" s="226"/>
      <c r="W45" s="330">
        <f t="shared" si="38"/>
        <v>0</v>
      </c>
      <c r="X45" s="330">
        <f t="shared" si="39"/>
        <v>12</v>
      </c>
      <c r="Y45" s="331">
        <f t="shared" si="40"/>
        <v>1</v>
      </c>
      <c r="Z45" s="228">
        <v>21</v>
      </c>
      <c r="AA45" s="255"/>
      <c r="AB45" s="256"/>
      <c r="AC45" s="256"/>
      <c r="AD45" s="280">
        <f t="shared" si="41"/>
        <v>0</v>
      </c>
      <c r="AE45" s="280">
        <f t="shared" si="42"/>
        <v>21</v>
      </c>
      <c r="AF45" s="281">
        <f t="shared" si="43"/>
        <v>1</v>
      </c>
      <c r="AG45" s="229">
        <v>18</v>
      </c>
      <c r="AH45" s="257"/>
      <c r="AI45" s="258"/>
      <c r="AJ45" s="258"/>
      <c r="AK45" s="305">
        <f t="shared" si="44"/>
        <v>0</v>
      </c>
      <c r="AL45" s="305">
        <f t="shared" si="45"/>
        <v>18</v>
      </c>
      <c r="AM45" s="306">
        <f t="shared" si="46"/>
        <v>1</v>
      </c>
      <c r="AN45" s="230">
        <v>14</v>
      </c>
      <c r="AO45" s="259"/>
      <c r="AP45" s="260"/>
      <c r="AQ45" s="260"/>
      <c r="AR45" s="307">
        <f t="shared" si="47"/>
        <v>0</v>
      </c>
      <c r="AS45" s="307">
        <f t="shared" si="48"/>
        <v>14</v>
      </c>
      <c r="AT45" s="308">
        <f t="shared" si="49"/>
        <v>1</v>
      </c>
      <c r="AU45" s="344">
        <f t="shared" si="50"/>
        <v>0</v>
      </c>
      <c r="AV45" s="344">
        <f t="shared" si="51"/>
        <v>0</v>
      </c>
      <c r="AW45" s="344">
        <f t="shared" si="52"/>
        <v>1</v>
      </c>
      <c r="AX45" s="290">
        <v>98</v>
      </c>
      <c r="AY45" s="344">
        <f t="shared" si="53"/>
        <v>97</v>
      </c>
      <c r="AZ45" s="424">
        <f t="shared" si="54"/>
        <v>0.98979591836734693</v>
      </c>
      <c r="BA45" s="293"/>
      <c r="BB45" s="394">
        <v>100</v>
      </c>
      <c r="BC45" s="379">
        <f t="shared" si="55"/>
        <v>0</v>
      </c>
      <c r="BD45" s="378">
        <f t="shared" si="56"/>
        <v>2</v>
      </c>
      <c r="BE45" s="381"/>
      <c r="BF45" s="393">
        <f t="shared" si="31"/>
        <v>98</v>
      </c>
    </row>
    <row r="46" spans="1:58" x14ac:dyDescent="0.35">
      <c r="A46" s="423" t="s">
        <v>41</v>
      </c>
      <c r="B46" s="38">
        <v>242510033</v>
      </c>
      <c r="C46" s="94" t="s">
        <v>1330</v>
      </c>
      <c r="D46" s="38" t="s">
        <v>6</v>
      </c>
      <c r="E46" s="215">
        <v>19</v>
      </c>
      <c r="F46" s="217"/>
      <c r="G46" s="217"/>
      <c r="H46" s="218">
        <v>5</v>
      </c>
      <c r="I46" s="326">
        <f t="shared" si="32"/>
        <v>5</v>
      </c>
      <c r="J46" s="326">
        <f t="shared" si="33"/>
        <v>14</v>
      </c>
      <c r="K46" s="327">
        <f t="shared" si="34"/>
        <v>0.73684210526315785</v>
      </c>
      <c r="L46" s="221">
        <v>14</v>
      </c>
      <c r="M46" s="222"/>
      <c r="N46" s="222">
        <v>1</v>
      </c>
      <c r="O46" s="223">
        <v>12</v>
      </c>
      <c r="P46" s="328">
        <f t="shared" si="35"/>
        <v>13</v>
      </c>
      <c r="Q46" s="328">
        <f t="shared" si="36"/>
        <v>1</v>
      </c>
      <c r="R46" s="329">
        <f t="shared" si="37"/>
        <v>7.1428571428571425E-2</v>
      </c>
      <c r="S46" s="225">
        <v>12</v>
      </c>
      <c r="T46" s="226"/>
      <c r="U46" s="226"/>
      <c r="V46" s="226"/>
      <c r="W46" s="330">
        <f t="shared" si="38"/>
        <v>0</v>
      </c>
      <c r="X46" s="330">
        <f t="shared" si="39"/>
        <v>12</v>
      </c>
      <c r="Y46" s="331">
        <f t="shared" si="40"/>
        <v>1</v>
      </c>
      <c r="Z46" s="228">
        <v>21</v>
      </c>
      <c r="AA46" s="255"/>
      <c r="AB46" s="256"/>
      <c r="AC46" s="255"/>
      <c r="AD46" s="280">
        <f t="shared" si="41"/>
        <v>0</v>
      </c>
      <c r="AE46" s="280">
        <f t="shared" si="42"/>
        <v>21</v>
      </c>
      <c r="AF46" s="281">
        <f t="shared" si="43"/>
        <v>1</v>
      </c>
      <c r="AG46" s="229">
        <v>18</v>
      </c>
      <c r="AH46" s="257"/>
      <c r="AI46" s="258"/>
      <c r="AJ46" s="257"/>
      <c r="AK46" s="305">
        <f t="shared" si="44"/>
        <v>0</v>
      </c>
      <c r="AL46" s="305">
        <f t="shared" si="45"/>
        <v>18</v>
      </c>
      <c r="AM46" s="306">
        <f t="shared" si="46"/>
        <v>1</v>
      </c>
      <c r="AN46" s="230">
        <v>14</v>
      </c>
      <c r="AO46" s="259"/>
      <c r="AP46" s="260"/>
      <c r="AQ46" s="259"/>
      <c r="AR46" s="307">
        <f t="shared" si="47"/>
        <v>0</v>
      </c>
      <c r="AS46" s="307">
        <f t="shared" si="48"/>
        <v>14</v>
      </c>
      <c r="AT46" s="308">
        <f t="shared" si="49"/>
        <v>1</v>
      </c>
      <c r="AU46" s="344">
        <f t="shared" si="50"/>
        <v>0</v>
      </c>
      <c r="AV46" s="344">
        <f t="shared" si="51"/>
        <v>1</v>
      </c>
      <c r="AW46" s="344">
        <f t="shared" si="52"/>
        <v>17</v>
      </c>
      <c r="AX46" s="290">
        <v>98</v>
      </c>
      <c r="AY46" s="344">
        <f t="shared" si="53"/>
        <v>80</v>
      </c>
      <c r="AZ46" s="424">
        <f t="shared" si="54"/>
        <v>0.81632653061224492</v>
      </c>
      <c r="BA46" s="293"/>
      <c r="BB46" s="394">
        <v>52</v>
      </c>
      <c r="BC46" s="379">
        <f t="shared" si="55"/>
        <v>0</v>
      </c>
      <c r="BD46" s="378">
        <f t="shared" si="56"/>
        <v>34</v>
      </c>
      <c r="BE46" s="381"/>
      <c r="BF46" s="393">
        <f t="shared" si="31"/>
        <v>18</v>
      </c>
    </row>
    <row r="47" spans="1:58" x14ac:dyDescent="0.35">
      <c r="A47" s="193" t="s">
        <v>42</v>
      </c>
      <c r="B47" s="35">
        <v>242510034</v>
      </c>
      <c r="C47" s="261" t="s">
        <v>1331</v>
      </c>
      <c r="D47" s="38" t="s">
        <v>6</v>
      </c>
      <c r="E47" s="215">
        <v>19</v>
      </c>
      <c r="F47" s="217"/>
      <c r="G47" s="217"/>
      <c r="H47" s="217"/>
      <c r="I47" s="326">
        <f t="shared" si="32"/>
        <v>0</v>
      </c>
      <c r="J47" s="326">
        <f t="shared" si="33"/>
        <v>19</v>
      </c>
      <c r="K47" s="327">
        <f t="shared" si="34"/>
        <v>1</v>
      </c>
      <c r="L47" s="221">
        <v>14</v>
      </c>
      <c r="M47" s="222"/>
      <c r="N47" s="223"/>
      <c r="O47" s="222"/>
      <c r="P47" s="328">
        <f t="shared" si="35"/>
        <v>0</v>
      </c>
      <c r="Q47" s="328">
        <f t="shared" si="36"/>
        <v>14</v>
      </c>
      <c r="R47" s="329">
        <f t="shared" si="37"/>
        <v>1</v>
      </c>
      <c r="S47" s="225">
        <v>12</v>
      </c>
      <c r="T47" s="226"/>
      <c r="U47" s="226"/>
      <c r="V47" s="226"/>
      <c r="W47" s="330">
        <f t="shared" si="38"/>
        <v>0</v>
      </c>
      <c r="X47" s="330">
        <f t="shared" si="39"/>
        <v>12</v>
      </c>
      <c r="Y47" s="331">
        <f t="shared" si="40"/>
        <v>1</v>
      </c>
      <c r="Z47" s="228">
        <v>21</v>
      </c>
      <c r="AA47" s="255"/>
      <c r="AB47" s="255"/>
      <c r="AC47" s="255"/>
      <c r="AD47" s="280">
        <f t="shared" si="41"/>
        <v>0</v>
      </c>
      <c r="AE47" s="280">
        <f t="shared" si="42"/>
        <v>21</v>
      </c>
      <c r="AF47" s="281">
        <f t="shared" si="43"/>
        <v>1</v>
      </c>
      <c r="AG47" s="229">
        <v>18</v>
      </c>
      <c r="AH47" s="257"/>
      <c r="AI47" s="257"/>
      <c r="AJ47" s="257"/>
      <c r="AK47" s="305">
        <f t="shared" si="44"/>
        <v>0</v>
      </c>
      <c r="AL47" s="305">
        <f>AG47-AK47</f>
        <v>18</v>
      </c>
      <c r="AM47" s="306">
        <f t="shared" si="46"/>
        <v>1</v>
      </c>
      <c r="AN47" s="230">
        <v>14</v>
      </c>
      <c r="AO47" s="259"/>
      <c r="AP47" s="259"/>
      <c r="AQ47" s="259"/>
      <c r="AR47" s="307">
        <f t="shared" si="47"/>
        <v>0</v>
      </c>
      <c r="AS47" s="307">
        <f t="shared" si="48"/>
        <v>14</v>
      </c>
      <c r="AT47" s="308">
        <f t="shared" si="49"/>
        <v>1</v>
      </c>
      <c r="AU47" s="344">
        <f t="shared" si="50"/>
        <v>0</v>
      </c>
      <c r="AV47" s="344">
        <f t="shared" si="51"/>
        <v>0</v>
      </c>
      <c r="AW47" s="344">
        <f t="shared" si="52"/>
        <v>0</v>
      </c>
      <c r="AX47" s="290">
        <v>98</v>
      </c>
      <c r="AY47" s="344">
        <f t="shared" si="53"/>
        <v>98</v>
      </c>
      <c r="AZ47" s="424">
        <f t="shared" si="54"/>
        <v>1</v>
      </c>
      <c r="BA47" s="293"/>
      <c r="BB47" s="394">
        <v>100</v>
      </c>
      <c r="BC47" s="379">
        <f t="shared" si="55"/>
        <v>0</v>
      </c>
      <c r="BD47" s="378">
        <f t="shared" si="56"/>
        <v>0</v>
      </c>
      <c r="BE47" s="381"/>
      <c r="BF47" s="393">
        <f t="shared" si="31"/>
        <v>100</v>
      </c>
    </row>
    <row r="48" spans="1:58" x14ac:dyDescent="0.35">
      <c r="A48" s="193" t="s">
        <v>43</v>
      </c>
      <c r="B48" s="35">
        <v>242510035</v>
      </c>
      <c r="C48" s="261" t="s">
        <v>1332</v>
      </c>
      <c r="D48" s="38" t="s">
        <v>6</v>
      </c>
      <c r="E48" s="215">
        <v>19</v>
      </c>
      <c r="F48" s="217"/>
      <c r="G48" s="217"/>
      <c r="H48" s="217"/>
      <c r="I48" s="326">
        <f t="shared" si="32"/>
        <v>0</v>
      </c>
      <c r="J48" s="326">
        <f t="shared" si="33"/>
        <v>19</v>
      </c>
      <c r="K48" s="327">
        <f t="shared" si="34"/>
        <v>1</v>
      </c>
      <c r="L48" s="221">
        <v>14</v>
      </c>
      <c r="M48" s="223"/>
      <c r="N48" s="222"/>
      <c r="O48" s="223"/>
      <c r="P48" s="328">
        <f t="shared" si="35"/>
        <v>0</v>
      </c>
      <c r="Q48" s="328">
        <f t="shared" si="36"/>
        <v>14</v>
      </c>
      <c r="R48" s="329">
        <f t="shared" si="37"/>
        <v>1</v>
      </c>
      <c r="S48" s="225">
        <v>12</v>
      </c>
      <c r="T48" s="226"/>
      <c r="U48" s="226"/>
      <c r="V48" s="226"/>
      <c r="W48" s="330">
        <f t="shared" si="38"/>
        <v>0</v>
      </c>
      <c r="X48" s="330">
        <f t="shared" si="39"/>
        <v>12</v>
      </c>
      <c r="Y48" s="331">
        <f t="shared" si="40"/>
        <v>1</v>
      </c>
      <c r="Z48" s="228">
        <v>21</v>
      </c>
      <c r="AA48" s="255"/>
      <c r="AB48" s="256"/>
      <c r="AC48" s="255"/>
      <c r="AD48" s="280">
        <f t="shared" si="41"/>
        <v>0</v>
      </c>
      <c r="AE48" s="280">
        <f t="shared" si="42"/>
        <v>21</v>
      </c>
      <c r="AF48" s="281">
        <f t="shared" si="43"/>
        <v>1</v>
      </c>
      <c r="AG48" s="229">
        <v>18</v>
      </c>
      <c r="AH48" s="257"/>
      <c r="AI48" s="258"/>
      <c r="AJ48" s="257"/>
      <c r="AK48" s="305">
        <f t="shared" si="44"/>
        <v>0</v>
      </c>
      <c r="AL48" s="305">
        <f t="shared" si="45"/>
        <v>18</v>
      </c>
      <c r="AM48" s="306">
        <f t="shared" si="46"/>
        <v>1</v>
      </c>
      <c r="AN48" s="230">
        <v>14</v>
      </c>
      <c r="AO48" s="259"/>
      <c r="AP48" s="260"/>
      <c r="AQ48" s="259"/>
      <c r="AR48" s="307">
        <f t="shared" si="47"/>
        <v>0</v>
      </c>
      <c r="AS48" s="307">
        <f t="shared" si="48"/>
        <v>14</v>
      </c>
      <c r="AT48" s="308">
        <f t="shared" si="49"/>
        <v>1</v>
      </c>
      <c r="AU48" s="344">
        <f t="shared" si="50"/>
        <v>0</v>
      </c>
      <c r="AV48" s="344">
        <f t="shared" si="51"/>
        <v>0</v>
      </c>
      <c r="AW48" s="344">
        <f t="shared" si="52"/>
        <v>0</v>
      </c>
      <c r="AX48" s="290">
        <v>98</v>
      </c>
      <c r="AY48" s="344">
        <f t="shared" si="53"/>
        <v>98</v>
      </c>
      <c r="AZ48" s="424">
        <f t="shared" si="54"/>
        <v>1</v>
      </c>
      <c r="BA48" s="293"/>
      <c r="BB48" s="394">
        <v>96</v>
      </c>
      <c r="BC48" s="379">
        <f t="shared" si="55"/>
        <v>0</v>
      </c>
      <c r="BD48" s="378">
        <f t="shared" si="56"/>
        <v>0</v>
      </c>
      <c r="BE48" s="381"/>
      <c r="BF48" s="393">
        <f t="shared" si="31"/>
        <v>96</v>
      </c>
    </row>
    <row r="49" spans="1:58" x14ac:dyDescent="0.35">
      <c r="A49" s="193" t="s">
        <v>44</v>
      </c>
      <c r="B49" s="35">
        <v>242510036</v>
      </c>
      <c r="C49" s="261" t="s">
        <v>1333</v>
      </c>
      <c r="D49" s="38" t="s">
        <v>6</v>
      </c>
      <c r="E49" s="215">
        <v>19</v>
      </c>
      <c r="F49" s="217"/>
      <c r="G49" s="217"/>
      <c r="H49" s="217"/>
      <c r="I49" s="326">
        <f t="shared" si="32"/>
        <v>0</v>
      </c>
      <c r="J49" s="326">
        <f t="shared" si="33"/>
        <v>19</v>
      </c>
      <c r="K49" s="327">
        <f t="shared" si="34"/>
        <v>1</v>
      </c>
      <c r="L49" s="221">
        <v>14</v>
      </c>
      <c r="M49" s="222">
        <v>1</v>
      </c>
      <c r="N49" s="222"/>
      <c r="O49" s="223"/>
      <c r="P49" s="328">
        <f t="shared" si="35"/>
        <v>1</v>
      </c>
      <c r="Q49" s="328">
        <f t="shared" si="36"/>
        <v>13</v>
      </c>
      <c r="R49" s="329">
        <f t="shared" si="37"/>
        <v>0.9285714285714286</v>
      </c>
      <c r="S49" s="225">
        <v>12</v>
      </c>
      <c r="T49" s="226"/>
      <c r="U49" s="226"/>
      <c r="V49" s="226"/>
      <c r="W49" s="330">
        <f t="shared" si="38"/>
        <v>0</v>
      </c>
      <c r="X49" s="330">
        <f t="shared" si="39"/>
        <v>12</v>
      </c>
      <c r="Y49" s="331">
        <f t="shared" si="40"/>
        <v>1</v>
      </c>
      <c r="Z49" s="228">
        <v>21</v>
      </c>
      <c r="AA49" s="255"/>
      <c r="AB49" s="255"/>
      <c r="AC49" s="255"/>
      <c r="AD49" s="280">
        <f t="shared" si="41"/>
        <v>0</v>
      </c>
      <c r="AE49" s="280">
        <f t="shared" si="42"/>
        <v>21</v>
      </c>
      <c r="AF49" s="281">
        <f t="shared" si="43"/>
        <v>1</v>
      </c>
      <c r="AG49" s="229">
        <v>18</v>
      </c>
      <c r="AH49" s="257"/>
      <c r="AI49" s="257"/>
      <c r="AJ49" s="257"/>
      <c r="AK49" s="305">
        <f t="shared" si="44"/>
        <v>0</v>
      </c>
      <c r="AL49" s="305">
        <f t="shared" si="45"/>
        <v>18</v>
      </c>
      <c r="AM49" s="306">
        <f t="shared" si="46"/>
        <v>1</v>
      </c>
      <c r="AN49" s="230">
        <v>14</v>
      </c>
      <c r="AO49" s="259"/>
      <c r="AP49" s="259"/>
      <c r="AQ49" s="259"/>
      <c r="AR49" s="307">
        <f t="shared" si="47"/>
        <v>0</v>
      </c>
      <c r="AS49" s="307">
        <f t="shared" si="48"/>
        <v>14</v>
      </c>
      <c r="AT49" s="308">
        <f t="shared" si="49"/>
        <v>1</v>
      </c>
      <c r="AU49" s="344">
        <f t="shared" si="50"/>
        <v>1</v>
      </c>
      <c r="AV49" s="344">
        <f t="shared" si="51"/>
        <v>0</v>
      </c>
      <c r="AW49" s="344">
        <f t="shared" si="52"/>
        <v>0</v>
      </c>
      <c r="AX49" s="290">
        <v>98</v>
      </c>
      <c r="AY49" s="344">
        <f t="shared" si="53"/>
        <v>97</v>
      </c>
      <c r="AZ49" s="424">
        <f t="shared" si="54"/>
        <v>0.98979591836734693</v>
      </c>
      <c r="BA49" s="293"/>
      <c r="BB49" s="394">
        <v>100</v>
      </c>
      <c r="BC49" s="379">
        <f t="shared" si="55"/>
        <v>0</v>
      </c>
      <c r="BD49" s="378">
        <f t="shared" si="56"/>
        <v>0</v>
      </c>
      <c r="BE49" s="381"/>
      <c r="BF49" s="393">
        <f t="shared" si="31"/>
        <v>100</v>
      </c>
    </row>
    <row r="50" spans="1:58" x14ac:dyDescent="0.35">
      <c r="A50" s="193" t="s">
        <v>45</v>
      </c>
      <c r="B50" s="35">
        <v>242510037</v>
      </c>
      <c r="C50" s="34" t="s">
        <v>1334</v>
      </c>
      <c r="D50" s="38" t="s">
        <v>6</v>
      </c>
      <c r="E50" s="215">
        <v>19</v>
      </c>
      <c r="F50" s="217"/>
      <c r="G50" s="218"/>
      <c r="H50" s="217"/>
      <c r="I50" s="326">
        <f t="shared" si="32"/>
        <v>0</v>
      </c>
      <c r="J50" s="326">
        <f t="shared" si="33"/>
        <v>19</v>
      </c>
      <c r="K50" s="327">
        <f t="shared" si="34"/>
        <v>1</v>
      </c>
      <c r="L50" s="221">
        <v>14</v>
      </c>
      <c r="M50" s="222"/>
      <c r="N50" s="223"/>
      <c r="O50" s="223"/>
      <c r="P50" s="328">
        <f t="shared" si="35"/>
        <v>0</v>
      </c>
      <c r="Q50" s="328">
        <f t="shared" si="36"/>
        <v>14</v>
      </c>
      <c r="R50" s="329">
        <f t="shared" si="37"/>
        <v>1</v>
      </c>
      <c r="S50" s="225">
        <v>12</v>
      </c>
      <c r="T50" s="226"/>
      <c r="U50" s="226"/>
      <c r="V50" s="226"/>
      <c r="W50" s="330">
        <f t="shared" si="38"/>
        <v>0</v>
      </c>
      <c r="X50" s="330">
        <f t="shared" si="39"/>
        <v>12</v>
      </c>
      <c r="Y50" s="331">
        <f t="shared" si="40"/>
        <v>1</v>
      </c>
      <c r="Z50" s="228">
        <v>21</v>
      </c>
      <c r="AA50" s="256"/>
      <c r="AB50" s="256"/>
      <c r="AC50" s="256"/>
      <c r="AD50" s="280">
        <f t="shared" si="41"/>
        <v>0</v>
      </c>
      <c r="AE50" s="280">
        <f t="shared" si="42"/>
        <v>21</v>
      </c>
      <c r="AF50" s="281">
        <f t="shared" si="43"/>
        <v>1</v>
      </c>
      <c r="AG50" s="229">
        <v>18</v>
      </c>
      <c r="AH50" s="258"/>
      <c r="AI50" s="258"/>
      <c r="AJ50" s="258"/>
      <c r="AK50" s="305">
        <f t="shared" si="44"/>
        <v>0</v>
      </c>
      <c r="AL50" s="305">
        <f t="shared" si="45"/>
        <v>18</v>
      </c>
      <c r="AM50" s="306">
        <f t="shared" si="46"/>
        <v>1</v>
      </c>
      <c r="AN50" s="230">
        <v>14</v>
      </c>
      <c r="AO50" s="260"/>
      <c r="AP50" s="260"/>
      <c r="AQ50" s="260"/>
      <c r="AR50" s="307">
        <f t="shared" si="47"/>
        <v>0</v>
      </c>
      <c r="AS50" s="307">
        <f t="shared" si="48"/>
        <v>14</v>
      </c>
      <c r="AT50" s="308">
        <f t="shared" si="49"/>
        <v>1</v>
      </c>
      <c r="AU50" s="344">
        <f t="shared" si="50"/>
        <v>0</v>
      </c>
      <c r="AV50" s="344">
        <f t="shared" si="51"/>
        <v>0</v>
      </c>
      <c r="AW50" s="344">
        <f t="shared" si="52"/>
        <v>0</v>
      </c>
      <c r="AX50" s="290">
        <v>98</v>
      </c>
      <c r="AY50" s="344">
        <f t="shared" si="53"/>
        <v>98</v>
      </c>
      <c r="AZ50" s="424">
        <f t="shared" si="54"/>
        <v>1</v>
      </c>
      <c r="BA50" s="293"/>
      <c r="BB50" s="394">
        <v>98</v>
      </c>
      <c r="BC50" s="379">
        <f t="shared" si="55"/>
        <v>0</v>
      </c>
      <c r="BD50" s="378">
        <f t="shared" si="56"/>
        <v>0</v>
      </c>
      <c r="BE50" s="381"/>
      <c r="BF50" s="393">
        <f t="shared" si="31"/>
        <v>98</v>
      </c>
    </row>
    <row r="51" spans="1:58" x14ac:dyDescent="0.35">
      <c r="A51" s="193" t="s">
        <v>46</v>
      </c>
      <c r="B51" s="35">
        <v>242510038</v>
      </c>
      <c r="C51" s="333" t="s">
        <v>1335</v>
      </c>
      <c r="D51" s="38" t="s">
        <v>6</v>
      </c>
      <c r="E51" s="215">
        <v>19</v>
      </c>
      <c r="F51" s="217"/>
      <c r="G51" s="218"/>
      <c r="H51" s="217"/>
      <c r="I51" s="326">
        <f t="shared" si="32"/>
        <v>0</v>
      </c>
      <c r="J51" s="326">
        <f t="shared" si="33"/>
        <v>19</v>
      </c>
      <c r="K51" s="327">
        <f t="shared" si="34"/>
        <v>1</v>
      </c>
      <c r="L51" s="221">
        <v>14</v>
      </c>
      <c r="M51" s="222"/>
      <c r="N51" s="223"/>
      <c r="O51" s="223"/>
      <c r="P51" s="328">
        <f t="shared" si="35"/>
        <v>0</v>
      </c>
      <c r="Q51" s="328">
        <f t="shared" si="36"/>
        <v>14</v>
      </c>
      <c r="R51" s="329">
        <f t="shared" si="37"/>
        <v>1</v>
      </c>
      <c r="S51" s="225">
        <v>12</v>
      </c>
      <c r="T51" s="226"/>
      <c r="U51" s="226"/>
      <c r="V51" s="226"/>
      <c r="W51" s="330">
        <f t="shared" si="38"/>
        <v>0</v>
      </c>
      <c r="X51" s="330">
        <f t="shared" si="39"/>
        <v>12</v>
      </c>
      <c r="Y51" s="331">
        <f t="shared" si="40"/>
        <v>1</v>
      </c>
      <c r="Z51" s="228">
        <v>21</v>
      </c>
      <c r="AA51" s="256"/>
      <c r="AB51" s="256"/>
      <c r="AC51" s="256"/>
      <c r="AD51" s="280">
        <f t="shared" si="41"/>
        <v>0</v>
      </c>
      <c r="AE51" s="280">
        <f t="shared" si="42"/>
        <v>21</v>
      </c>
      <c r="AF51" s="281">
        <f t="shared" si="43"/>
        <v>1</v>
      </c>
      <c r="AG51" s="229">
        <v>18</v>
      </c>
      <c r="AH51" s="258"/>
      <c r="AI51" s="258"/>
      <c r="AJ51" s="258"/>
      <c r="AK51" s="305">
        <f t="shared" si="44"/>
        <v>0</v>
      </c>
      <c r="AL51" s="305">
        <f t="shared" si="45"/>
        <v>18</v>
      </c>
      <c r="AM51" s="306">
        <f t="shared" si="46"/>
        <v>1</v>
      </c>
      <c r="AN51" s="230">
        <v>14</v>
      </c>
      <c r="AO51" s="260"/>
      <c r="AP51" s="260"/>
      <c r="AQ51" s="260"/>
      <c r="AR51" s="307">
        <f t="shared" si="47"/>
        <v>0</v>
      </c>
      <c r="AS51" s="307">
        <f t="shared" si="48"/>
        <v>14</v>
      </c>
      <c r="AT51" s="308">
        <f t="shared" si="49"/>
        <v>1</v>
      </c>
      <c r="AU51" s="344">
        <f t="shared" si="50"/>
        <v>0</v>
      </c>
      <c r="AV51" s="344">
        <f t="shared" si="51"/>
        <v>0</v>
      </c>
      <c r="AW51" s="344">
        <f t="shared" si="52"/>
        <v>0</v>
      </c>
      <c r="AX51" s="290">
        <v>98</v>
      </c>
      <c r="AY51" s="344">
        <f t="shared" si="53"/>
        <v>98</v>
      </c>
      <c r="AZ51" s="424">
        <f t="shared" si="54"/>
        <v>1</v>
      </c>
      <c r="BA51" s="293"/>
      <c r="BB51" s="394">
        <v>96</v>
      </c>
      <c r="BC51" s="379">
        <f t="shared" si="55"/>
        <v>0</v>
      </c>
      <c r="BD51" s="378">
        <f t="shared" si="56"/>
        <v>0</v>
      </c>
      <c r="BE51" s="381"/>
      <c r="BF51" s="393">
        <f t="shared" si="31"/>
        <v>96</v>
      </c>
    </row>
    <row r="52" spans="1:58" x14ac:dyDescent="0.35">
      <c r="A52" s="193" t="s">
        <v>47</v>
      </c>
      <c r="B52" s="35">
        <v>242510040</v>
      </c>
      <c r="C52" s="334" t="s">
        <v>1336</v>
      </c>
      <c r="D52" s="38" t="s">
        <v>6</v>
      </c>
      <c r="E52" s="215">
        <v>19</v>
      </c>
      <c r="F52" s="217"/>
      <c r="G52" s="218"/>
      <c r="H52" s="217"/>
      <c r="I52" s="326">
        <f t="shared" si="32"/>
        <v>0</v>
      </c>
      <c r="J52" s="326">
        <f t="shared" si="33"/>
        <v>19</v>
      </c>
      <c r="K52" s="327">
        <f t="shared" si="34"/>
        <v>1</v>
      </c>
      <c r="L52" s="221">
        <v>14</v>
      </c>
      <c r="M52" s="222"/>
      <c r="N52" s="223"/>
      <c r="O52" s="223"/>
      <c r="P52" s="328">
        <f t="shared" si="35"/>
        <v>0</v>
      </c>
      <c r="Q52" s="328">
        <f t="shared" si="36"/>
        <v>14</v>
      </c>
      <c r="R52" s="329">
        <f t="shared" si="37"/>
        <v>1</v>
      </c>
      <c r="S52" s="225">
        <v>12</v>
      </c>
      <c r="T52" s="226"/>
      <c r="U52" s="226"/>
      <c r="V52" s="226"/>
      <c r="W52" s="330">
        <f t="shared" si="38"/>
        <v>0</v>
      </c>
      <c r="X52" s="330">
        <f t="shared" si="39"/>
        <v>12</v>
      </c>
      <c r="Y52" s="331">
        <f t="shared" si="40"/>
        <v>1</v>
      </c>
      <c r="Z52" s="228">
        <v>21</v>
      </c>
      <c r="AA52" s="256"/>
      <c r="AB52" s="256"/>
      <c r="AC52" s="256"/>
      <c r="AD52" s="280">
        <f t="shared" si="41"/>
        <v>0</v>
      </c>
      <c r="AE52" s="280">
        <f t="shared" si="42"/>
        <v>21</v>
      </c>
      <c r="AF52" s="281">
        <f t="shared" si="43"/>
        <v>1</v>
      </c>
      <c r="AG52" s="229">
        <v>18</v>
      </c>
      <c r="AH52" s="258"/>
      <c r="AI52" s="258"/>
      <c r="AJ52" s="258"/>
      <c r="AK52" s="305">
        <f t="shared" si="44"/>
        <v>0</v>
      </c>
      <c r="AL52" s="305">
        <f t="shared" si="45"/>
        <v>18</v>
      </c>
      <c r="AM52" s="306">
        <f t="shared" si="46"/>
        <v>1</v>
      </c>
      <c r="AN52" s="230">
        <v>14</v>
      </c>
      <c r="AO52" s="260"/>
      <c r="AP52" s="260"/>
      <c r="AQ52" s="260"/>
      <c r="AR52" s="307">
        <f t="shared" si="47"/>
        <v>0</v>
      </c>
      <c r="AS52" s="307">
        <f t="shared" si="48"/>
        <v>14</v>
      </c>
      <c r="AT52" s="308">
        <f t="shared" si="49"/>
        <v>1</v>
      </c>
      <c r="AU52" s="344">
        <f t="shared" si="50"/>
        <v>0</v>
      </c>
      <c r="AV52" s="344">
        <f t="shared" si="51"/>
        <v>0</v>
      </c>
      <c r="AW52" s="344">
        <f t="shared" si="52"/>
        <v>0</v>
      </c>
      <c r="AX52" s="290">
        <v>98</v>
      </c>
      <c r="AY52" s="344">
        <f t="shared" si="53"/>
        <v>98</v>
      </c>
      <c r="AZ52" s="424">
        <f t="shared" si="54"/>
        <v>1</v>
      </c>
      <c r="BA52" s="293">
        <v>1</v>
      </c>
      <c r="BB52" s="394">
        <v>100</v>
      </c>
      <c r="BC52" s="379">
        <f t="shared" si="55"/>
        <v>2</v>
      </c>
      <c r="BD52" s="378">
        <f t="shared" si="56"/>
        <v>0</v>
      </c>
      <c r="BE52" s="381"/>
      <c r="BF52" s="393">
        <f t="shared" si="31"/>
        <v>98</v>
      </c>
    </row>
    <row r="53" spans="1:58" x14ac:dyDescent="0.35">
      <c r="A53" s="193" t="s">
        <v>48</v>
      </c>
      <c r="B53" s="35">
        <v>242510041</v>
      </c>
      <c r="C53" s="333" t="s">
        <v>1337</v>
      </c>
      <c r="D53" s="38" t="s">
        <v>6</v>
      </c>
      <c r="E53" s="215">
        <v>19</v>
      </c>
      <c r="F53" s="217"/>
      <c r="G53" s="218"/>
      <c r="H53" s="217"/>
      <c r="I53" s="326">
        <f t="shared" si="32"/>
        <v>0</v>
      </c>
      <c r="J53" s="326">
        <f t="shared" si="33"/>
        <v>19</v>
      </c>
      <c r="K53" s="327">
        <f t="shared" si="34"/>
        <v>1</v>
      </c>
      <c r="L53" s="221">
        <v>14</v>
      </c>
      <c r="M53" s="222"/>
      <c r="N53" s="223"/>
      <c r="O53" s="223"/>
      <c r="P53" s="328">
        <f t="shared" si="35"/>
        <v>0</v>
      </c>
      <c r="Q53" s="328">
        <f t="shared" si="36"/>
        <v>14</v>
      </c>
      <c r="R53" s="329">
        <f t="shared" si="37"/>
        <v>1</v>
      </c>
      <c r="S53" s="225">
        <v>12</v>
      </c>
      <c r="T53" s="226"/>
      <c r="U53" s="226"/>
      <c r="V53" s="226"/>
      <c r="W53" s="330">
        <f t="shared" si="38"/>
        <v>0</v>
      </c>
      <c r="X53" s="330">
        <f t="shared" si="39"/>
        <v>12</v>
      </c>
      <c r="Y53" s="331">
        <f t="shared" si="40"/>
        <v>1</v>
      </c>
      <c r="Z53" s="228">
        <v>21</v>
      </c>
      <c r="AA53" s="256"/>
      <c r="AB53" s="256"/>
      <c r="AC53" s="256"/>
      <c r="AD53" s="280">
        <f t="shared" si="41"/>
        <v>0</v>
      </c>
      <c r="AE53" s="280">
        <f t="shared" si="42"/>
        <v>21</v>
      </c>
      <c r="AF53" s="281">
        <f t="shared" si="43"/>
        <v>1</v>
      </c>
      <c r="AG53" s="229">
        <v>18</v>
      </c>
      <c r="AH53" s="258"/>
      <c r="AI53" s="258"/>
      <c r="AJ53" s="258"/>
      <c r="AK53" s="305">
        <f t="shared" si="44"/>
        <v>0</v>
      </c>
      <c r="AL53" s="305">
        <f t="shared" si="45"/>
        <v>18</v>
      </c>
      <c r="AM53" s="306">
        <f t="shared" si="46"/>
        <v>1</v>
      </c>
      <c r="AN53" s="230">
        <v>14</v>
      </c>
      <c r="AO53" s="260"/>
      <c r="AP53" s="260"/>
      <c r="AQ53" s="260"/>
      <c r="AR53" s="307">
        <f t="shared" si="47"/>
        <v>0</v>
      </c>
      <c r="AS53" s="307">
        <f t="shared" si="48"/>
        <v>14</v>
      </c>
      <c r="AT53" s="308">
        <f t="shared" si="49"/>
        <v>1</v>
      </c>
      <c r="AU53" s="344">
        <f t="shared" si="50"/>
        <v>0</v>
      </c>
      <c r="AV53" s="344">
        <f t="shared" si="51"/>
        <v>0</v>
      </c>
      <c r="AW53" s="344">
        <f t="shared" si="52"/>
        <v>0</v>
      </c>
      <c r="AX53" s="290">
        <v>98</v>
      </c>
      <c r="AY53" s="344">
        <f t="shared" si="53"/>
        <v>98</v>
      </c>
      <c r="AZ53" s="424">
        <f t="shared" si="54"/>
        <v>1</v>
      </c>
      <c r="BA53" s="293"/>
      <c r="BB53" s="394">
        <v>98</v>
      </c>
      <c r="BC53" s="379">
        <f t="shared" si="55"/>
        <v>0</v>
      </c>
      <c r="BD53" s="378">
        <f t="shared" si="56"/>
        <v>0</v>
      </c>
      <c r="BE53" s="381"/>
      <c r="BF53" s="393">
        <f t="shared" si="31"/>
        <v>98</v>
      </c>
    </row>
    <row r="54" spans="1:58" s="323" customFormat="1" x14ac:dyDescent="0.35"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86"/>
      <c r="AV54" s="286"/>
      <c r="AW54" s="286"/>
      <c r="AX54" s="286"/>
      <c r="AY54" s="286"/>
      <c r="AZ54" s="286"/>
      <c r="BA54" s="286"/>
      <c r="BB54" s="395"/>
      <c r="BC54" s="205"/>
      <c r="BD54" s="205"/>
      <c r="BE54" s="287"/>
      <c r="BF54" s="319"/>
    </row>
    <row r="55" spans="1:58" s="323" customFormat="1" x14ac:dyDescent="0.35"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86"/>
      <c r="AV55" s="286"/>
      <c r="AW55" s="286"/>
      <c r="AX55" s="286"/>
      <c r="AY55" s="286"/>
      <c r="AZ55" s="286"/>
      <c r="BA55" s="286"/>
      <c r="BB55" s="395"/>
      <c r="BC55" s="205"/>
      <c r="BD55" s="205"/>
      <c r="BE55" s="287"/>
      <c r="BF55" s="319"/>
    </row>
    <row r="56" spans="1:58" s="323" customFormat="1" ht="16" thickBot="1" x14ac:dyDescent="0.4">
      <c r="A56" s="324" t="s">
        <v>237</v>
      </c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86"/>
      <c r="AV56" s="286"/>
      <c r="AW56" s="286"/>
      <c r="AX56" s="286"/>
      <c r="AY56" s="286"/>
      <c r="AZ56" s="286"/>
      <c r="BA56" s="286"/>
      <c r="BB56" s="395"/>
      <c r="BC56" s="205"/>
      <c r="BD56" s="205"/>
      <c r="BE56" s="287"/>
      <c r="BF56" s="319"/>
    </row>
    <row r="57" spans="1:58" s="325" customFormat="1" ht="25" customHeight="1" thickBot="1" x14ac:dyDescent="0.4">
      <c r="A57" s="447" t="s">
        <v>1072</v>
      </c>
      <c r="B57" s="447" t="s">
        <v>2</v>
      </c>
      <c r="C57" s="448" t="s">
        <v>1606</v>
      </c>
      <c r="D57" s="448" t="s">
        <v>4</v>
      </c>
      <c r="E57" s="431" t="s">
        <v>1612</v>
      </c>
      <c r="F57" s="431"/>
      <c r="G57" s="431"/>
      <c r="H57" s="431"/>
      <c r="I57" s="431"/>
      <c r="J57" s="431"/>
      <c r="K57" s="431"/>
      <c r="L57" s="432" t="s">
        <v>1613</v>
      </c>
      <c r="M57" s="432"/>
      <c r="N57" s="432"/>
      <c r="O57" s="432"/>
      <c r="P57" s="432"/>
      <c r="Q57" s="432"/>
      <c r="R57" s="432"/>
      <c r="S57" s="433" t="s">
        <v>1614</v>
      </c>
      <c r="T57" s="433"/>
      <c r="U57" s="433"/>
      <c r="V57" s="433"/>
      <c r="W57" s="433"/>
      <c r="X57" s="433"/>
      <c r="Y57" s="433"/>
      <c r="Z57" s="434" t="s">
        <v>1615</v>
      </c>
      <c r="AA57" s="434"/>
      <c r="AB57" s="434"/>
      <c r="AC57" s="434"/>
      <c r="AD57" s="434"/>
      <c r="AE57" s="434"/>
      <c r="AF57" s="434"/>
      <c r="AG57" s="435" t="s">
        <v>1616</v>
      </c>
      <c r="AH57" s="435"/>
      <c r="AI57" s="435"/>
      <c r="AJ57" s="435"/>
      <c r="AK57" s="435"/>
      <c r="AL57" s="435"/>
      <c r="AM57" s="435"/>
      <c r="AN57" s="436" t="s">
        <v>1617</v>
      </c>
      <c r="AO57" s="436"/>
      <c r="AP57" s="436"/>
      <c r="AQ57" s="436"/>
      <c r="AR57" s="436"/>
      <c r="AS57" s="436"/>
      <c r="AT57" s="436"/>
      <c r="AU57" s="438" t="s">
        <v>224</v>
      </c>
      <c r="AV57" s="438"/>
      <c r="AW57" s="438"/>
      <c r="AX57" s="437" t="s">
        <v>1602</v>
      </c>
      <c r="AY57" s="437" t="s">
        <v>1603</v>
      </c>
      <c r="AZ57" s="437" t="s">
        <v>1604</v>
      </c>
      <c r="BA57" s="443" t="s">
        <v>1076</v>
      </c>
      <c r="BB57" s="430" t="s">
        <v>883</v>
      </c>
      <c r="BC57" s="428" t="s">
        <v>880</v>
      </c>
      <c r="BD57" s="428"/>
      <c r="BE57" s="428"/>
      <c r="BF57" s="429" t="s">
        <v>884</v>
      </c>
    </row>
    <row r="58" spans="1:58" s="325" customFormat="1" ht="55" customHeight="1" thickBot="1" x14ac:dyDescent="0.4">
      <c r="A58" s="447"/>
      <c r="B58" s="447"/>
      <c r="C58" s="448"/>
      <c r="D58" s="448"/>
      <c r="E58" s="235" t="s">
        <v>1598</v>
      </c>
      <c r="F58" s="236" t="s">
        <v>20</v>
      </c>
      <c r="G58" s="236" t="s">
        <v>19</v>
      </c>
      <c r="H58" s="236" t="s">
        <v>52</v>
      </c>
      <c r="I58" s="237" t="s">
        <v>1599</v>
      </c>
      <c r="J58" s="237" t="s">
        <v>1600</v>
      </c>
      <c r="K58" s="237" t="s">
        <v>1601</v>
      </c>
      <c r="L58" s="202" t="s">
        <v>1598</v>
      </c>
      <c r="M58" s="206" t="s">
        <v>20</v>
      </c>
      <c r="N58" s="206" t="s">
        <v>19</v>
      </c>
      <c r="O58" s="206" t="s">
        <v>52</v>
      </c>
      <c r="P58" s="207" t="s">
        <v>1599</v>
      </c>
      <c r="Q58" s="207" t="s">
        <v>1600</v>
      </c>
      <c r="R58" s="207" t="s">
        <v>1601</v>
      </c>
      <c r="S58" s="238" t="s">
        <v>1598</v>
      </c>
      <c r="T58" s="239" t="s">
        <v>20</v>
      </c>
      <c r="U58" s="239" t="s">
        <v>19</v>
      </c>
      <c r="V58" s="239" t="s">
        <v>52</v>
      </c>
      <c r="W58" s="224" t="s">
        <v>1599</v>
      </c>
      <c r="X58" s="224" t="s">
        <v>1600</v>
      </c>
      <c r="Y58" s="224" t="s">
        <v>1601</v>
      </c>
      <c r="Z58" s="240" t="s">
        <v>1598</v>
      </c>
      <c r="AA58" s="241" t="s">
        <v>20</v>
      </c>
      <c r="AB58" s="241" t="s">
        <v>19</v>
      </c>
      <c r="AC58" s="241" t="s">
        <v>52</v>
      </c>
      <c r="AD58" s="208" t="s">
        <v>1599</v>
      </c>
      <c r="AE58" s="208" t="s">
        <v>1600</v>
      </c>
      <c r="AF58" s="208" t="s">
        <v>1601</v>
      </c>
      <c r="AG58" s="209" t="s">
        <v>1598</v>
      </c>
      <c r="AH58" s="210" t="s">
        <v>20</v>
      </c>
      <c r="AI58" s="210" t="s">
        <v>19</v>
      </c>
      <c r="AJ58" s="210" t="s">
        <v>52</v>
      </c>
      <c r="AK58" s="211" t="s">
        <v>1599</v>
      </c>
      <c r="AL58" s="211" t="s">
        <v>1600</v>
      </c>
      <c r="AM58" s="211" t="s">
        <v>1601</v>
      </c>
      <c r="AN58" s="212" t="s">
        <v>1598</v>
      </c>
      <c r="AO58" s="213" t="s">
        <v>20</v>
      </c>
      <c r="AP58" s="213" t="s">
        <v>19</v>
      </c>
      <c r="AQ58" s="213" t="s">
        <v>52</v>
      </c>
      <c r="AR58" s="214" t="s">
        <v>1599</v>
      </c>
      <c r="AS58" s="214" t="s">
        <v>1600</v>
      </c>
      <c r="AT58" s="214" t="s">
        <v>1601</v>
      </c>
      <c r="AU58" s="203" t="s">
        <v>20</v>
      </c>
      <c r="AV58" s="204" t="s">
        <v>19</v>
      </c>
      <c r="AW58" s="204" t="s">
        <v>52</v>
      </c>
      <c r="AX58" s="437"/>
      <c r="AY58" s="437"/>
      <c r="AZ58" s="437"/>
      <c r="BA58" s="444"/>
      <c r="BB58" s="430"/>
      <c r="BC58" s="375" t="s">
        <v>881</v>
      </c>
      <c r="BD58" s="377" t="s">
        <v>885</v>
      </c>
      <c r="BE58" s="376" t="s">
        <v>882</v>
      </c>
      <c r="BF58" s="429"/>
    </row>
    <row r="59" spans="1:58" x14ac:dyDescent="0.35">
      <c r="A59" s="193" t="s">
        <v>21</v>
      </c>
      <c r="B59" s="35">
        <v>242510043</v>
      </c>
      <c r="C59" s="261" t="s">
        <v>1338</v>
      </c>
      <c r="D59" s="127" t="s">
        <v>6</v>
      </c>
      <c r="E59" s="215">
        <v>19</v>
      </c>
      <c r="F59" s="216"/>
      <c r="G59" s="216"/>
      <c r="H59" s="216"/>
      <c r="I59" s="326">
        <f>SUM(F59:H59)</f>
        <v>0</v>
      </c>
      <c r="J59" s="326">
        <f>E59-I59</f>
        <v>19</v>
      </c>
      <c r="K59" s="327">
        <f>J59/E59</f>
        <v>1</v>
      </c>
      <c r="L59" s="221">
        <v>14</v>
      </c>
      <c r="M59" s="221"/>
      <c r="N59" s="221"/>
      <c r="O59" s="221"/>
      <c r="P59" s="328">
        <f>SUM(M59:O59)</f>
        <v>0</v>
      </c>
      <c r="Q59" s="328">
        <f>L59-P59</f>
        <v>14</v>
      </c>
      <c r="R59" s="329">
        <f>Q59/L59</f>
        <v>1</v>
      </c>
      <c r="S59" s="225">
        <v>12</v>
      </c>
      <c r="T59" s="225"/>
      <c r="U59" s="225"/>
      <c r="V59" s="225"/>
      <c r="W59" s="330">
        <f>SUM(T59:V59)</f>
        <v>0</v>
      </c>
      <c r="X59" s="330">
        <f>S59-W59</f>
        <v>12</v>
      </c>
      <c r="Y59" s="331">
        <f>X59/S59</f>
        <v>1</v>
      </c>
      <c r="Z59" s="228">
        <v>21</v>
      </c>
      <c r="AA59" s="228"/>
      <c r="AB59" s="228"/>
      <c r="AC59" s="228"/>
      <c r="AD59" s="280">
        <f>SUM(AA59:AC59)</f>
        <v>0</v>
      </c>
      <c r="AE59" s="280">
        <f>Z59-AD59</f>
        <v>21</v>
      </c>
      <c r="AF59" s="281">
        <f>AE59/Z59</f>
        <v>1</v>
      </c>
      <c r="AG59" s="229">
        <v>18</v>
      </c>
      <c r="AH59" s="229"/>
      <c r="AI59" s="229"/>
      <c r="AJ59" s="229"/>
      <c r="AK59" s="305">
        <f>SUM(AH59:AJ59)</f>
        <v>0</v>
      </c>
      <c r="AL59" s="305">
        <f>AG59-AK59</f>
        <v>18</v>
      </c>
      <c r="AM59" s="306">
        <f>AL59/AG59</f>
        <v>1</v>
      </c>
      <c r="AN59" s="230">
        <v>14</v>
      </c>
      <c r="AO59" s="230"/>
      <c r="AP59" s="230"/>
      <c r="AQ59" s="230"/>
      <c r="AR59" s="307">
        <f>SUM(AO59:AQ59)</f>
        <v>0</v>
      </c>
      <c r="AS59" s="307">
        <f>AN59-AR59</f>
        <v>14</v>
      </c>
      <c r="AT59" s="308">
        <f>AS59/AN59</f>
        <v>1</v>
      </c>
      <c r="AU59" s="289"/>
      <c r="AV59" s="289"/>
      <c r="AW59" s="289"/>
      <c r="AX59" s="290">
        <v>98</v>
      </c>
      <c r="AY59" s="289">
        <f>AX59-AU59-AV59-AW59</f>
        <v>98</v>
      </c>
      <c r="AZ59" s="291">
        <f t="shared" ref="AZ59" si="57">AY59/AX59</f>
        <v>1</v>
      </c>
      <c r="BA59" s="292">
        <v>3</v>
      </c>
      <c r="BB59" s="393" cm="1">
        <f t="array" ref="BB59:BB87">[1]XI!$BF$60:$BF$88</f>
        <v>54</v>
      </c>
      <c r="BC59" s="379">
        <f t="shared" ref="BC59" si="58">BA59*2</f>
        <v>6</v>
      </c>
      <c r="BD59" s="378">
        <f t="shared" ref="BD59" si="59">AW59*2</f>
        <v>0</v>
      </c>
      <c r="BE59" s="381"/>
      <c r="BF59" s="393">
        <f t="shared" ref="BF59:BF87" si="60">BB59-BC59-BD59-BE59</f>
        <v>48</v>
      </c>
    </row>
    <row r="60" spans="1:58" x14ac:dyDescent="0.35">
      <c r="A60" s="193" t="s">
        <v>22</v>
      </c>
      <c r="B60" s="35">
        <v>242510044</v>
      </c>
      <c r="C60" s="261" t="s">
        <v>1339</v>
      </c>
      <c r="D60" s="35" t="s">
        <v>6</v>
      </c>
      <c r="E60" s="215">
        <v>19</v>
      </c>
      <c r="F60" s="217"/>
      <c r="G60" s="217"/>
      <c r="H60" s="217"/>
      <c r="I60" s="326">
        <f t="shared" ref="I60:I87" si="61">SUM(F60:H60)</f>
        <v>0</v>
      </c>
      <c r="J60" s="326">
        <f t="shared" ref="J60:J87" si="62">E60-I60</f>
        <v>19</v>
      </c>
      <c r="K60" s="327">
        <f t="shared" ref="K60:K87" si="63">J60/E60</f>
        <v>1</v>
      </c>
      <c r="L60" s="221">
        <v>14</v>
      </c>
      <c r="M60" s="222"/>
      <c r="N60" s="223"/>
      <c r="O60" s="222"/>
      <c r="P60" s="328">
        <f t="shared" ref="P60:P87" si="64">SUM(M60:O60)</f>
        <v>0</v>
      </c>
      <c r="Q60" s="328">
        <f t="shared" ref="Q60:Q87" si="65">L60-P60</f>
        <v>14</v>
      </c>
      <c r="R60" s="329">
        <f t="shared" ref="R60:R87" si="66">Q60/L60</f>
        <v>1</v>
      </c>
      <c r="S60" s="225">
        <v>18</v>
      </c>
      <c r="T60" s="226"/>
      <c r="U60" s="226"/>
      <c r="V60" s="226"/>
      <c r="W60" s="330">
        <f t="shared" ref="W60:W87" si="67">SUM(T60:V60)</f>
        <v>0</v>
      </c>
      <c r="X60" s="330">
        <f t="shared" ref="X60:X87" si="68">S60-W60</f>
        <v>18</v>
      </c>
      <c r="Y60" s="331">
        <f t="shared" ref="Y60:Y87" si="69">X60/S60</f>
        <v>1</v>
      </c>
      <c r="Z60" s="228">
        <v>21</v>
      </c>
      <c r="AA60" s="256"/>
      <c r="AB60" s="256"/>
      <c r="AC60" s="256"/>
      <c r="AD60" s="280">
        <f t="shared" ref="AD60:AD87" si="70">SUM(AA60:AC60)</f>
        <v>0</v>
      </c>
      <c r="AE60" s="280">
        <f t="shared" ref="AE60:AE87" si="71">Z60-AD60</f>
        <v>21</v>
      </c>
      <c r="AF60" s="281">
        <f t="shared" ref="AF60:AF87" si="72">AE60/Z60</f>
        <v>1</v>
      </c>
      <c r="AG60" s="229">
        <v>24</v>
      </c>
      <c r="AH60" s="258"/>
      <c r="AI60" s="258"/>
      <c r="AJ60" s="258"/>
      <c r="AK60" s="305">
        <f t="shared" ref="AK60:AK87" si="73">SUM(AH60:AJ60)</f>
        <v>0</v>
      </c>
      <c r="AL60" s="305">
        <f t="shared" ref="AL60:AL87" si="74">AG60-AK60</f>
        <v>24</v>
      </c>
      <c r="AM60" s="306">
        <f t="shared" ref="AM60:AM87" si="75">AL60/AG60</f>
        <v>1</v>
      </c>
      <c r="AN60" s="230">
        <v>14</v>
      </c>
      <c r="AO60" s="260"/>
      <c r="AP60" s="260"/>
      <c r="AQ60" s="260"/>
      <c r="AR60" s="307">
        <f t="shared" ref="AR60:AR87" si="76">SUM(AO60:AQ60)</f>
        <v>0</v>
      </c>
      <c r="AS60" s="307">
        <f t="shared" ref="AS60:AS87" si="77">AN60-AR60</f>
        <v>14</v>
      </c>
      <c r="AT60" s="308">
        <f t="shared" ref="AT60:AT87" si="78">AS60/AN60</f>
        <v>1</v>
      </c>
      <c r="AU60" s="289"/>
      <c r="AV60" s="289"/>
      <c r="AW60" s="289"/>
      <c r="AX60" s="290">
        <v>98</v>
      </c>
      <c r="AY60" s="289">
        <f t="shared" ref="AY60:AY87" si="79">AX60-AU60-AV60-AW60</f>
        <v>98</v>
      </c>
      <c r="AZ60" s="291">
        <f t="shared" ref="AZ60:AZ87" si="80">AY60/AX60</f>
        <v>1</v>
      </c>
      <c r="BA60" s="293"/>
      <c r="BB60" s="394">
        <v>90</v>
      </c>
      <c r="BC60" s="379">
        <f t="shared" ref="BC60:BC87" si="81">BA60*2</f>
        <v>0</v>
      </c>
      <c r="BD60" s="378">
        <f t="shared" ref="BD60:BD87" si="82">AW60*2</f>
        <v>0</v>
      </c>
      <c r="BE60" s="381"/>
      <c r="BF60" s="393">
        <f t="shared" si="60"/>
        <v>90</v>
      </c>
    </row>
    <row r="61" spans="1:58" x14ac:dyDescent="0.35">
      <c r="A61" s="193" t="s">
        <v>23</v>
      </c>
      <c r="B61" s="35">
        <v>242510045</v>
      </c>
      <c r="C61" s="261" t="s">
        <v>1340</v>
      </c>
      <c r="D61" s="35" t="s">
        <v>6</v>
      </c>
      <c r="E61" s="215">
        <v>19</v>
      </c>
      <c r="F61" s="217"/>
      <c r="G61" s="217"/>
      <c r="H61" s="217"/>
      <c r="I61" s="326">
        <f t="shared" si="61"/>
        <v>0</v>
      </c>
      <c r="J61" s="326">
        <f t="shared" si="62"/>
        <v>19</v>
      </c>
      <c r="K61" s="327">
        <f t="shared" si="63"/>
        <v>1</v>
      </c>
      <c r="L61" s="221">
        <v>14</v>
      </c>
      <c r="M61" s="222"/>
      <c r="N61" s="223"/>
      <c r="O61" s="222"/>
      <c r="P61" s="328">
        <f t="shared" si="64"/>
        <v>0</v>
      </c>
      <c r="Q61" s="328">
        <f t="shared" si="65"/>
        <v>14</v>
      </c>
      <c r="R61" s="329">
        <f t="shared" si="66"/>
        <v>1</v>
      </c>
      <c r="S61" s="225">
        <v>18</v>
      </c>
      <c r="T61" s="226"/>
      <c r="U61" s="226"/>
      <c r="V61" s="226"/>
      <c r="W61" s="330">
        <f t="shared" si="67"/>
        <v>0</v>
      </c>
      <c r="X61" s="330">
        <f t="shared" si="68"/>
        <v>18</v>
      </c>
      <c r="Y61" s="331">
        <f t="shared" si="69"/>
        <v>1</v>
      </c>
      <c r="Z61" s="228">
        <v>21</v>
      </c>
      <c r="AA61" s="256"/>
      <c r="AB61" s="256"/>
      <c r="AC61" s="256"/>
      <c r="AD61" s="280">
        <f t="shared" si="70"/>
        <v>0</v>
      </c>
      <c r="AE61" s="280">
        <f t="shared" si="71"/>
        <v>21</v>
      </c>
      <c r="AF61" s="281">
        <f t="shared" si="72"/>
        <v>1</v>
      </c>
      <c r="AG61" s="229">
        <v>24</v>
      </c>
      <c r="AH61" s="258"/>
      <c r="AI61" s="258"/>
      <c r="AJ61" s="258"/>
      <c r="AK61" s="305">
        <f t="shared" si="73"/>
        <v>0</v>
      </c>
      <c r="AL61" s="305">
        <f t="shared" si="74"/>
        <v>24</v>
      </c>
      <c r="AM61" s="306">
        <f t="shared" si="75"/>
        <v>1</v>
      </c>
      <c r="AN61" s="230">
        <v>14</v>
      </c>
      <c r="AO61" s="260"/>
      <c r="AP61" s="260"/>
      <c r="AQ61" s="260"/>
      <c r="AR61" s="307">
        <f t="shared" si="76"/>
        <v>0</v>
      </c>
      <c r="AS61" s="307">
        <f t="shared" si="77"/>
        <v>14</v>
      </c>
      <c r="AT61" s="308">
        <f t="shared" si="78"/>
        <v>1</v>
      </c>
      <c r="AU61" s="289"/>
      <c r="AV61" s="289"/>
      <c r="AW61" s="289"/>
      <c r="AX61" s="290">
        <v>98</v>
      </c>
      <c r="AY61" s="289">
        <f t="shared" si="79"/>
        <v>98</v>
      </c>
      <c r="AZ61" s="291">
        <f t="shared" si="80"/>
        <v>1</v>
      </c>
      <c r="BA61" s="293">
        <v>3</v>
      </c>
      <c r="BB61" s="394">
        <v>82</v>
      </c>
      <c r="BC61" s="379">
        <f t="shared" si="81"/>
        <v>6</v>
      </c>
      <c r="BD61" s="378">
        <f t="shared" si="82"/>
        <v>0</v>
      </c>
      <c r="BE61" s="381"/>
      <c r="BF61" s="393">
        <f t="shared" si="60"/>
        <v>76</v>
      </c>
    </row>
    <row r="62" spans="1:58" x14ac:dyDescent="0.35">
      <c r="A62" s="193" t="s">
        <v>24</v>
      </c>
      <c r="B62" s="35">
        <v>242510046</v>
      </c>
      <c r="C62" s="261" t="s">
        <v>1341</v>
      </c>
      <c r="D62" s="35" t="s">
        <v>6</v>
      </c>
      <c r="E62" s="215">
        <v>19</v>
      </c>
      <c r="F62" s="217"/>
      <c r="G62" s="217"/>
      <c r="H62" s="217"/>
      <c r="I62" s="326">
        <f t="shared" si="61"/>
        <v>0</v>
      </c>
      <c r="J62" s="326">
        <f t="shared" si="62"/>
        <v>19</v>
      </c>
      <c r="K62" s="327">
        <f t="shared" si="63"/>
        <v>1</v>
      </c>
      <c r="L62" s="221">
        <v>14</v>
      </c>
      <c r="M62" s="222"/>
      <c r="N62" s="223"/>
      <c r="O62" s="222"/>
      <c r="P62" s="328">
        <f t="shared" si="64"/>
        <v>0</v>
      </c>
      <c r="Q62" s="328">
        <f t="shared" si="65"/>
        <v>14</v>
      </c>
      <c r="R62" s="329">
        <f t="shared" si="66"/>
        <v>1</v>
      </c>
      <c r="S62" s="225">
        <v>18</v>
      </c>
      <c r="T62" s="226"/>
      <c r="U62" s="226"/>
      <c r="V62" s="226"/>
      <c r="W62" s="330">
        <f t="shared" si="67"/>
        <v>0</v>
      </c>
      <c r="X62" s="330">
        <f t="shared" si="68"/>
        <v>18</v>
      </c>
      <c r="Y62" s="331">
        <f t="shared" si="69"/>
        <v>1</v>
      </c>
      <c r="Z62" s="228">
        <v>21</v>
      </c>
      <c r="AA62" s="256"/>
      <c r="AB62" s="256"/>
      <c r="AC62" s="256"/>
      <c r="AD62" s="280">
        <f t="shared" si="70"/>
        <v>0</v>
      </c>
      <c r="AE62" s="280">
        <f t="shared" si="71"/>
        <v>21</v>
      </c>
      <c r="AF62" s="281">
        <f t="shared" si="72"/>
        <v>1</v>
      </c>
      <c r="AG62" s="229">
        <v>24</v>
      </c>
      <c r="AH62" s="258"/>
      <c r="AI62" s="258"/>
      <c r="AJ62" s="258"/>
      <c r="AK62" s="305">
        <f t="shared" si="73"/>
        <v>0</v>
      </c>
      <c r="AL62" s="305">
        <f t="shared" si="74"/>
        <v>24</v>
      </c>
      <c r="AM62" s="306">
        <f t="shared" si="75"/>
        <v>1</v>
      </c>
      <c r="AN62" s="230">
        <v>14</v>
      </c>
      <c r="AO62" s="260"/>
      <c r="AP62" s="260"/>
      <c r="AQ62" s="260"/>
      <c r="AR62" s="307">
        <f t="shared" si="76"/>
        <v>0</v>
      </c>
      <c r="AS62" s="307">
        <f t="shared" si="77"/>
        <v>14</v>
      </c>
      <c r="AT62" s="308">
        <f t="shared" si="78"/>
        <v>1</v>
      </c>
      <c r="AU62" s="289"/>
      <c r="AV62" s="289"/>
      <c r="AW62" s="289"/>
      <c r="AX62" s="290">
        <v>98</v>
      </c>
      <c r="AY62" s="289">
        <f t="shared" si="79"/>
        <v>98</v>
      </c>
      <c r="AZ62" s="291">
        <f t="shared" si="80"/>
        <v>1</v>
      </c>
      <c r="BA62" s="293">
        <v>1</v>
      </c>
      <c r="BB62" s="394">
        <v>82</v>
      </c>
      <c r="BC62" s="379">
        <f t="shared" si="81"/>
        <v>2</v>
      </c>
      <c r="BD62" s="378">
        <f t="shared" si="82"/>
        <v>0</v>
      </c>
      <c r="BE62" s="381"/>
      <c r="BF62" s="393">
        <f t="shared" si="60"/>
        <v>80</v>
      </c>
    </row>
    <row r="63" spans="1:58" x14ac:dyDescent="0.35">
      <c r="A63" s="193" t="s">
        <v>25</v>
      </c>
      <c r="B63" s="35">
        <v>242510047</v>
      </c>
      <c r="C63" s="261" t="s">
        <v>1342</v>
      </c>
      <c r="D63" s="35" t="s">
        <v>6</v>
      </c>
      <c r="E63" s="215">
        <v>19</v>
      </c>
      <c r="F63" s="217"/>
      <c r="G63" s="217"/>
      <c r="H63" s="217"/>
      <c r="I63" s="326">
        <f t="shared" si="61"/>
        <v>0</v>
      </c>
      <c r="J63" s="326">
        <f t="shared" si="62"/>
        <v>19</v>
      </c>
      <c r="K63" s="327">
        <f t="shared" si="63"/>
        <v>1</v>
      </c>
      <c r="L63" s="221">
        <v>14</v>
      </c>
      <c r="M63" s="222"/>
      <c r="N63" s="223"/>
      <c r="O63" s="222"/>
      <c r="P63" s="328">
        <f t="shared" si="64"/>
        <v>0</v>
      </c>
      <c r="Q63" s="328">
        <f t="shared" si="65"/>
        <v>14</v>
      </c>
      <c r="R63" s="329">
        <f t="shared" si="66"/>
        <v>1</v>
      </c>
      <c r="S63" s="225">
        <v>18</v>
      </c>
      <c r="T63" s="226"/>
      <c r="U63" s="226"/>
      <c r="V63" s="226"/>
      <c r="W63" s="330">
        <f t="shared" si="67"/>
        <v>0</v>
      </c>
      <c r="X63" s="330">
        <f t="shared" si="68"/>
        <v>18</v>
      </c>
      <c r="Y63" s="331">
        <f t="shared" si="69"/>
        <v>1</v>
      </c>
      <c r="Z63" s="228">
        <v>21</v>
      </c>
      <c r="AA63" s="256"/>
      <c r="AB63" s="256"/>
      <c r="AC63" s="256"/>
      <c r="AD63" s="280">
        <f t="shared" si="70"/>
        <v>0</v>
      </c>
      <c r="AE63" s="280">
        <f t="shared" si="71"/>
        <v>21</v>
      </c>
      <c r="AF63" s="281">
        <f t="shared" si="72"/>
        <v>1</v>
      </c>
      <c r="AG63" s="229">
        <v>24</v>
      </c>
      <c r="AH63" s="258"/>
      <c r="AI63" s="258"/>
      <c r="AJ63" s="258"/>
      <c r="AK63" s="305">
        <f t="shared" si="73"/>
        <v>0</v>
      </c>
      <c r="AL63" s="305">
        <f t="shared" si="74"/>
        <v>24</v>
      </c>
      <c r="AM63" s="306">
        <f t="shared" si="75"/>
        <v>1</v>
      </c>
      <c r="AN63" s="230">
        <v>14</v>
      </c>
      <c r="AO63" s="260"/>
      <c r="AP63" s="260"/>
      <c r="AQ63" s="260"/>
      <c r="AR63" s="307">
        <f t="shared" si="76"/>
        <v>0</v>
      </c>
      <c r="AS63" s="307">
        <f t="shared" si="77"/>
        <v>14</v>
      </c>
      <c r="AT63" s="308">
        <f t="shared" si="78"/>
        <v>1</v>
      </c>
      <c r="AU63" s="289"/>
      <c r="AV63" s="289"/>
      <c r="AW63" s="289"/>
      <c r="AX63" s="290">
        <v>98</v>
      </c>
      <c r="AY63" s="289">
        <f t="shared" si="79"/>
        <v>98</v>
      </c>
      <c r="AZ63" s="291">
        <f t="shared" si="80"/>
        <v>1</v>
      </c>
      <c r="BA63" s="293">
        <v>9</v>
      </c>
      <c r="BB63" s="394">
        <v>36</v>
      </c>
      <c r="BC63" s="379">
        <f t="shared" si="81"/>
        <v>18</v>
      </c>
      <c r="BD63" s="378">
        <f t="shared" si="82"/>
        <v>0</v>
      </c>
      <c r="BE63" s="381"/>
      <c r="BF63" s="393">
        <f t="shared" si="60"/>
        <v>18</v>
      </c>
    </row>
    <row r="64" spans="1:58" x14ac:dyDescent="0.35">
      <c r="A64" s="193" t="s">
        <v>26</v>
      </c>
      <c r="B64" s="35">
        <v>242510048</v>
      </c>
      <c r="C64" s="261" t="s">
        <v>1343</v>
      </c>
      <c r="D64" s="35" t="s">
        <v>6</v>
      </c>
      <c r="E64" s="215">
        <v>19</v>
      </c>
      <c r="F64" s="217"/>
      <c r="G64" s="217"/>
      <c r="H64" s="217"/>
      <c r="I64" s="326">
        <f t="shared" si="61"/>
        <v>0</v>
      </c>
      <c r="J64" s="326">
        <f t="shared" si="62"/>
        <v>19</v>
      </c>
      <c r="K64" s="327">
        <f t="shared" si="63"/>
        <v>1</v>
      </c>
      <c r="L64" s="221">
        <v>14</v>
      </c>
      <c r="M64" s="222"/>
      <c r="N64" s="223"/>
      <c r="O64" s="222"/>
      <c r="P64" s="328">
        <f t="shared" si="64"/>
        <v>0</v>
      </c>
      <c r="Q64" s="328">
        <f t="shared" si="65"/>
        <v>14</v>
      </c>
      <c r="R64" s="329">
        <f t="shared" si="66"/>
        <v>1</v>
      </c>
      <c r="S64" s="225">
        <v>18</v>
      </c>
      <c r="T64" s="226"/>
      <c r="U64" s="226"/>
      <c r="V64" s="226"/>
      <c r="W64" s="330">
        <f t="shared" si="67"/>
        <v>0</v>
      </c>
      <c r="X64" s="330">
        <f t="shared" si="68"/>
        <v>18</v>
      </c>
      <c r="Y64" s="331">
        <f t="shared" si="69"/>
        <v>1</v>
      </c>
      <c r="Z64" s="228">
        <v>21</v>
      </c>
      <c r="AA64" s="256"/>
      <c r="AB64" s="256"/>
      <c r="AC64" s="256"/>
      <c r="AD64" s="280">
        <f t="shared" si="70"/>
        <v>0</v>
      </c>
      <c r="AE64" s="280">
        <f t="shared" si="71"/>
        <v>21</v>
      </c>
      <c r="AF64" s="281">
        <f t="shared" si="72"/>
        <v>1</v>
      </c>
      <c r="AG64" s="229">
        <v>24</v>
      </c>
      <c r="AH64" s="258"/>
      <c r="AI64" s="258"/>
      <c r="AJ64" s="258"/>
      <c r="AK64" s="305">
        <f t="shared" si="73"/>
        <v>0</v>
      </c>
      <c r="AL64" s="305">
        <f t="shared" si="74"/>
        <v>24</v>
      </c>
      <c r="AM64" s="306">
        <f t="shared" si="75"/>
        <v>1</v>
      </c>
      <c r="AN64" s="230">
        <v>14</v>
      </c>
      <c r="AO64" s="260"/>
      <c r="AP64" s="260"/>
      <c r="AQ64" s="260"/>
      <c r="AR64" s="307">
        <f t="shared" si="76"/>
        <v>0</v>
      </c>
      <c r="AS64" s="307">
        <f t="shared" si="77"/>
        <v>14</v>
      </c>
      <c r="AT64" s="308">
        <f t="shared" si="78"/>
        <v>1</v>
      </c>
      <c r="AU64" s="289"/>
      <c r="AV64" s="289"/>
      <c r="AW64" s="289"/>
      <c r="AX64" s="290">
        <v>98</v>
      </c>
      <c r="AY64" s="289">
        <f t="shared" si="79"/>
        <v>98</v>
      </c>
      <c r="AZ64" s="291">
        <f t="shared" si="80"/>
        <v>1</v>
      </c>
      <c r="BA64" s="293"/>
      <c r="BB64" s="394">
        <v>90</v>
      </c>
      <c r="BC64" s="379">
        <f t="shared" si="81"/>
        <v>0</v>
      </c>
      <c r="BD64" s="378">
        <f t="shared" si="82"/>
        <v>0</v>
      </c>
      <c r="BE64" s="381"/>
      <c r="BF64" s="393">
        <f t="shared" si="60"/>
        <v>90</v>
      </c>
    </row>
    <row r="65" spans="1:58" x14ac:dyDescent="0.35">
      <c r="A65" s="193" t="s">
        <v>27</v>
      </c>
      <c r="B65" s="35">
        <v>242510049</v>
      </c>
      <c r="C65" s="261" t="s">
        <v>1344</v>
      </c>
      <c r="D65" s="35" t="s">
        <v>6</v>
      </c>
      <c r="E65" s="215">
        <v>19</v>
      </c>
      <c r="F65" s="217"/>
      <c r="G65" s="217"/>
      <c r="H65" s="217"/>
      <c r="I65" s="326">
        <f t="shared" si="61"/>
        <v>0</v>
      </c>
      <c r="J65" s="326">
        <f t="shared" si="62"/>
        <v>19</v>
      </c>
      <c r="K65" s="327">
        <f t="shared" si="63"/>
        <v>1</v>
      </c>
      <c r="L65" s="221">
        <v>14</v>
      </c>
      <c r="M65" s="222"/>
      <c r="N65" s="223"/>
      <c r="O65" s="222"/>
      <c r="P65" s="328">
        <f t="shared" si="64"/>
        <v>0</v>
      </c>
      <c r="Q65" s="328">
        <f t="shared" si="65"/>
        <v>14</v>
      </c>
      <c r="R65" s="329">
        <f t="shared" si="66"/>
        <v>1</v>
      </c>
      <c r="S65" s="225">
        <v>18</v>
      </c>
      <c r="T65" s="226"/>
      <c r="U65" s="226"/>
      <c r="V65" s="226"/>
      <c r="W65" s="330">
        <f t="shared" si="67"/>
        <v>0</v>
      </c>
      <c r="X65" s="330">
        <f t="shared" si="68"/>
        <v>18</v>
      </c>
      <c r="Y65" s="331">
        <f t="shared" si="69"/>
        <v>1</v>
      </c>
      <c r="Z65" s="228">
        <v>21</v>
      </c>
      <c r="AA65" s="256"/>
      <c r="AB65" s="256"/>
      <c r="AC65" s="256"/>
      <c r="AD65" s="280">
        <f t="shared" si="70"/>
        <v>0</v>
      </c>
      <c r="AE65" s="280">
        <f t="shared" si="71"/>
        <v>21</v>
      </c>
      <c r="AF65" s="281">
        <f t="shared" si="72"/>
        <v>1</v>
      </c>
      <c r="AG65" s="229">
        <v>24</v>
      </c>
      <c r="AH65" s="258"/>
      <c r="AI65" s="258"/>
      <c r="AJ65" s="258"/>
      <c r="AK65" s="305">
        <f t="shared" si="73"/>
        <v>0</v>
      </c>
      <c r="AL65" s="305">
        <f t="shared" si="74"/>
        <v>24</v>
      </c>
      <c r="AM65" s="306">
        <f t="shared" si="75"/>
        <v>1</v>
      </c>
      <c r="AN65" s="230">
        <v>14</v>
      </c>
      <c r="AO65" s="260"/>
      <c r="AP65" s="260"/>
      <c r="AQ65" s="260"/>
      <c r="AR65" s="307">
        <f t="shared" si="76"/>
        <v>0</v>
      </c>
      <c r="AS65" s="307">
        <f t="shared" si="77"/>
        <v>14</v>
      </c>
      <c r="AT65" s="308">
        <f t="shared" si="78"/>
        <v>1</v>
      </c>
      <c r="AU65" s="289"/>
      <c r="AV65" s="289"/>
      <c r="AW65" s="289"/>
      <c r="AX65" s="290">
        <v>98</v>
      </c>
      <c r="AY65" s="289">
        <f t="shared" si="79"/>
        <v>98</v>
      </c>
      <c r="AZ65" s="291">
        <f t="shared" si="80"/>
        <v>1</v>
      </c>
      <c r="BA65" s="293"/>
      <c r="BB65" s="394">
        <v>100</v>
      </c>
      <c r="BC65" s="379">
        <f t="shared" si="81"/>
        <v>0</v>
      </c>
      <c r="BD65" s="378">
        <f t="shared" si="82"/>
        <v>0</v>
      </c>
      <c r="BE65" s="381"/>
      <c r="BF65" s="393">
        <f t="shared" si="60"/>
        <v>100</v>
      </c>
    </row>
    <row r="66" spans="1:58" x14ac:dyDescent="0.35">
      <c r="A66" s="193">
        <v>4</v>
      </c>
      <c r="B66" s="35">
        <v>242510178</v>
      </c>
      <c r="C66" s="261" t="s">
        <v>1345</v>
      </c>
      <c r="D66" s="49" t="s">
        <v>6</v>
      </c>
      <c r="E66" s="215">
        <v>19</v>
      </c>
      <c r="F66" s="217"/>
      <c r="G66" s="217"/>
      <c r="H66" s="217"/>
      <c r="I66" s="326">
        <f t="shared" si="61"/>
        <v>0</v>
      </c>
      <c r="J66" s="326">
        <f t="shared" si="62"/>
        <v>19</v>
      </c>
      <c r="K66" s="327">
        <f t="shared" si="63"/>
        <v>1</v>
      </c>
      <c r="L66" s="221">
        <v>14</v>
      </c>
      <c r="M66" s="222"/>
      <c r="N66" s="223"/>
      <c r="O66" s="222"/>
      <c r="P66" s="328">
        <f t="shared" si="64"/>
        <v>0</v>
      </c>
      <c r="Q66" s="328">
        <f t="shared" si="65"/>
        <v>14</v>
      </c>
      <c r="R66" s="329">
        <f t="shared" si="66"/>
        <v>1</v>
      </c>
      <c r="S66" s="225">
        <v>18</v>
      </c>
      <c r="T66" s="226"/>
      <c r="U66" s="226"/>
      <c r="V66" s="226"/>
      <c r="W66" s="330">
        <f t="shared" si="67"/>
        <v>0</v>
      </c>
      <c r="X66" s="330">
        <f t="shared" si="68"/>
        <v>18</v>
      </c>
      <c r="Y66" s="331">
        <f t="shared" si="69"/>
        <v>1</v>
      </c>
      <c r="Z66" s="228">
        <v>21</v>
      </c>
      <c r="AA66" s="256"/>
      <c r="AB66" s="256"/>
      <c r="AC66" s="256"/>
      <c r="AD66" s="280">
        <f t="shared" si="70"/>
        <v>0</v>
      </c>
      <c r="AE66" s="280">
        <f t="shared" si="71"/>
        <v>21</v>
      </c>
      <c r="AF66" s="281">
        <f t="shared" si="72"/>
        <v>1</v>
      </c>
      <c r="AG66" s="229">
        <v>24</v>
      </c>
      <c r="AH66" s="258"/>
      <c r="AI66" s="258"/>
      <c r="AJ66" s="258"/>
      <c r="AK66" s="305">
        <f t="shared" si="73"/>
        <v>0</v>
      </c>
      <c r="AL66" s="305">
        <f t="shared" si="74"/>
        <v>24</v>
      </c>
      <c r="AM66" s="306">
        <f t="shared" si="75"/>
        <v>1</v>
      </c>
      <c r="AN66" s="230">
        <v>14</v>
      </c>
      <c r="AO66" s="260"/>
      <c r="AP66" s="260"/>
      <c r="AQ66" s="260"/>
      <c r="AR66" s="307">
        <f t="shared" si="76"/>
        <v>0</v>
      </c>
      <c r="AS66" s="307">
        <f t="shared" si="77"/>
        <v>14</v>
      </c>
      <c r="AT66" s="308">
        <f t="shared" si="78"/>
        <v>1</v>
      </c>
      <c r="AU66" s="289"/>
      <c r="AV66" s="289"/>
      <c r="AW66" s="289"/>
      <c r="AX66" s="290">
        <v>98</v>
      </c>
      <c r="AY66" s="289">
        <f t="shared" si="79"/>
        <v>98</v>
      </c>
      <c r="AZ66" s="291">
        <f t="shared" si="80"/>
        <v>1</v>
      </c>
      <c r="BA66" s="293">
        <v>1</v>
      </c>
      <c r="BB66" s="394">
        <v>64</v>
      </c>
      <c r="BC66" s="379">
        <f t="shared" si="81"/>
        <v>2</v>
      </c>
      <c r="BD66" s="378">
        <f t="shared" si="82"/>
        <v>0</v>
      </c>
      <c r="BE66" s="381"/>
      <c r="BF66" s="393">
        <f t="shared" si="60"/>
        <v>62</v>
      </c>
    </row>
    <row r="67" spans="1:58" x14ac:dyDescent="0.35">
      <c r="A67" s="193" t="s">
        <v>29</v>
      </c>
      <c r="B67" s="35">
        <v>242510050</v>
      </c>
      <c r="C67" s="261" t="s">
        <v>1346</v>
      </c>
      <c r="D67" s="35" t="s">
        <v>6</v>
      </c>
      <c r="E67" s="215">
        <v>19</v>
      </c>
      <c r="F67" s="217"/>
      <c r="G67" s="217"/>
      <c r="H67" s="217"/>
      <c r="I67" s="326">
        <f t="shared" si="61"/>
        <v>0</v>
      </c>
      <c r="J67" s="326">
        <f t="shared" si="62"/>
        <v>19</v>
      </c>
      <c r="K67" s="327">
        <f t="shared" si="63"/>
        <v>1</v>
      </c>
      <c r="L67" s="221">
        <v>14</v>
      </c>
      <c r="M67" s="222"/>
      <c r="N67" s="223"/>
      <c r="O67" s="222"/>
      <c r="P67" s="328">
        <f t="shared" si="64"/>
        <v>0</v>
      </c>
      <c r="Q67" s="328">
        <f t="shared" si="65"/>
        <v>14</v>
      </c>
      <c r="R67" s="329">
        <f t="shared" si="66"/>
        <v>1</v>
      </c>
      <c r="S67" s="225">
        <v>18</v>
      </c>
      <c r="T67" s="226"/>
      <c r="U67" s="226"/>
      <c r="V67" s="226"/>
      <c r="W67" s="330">
        <f t="shared" si="67"/>
        <v>0</v>
      </c>
      <c r="X67" s="330">
        <f t="shared" si="68"/>
        <v>18</v>
      </c>
      <c r="Y67" s="331">
        <f t="shared" si="69"/>
        <v>1</v>
      </c>
      <c r="Z67" s="228">
        <v>21</v>
      </c>
      <c r="AA67" s="256"/>
      <c r="AB67" s="256"/>
      <c r="AC67" s="256"/>
      <c r="AD67" s="280">
        <f t="shared" si="70"/>
        <v>0</v>
      </c>
      <c r="AE67" s="280">
        <f t="shared" si="71"/>
        <v>21</v>
      </c>
      <c r="AF67" s="281">
        <f t="shared" si="72"/>
        <v>1</v>
      </c>
      <c r="AG67" s="229">
        <v>24</v>
      </c>
      <c r="AH67" s="258"/>
      <c r="AI67" s="258"/>
      <c r="AJ67" s="258"/>
      <c r="AK67" s="305">
        <f t="shared" si="73"/>
        <v>0</v>
      </c>
      <c r="AL67" s="305">
        <f t="shared" si="74"/>
        <v>24</v>
      </c>
      <c r="AM67" s="306">
        <f t="shared" si="75"/>
        <v>1</v>
      </c>
      <c r="AN67" s="230">
        <v>14</v>
      </c>
      <c r="AO67" s="260"/>
      <c r="AP67" s="260"/>
      <c r="AQ67" s="260"/>
      <c r="AR67" s="307">
        <f t="shared" si="76"/>
        <v>0</v>
      </c>
      <c r="AS67" s="307">
        <f t="shared" si="77"/>
        <v>14</v>
      </c>
      <c r="AT67" s="308">
        <f t="shared" si="78"/>
        <v>1</v>
      </c>
      <c r="AU67" s="289"/>
      <c r="AV67" s="289"/>
      <c r="AW67" s="289"/>
      <c r="AX67" s="290">
        <v>98</v>
      </c>
      <c r="AY67" s="289">
        <f t="shared" si="79"/>
        <v>98</v>
      </c>
      <c r="AZ67" s="291">
        <f t="shared" si="80"/>
        <v>1</v>
      </c>
      <c r="BA67" s="293">
        <v>3</v>
      </c>
      <c r="BB67" s="394">
        <v>76</v>
      </c>
      <c r="BC67" s="379">
        <f t="shared" si="81"/>
        <v>6</v>
      </c>
      <c r="BD67" s="378">
        <f t="shared" si="82"/>
        <v>0</v>
      </c>
      <c r="BE67" s="381"/>
      <c r="BF67" s="393">
        <f t="shared" si="60"/>
        <v>70</v>
      </c>
    </row>
    <row r="68" spans="1:58" x14ac:dyDescent="0.35">
      <c r="A68" s="193" t="s">
        <v>30</v>
      </c>
      <c r="B68" s="38">
        <v>242510051</v>
      </c>
      <c r="C68" s="335" t="s">
        <v>1347</v>
      </c>
      <c r="D68" s="35" t="s">
        <v>6</v>
      </c>
      <c r="E68" s="215">
        <v>19</v>
      </c>
      <c r="F68" s="217"/>
      <c r="G68" s="217"/>
      <c r="H68" s="217"/>
      <c r="I68" s="326">
        <f t="shared" si="61"/>
        <v>0</v>
      </c>
      <c r="J68" s="326">
        <f t="shared" si="62"/>
        <v>19</v>
      </c>
      <c r="K68" s="327">
        <f t="shared" si="63"/>
        <v>1</v>
      </c>
      <c r="L68" s="221">
        <v>14</v>
      </c>
      <c r="M68" s="222"/>
      <c r="N68" s="223"/>
      <c r="O68" s="222"/>
      <c r="P68" s="328">
        <f t="shared" si="64"/>
        <v>0</v>
      </c>
      <c r="Q68" s="328">
        <f t="shared" si="65"/>
        <v>14</v>
      </c>
      <c r="R68" s="329">
        <f t="shared" si="66"/>
        <v>1</v>
      </c>
      <c r="S68" s="225">
        <v>18</v>
      </c>
      <c r="T68" s="226"/>
      <c r="U68" s="226"/>
      <c r="V68" s="226"/>
      <c r="W68" s="330">
        <f t="shared" si="67"/>
        <v>0</v>
      </c>
      <c r="X68" s="330">
        <f t="shared" si="68"/>
        <v>18</v>
      </c>
      <c r="Y68" s="331">
        <f t="shared" si="69"/>
        <v>1</v>
      </c>
      <c r="Z68" s="228">
        <v>21</v>
      </c>
      <c r="AA68" s="256"/>
      <c r="AB68" s="256"/>
      <c r="AC68" s="256"/>
      <c r="AD68" s="280">
        <f t="shared" si="70"/>
        <v>0</v>
      </c>
      <c r="AE68" s="280">
        <f t="shared" si="71"/>
        <v>21</v>
      </c>
      <c r="AF68" s="281">
        <f t="shared" si="72"/>
        <v>1</v>
      </c>
      <c r="AG68" s="229">
        <v>24</v>
      </c>
      <c r="AH68" s="258"/>
      <c r="AI68" s="258"/>
      <c r="AJ68" s="258"/>
      <c r="AK68" s="305">
        <f t="shared" si="73"/>
        <v>0</v>
      </c>
      <c r="AL68" s="305">
        <f t="shared" si="74"/>
        <v>24</v>
      </c>
      <c r="AM68" s="306">
        <f t="shared" si="75"/>
        <v>1</v>
      </c>
      <c r="AN68" s="230">
        <v>14</v>
      </c>
      <c r="AO68" s="260"/>
      <c r="AP68" s="260"/>
      <c r="AQ68" s="260"/>
      <c r="AR68" s="307">
        <f t="shared" si="76"/>
        <v>0</v>
      </c>
      <c r="AS68" s="307">
        <f t="shared" si="77"/>
        <v>14</v>
      </c>
      <c r="AT68" s="308">
        <f t="shared" si="78"/>
        <v>1</v>
      </c>
      <c r="AU68" s="289"/>
      <c r="AV68" s="289"/>
      <c r="AW68" s="289"/>
      <c r="AX68" s="290">
        <v>98</v>
      </c>
      <c r="AY68" s="289">
        <f t="shared" si="79"/>
        <v>98</v>
      </c>
      <c r="AZ68" s="291">
        <f t="shared" si="80"/>
        <v>1</v>
      </c>
      <c r="BA68" s="293"/>
      <c r="BB68" s="394">
        <v>100</v>
      </c>
      <c r="BC68" s="379">
        <f t="shared" si="81"/>
        <v>0</v>
      </c>
      <c r="BD68" s="378">
        <f t="shared" si="82"/>
        <v>0</v>
      </c>
      <c r="BE68" s="381"/>
      <c r="BF68" s="393">
        <f t="shared" si="60"/>
        <v>100</v>
      </c>
    </row>
    <row r="69" spans="1:58" x14ac:dyDescent="0.35">
      <c r="A69" s="193" t="s">
        <v>31</v>
      </c>
      <c r="B69" s="35">
        <v>242510052</v>
      </c>
      <c r="C69" s="261" t="s">
        <v>1348</v>
      </c>
      <c r="D69" s="35" t="s">
        <v>6</v>
      </c>
      <c r="E69" s="215">
        <v>19</v>
      </c>
      <c r="F69" s="217"/>
      <c r="G69" s="217"/>
      <c r="H69" s="217"/>
      <c r="I69" s="326">
        <f t="shared" si="61"/>
        <v>0</v>
      </c>
      <c r="J69" s="326">
        <f t="shared" si="62"/>
        <v>19</v>
      </c>
      <c r="K69" s="327">
        <f t="shared" si="63"/>
        <v>1</v>
      </c>
      <c r="L69" s="221">
        <v>14</v>
      </c>
      <c r="M69" s="222"/>
      <c r="N69" s="223"/>
      <c r="O69" s="222"/>
      <c r="P69" s="328">
        <f t="shared" si="64"/>
        <v>0</v>
      </c>
      <c r="Q69" s="328">
        <f t="shared" si="65"/>
        <v>14</v>
      </c>
      <c r="R69" s="329">
        <f t="shared" si="66"/>
        <v>1</v>
      </c>
      <c r="S69" s="225">
        <v>18</v>
      </c>
      <c r="T69" s="226"/>
      <c r="U69" s="226"/>
      <c r="V69" s="226"/>
      <c r="W69" s="330">
        <f t="shared" si="67"/>
        <v>0</v>
      </c>
      <c r="X69" s="330">
        <f t="shared" si="68"/>
        <v>18</v>
      </c>
      <c r="Y69" s="331">
        <f t="shared" si="69"/>
        <v>1</v>
      </c>
      <c r="Z69" s="228">
        <v>21</v>
      </c>
      <c r="AA69" s="256"/>
      <c r="AB69" s="256"/>
      <c r="AC69" s="256"/>
      <c r="AD69" s="280">
        <f t="shared" si="70"/>
        <v>0</v>
      </c>
      <c r="AE69" s="280">
        <f t="shared" si="71"/>
        <v>21</v>
      </c>
      <c r="AF69" s="281">
        <f t="shared" si="72"/>
        <v>1</v>
      </c>
      <c r="AG69" s="229">
        <v>24</v>
      </c>
      <c r="AH69" s="258"/>
      <c r="AI69" s="258"/>
      <c r="AJ69" s="258"/>
      <c r="AK69" s="305">
        <f t="shared" si="73"/>
        <v>0</v>
      </c>
      <c r="AL69" s="305">
        <f t="shared" si="74"/>
        <v>24</v>
      </c>
      <c r="AM69" s="306">
        <f t="shared" si="75"/>
        <v>1</v>
      </c>
      <c r="AN69" s="230">
        <v>14</v>
      </c>
      <c r="AO69" s="260"/>
      <c r="AP69" s="260"/>
      <c r="AQ69" s="260"/>
      <c r="AR69" s="307">
        <f t="shared" si="76"/>
        <v>0</v>
      </c>
      <c r="AS69" s="307">
        <f t="shared" si="77"/>
        <v>14</v>
      </c>
      <c r="AT69" s="308">
        <f t="shared" si="78"/>
        <v>1</v>
      </c>
      <c r="AU69" s="289"/>
      <c r="AV69" s="289"/>
      <c r="AW69" s="289"/>
      <c r="AX69" s="290">
        <v>98</v>
      </c>
      <c r="AY69" s="289">
        <f t="shared" si="79"/>
        <v>98</v>
      </c>
      <c r="AZ69" s="291">
        <f t="shared" si="80"/>
        <v>1</v>
      </c>
      <c r="BA69" s="293"/>
      <c r="BB69" s="394">
        <v>100</v>
      </c>
      <c r="BC69" s="379">
        <f t="shared" si="81"/>
        <v>0</v>
      </c>
      <c r="BD69" s="378">
        <f t="shared" si="82"/>
        <v>0</v>
      </c>
      <c r="BE69" s="381"/>
      <c r="BF69" s="393">
        <f t="shared" si="60"/>
        <v>100</v>
      </c>
    </row>
    <row r="70" spans="1:58" x14ac:dyDescent="0.35">
      <c r="A70" s="193" t="s">
        <v>32</v>
      </c>
      <c r="B70" s="35">
        <v>242510053</v>
      </c>
      <c r="C70" s="261" t="s">
        <v>1349</v>
      </c>
      <c r="D70" s="35" t="s">
        <v>6</v>
      </c>
      <c r="E70" s="215">
        <v>19</v>
      </c>
      <c r="F70" s="217"/>
      <c r="G70" s="217"/>
      <c r="H70" s="217"/>
      <c r="I70" s="326">
        <f t="shared" si="61"/>
        <v>0</v>
      </c>
      <c r="J70" s="326">
        <f t="shared" si="62"/>
        <v>19</v>
      </c>
      <c r="K70" s="327">
        <f t="shared" si="63"/>
        <v>1</v>
      </c>
      <c r="L70" s="221">
        <v>14</v>
      </c>
      <c r="M70" s="222"/>
      <c r="N70" s="223"/>
      <c r="O70" s="222"/>
      <c r="P70" s="328">
        <f t="shared" si="64"/>
        <v>0</v>
      </c>
      <c r="Q70" s="328">
        <f t="shared" si="65"/>
        <v>14</v>
      </c>
      <c r="R70" s="329">
        <f t="shared" si="66"/>
        <v>1</v>
      </c>
      <c r="S70" s="225">
        <v>18</v>
      </c>
      <c r="T70" s="226"/>
      <c r="U70" s="226"/>
      <c r="V70" s="226"/>
      <c r="W70" s="330">
        <f t="shared" si="67"/>
        <v>0</v>
      </c>
      <c r="X70" s="330">
        <f t="shared" si="68"/>
        <v>18</v>
      </c>
      <c r="Y70" s="331">
        <f t="shared" si="69"/>
        <v>1</v>
      </c>
      <c r="Z70" s="228">
        <v>21</v>
      </c>
      <c r="AA70" s="256"/>
      <c r="AB70" s="256"/>
      <c r="AC70" s="256"/>
      <c r="AD70" s="280">
        <f t="shared" si="70"/>
        <v>0</v>
      </c>
      <c r="AE70" s="280">
        <f t="shared" si="71"/>
        <v>21</v>
      </c>
      <c r="AF70" s="281">
        <f t="shared" si="72"/>
        <v>1</v>
      </c>
      <c r="AG70" s="229">
        <v>24</v>
      </c>
      <c r="AH70" s="258"/>
      <c r="AI70" s="258"/>
      <c r="AJ70" s="258"/>
      <c r="AK70" s="305">
        <f t="shared" si="73"/>
        <v>0</v>
      </c>
      <c r="AL70" s="305">
        <f t="shared" si="74"/>
        <v>24</v>
      </c>
      <c r="AM70" s="306">
        <f t="shared" si="75"/>
        <v>1</v>
      </c>
      <c r="AN70" s="230">
        <v>14</v>
      </c>
      <c r="AO70" s="260"/>
      <c r="AP70" s="260"/>
      <c r="AQ70" s="260"/>
      <c r="AR70" s="307">
        <f t="shared" si="76"/>
        <v>0</v>
      </c>
      <c r="AS70" s="307">
        <f t="shared" si="77"/>
        <v>14</v>
      </c>
      <c r="AT70" s="308">
        <f t="shared" si="78"/>
        <v>1</v>
      </c>
      <c r="AU70" s="289"/>
      <c r="AV70" s="289"/>
      <c r="AW70" s="289"/>
      <c r="AX70" s="290">
        <v>98</v>
      </c>
      <c r="AY70" s="289">
        <f t="shared" si="79"/>
        <v>98</v>
      </c>
      <c r="AZ70" s="291">
        <f t="shared" si="80"/>
        <v>1</v>
      </c>
      <c r="BA70" s="293"/>
      <c r="BB70" s="394">
        <v>30</v>
      </c>
      <c r="BC70" s="379">
        <f t="shared" si="81"/>
        <v>0</v>
      </c>
      <c r="BD70" s="378">
        <f t="shared" si="82"/>
        <v>0</v>
      </c>
      <c r="BE70" s="381"/>
      <c r="BF70" s="393">
        <f t="shared" si="60"/>
        <v>30</v>
      </c>
    </row>
    <row r="71" spans="1:58" x14ac:dyDescent="0.35">
      <c r="A71" s="193" t="s">
        <v>33</v>
      </c>
      <c r="B71" s="35">
        <v>242510055</v>
      </c>
      <c r="C71" s="261" t="s">
        <v>1350</v>
      </c>
      <c r="D71" s="35" t="s">
        <v>6</v>
      </c>
      <c r="E71" s="215">
        <v>19</v>
      </c>
      <c r="F71" s="217"/>
      <c r="G71" s="217"/>
      <c r="H71" s="217"/>
      <c r="I71" s="326">
        <f t="shared" si="61"/>
        <v>0</v>
      </c>
      <c r="J71" s="326">
        <f t="shared" si="62"/>
        <v>19</v>
      </c>
      <c r="K71" s="327">
        <f t="shared" si="63"/>
        <v>1</v>
      </c>
      <c r="L71" s="221">
        <v>14</v>
      </c>
      <c r="M71" s="222"/>
      <c r="N71" s="223"/>
      <c r="O71" s="222"/>
      <c r="P71" s="328">
        <f t="shared" si="64"/>
        <v>0</v>
      </c>
      <c r="Q71" s="328">
        <f t="shared" si="65"/>
        <v>14</v>
      </c>
      <c r="R71" s="329">
        <f t="shared" si="66"/>
        <v>1</v>
      </c>
      <c r="S71" s="225">
        <v>18</v>
      </c>
      <c r="T71" s="226"/>
      <c r="U71" s="226"/>
      <c r="V71" s="226"/>
      <c r="W71" s="330">
        <f t="shared" si="67"/>
        <v>0</v>
      </c>
      <c r="X71" s="330">
        <f t="shared" si="68"/>
        <v>18</v>
      </c>
      <c r="Y71" s="331">
        <f t="shared" si="69"/>
        <v>1</v>
      </c>
      <c r="Z71" s="228">
        <v>21</v>
      </c>
      <c r="AA71" s="256"/>
      <c r="AB71" s="256"/>
      <c r="AC71" s="256"/>
      <c r="AD71" s="280">
        <f t="shared" si="70"/>
        <v>0</v>
      </c>
      <c r="AE71" s="280">
        <f t="shared" si="71"/>
        <v>21</v>
      </c>
      <c r="AF71" s="281">
        <f t="shared" si="72"/>
        <v>1</v>
      </c>
      <c r="AG71" s="229">
        <v>24</v>
      </c>
      <c r="AH71" s="258"/>
      <c r="AI71" s="258"/>
      <c r="AJ71" s="258"/>
      <c r="AK71" s="305">
        <f t="shared" si="73"/>
        <v>0</v>
      </c>
      <c r="AL71" s="305">
        <f t="shared" si="74"/>
        <v>24</v>
      </c>
      <c r="AM71" s="306">
        <f t="shared" si="75"/>
        <v>1</v>
      </c>
      <c r="AN71" s="230">
        <v>14</v>
      </c>
      <c r="AO71" s="260"/>
      <c r="AP71" s="260"/>
      <c r="AQ71" s="260"/>
      <c r="AR71" s="307">
        <f t="shared" si="76"/>
        <v>0</v>
      </c>
      <c r="AS71" s="307">
        <f t="shared" si="77"/>
        <v>14</v>
      </c>
      <c r="AT71" s="308">
        <f t="shared" si="78"/>
        <v>1</v>
      </c>
      <c r="AU71" s="289"/>
      <c r="AV71" s="289"/>
      <c r="AW71" s="289"/>
      <c r="AX71" s="290">
        <v>98</v>
      </c>
      <c r="AY71" s="289">
        <f t="shared" si="79"/>
        <v>98</v>
      </c>
      <c r="AZ71" s="291">
        <f t="shared" si="80"/>
        <v>1</v>
      </c>
      <c r="BA71" s="293"/>
      <c r="BB71" s="394">
        <v>92</v>
      </c>
      <c r="BC71" s="379">
        <f t="shared" si="81"/>
        <v>0</v>
      </c>
      <c r="BD71" s="378">
        <f t="shared" si="82"/>
        <v>0</v>
      </c>
      <c r="BE71" s="381"/>
      <c r="BF71" s="393">
        <f t="shared" si="60"/>
        <v>92</v>
      </c>
    </row>
    <row r="72" spans="1:58" x14ac:dyDescent="0.35">
      <c r="A72" s="193" t="s">
        <v>34</v>
      </c>
      <c r="B72" s="35">
        <v>242510056</v>
      </c>
      <c r="C72" s="261" t="s">
        <v>1351</v>
      </c>
      <c r="D72" s="35" t="s">
        <v>6</v>
      </c>
      <c r="E72" s="215">
        <v>19</v>
      </c>
      <c r="F72" s="217"/>
      <c r="G72" s="217"/>
      <c r="H72" s="217"/>
      <c r="I72" s="326">
        <f t="shared" si="61"/>
        <v>0</v>
      </c>
      <c r="J72" s="326">
        <f t="shared" si="62"/>
        <v>19</v>
      </c>
      <c r="K72" s="327">
        <f t="shared" si="63"/>
        <v>1</v>
      </c>
      <c r="L72" s="221">
        <v>14</v>
      </c>
      <c r="M72" s="222"/>
      <c r="N72" s="223"/>
      <c r="O72" s="222"/>
      <c r="P72" s="328">
        <f t="shared" si="64"/>
        <v>0</v>
      </c>
      <c r="Q72" s="328">
        <f t="shared" si="65"/>
        <v>14</v>
      </c>
      <c r="R72" s="329">
        <f t="shared" si="66"/>
        <v>1</v>
      </c>
      <c r="S72" s="225">
        <v>18</v>
      </c>
      <c r="T72" s="226"/>
      <c r="U72" s="226"/>
      <c r="V72" s="226"/>
      <c r="W72" s="330">
        <f t="shared" si="67"/>
        <v>0</v>
      </c>
      <c r="X72" s="330">
        <f t="shared" si="68"/>
        <v>18</v>
      </c>
      <c r="Y72" s="331">
        <f t="shared" si="69"/>
        <v>1</v>
      </c>
      <c r="Z72" s="228">
        <v>21</v>
      </c>
      <c r="AA72" s="256"/>
      <c r="AB72" s="256"/>
      <c r="AC72" s="256"/>
      <c r="AD72" s="280">
        <f t="shared" si="70"/>
        <v>0</v>
      </c>
      <c r="AE72" s="280">
        <f t="shared" si="71"/>
        <v>21</v>
      </c>
      <c r="AF72" s="281">
        <f t="shared" si="72"/>
        <v>1</v>
      </c>
      <c r="AG72" s="229">
        <v>24</v>
      </c>
      <c r="AH72" s="258"/>
      <c r="AI72" s="258"/>
      <c r="AJ72" s="258"/>
      <c r="AK72" s="305">
        <f t="shared" si="73"/>
        <v>0</v>
      </c>
      <c r="AL72" s="305">
        <f t="shared" si="74"/>
        <v>24</v>
      </c>
      <c r="AM72" s="306">
        <f t="shared" si="75"/>
        <v>1</v>
      </c>
      <c r="AN72" s="230">
        <v>14</v>
      </c>
      <c r="AO72" s="260"/>
      <c r="AP72" s="260"/>
      <c r="AQ72" s="260"/>
      <c r="AR72" s="307">
        <f t="shared" si="76"/>
        <v>0</v>
      </c>
      <c r="AS72" s="307">
        <f t="shared" si="77"/>
        <v>14</v>
      </c>
      <c r="AT72" s="308">
        <f t="shared" si="78"/>
        <v>1</v>
      </c>
      <c r="AU72" s="289"/>
      <c r="AV72" s="289"/>
      <c r="AW72" s="289"/>
      <c r="AX72" s="290">
        <v>98</v>
      </c>
      <c r="AY72" s="289">
        <f t="shared" si="79"/>
        <v>98</v>
      </c>
      <c r="AZ72" s="291">
        <f t="shared" si="80"/>
        <v>1</v>
      </c>
      <c r="BA72" s="293"/>
      <c r="BB72" s="394">
        <v>96</v>
      </c>
      <c r="BC72" s="379">
        <f t="shared" si="81"/>
        <v>0</v>
      </c>
      <c r="BD72" s="378">
        <f t="shared" si="82"/>
        <v>0</v>
      </c>
      <c r="BE72" s="381"/>
      <c r="BF72" s="393">
        <f t="shared" si="60"/>
        <v>96</v>
      </c>
    </row>
    <row r="73" spans="1:58" x14ac:dyDescent="0.35">
      <c r="A73" s="193" t="s">
        <v>35</v>
      </c>
      <c r="B73" s="35">
        <v>242510057</v>
      </c>
      <c r="C73" s="261" t="s">
        <v>1352</v>
      </c>
      <c r="D73" s="35" t="s">
        <v>6</v>
      </c>
      <c r="E73" s="215">
        <v>19</v>
      </c>
      <c r="F73" s="217"/>
      <c r="G73" s="217"/>
      <c r="H73" s="217"/>
      <c r="I73" s="326">
        <f t="shared" si="61"/>
        <v>0</v>
      </c>
      <c r="J73" s="326">
        <f t="shared" si="62"/>
        <v>19</v>
      </c>
      <c r="K73" s="327">
        <f t="shared" si="63"/>
        <v>1</v>
      </c>
      <c r="L73" s="221">
        <v>14</v>
      </c>
      <c r="M73" s="222"/>
      <c r="N73" s="223"/>
      <c r="O73" s="222"/>
      <c r="P73" s="328">
        <f t="shared" si="64"/>
        <v>0</v>
      </c>
      <c r="Q73" s="328">
        <f t="shared" si="65"/>
        <v>14</v>
      </c>
      <c r="R73" s="329">
        <f t="shared" si="66"/>
        <v>1</v>
      </c>
      <c r="S73" s="225">
        <v>18</v>
      </c>
      <c r="T73" s="226"/>
      <c r="U73" s="226"/>
      <c r="V73" s="226"/>
      <c r="W73" s="330">
        <f t="shared" si="67"/>
        <v>0</v>
      </c>
      <c r="X73" s="330">
        <f t="shared" si="68"/>
        <v>18</v>
      </c>
      <c r="Y73" s="331">
        <f t="shared" si="69"/>
        <v>1</v>
      </c>
      <c r="Z73" s="228">
        <v>21</v>
      </c>
      <c r="AA73" s="256"/>
      <c r="AB73" s="256"/>
      <c r="AC73" s="256"/>
      <c r="AD73" s="280">
        <f t="shared" si="70"/>
        <v>0</v>
      </c>
      <c r="AE73" s="280">
        <f t="shared" si="71"/>
        <v>21</v>
      </c>
      <c r="AF73" s="281">
        <f t="shared" si="72"/>
        <v>1</v>
      </c>
      <c r="AG73" s="229">
        <v>24</v>
      </c>
      <c r="AH73" s="258"/>
      <c r="AI73" s="258"/>
      <c r="AJ73" s="258"/>
      <c r="AK73" s="305">
        <f t="shared" si="73"/>
        <v>0</v>
      </c>
      <c r="AL73" s="305">
        <f t="shared" si="74"/>
        <v>24</v>
      </c>
      <c r="AM73" s="306">
        <f t="shared" si="75"/>
        <v>1</v>
      </c>
      <c r="AN73" s="230">
        <v>14</v>
      </c>
      <c r="AO73" s="260"/>
      <c r="AP73" s="260"/>
      <c r="AQ73" s="260"/>
      <c r="AR73" s="307">
        <f t="shared" si="76"/>
        <v>0</v>
      </c>
      <c r="AS73" s="307">
        <f t="shared" si="77"/>
        <v>14</v>
      </c>
      <c r="AT73" s="308">
        <f t="shared" si="78"/>
        <v>1</v>
      </c>
      <c r="AU73" s="289"/>
      <c r="AV73" s="289"/>
      <c r="AW73" s="289"/>
      <c r="AX73" s="290">
        <v>98</v>
      </c>
      <c r="AY73" s="289">
        <f t="shared" si="79"/>
        <v>98</v>
      </c>
      <c r="AZ73" s="291">
        <f t="shared" si="80"/>
        <v>1</v>
      </c>
      <c r="BA73" s="293"/>
      <c r="BB73" s="394">
        <v>98</v>
      </c>
      <c r="BC73" s="379">
        <f t="shared" si="81"/>
        <v>0</v>
      </c>
      <c r="BD73" s="378">
        <f t="shared" si="82"/>
        <v>0</v>
      </c>
      <c r="BE73" s="381"/>
      <c r="BF73" s="393">
        <f t="shared" si="60"/>
        <v>98</v>
      </c>
    </row>
    <row r="74" spans="1:58" x14ac:dyDescent="0.35">
      <c r="A74" s="193" t="s">
        <v>36</v>
      </c>
      <c r="B74" s="35">
        <v>242510058</v>
      </c>
      <c r="C74" s="261" t="s">
        <v>1353</v>
      </c>
      <c r="D74" s="35" t="s">
        <v>6</v>
      </c>
      <c r="E74" s="215">
        <v>19</v>
      </c>
      <c r="F74" s="217"/>
      <c r="G74" s="217"/>
      <c r="H74" s="217"/>
      <c r="I74" s="326">
        <f t="shared" si="61"/>
        <v>0</v>
      </c>
      <c r="J74" s="326">
        <f t="shared" si="62"/>
        <v>19</v>
      </c>
      <c r="K74" s="327">
        <f t="shared" si="63"/>
        <v>1</v>
      </c>
      <c r="L74" s="221">
        <v>14</v>
      </c>
      <c r="M74" s="222"/>
      <c r="N74" s="223"/>
      <c r="O74" s="222"/>
      <c r="P74" s="328">
        <f t="shared" si="64"/>
        <v>0</v>
      </c>
      <c r="Q74" s="328">
        <f t="shared" si="65"/>
        <v>14</v>
      </c>
      <c r="R74" s="329">
        <f t="shared" si="66"/>
        <v>1</v>
      </c>
      <c r="S74" s="225">
        <v>18</v>
      </c>
      <c r="T74" s="226"/>
      <c r="U74" s="226"/>
      <c r="V74" s="226"/>
      <c r="W74" s="330">
        <f t="shared" si="67"/>
        <v>0</v>
      </c>
      <c r="X74" s="330">
        <f t="shared" si="68"/>
        <v>18</v>
      </c>
      <c r="Y74" s="331">
        <f t="shared" si="69"/>
        <v>1</v>
      </c>
      <c r="Z74" s="228">
        <v>21</v>
      </c>
      <c r="AA74" s="256"/>
      <c r="AB74" s="256"/>
      <c r="AC74" s="256"/>
      <c r="AD74" s="280">
        <f t="shared" si="70"/>
        <v>0</v>
      </c>
      <c r="AE74" s="280">
        <f t="shared" si="71"/>
        <v>21</v>
      </c>
      <c r="AF74" s="281">
        <f t="shared" si="72"/>
        <v>1</v>
      </c>
      <c r="AG74" s="229">
        <v>24</v>
      </c>
      <c r="AH74" s="258"/>
      <c r="AI74" s="258"/>
      <c r="AJ74" s="258"/>
      <c r="AK74" s="305">
        <f t="shared" si="73"/>
        <v>0</v>
      </c>
      <c r="AL74" s="305">
        <f t="shared" si="74"/>
        <v>24</v>
      </c>
      <c r="AM74" s="306">
        <f t="shared" si="75"/>
        <v>1</v>
      </c>
      <c r="AN74" s="230">
        <v>14</v>
      </c>
      <c r="AO74" s="260"/>
      <c r="AP74" s="260"/>
      <c r="AQ74" s="260"/>
      <c r="AR74" s="307">
        <f t="shared" si="76"/>
        <v>0</v>
      </c>
      <c r="AS74" s="307">
        <f t="shared" si="77"/>
        <v>14</v>
      </c>
      <c r="AT74" s="308">
        <f t="shared" si="78"/>
        <v>1</v>
      </c>
      <c r="AU74" s="289"/>
      <c r="AV74" s="289"/>
      <c r="AW74" s="289"/>
      <c r="AX74" s="290">
        <v>98</v>
      </c>
      <c r="AY74" s="289">
        <f t="shared" si="79"/>
        <v>98</v>
      </c>
      <c r="AZ74" s="291">
        <f t="shared" si="80"/>
        <v>1</v>
      </c>
      <c r="BA74" s="293"/>
      <c r="BB74" s="394">
        <v>96</v>
      </c>
      <c r="BC74" s="379">
        <f t="shared" si="81"/>
        <v>0</v>
      </c>
      <c r="BD74" s="378">
        <f t="shared" si="82"/>
        <v>0</v>
      </c>
      <c r="BE74" s="381"/>
      <c r="BF74" s="393">
        <f t="shared" si="60"/>
        <v>96</v>
      </c>
    </row>
    <row r="75" spans="1:58" x14ac:dyDescent="0.35">
      <c r="A75" s="193" t="s">
        <v>37</v>
      </c>
      <c r="B75" s="35">
        <v>242510054</v>
      </c>
      <c r="C75" s="261" t="s">
        <v>1354</v>
      </c>
      <c r="D75" s="35" t="s">
        <v>6</v>
      </c>
      <c r="E75" s="215">
        <v>19</v>
      </c>
      <c r="F75" s="217"/>
      <c r="G75" s="217"/>
      <c r="H75" s="217"/>
      <c r="I75" s="326">
        <f t="shared" si="61"/>
        <v>0</v>
      </c>
      <c r="J75" s="326">
        <f t="shared" si="62"/>
        <v>19</v>
      </c>
      <c r="K75" s="327">
        <f t="shared" si="63"/>
        <v>1</v>
      </c>
      <c r="L75" s="221">
        <v>14</v>
      </c>
      <c r="M75" s="222"/>
      <c r="N75" s="223"/>
      <c r="O75" s="222"/>
      <c r="P75" s="328">
        <f t="shared" si="64"/>
        <v>0</v>
      </c>
      <c r="Q75" s="328">
        <f t="shared" si="65"/>
        <v>14</v>
      </c>
      <c r="R75" s="329">
        <f t="shared" si="66"/>
        <v>1</v>
      </c>
      <c r="S75" s="225">
        <v>18</v>
      </c>
      <c r="T75" s="226"/>
      <c r="U75" s="226"/>
      <c r="V75" s="226"/>
      <c r="W75" s="330">
        <f t="shared" si="67"/>
        <v>0</v>
      </c>
      <c r="X75" s="330">
        <f t="shared" si="68"/>
        <v>18</v>
      </c>
      <c r="Y75" s="331">
        <f t="shared" si="69"/>
        <v>1</v>
      </c>
      <c r="Z75" s="228">
        <v>21</v>
      </c>
      <c r="AA75" s="256"/>
      <c r="AB75" s="256"/>
      <c r="AC75" s="256"/>
      <c r="AD75" s="280">
        <f t="shared" si="70"/>
        <v>0</v>
      </c>
      <c r="AE75" s="280">
        <f t="shared" si="71"/>
        <v>21</v>
      </c>
      <c r="AF75" s="281">
        <f t="shared" si="72"/>
        <v>1</v>
      </c>
      <c r="AG75" s="229">
        <v>24</v>
      </c>
      <c r="AH75" s="258"/>
      <c r="AI75" s="258"/>
      <c r="AJ75" s="258"/>
      <c r="AK75" s="305">
        <f t="shared" si="73"/>
        <v>0</v>
      </c>
      <c r="AL75" s="305">
        <f t="shared" si="74"/>
        <v>24</v>
      </c>
      <c r="AM75" s="306">
        <f t="shared" si="75"/>
        <v>1</v>
      </c>
      <c r="AN75" s="230">
        <v>14</v>
      </c>
      <c r="AO75" s="260"/>
      <c r="AP75" s="260"/>
      <c r="AQ75" s="260"/>
      <c r="AR75" s="307">
        <f t="shared" si="76"/>
        <v>0</v>
      </c>
      <c r="AS75" s="307">
        <f t="shared" si="77"/>
        <v>14</v>
      </c>
      <c r="AT75" s="308">
        <f t="shared" si="78"/>
        <v>1</v>
      </c>
      <c r="AU75" s="289"/>
      <c r="AV75" s="289"/>
      <c r="AW75" s="289"/>
      <c r="AX75" s="290">
        <v>98</v>
      </c>
      <c r="AY75" s="289">
        <f t="shared" si="79"/>
        <v>98</v>
      </c>
      <c r="AZ75" s="291">
        <f t="shared" si="80"/>
        <v>1</v>
      </c>
      <c r="BA75" s="293">
        <v>1</v>
      </c>
      <c r="BB75" s="394">
        <v>92</v>
      </c>
      <c r="BC75" s="379">
        <f t="shared" si="81"/>
        <v>2</v>
      </c>
      <c r="BD75" s="378">
        <f t="shared" si="82"/>
        <v>0</v>
      </c>
      <c r="BE75" s="381"/>
      <c r="BF75" s="393">
        <f t="shared" si="60"/>
        <v>90</v>
      </c>
    </row>
    <row r="76" spans="1:58" x14ac:dyDescent="0.35">
      <c r="A76" s="193" t="s">
        <v>38</v>
      </c>
      <c r="B76" s="35">
        <v>242510177</v>
      </c>
      <c r="C76" s="261" t="s">
        <v>1355</v>
      </c>
      <c r="D76" s="35" t="s">
        <v>6</v>
      </c>
      <c r="E76" s="215">
        <v>19</v>
      </c>
      <c r="F76" s="217"/>
      <c r="G76" s="217"/>
      <c r="H76" s="217"/>
      <c r="I76" s="326">
        <f t="shared" si="61"/>
        <v>0</v>
      </c>
      <c r="J76" s="326">
        <f t="shared" si="62"/>
        <v>19</v>
      </c>
      <c r="K76" s="327">
        <f t="shared" si="63"/>
        <v>1</v>
      </c>
      <c r="L76" s="221">
        <v>14</v>
      </c>
      <c r="M76" s="222"/>
      <c r="N76" s="223"/>
      <c r="O76" s="222"/>
      <c r="P76" s="328">
        <f t="shared" si="64"/>
        <v>0</v>
      </c>
      <c r="Q76" s="328">
        <f t="shared" si="65"/>
        <v>14</v>
      </c>
      <c r="R76" s="329">
        <f t="shared" si="66"/>
        <v>1</v>
      </c>
      <c r="S76" s="225">
        <v>18</v>
      </c>
      <c r="T76" s="226"/>
      <c r="U76" s="226"/>
      <c r="V76" s="226"/>
      <c r="W76" s="330">
        <f t="shared" si="67"/>
        <v>0</v>
      </c>
      <c r="X76" s="330">
        <f t="shared" si="68"/>
        <v>18</v>
      </c>
      <c r="Y76" s="331">
        <f t="shared" si="69"/>
        <v>1</v>
      </c>
      <c r="Z76" s="228">
        <v>21</v>
      </c>
      <c r="AA76" s="256"/>
      <c r="AB76" s="256"/>
      <c r="AC76" s="256"/>
      <c r="AD76" s="280">
        <f t="shared" si="70"/>
        <v>0</v>
      </c>
      <c r="AE76" s="280">
        <f t="shared" si="71"/>
        <v>21</v>
      </c>
      <c r="AF76" s="281">
        <f t="shared" si="72"/>
        <v>1</v>
      </c>
      <c r="AG76" s="229">
        <v>24</v>
      </c>
      <c r="AH76" s="258"/>
      <c r="AI76" s="258"/>
      <c r="AJ76" s="258"/>
      <c r="AK76" s="305">
        <f t="shared" si="73"/>
        <v>0</v>
      </c>
      <c r="AL76" s="305">
        <f t="shared" si="74"/>
        <v>24</v>
      </c>
      <c r="AM76" s="306">
        <f t="shared" si="75"/>
        <v>1</v>
      </c>
      <c r="AN76" s="230">
        <v>14</v>
      </c>
      <c r="AO76" s="260"/>
      <c r="AP76" s="260"/>
      <c r="AQ76" s="260"/>
      <c r="AR76" s="307">
        <f t="shared" si="76"/>
        <v>0</v>
      </c>
      <c r="AS76" s="307">
        <f t="shared" si="77"/>
        <v>14</v>
      </c>
      <c r="AT76" s="308">
        <f t="shared" si="78"/>
        <v>1</v>
      </c>
      <c r="AU76" s="289"/>
      <c r="AV76" s="289"/>
      <c r="AW76" s="289"/>
      <c r="AX76" s="290">
        <v>98</v>
      </c>
      <c r="AY76" s="289">
        <f t="shared" si="79"/>
        <v>98</v>
      </c>
      <c r="AZ76" s="291">
        <f t="shared" si="80"/>
        <v>1</v>
      </c>
      <c r="BA76" s="293">
        <v>1</v>
      </c>
      <c r="BB76" s="394">
        <v>96</v>
      </c>
      <c r="BC76" s="379">
        <f t="shared" si="81"/>
        <v>2</v>
      </c>
      <c r="BD76" s="378">
        <f t="shared" si="82"/>
        <v>0</v>
      </c>
      <c r="BE76" s="381"/>
      <c r="BF76" s="393">
        <f t="shared" si="60"/>
        <v>94</v>
      </c>
    </row>
    <row r="77" spans="1:58" x14ac:dyDescent="0.35">
      <c r="A77" s="193" t="s">
        <v>39</v>
      </c>
      <c r="B77" s="35">
        <v>242510059</v>
      </c>
      <c r="C77" s="261" t="s">
        <v>1356</v>
      </c>
      <c r="D77" s="35" t="s">
        <v>6</v>
      </c>
      <c r="E77" s="215">
        <v>19</v>
      </c>
      <c r="F77" s="217"/>
      <c r="G77" s="217"/>
      <c r="H77" s="217"/>
      <c r="I77" s="326">
        <f t="shared" si="61"/>
        <v>0</v>
      </c>
      <c r="J77" s="326">
        <f t="shared" si="62"/>
        <v>19</v>
      </c>
      <c r="K77" s="327">
        <f t="shared" si="63"/>
        <v>1</v>
      </c>
      <c r="L77" s="221">
        <v>14</v>
      </c>
      <c r="M77" s="222"/>
      <c r="N77" s="223"/>
      <c r="O77" s="222"/>
      <c r="P77" s="328">
        <f t="shared" si="64"/>
        <v>0</v>
      </c>
      <c r="Q77" s="328">
        <f t="shared" si="65"/>
        <v>14</v>
      </c>
      <c r="R77" s="329">
        <f t="shared" si="66"/>
        <v>1</v>
      </c>
      <c r="S77" s="225">
        <v>18</v>
      </c>
      <c r="T77" s="226"/>
      <c r="U77" s="227"/>
      <c r="V77" s="226"/>
      <c r="W77" s="330">
        <f t="shared" si="67"/>
        <v>0</v>
      </c>
      <c r="X77" s="330">
        <f t="shared" si="68"/>
        <v>18</v>
      </c>
      <c r="Y77" s="331">
        <f t="shared" si="69"/>
        <v>1</v>
      </c>
      <c r="Z77" s="228">
        <v>21</v>
      </c>
      <c r="AA77" s="256"/>
      <c r="AB77" s="256"/>
      <c r="AC77" s="256"/>
      <c r="AD77" s="280">
        <f t="shared" si="70"/>
        <v>0</v>
      </c>
      <c r="AE77" s="280">
        <f t="shared" si="71"/>
        <v>21</v>
      </c>
      <c r="AF77" s="281">
        <f t="shared" si="72"/>
        <v>1</v>
      </c>
      <c r="AG77" s="229">
        <v>24</v>
      </c>
      <c r="AH77" s="258"/>
      <c r="AI77" s="258"/>
      <c r="AJ77" s="258"/>
      <c r="AK77" s="305">
        <f t="shared" si="73"/>
        <v>0</v>
      </c>
      <c r="AL77" s="305">
        <f t="shared" si="74"/>
        <v>24</v>
      </c>
      <c r="AM77" s="306">
        <f t="shared" si="75"/>
        <v>1</v>
      </c>
      <c r="AN77" s="230">
        <v>14</v>
      </c>
      <c r="AO77" s="260"/>
      <c r="AP77" s="260"/>
      <c r="AQ77" s="260"/>
      <c r="AR77" s="307">
        <f t="shared" si="76"/>
        <v>0</v>
      </c>
      <c r="AS77" s="307">
        <f t="shared" si="77"/>
        <v>14</v>
      </c>
      <c r="AT77" s="308">
        <f t="shared" si="78"/>
        <v>1</v>
      </c>
      <c r="AU77" s="289"/>
      <c r="AV77" s="289"/>
      <c r="AW77" s="289"/>
      <c r="AX77" s="290">
        <v>98</v>
      </c>
      <c r="AY77" s="289">
        <f t="shared" si="79"/>
        <v>98</v>
      </c>
      <c r="AZ77" s="291">
        <f t="shared" si="80"/>
        <v>1</v>
      </c>
      <c r="BA77" s="293"/>
      <c r="BB77" s="394">
        <v>100</v>
      </c>
      <c r="BC77" s="379">
        <f t="shared" si="81"/>
        <v>0</v>
      </c>
      <c r="BD77" s="378">
        <f t="shared" si="82"/>
        <v>0</v>
      </c>
      <c r="BE77" s="381"/>
      <c r="BF77" s="393">
        <f t="shared" si="60"/>
        <v>100</v>
      </c>
    </row>
    <row r="78" spans="1:58" x14ac:dyDescent="0.35">
      <c r="A78" s="193" t="s">
        <v>40</v>
      </c>
      <c r="B78" s="35">
        <v>242510060</v>
      </c>
      <c r="C78" s="261" t="s">
        <v>1365</v>
      </c>
      <c r="D78" s="35" t="s">
        <v>6</v>
      </c>
      <c r="E78" s="215">
        <v>19</v>
      </c>
      <c r="F78" s="217"/>
      <c r="G78" s="217"/>
      <c r="H78" s="217"/>
      <c r="I78" s="326">
        <f t="shared" si="61"/>
        <v>0</v>
      </c>
      <c r="J78" s="326">
        <f t="shared" si="62"/>
        <v>19</v>
      </c>
      <c r="K78" s="327">
        <f t="shared" si="63"/>
        <v>1</v>
      </c>
      <c r="L78" s="221">
        <v>14</v>
      </c>
      <c r="M78" s="222"/>
      <c r="N78" s="223"/>
      <c r="O78" s="222"/>
      <c r="P78" s="328">
        <f t="shared" si="64"/>
        <v>0</v>
      </c>
      <c r="Q78" s="328">
        <f t="shared" si="65"/>
        <v>14</v>
      </c>
      <c r="R78" s="329">
        <f t="shared" si="66"/>
        <v>1</v>
      </c>
      <c r="S78" s="225">
        <v>18</v>
      </c>
      <c r="T78" s="226"/>
      <c r="U78" s="227"/>
      <c r="V78" s="226"/>
      <c r="W78" s="330">
        <f t="shared" si="67"/>
        <v>0</v>
      </c>
      <c r="X78" s="330">
        <f t="shared" si="68"/>
        <v>18</v>
      </c>
      <c r="Y78" s="331">
        <f t="shared" si="69"/>
        <v>1</v>
      </c>
      <c r="Z78" s="228">
        <v>21</v>
      </c>
      <c r="AA78" s="256"/>
      <c r="AB78" s="256"/>
      <c r="AC78" s="256"/>
      <c r="AD78" s="280">
        <f t="shared" si="70"/>
        <v>0</v>
      </c>
      <c r="AE78" s="280">
        <f t="shared" si="71"/>
        <v>21</v>
      </c>
      <c r="AF78" s="281">
        <f t="shared" si="72"/>
        <v>1</v>
      </c>
      <c r="AG78" s="229">
        <v>24</v>
      </c>
      <c r="AH78" s="258"/>
      <c r="AI78" s="258"/>
      <c r="AJ78" s="258"/>
      <c r="AK78" s="305">
        <f t="shared" si="73"/>
        <v>0</v>
      </c>
      <c r="AL78" s="305">
        <f t="shared" si="74"/>
        <v>24</v>
      </c>
      <c r="AM78" s="306">
        <f t="shared" si="75"/>
        <v>1</v>
      </c>
      <c r="AN78" s="230">
        <v>14</v>
      </c>
      <c r="AO78" s="260"/>
      <c r="AP78" s="260"/>
      <c r="AQ78" s="260"/>
      <c r="AR78" s="307">
        <f t="shared" si="76"/>
        <v>0</v>
      </c>
      <c r="AS78" s="307">
        <f t="shared" si="77"/>
        <v>14</v>
      </c>
      <c r="AT78" s="308">
        <f t="shared" si="78"/>
        <v>1</v>
      </c>
      <c r="AU78" s="289"/>
      <c r="AV78" s="289"/>
      <c r="AW78" s="289"/>
      <c r="AX78" s="290">
        <v>98</v>
      </c>
      <c r="AY78" s="289">
        <f t="shared" si="79"/>
        <v>98</v>
      </c>
      <c r="AZ78" s="291">
        <f t="shared" si="80"/>
        <v>1</v>
      </c>
      <c r="BA78" s="293"/>
      <c r="BB78" s="394">
        <v>94</v>
      </c>
      <c r="BC78" s="379">
        <f t="shared" si="81"/>
        <v>0</v>
      </c>
      <c r="BD78" s="378">
        <f t="shared" si="82"/>
        <v>0</v>
      </c>
      <c r="BE78" s="381"/>
      <c r="BF78" s="393">
        <f t="shared" si="60"/>
        <v>94</v>
      </c>
    </row>
    <row r="79" spans="1:58" x14ac:dyDescent="0.35">
      <c r="A79" s="193" t="s">
        <v>41</v>
      </c>
      <c r="B79" s="35">
        <v>242510061</v>
      </c>
      <c r="C79" s="261" t="s">
        <v>1357</v>
      </c>
      <c r="D79" s="35" t="s">
        <v>6</v>
      </c>
      <c r="E79" s="215">
        <v>19</v>
      </c>
      <c r="F79" s="217"/>
      <c r="G79" s="217"/>
      <c r="H79" s="217"/>
      <c r="I79" s="326">
        <f t="shared" si="61"/>
        <v>0</v>
      </c>
      <c r="J79" s="326">
        <f t="shared" si="62"/>
        <v>19</v>
      </c>
      <c r="K79" s="327">
        <f t="shared" si="63"/>
        <v>1</v>
      </c>
      <c r="L79" s="221">
        <v>14</v>
      </c>
      <c r="M79" s="222"/>
      <c r="N79" s="223"/>
      <c r="O79" s="223"/>
      <c r="P79" s="328">
        <f t="shared" si="64"/>
        <v>0</v>
      </c>
      <c r="Q79" s="328">
        <f t="shared" si="65"/>
        <v>14</v>
      </c>
      <c r="R79" s="329">
        <f t="shared" si="66"/>
        <v>1</v>
      </c>
      <c r="S79" s="225">
        <v>18</v>
      </c>
      <c r="T79" s="226"/>
      <c r="U79" s="227"/>
      <c r="V79" s="227"/>
      <c r="W79" s="330">
        <f t="shared" si="67"/>
        <v>0</v>
      </c>
      <c r="X79" s="330">
        <f t="shared" si="68"/>
        <v>18</v>
      </c>
      <c r="Y79" s="331">
        <f t="shared" si="69"/>
        <v>1</v>
      </c>
      <c r="Z79" s="228">
        <v>21</v>
      </c>
      <c r="AA79" s="256"/>
      <c r="AB79" s="256"/>
      <c r="AC79" s="256"/>
      <c r="AD79" s="280">
        <f t="shared" si="70"/>
        <v>0</v>
      </c>
      <c r="AE79" s="280">
        <f t="shared" si="71"/>
        <v>21</v>
      </c>
      <c r="AF79" s="281">
        <f t="shared" si="72"/>
        <v>1</v>
      </c>
      <c r="AG79" s="229">
        <v>24</v>
      </c>
      <c r="AH79" s="258"/>
      <c r="AI79" s="258"/>
      <c r="AJ79" s="258"/>
      <c r="AK79" s="305">
        <f t="shared" si="73"/>
        <v>0</v>
      </c>
      <c r="AL79" s="305">
        <f t="shared" si="74"/>
        <v>24</v>
      </c>
      <c r="AM79" s="306">
        <f t="shared" si="75"/>
        <v>1</v>
      </c>
      <c r="AN79" s="230">
        <v>14</v>
      </c>
      <c r="AO79" s="260"/>
      <c r="AP79" s="260"/>
      <c r="AQ79" s="260"/>
      <c r="AR79" s="307">
        <f t="shared" si="76"/>
        <v>0</v>
      </c>
      <c r="AS79" s="307">
        <f t="shared" si="77"/>
        <v>14</v>
      </c>
      <c r="AT79" s="308">
        <f t="shared" si="78"/>
        <v>1</v>
      </c>
      <c r="AU79" s="289"/>
      <c r="AV79" s="289"/>
      <c r="AW79" s="289"/>
      <c r="AX79" s="290">
        <v>98</v>
      </c>
      <c r="AY79" s="289">
        <f t="shared" si="79"/>
        <v>98</v>
      </c>
      <c r="AZ79" s="291">
        <f t="shared" si="80"/>
        <v>1</v>
      </c>
      <c r="BA79" s="293"/>
      <c r="BB79" s="394">
        <v>96</v>
      </c>
      <c r="BC79" s="379">
        <f t="shared" si="81"/>
        <v>0</v>
      </c>
      <c r="BD79" s="378">
        <f t="shared" si="82"/>
        <v>0</v>
      </c>
      <c r="BE79" s="381"/>
      <c r="BF79" s="393">
        <f t="shared" si="60"/>
        <v>96</v>
      </c>
    </row>
    <row r="80" spans="1:58" x14ac:dyDescent="0.35">
      <c r="A80" s="193" t="s">
        <v>42</v>
      </c>
      <c r="B80" s="35">
        <v>242510062</v>
      </c>
      <c r="C80" s="261" t="s">
        <v>1358</v>
      </c>
      <c r="D80" s="35" t="s">
        <v>6</v>
      </c>
      <c r="E80" s="215">
        <v>19</v>
      </c>
      <c r="F80" s="217"/>
      <c r="G80" s="217"/>
      <c r="H80" s="217"/>
      <c r="I80" s="326">
        <f t="shared" si="61"/>
        <v>0</v>
      </c>
      <c r="J80" s="326">
        <f t="shared" si="62"/>
        <v>19</v>
      </c>
      <c r="K80" s="327">
        <f t="shared" si="63"/>
        <v>1</v>
      </c>
      <c r="L80" s="221">
        <v>14</v>
      </c>
      <c r="M80" s="222"/>
      <c r="N80" s="223"/>
      <c r="O80" s="223"/>
      <c r="P80" s="328">
        <f t="shared" si="64"/>
        <v>0</v>
      </c>
      <c r="Q80" s="328">
        <f t="shared" si="65"/>
        <v>14</v>
      </c>
      <c r="R80" s="329">
        <f t="shared" si="66"/>
        <v>1</v>
      </c>
      <c r="S80" s="225">
        <v>18</v>
      </c>
      <c r="T80" s="226"/>
      <c r="U80" s="227"/>
      <c r="V80" s="227"/>
      <c r="W80" s="330">
        <f t="shared" si="67"/>
        <v>0</v>
      </c>
      <c r="X80" s="330">
        <f t="shared" si="68"/>
        <v>18</v>
      </c>
      <c r="Y80" s="331">
        <f t="shared" si="69"/>
        <v>1</v>
      </c>
      <c r="Z80" s="228">
        <v>21</v>
      </c>
      <c r="AA80" s="256"/>
      <c r="AB80" s="256"/>
      <c r="AC80" s="256"/>
      <c r="AD80" s="280">
        <f t="shared" si="70"/>
        <v>0</v>
      </c>
      <c r="AE80" s="280">
        <f t="shared" si="71"/>
        <v>21</v>
      </c>
      <c r="AF80" s="281">
        <f t="shared" si="72"/>
        <v>1</v>
      </c>
      <c r="AG80" s="229">
        <v>24</v>
      </c>
      <c r="AH80" s="258"/>
      <c r="AI80" s="258"/>
      <c r="AJ80" s="258"/>
      <c r="AK80" s="305">
        <f t="shared" si="73"/>
        <v>0</v>
      </c>
      <c r="AL80" s="305">
        <f t="shared" si="74"/>
        <v>24</v>
      </c>
      <c r="AM80" s="306">
        <f t="shared" si="75"/>
        <v>1</v>
      </c>
      <c r="AN80" s="230">
        <v>14</v>
      </c>
      <c r="AO80" s="260"/>
      <c r="AP80" s="260"/>
      <c r="AQ80" s="260"/>
      <c r="AR80" s="307">
        <f t="shared" si="76"/>
        <v>0</v>
      </c>
      <c r="AS80" s="307">
        <f t="shared" si="77"/>
        <v>14</v>
      </c>
      <c r="AT80" s="308">
        <f t="shared" si="78"/>
        <v>1</v>
      </c>
      <c r="AU80" s="289"/>
      <c r="AV80" s="289"/>
      <c r="AW80" s="289"/>
      <c r="AX80" s="290">
        <v>98</v>
      </c>
      <c r="AY80" s="289">
        <f t="shared" si="79"/>
        <v>98</v>
      </c>
      <c r="AZ80" s="291">
        <f t="shared" si="80"/>
        <v>1</v>
      </c>
      <c r="BA80" s="293">
        <v>1</v>
      </c>
      <c r="BB80" s="394">
        <v>78</v>
      </c>
      <c r="BC80" s="379">
        <f t="shared" si="81"/>
        <v>2</v>
      </c>
      <c r="BD80" s="378">
        <f t="shared" si="82"/>
        <v>0</v>
      </c>
      <c r="BE80" s="381"/>
      <c r="BF80" s="393">
        <f t="shared" si="60"/>
        <v>76</v>
      </c>
    </row>
    <row r="81" spans="1:58" x14ac:dyDescent="0.35">
      <c r="A81" s="193" t="s">
        <v>43</v>
      </c>
      <c r="B81" s="35">
        <v>242510063</v>
      </c>
      <c r="C81" s="261" t="s">
        <v>1619</v>
      </c>
      <c r="D81" s="35" t="s">
        <v>6</v>
      </c>
      <c r="E81" s="215">
        <v>19</v>
      </c>
      <c r="F81" s="217"/>
      <c r="G81" s="217"/>
      <c r="H81" s="217"/>
      <c r="I81" s="326">
        <f t="shared" si="61"/>
        <v>0</v>
      </c>
      <c r="J81" s="326">
        <f t="shared" si="62"/>
        <v>19</v>
      </c>
      <c r="K81" s="327">
        <f t="shared" si="63"/>
        <v>1</v>
      </c>
      <c r="L81" s="221">
        <v>14</v>
      </c>
      <c r="M81" s="222"/>
      <c r="N81" s="223"/>
      <c r="O81" s="223"/>
      <c r="P81" s="328">
        <f t="shared" si="64"/>
        <v>0</v>
      </c>
      <c r="Q81" s="328">
        <f t="shared" si="65"/>
        <v>14</v>
      </c>
      <c r="R81" s="329">
        <f t="shared" si="66"/>
        <v>1</v>
      </c>
      <c r="S81" s="225">
        <v>18</v>
      </c>
      <c r="T81" s="226"/>
      <c r="U81" s="227"/>
      <c r="V81" s="227"/>
      <c r="W81" s="330">
        <f t="shared" si="67"/>
        <v>0</v>
      </c>
      <c r="X81" s="330">
        <f t="shared" si="68"/>
        <v>18</v>
      </c>
      <c r="Y81" s="331">
        <f t="shared" si="69"/>
        <v>1</v>
      </c>
      <c r="Z81" s="228">
        <v>21</v>
      </c>
      <c r="AA81" s="256"/>
      <c r="AB81" s="256"/>
      <c r="AC81" s="256"/>
      <c r="AD81" s="280">
        <f t="shared" si="70"/>
        <v>0</v>
      </c>
      <c r="AE81" s="280">
        <f t="shared" si="71"/>
        <v>21</v>
      </c>
      <c r="AF81" s="281">
        <f t="shared" si="72"/>
        <v>1</v>
      </c>
      <c r="AG81" s="229">
        <v>24</v>
      </c>
      <c r="AH81" s="258"/>
      <c r="AI81" s="258"/>
      <c r="AJ81" s="258"/>
      <c r="AK81" s="305">
        <f t="shared" si="73"/>
        <v>0</v>
      </c>
      <c r="AL81" s="305">
        <f t="shared" si="74"/>
        <v>24</v>
      </c>
      <c r="AM81" s="306">
        <f t="shared" si="75"/>
        <v>1</v>
      </c>
      <c r="AN81" s="230">
        <v>14</v>
      </c>
      <c r="AO81" s="260"/>
      <c r="AP81" s="260"/>
      <c r="AQ81" s="260"/>
      <c r="AR81" s="307">
        <f t="shared" si="76"/>
        <v>0</v>
      </c>
      <c r="AS81" s="307">
        <f t="shared" si="77"/>
        <v>14</v>
      </c>
      <c r="AT81" s="308">
        <f t="shared" si="78"/>
        <v>1</v>
      </c>
      <c r="AU81" s="289"/>
      <c r="AV81" s="289"/>
      <c r="AW81" s="289"/>
      <c r="AX81" s="290">
        <v>98</v>
      </c>
      <c r="AY81" s="289">
        <f t="shared" si="79"/>
        <v>98</v>
      </c>
      <c r="AZ81" s="291">
        <f t="shared" si="80"/>
        <v>1</v>
      </c>
      <c r="BA81" s="293"/>
      <c r="BB81" s="394">
        <v>96</v>
      </c>
      <c r="BC81" s="379">
        <f t="shared" si="81"/>
        <v>0</v>
      </c>
      <c r="BD81" s="378">
        <f t="shared" si="82"/>
        <v>0</v>
      </c>
      <c r="BE81" s="381"/>
      <c r="BF81" s="393">
        <f t="shared" si="60"/>
        <v>96</v>
      </c>
    </row>
    <row r="82" spans="1:58" ht="17.5" customHeight="1" x14ac:dyDescent="0.35">
      <c r="A82" s="193" t="s">
        <v>44</v>
      </c>
      <c r="B82" s="35">
        <v>242510179</v>
      </c>
      <c r="C82" s="261" t="s">
        <v>1359</v>
      </c>
      <c r="D82" s="35" t="s">
        <v>6</v>
      </c>
      <c r="E82" s="215">
        <v>19</v>
      </c>
      <c r="F82" s="217"/>
      <c r="G82" s="217"/>
      <c r="H82" s="217"/>
      <c r="I82" s="326">
        <f t="shared" si="61"/>
        <v>0</v>
      </c>
      <c r="J82" s="326">
        <f t="shared" si="62"/>
        <v>19</v>
      </c>
      <c r="K82" s="327">
        <f t="shared" si="63"/>
        <v>1</v>
      </c>
      <c r="L82" s="221">
        <v>14</v>
      </c>
      <c r="M82" s="223"/>
      <c r="N82" s="223"/>
      <c r="O82" s="222"/>
      <c r="P82" s="328">
        <f t="shared" si="64"/>
        <v>0</v>
      </c>
      <c r="Q82" s="328">
        <f t="shared" si="65"/>
        <v>14</v>
      </c>
      <c r="R82" s="329">
        <f t="shared" si="66"/>
        <v>1</v>
      </c>
      <c r="S82" s="225">
        <v>18</v>
      </c>
      <c r="U82" s="227"/>
      <c r="V82" s="227"/>
      <c r="W82" s="330">
        <f t="shared" si="67"/>
        <v>0</v>
      </c>
      <c r="X82" s="330">
        <f t="shared" si="68"/>
        <v>18</v>
      </c>
      <c r="Y82" s="331">
        <f t="shared" si="69"/>
        <v>1</v>
      </c>
      <c r="Z82" s="228">
        <v>21</v>
      </c>
      <c r="AA82" s="256"/>
      <c r="AB82" s="256"/>
      <c r="AC82" s="256"/>
      <c r="AD82" s="280">
        <f t="shared" si="70"/>
        <v>0</v>
      </c>
      <c r="AE82" s="280">
        <f t="shared" si="71"/>
        <v>21</v>
      </c>
      <c r="AF82" s="281">
        <f t="shared" si="72"/>
        <v>1</v>
      </c>
      <c r="AG82" s="229">
        <v>24</v>
      </c>
      <c r="AH82" s="258"/>
      <c r="AI82" s="258"/>
      <c r="AJ82" s="258"/>
      <c r="AK82" s="305">
        <f t="shared" si="73"/>
        <v>0</v>
      </c>
      <c r="AL82" s="305">
        <f t="shared" si="74"/>
        <v>24</v>
      </c>
      <c r="AM82" s="306">
        <f t="shared" si="75"/>
        <v>1</v>
      </c>
      <c r="AN82" s="230">
        <v>14</v>
      </c>
      <c r="AO82" s="260"/>
      <c r="AP82" s="260"/>
      <c r="AQ82" s="260"/>
      <c r="AR82" s="307">
        <f t="shared" si="76"/>
        <v>0</v>
      </c>
      <c r="AS82" s="307">
        <f t="shared" si="77"/>
        <v>14</v>
      </c>
      <c r="AT82" s="308">
        <f t="shared" si="78"/>
        <v>1</v>
      </c>
      <c r="AU82" s="289"/>
      <c r="AV82" s="289"/>
      <c r="AW82" s="289"/>
      <c r="AX82" s="290">
        <v>98</v>
      </c>
      <c r="AY82" s="289">
        <f t="shared" si="79"/>
        <v>98</v>
      </c>
      <c r="AZ82" s="291">
        <f t="shared" si="80"/>
        <v>1</v>
      </c>
      <c r="BA82" s="293"/>
      <c r="BB82" s="394">
        <v>88</v>
      </c>
      <c r="BC82" s="379">
        <f t="shared" si="81"/>
        <v>0</v>
      </c>
      <c r="BD82" s="378">
        <f t="shared" si="82"/>
        <v>0</v>
      </c>
      <c r="BE82" s="381"/>
      <c r="BF82" s="393">
        <f t="shared" si="60"/>
        <v>88</v>
      </c>
    </row>
    <row r="83" spans="1:58" x14ac:dyDescent="0.35">
      <c r="A83" s="193" t="s">
        <v>45</v>
      </c>
      <c r="B83" s="35">
        <v>242510064</v>
      </c>
      <c r="C83" s="261" t="s">
        <v>1360</v>
      </c>
      <c r="D83" s="35" t="s">
        <v>6</v>
      </c>
      <c r="E83" s="215">
        <v>19</v>
      </c>
      <c r="F83" s="217"/>
      <c r="G83" s="217"/>
      <c r="H83" s="217"/>
      <c r="I83" s="326">
        <f t="shared" si="61"/>
        <v>0</v>
      </c>
      <c r="J83" s="326">
        <f t="shared" si="62"/>
        <v>19</v>
      </c>
      <c r="K83" s="327">
        <f t="shared" si="63"/>
        <v>1</v>
      </c>
      <c r="L83" s="221">
        <v>14</v>
      </c>
      <c r="M83" s="222"/>
      <c r="N83" s="223"/>
      <c r="O83" s="223"/>
      <c r="P83" s="328">
        <f t="shared" si="64"/>
        <v>0</v>
      </c>
      <c r="Q83" s="328">
        <f t="shared" si="65"/>
        <v>14</v>
      </c>
      <c r="R83" s="329">
        <f t="shared" si="66"/>
        <v>1</v>
      </c>
      <c r="S83" s="225">
        <v>18</v>
      </c>
      <c r="T83" s="226"/>
      <c r="U83" s="227"/>
      <c r="V83" s="227"/>
      <c r="W83" s="330">
        <f t="shared" si="67"/>
        <v>0</v>
      </c>
      <c r="X83" s="330">
        <f t="shared" si="68"/>
        <v>18</v>
      </c>
      <c r="Y83" s="331">
        <f t="shared" si="69"/>
        <v>1</v>
      </c>
      <c r="Z83" s="228">
        <v>21</v>
      </c>
      <c r="AA83" s="256"/>
      <c r="AB83" s="256"/>
      <c r="AC83" s="256"/>
      <c r="AD83" s="280">
        <f t="shared" si="70"/>
        <v>0</v>
      </c>
      <c r="AE83" s="280">
        <f t="shared" si="71"/>
        <v>21</v>
      </c>
      <c r="AF83" s="281">
        <f t="shared" si="72"/>
        <v>1</v>
      </c>
      <c r="AG83" s="229">
        <v>24</v>
      </c>
      <c r="AH83" s="258"/>
      <c r="AI83" s="258"/>
      <c r="AJ83" s="258"/>
      <c r="AK83" s="305">
        <f t="shared" si="73"/>
        <v>0</v>
      </c>
      <c r="AL83" s="305">
        <f t="shared" si="74"/>
        <v>24</v>
      </c>
      <c r="AM83" s="306">
        <f t="shared" si="75"/>
        <v>1</v>
      </c>
      <c r="AN83" s="230">
        <v>14</v>
      </c>
      <c r="AO83" s="260"/>
      <c r="AP83" s="260"/>
      <c r="AQ83" s="260"/>
      <c r="AR83" s="307">
        <f t="shared" si="76"/>
        <v>0</v>
      </c>
      <c r="AS83" s="307">
        <f t="shared" si="77"/>
        <v>14</v>
      </c>
      <c r="AT83" s="308">
        <f t="shared" si="78"/>
        <v>1</v>
      </c>
      <c r="AU83" s="289"/>
      <c r="AV83" s="289"/>
      <c r="AW83" s="289"/>
      <c r="AX83" s="290">
        <v>98</v>
      </c>
      <c r="AY83" s="289">
        <f t="shared" si="79"/>
        <v>98</v>
      </c>
      <c r="AZ83" s="291">
        <f t="shared" si="80"/>
        <v>1</v>
      </c>
      <c r="BA83" s="293">
        <v>2</v>
      </c>
      <c r="BB83" s="394">
        <v>96</v>
      </c>
      <c r="BC83" s="379">
        <f t="shared" si="81"/>
        <v>4</v>
      </c>
      <c r="BD83" s="378">
        <f t="shared" si="82"/>
        <v>0</v>
      </c>
      <c r="BE83" s="381"/>
      <c r="BF83" s="393">
        <f t="shared" si="60"/>
        <v>92</v>
      </c>
    </row>
    <row r="84" spans="1:58" x14ac:dyDescent="0.35">
      <c r="A84" s="193" t="s">
        <v>46</v>
      </c>
      <c r="B84" s="35">
        <v>242510065</v>
      </c>
      <c r="C84" s="336" t="s">
        <v>1361</v>
      </c>
      <c r="D84" s="35" t="s">
        <v>6</v>
      </c>
      <c r="E84" s="215">
        <v>19</v>
      </c>
      <c r="F84" s="217"/>
      <c r="G84" s="217"/>
      <c r="H84" s="217"/>
      <c r="I84" s="326">
        <f t="shared" si="61"/>
        <v>0</v>
      </c>
      <c r="J84" s="326">
        <f t="shared" si="62"/>
        <v>19</v>
      </c>
      <c r="K84" s="327">
        <f t="shared" si="63"/>
        <v>1</v>
      </c>
      <c r="L84" s="221">
        <v>14</v>
      </c>
      <c r="M84" s="222"/>
      <c r="N84" s="223"/>
      <c r="O84" s="223"/>
      <c r="P84" s="328">
        <f t="shared" si="64"/>
        <v>0</v>
      </c>
      <c r="Q84" s="328">
        <f t="shared" si="65"/>
        <v>14</v>
      </c>
      <c r="R84" s="329">
        <f t="shared" si="66"/>
        <v>1</v>
      </c>
      <c r="S84" s="225">
        <v>18</v>
      </c>
      <c r="T84" s="226"/>
      <c r="U84" s="227"/>
      <c r="V84" s="227"/>
      <c r="W84" s="330">
        <f t="shared" si="67"/>
        <v>0</v>
      </c>
      <c r="X84" s="330">
        <f t="shared" si="68"/>
        <v>18</v>
      </c>
      <c r="Y84" s="331">
        <f t="shared" si="69"/>
        <v>1</v>
      </c>
      <c r="Z84" s="228">
        <v>21</v>
      </c>
      <c r="AA84" s="256"/>
      <c r="AB84" s="256"/>
      <c r="AC84" s="256"/>
      <c r="AD84" s="280">
        <f t="shared" si="70"/>
        <v>0</v>
      </c>
      <c r="AE84" s="280">
        <f t="shared" si="71"/>
        <v>21</v>
      </c>
      <c r="AF84" s="281">
        <f t="shared" si="72"/>
        <v>1</v>
      </c>
      <c r="AG84" s="229">
        <v>24</v>
      </c>
      <c r="AH84" s="258"/>
      <c r="AI84" s="258"/>
      <c r="AJ84" s="258"/>
      <c r="AK84" s="305">
        <f t="shared" si="73"/>
        <v>0</v>
      </c>
      <c r="AL84" s="305">
        <f t="shared" si="74"/>
        <v>24</v>
      </c>
      <c r="AM84" s="306">
        <f t="shared" si="75"/>
        <v>1</v>
      </c>
      <c r="AN84" s="230">
        <v>14</v>
      </c>
      <c r="AO84" s="260"/>
      <c r="AP84" s="260"/>
      <c r="AQ84" s="260"/>
      <c r="AR84" s="307">
        <f t="shared" si="76"/>
        <v>0</v>
      </c>
      <c r="AS84" s="307">
        <f t="shared" si="77"/>
        <v>14</v>
      </c>
      <c r="AT84" s="308">
        <f t="shared" si="78"/>
        <v>1</v>
      </c>
      <c r="AU84" s="289"/>
      <c r="AV84" s="289"/>
      <c r="AW84" s="289"/>
      <c r="AX84" s="290">
        <v>98</v>
      </c>
      <c r="AY84" s="289">
        <f t="shared" si="79"/>
        <v>98</v>
      </c>
      <c r="AZ84" s="291">
        <f t="shared" si="80"/>
        <v>1</v>
      </c>
      <c r="BA84" s="293"/>
      <c r="BB84" s="394">
        <v>96</v>
      </c>
      <c r="BC84" s="379">
        <f t="shared" si="81"/>
        <v>0</v>
      </c>
      <c r="BD84" s="378">
        <f t="shared" si="82"/>
        <v>0</v>
      </c>
      <c r="BE84" s="381"/>
      <c r="BF84" s="393">
        <f t="shared" si="60"/>
        <v>96</v>
      </c>
    </row>
    <row r="85" spans="1:58" x14ac:dyDescent="0.35">
      <c r="A85" s="193" t="s">
        <v>47</v>
      </c>
      <c r="B85" s="35">
        <v>242510066</v>
      </c>
      <c r="C85" s="261" t="s">
        <v>1362</v>
      </c>
      <c r="D85" s="35" t="s">
        <v>6</v>
      </c>
      <c r="E85" s="215">
        <v>19</v>
      </c>
      <c r="F85" s="217"/>
      <c r="G85" s="217"/>
      <c r="H85" s="217"/>
      <c r="I85" s="326">
        <f t="shared" si="61"/>
        <v>0</v>
      </c>
      <c r="J85" s="326">
        <f t="shared" si="62"/>
        <v>19</v>
      </c>
      <c r="K85" s="327">
        <f t="shared" si="63"/>
        <v>1</v>
      </c>
      <c r="L85" s="221">
        <v>14</v>
      </c>
      <c r="M85" s="222"/>
      <c r="N85" s="223"/>
      <c r="O85" s="223"/>
      <c r="P85" s="328">
        <f t="shared" si="64"/>
        <v>0</v>
      </c>
      <c r="Q85" s="328">
        <f t="shared" si="65"/>
        <v>14</v>
      </c>
      <c r="R85" s="329">
        <f t="shared" si="66"/>
        <v>1</v>
      </c>
      <c r="S85" s="225">
        <v>18</v>
      </c>
      <c r="T85" s="226"/>
      <c r="U85" s="227"/>
      <c r="V85" s="227"/>
      <c r="W85" s="330">
        <f t="shared" si="67"/>
        <v>0</v>
      </c>
      <c r="X85" s="330">
        <f t="shared" si="68"/>
        <v>18</v>
      </c>
      <c r="Y85" s="331">
        <f t="shared" si="69"/>
        <v>1</v>
      </c>
      <c r="Z85" s="228">
        <v>21</v>
      </c>
      <c r="AA85" s="256"/>
      <c r="AB85" s="256"/>
      <c r="AC85" s="256"/>
      <c r="AD85" s="280">
        <f t="shared" si="70"/>
        <v>0</v>
      </c>
      <c r="AE85" s="280">
        <f t="shared" si="71"/>
        <v>21</v>
      </c>
      <c r="AF85" s="281">
        <f t="shared" si="72"/>
        <v>1</v>
      </c>
      <c r="AG85" s="229">
        <v>24</v>
      </c>
      <c r="AH85" s="258"/>
      <c r="AI85" s="258"/>
      <c r="AJ85" s="258"/>
      <c r="AK85" s="305">
        <f t="shared" si="73"/>
        <v>0</v>
      </c>
      <c r="AL85" s="305">
        <f t="shared" si="74"/>
        <v>24</v>
      </c>
      <c r="AM85" s="306">
        <f t="shared" si="75"/>
        <v>1</v>
      </c>
      <c r="AN85" s="230">
        <v>14</v>
      </c>
      <c r="AO85" s="260"/>
      <c r="AP85" s="260"/>
      <c r="AQ85" s="260"/>
      <c r="AR85" s="307">
        <f t="shared" si="76"/>
        <v>0</v>
      </c>
      <c r="AS85" s="307">
        <f t="shared" si="77"/>
        <v>14</v>
      </c>
      <c r="AT85" s="308">
        <f t="shared" si="78"/>
        <v>1</v>
      </c>
      <c r="AU85" s="289"/>
      <c r="AV85" s="289"/>
      <c r="AW85" s="289"/>
      <c r="AX85" s="290">
        <v>98</v>
      </c>
      <c r="AY85" s="289">
        <f t="shared" si="79"/>
        <v>98</v>
      </c>
      <c r="AZ85" s="291">
        <f t="shared" si="80"/>
        <v>1</v>
      </c>
      <c r="BA85" s="293"/>
      <c r="BB85" s="394">
        <v>98</v>
      </c>
      <c r="BC85" s="379">
        <f t="shared" si="81"/>
        <v>0</v>
      </c>
      <c r="BD85" s="378">
        <f t="shared" si="82"/>
        <v>0</v>
      </c>
      <c r="BE85" s="381"/>
      <c r="BF85" s="393">
        <f t="shared" si="60"/>
        <v>98</v>
      </c>
    </row>
    <row r="86" spans="1:58" x14ac:dyDescent="0.35">
      <c r="A86" s="193" t="s">
        <v>48</v>
      </c>
      <c r="B86" s="35">
        <v>242510180</v>
      </c>
      <c r="C86" s="261" t="s">
        <v>1363</v>
      </c>
      <c r="D86" s="35" t="s">
        <v>6</v>
      </c>
      <c r="E86" s="215">
        <v>19</v>
      </c>
      <c r="F86" s="217"/>
      <c r="G86" s="217"/>
      <c r="H86" s="217"/>
      <c r="I86" s="326">
        <f t="shared" si="61"/>
        <v>0</v>
      </c>
      <c r="J86" s="326">
        <f t="shared" si="62"/>
        <v>19</v>
      </c>
      <c r="K86" s="327">
        <f t="shared" si="63"/>
        <v>1</v>
      </c>
      <c r="L86" s="221">
        <v>14</v>
      </c>
      <c r="M86" s="223"/>
      <c r="N86" s="223"/>
      <c r="O86" s="222"/>
      <c r="P86" s="328">
        <f t="shared" si="64"/>
        <v>0</v>
      </c>
      <c r="Q86" s="328">
        <f t="shared" si="65"/>
        <v>14</v>
      </c>
      <c r="R86" s="329">
        <f t="shared" si="66"/>
        <v>1</v>
      </c>
      <c r="S86" s="225">
        <v>18</v>
      </c>
      <c r="U86" s="227"/>
      <c r="V86" s="227"/>
      <c r="W86" s="330">
        <f t="shared" si="67"/>
        <v>0</v>
      </c>
      <c r="X86" s="330">
        <f t="shared" si="68"/>
        <v>18</v>
      </c>
      <c r="Y86" s="331">
        <f t="shared" si="69"/>
        <v>1</v>
      </c>
      <c r="Z86" s="228">
        <v>21</v>
      </c>
      <c r="AA86" s="256"/>
      <c r="AB86" s="256"/>
      <c r="AC86" s="256"/>
      <c r="AD86" s="280">
        <f t="shared" si="70"/>
        <v>0</v>
      </c>
      <c r="AE86" s="280">
        <f t="shared" si="71"/>
        <v>21</v>
      </c>
      <c r="AF86" s="281">
        <f t="shared" si="72"/>
        <v>1</v>
      </c>
      <c r="AG86" s="229">
        <v>24</v>
      </c>
      <c r="AH86" s="258"/>
      <c r="AI86" s="258"/>
      <c r="AJ86" s="258"/>
      <c r="AK86" s="305">
        <f t="shared" si="73"/>
        <v>0</v>
      </c>
      <c r="AL86" s="305">
        <f t="shared" si="74"/>
        <v>24</v>
      </c>
      <c r="AM86" s="306">
        <f t="shared" si="75"/>
        <v>1</v>
      </c>
      <c r="AN86" s="230">
        <v>14</v>
      </c>
      <c r="AO86" s="260"/>
      <c r="AP86" s="260"/>
      <c r="AQ86" s="260"/>
      <c r="AR86" s="307">
        <f t="shared" si="76"/>
        <v>0</v>
      </c>
      <c r="AS86" s="307">
        <f t="shared" si="77"/>
        <v>14</v>
      </c>
      <c r="AT86" s="308">
        <f t="shared" si="78"/>
        <v>1</v>
      </c>
      <c r="AU86" s="289"/>
      <c r="AV86" s="289"/>
      <c r="AW86" s="289"/>
      <c r="AX86" s="290">
        <v>98</v>
      </c>
      <c r="AY86" s="289">
        <f t="shared" si="79"/>
        <v>98</v>
      </c>
      <c r="AZ86" s="291">
        <f t="shared" si="80"/>
        <v>1</v>
      </c>
      <c r="BA86" s="293">
        <v>2</v>
      </c>
      <c r="BB86" s="394">
        <v>82</v>
      </c>
      <c r="BC86" s="379">
        <f t="shared" si="81"/>
        <v>4</v>
      </c>
      <c r="BD86" s="378">
        <f t="shared" si="82"/>
        <v>0</v>
      </c>
      <c r="BE86" s="381"/>
      <c r="BF86" s="393">
        <f t="shared" si="60"/>
        <v>78</v>
      </c>
    </row>
    <row r="87" spans="1:58" x14ac:dyDescent="0.35">
      <c r="A87" s="193" t="s">
        <v>49</v>
      </c>
      <c r="B87" s="35">
        <v>242510067</v>
      </c>
      <c r="C87" s="261" t="s">
        <v>1364</v>
      </c>
      <c r="D87" s="35" t="s">
        <v>6</v>
      </c>
      <c r="E87" s="215">
        <v>19</v>
      </c>
      <c r="F87" s="217"/>
      <c r="G87" s="217"/>
      <c r="H87" s="217"/>
      <c r="I87" s="326">
        <f t="shared" si="61"/>
        <v>0</v>
      </c>
      <c r="J87" s="326">
        <f t="shared" si="62"/>
        <v>19</v>
      </c>
      <c r="K87" s="327">
        <f t="shared" si="63"/>
        <v>1</v>
      </c>
      <c r="L87" s="221">
        <v>14</v>
      </c>
      <c r="M87" s="222"/>
      <c r="N87" s="223"/>
      <c r="O87" s="223"/>
      <c r="P87" s="328">
        <f t="shared" si="64"/>
        <v>0</v>
      </c>
      <c r="Q87" s="328">
        <f t="shared" si="65"/>
        <v>14</v>
      </c>
      <c r="R87" s="329">
        <f t="shared" si="66"/>
        <v>1</v>
      </c>
      <c r="S87" s="225">
        <v>18</v>
      </c>
      <c r="T87" s="226"/>
      <c r="U87" s="227"/>
      <c r="V87" s="227"/>
      <c r="W87" s="330">
        <f t="shared" si="67"/>
        <v>0</v>
      </c>
      <c r="X87" s="330">
        <f t="shared" si="68"/>
        <v>18</v>
      </c>
      <c r="Y87" s="331">
        <f t="shared" si="69"/>
        <v>1</v>
      </c>
      <c r="Z87" s="228">
        <v>21</v>
      </c>
      <c r="AA87" s="256"/>
      <c r="AB87" s="256"/>
      <c r="AC87" s="256"/>
      <c r="AD87" s="280">
        <f t="shared" si="70"/>
        <v>0</v>
      </c>
      <c r="AE87" s="280">
        <f t="shared" si="71"/>
        <v>21</v>
      </c>
      <c r="AF87" s="281">
        <f t="shared" si="72"/>
        <v>1</v>
      </c>
      <c r="AG87" s="229">
        <v>24</v>
      </c>
      <c r="AH87" s="258"/>
      <c r="AI87" s="258"/>
      <c r="AJ87" s="258"/>
      <c r="AK87" s="305">
        <f t="shared" si="73"/>
        <v>0</v>
      </c>
      <c r="AL87" s="305">
        <f t="shared" si="74"/>
        <v>24</v>
      </c>
      <c r="AM87" s="306">
        <f t="shared" si="75"/>
        <v>1</v>
      </c>
      <c r="AN87" s="230">
        <v>14</v>
      </c>
      <c r="AO87" s="260"/>
      <c r="AP87" s="260"/>
      <c r="AQ87" s="260"/>
      <c r="AR87" s="307">
        <f t="shared" si="76"/>
        <v>0</v>
      </c>
      <c r="AS87" s="307">
        <f t="shared" si="77"/>
        <v>14</v>
      </c>
      <c r="AT87" s="308">
        <f t="shared" si="78"/>
        <v>1</v>
      </c>
      <c r="AU87" s="289"/>
      <c r="AV87" s="289"/>
      <c r="AW87" s="289"/>
      <c r="AX87" s="290">
        <v>98</v>
      </c>
      <c r="AY87" s="289">
        <f t="shared" si="79"/>
        <v>98</v>
      </c>
      <c r="AZ87" s="291">
        <f t="shared" si="80"/>
        <v>1</v>
      </c>
      <c r="BA87" s="293">
        <v>4</v>
      </c>
      <c r="BB87" s="394">
        <v>98</v>
      </c>
      <c r="BC87" s="379">
        <f t="shared" si="81"/>
        <v>8</v>
      </c>
      <c r="BD87" s="378">
        <f t="shared" si="82"/>
        <v>0</v>
      </c>
      <c r="BE87" s="381"/>
      <c r="BF87" s="393">
        <f t="shared" si="60"/>
        <v>90</v>
      </c>
    </row>
    <row r="88" spans="1:58" s="323" customFormat="1" x14ac:dyDescent="0.35">
      <c r="A88" s="231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95"/>
      <c r="AV88" s="295"/>
      <c r="AW88" s="296"/>
      <c r="AX88" s="296"/>
      <c r="AY88" s="296"/>
      <c r="AZ88" s="296"/>
      <c r="BA88" s="297"/>
      <c r="BB88" s="396"/>
      <c r="BC88" s="205"/>
      <c r="BD88" s="205"/>
      <c r="BE88" s="287"/>
      <c r="BF88" s="319"/>
    </row>
    <row r="89" spans="1:58" s="323" customFormat="1" x14ac:dyDescent="0.35">
      <c r="A89" s="231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95"/>
      <c r="AV89" s="295"/>
      <c r="AW89" s="296"/>
      <c r="AX89" s="296"/>
      <c r="AY89" s="296"/>
      <c r="AZ89" s="296"/>
      <c r="BA89" s="297"/>
      <c r="BB89" s="396"/>
      <c r="BC89" s="205"/>
      <c r="BD89" s="205"/>
      <c r="BE89" s="287"/>
      <c r="BF89" s="319"/>
    </row>
    <row r="90" spans="1:58" s="323" customFormat="1" ht="16" thickBot="1" x14ac:dyDescent="0.4">
      <c r="A90" s="324" t="s">
        <v>238</v>
      </c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86"/>
      <c r="AV90" s="286"/>
      <c r="AW90" s="286"/>
      <c r="AX90" s="286"/>
      <c r="AY90" s="286"/>
      <c r="AZ90" s="286"/>
      <c r="BA90" s="286"/>
      <c r="BB90" s="395"/>
      <c r="BC90" s="205"/>
      <c r="BD90" s="205"/>
      <c r="BE90" s="287"/>
      <c r="BF90" s="319"/>
    </row>
    <row r="91" spans="1:58" s="325" customFormat="1" ht="25" customHeight="1" thickBot="1" x14ac:dyDescent="0.4">
      <c r="A91" s="447" t="s">
        <v>1072</v>
      </c>
      <c r="B91" s="447" t="s">
        <v>2</v>
      </c>
      <c r="C91" s="448" t="s">
        <v>1606</v>
      </c>
      <c r="D91" s="448" t="s">
        <v>4</v>
      </c>
      <c r="E91" s="431" t="s">
        <v>1612</v>
      </c>
      <c r="F91" s="431"/>
      <c r="G91" s="431"/>
      <c r="H91" s="431"/>
      <c r="I91" s="431"/>
      <c r="J91" s="431"/>
      <c r="K91" s="431"/>
      <c r="L91" s="432" t="s">
        <v>1613</v>
      </c>
      <c r="M91" s="432"/>
      <c r="N91" s="432"/>
      <c r="O91" s="432"/>
      <c r="P91" s="432"/>
      <c r="Q91" s="432"/>
      <c r="R91" s="432"/>
      <c r="S91" s="433" t="s">
        <v>1614</v>
      </c>
      <c r="T91" s="433"/>
      <c r="U91" s="433"/>
      <c r="V91" s="433"/>
      <c r="W91" s="433"/>
      <c r="X91" s="433"/>
      <c r="Y91" s="433"/>
      <c r="Z91" s="434" t="s">
        <v>1615</v>
      </c>
      <c r="AA91" s="434"/>
      <c r="AB91" s="434"/>
      <c r="AC91" s="434"/>
      <c r="AD91" s="434"/>
      <c r="AE91" s="434"/>
      <c r="AF91" s="434"/>
      <c r="AG91" s="435" t="s">
        <v>1616</v>
      </c>
      <c r="AH91" s="435"/>
      <c r="AI91" s="435"/>
      <c r="AJ91" s="435"/>
      <c r="AK91" s="435"/>
      <c r="AL91" s="435"/>
      <c r="AM91" s="435"/>
      <c r="AN91" s="436" t="s">
        <v>1617</v>
      </c>
      <c r="AO91" s="436"/>
      <c r="AP91" s="436"/>
      <c r="AQ91" s="436"/>
      <c r="AR91" s="436"/>
      <c r="AS91" s="436"/>
      <c r="AT91" s="436"/>
      <c r="AU91" s="438" t="s">
        <v>224</v>
      </c>
      <c r="AV91" s="438"/>
      <c r="AW91" s="438"/>
      <c r="AX91" s="437" t="s">
        <v>1602</v>
      </c>
      <c r="AY91" s="437" t="s">
        <v>1603</v>
      </c>
      <c r="AZ91" s="437" t="s">
        <v>1604</v>
      </c>
      <c r="BA91" s="443" t="s">
        <v>1076</v>
      </c>
      <c r="BB91" s="430" t="s">
        <v>883</v>
      </c>
      <c r="BC91" s="428" t="s">
        <v>880</v>
      </c>
      <c r="BD91" s="428"/>
      <c r="BE91" s="428"/>
      <c r="BF91" s="429" t="s">
        <v>884</v>
      </c>
    </row>
    <row r="92" spans="1:58" s="325" customFormat="1" ht="55" customHeight="1" thickBot="1" x14ac:dyDescent="0.4">
      <c r="A92" s="447"/>
      <c r="B92" s="447"/>
      <c r="C92" s="448"/>
      <c r="D92" s="448"/>
      <c r="E92" s="235" t="s">
        <v>1598</v>
      </c>
      <c r="F92" s="236" t="s">
        <v>20</v>
      </c>
      <c r="G92" s="236" t="s">
        <v>19</v>
      </c>
      <c r="H92" s="236" t="s">
        <v>52</v>
      </c>
      <c r="I92" s="237" t="s">
        <v>1599</v>
      </c>
      <c r="J92" s="237" t="s">
        <v>1600</v>
      </c>
      <c r="K92" s="237" t="s">
        <v>1601</v>
      </c>
      <c r="L92" s="202" t="s">
        <v>1598</v>
      </c>
      <c r="M92" s="206" t="s">
        <v>20</v>
      </c>
      <c r="N92" s="206" t="s">
        <v>19</v>
      </c>
      <c r="O92" s="206" t="s">
        <v>52</v>
      </c>
      <c r="P92" s="207" t="s">
        <v>1599</v>
      </c>
      <c r="Q92" s="207" t="s">
        <v>1600</v>
      </c>
      <c r="R92" s="207" t="s">
        <v>1601</v>
      </c>
      <c r="S92" s="238" t="s">
        <v>1598</v>
      </c>
      <c r="T92" s="239" t="s">
        <v>20</v>
      </c>
      <c r="U92" s="239" t="s">
        <v>19</v>
      </c>
      <c r="V92" s="239" t="s">
        <v>52</v>
      </c>
      <c r="W92" s="224" t="s">
        <v>1599</v>
      </c>
      <c r="X92" s="224" t="s">
        <v>1600</v>
      </c>
      <c r="Y92" s="224" t="s">
        <v>1601</v>
      </c>
      <c r="Z92" s="240" t="s">
        <v>1598</v>
      </c>
      <c r="AA92" s="241" t="s">
        <v>20</v>
      </c>
      <c r="AB92" s="241" t="s">
        <v>19</v>
      </c>
      <c r="AC92" s="241" t="s">
        <v>52</v>
      </c>
      <c r="AD92" s="208" t="s">
        <v>1599</v>
      </c>
      <c r="AE92" s="208" t="s">
        <v>1600</v>
      </c>
      <c r="AF92" s="208" t="s">
        <v>1601</v>
      </c>
      <c r="AG92" s="209" t="s">
        <v>1598</v>
      </c>
      <c r="AH92" s="210" t="s">
        <v>20</v>
      </c>
      <c r="AI92" s="210" t="s">
        <v>19</v>
      </c>
      <c r="AJ92" s="210" t="s">
        <v>52</v>
      </c>
      <c r="AK92" s="211" t="s">
        <v>1599</v>
      </c>
      <c r="AL92" s="211" t="s">
        <v>1600</v>
      </c>
      <c r="AM92" s="211" t="s">
        <v>1601</v>
      </c>
      <c r="AN92" s="212" t="s">
        <v>1598</v>
      </c>
      <c r="AO92" s="213" t="s">
        <v>20</v>
      </c>
      <c r="AP92" s="213" t="s">
        <v>19</v>
      </c>
      <c r="AQ92" s="213" t="s">
        <v>52</v>
      </c>
      <c r="AR92" s="214" t="s">
        <v>1599</v>
      </c>
      <c r="AS92" s="214" t="s">
        <v>1600</v>
      </c>
      <c r="AT92" s="214" t="s">
        <v>1601</v>
      </c>
      <c r="AU92" s="203" t="s">
        <v>20</v>
      </c>
      <c r="AV92" s="204" t="s">
        <v>19</v>
      </c>
      <c r="AW92" s="204" t="s">
        <v>52</v>
      </c>
      <c r="AX92" s="437"/>
      <c r="AY92" s="437"/>
      <c r="AZ92" s="437"/>
      <c r="BA92" s="444"/>
      <c r="BB92" s="430"/>
      <c r="BC92" s="375" t="s">
        <v>881</v>
      </c>
      <c r="BD92" s="377" t="s">
        <v>885</v>
      </c>
      <c r="BE92" s="376" t="s">
        <v>882</v>
      </c>
      <c r="BF92" s="429"/>
    </row>
    <row r="93" spans="1:58" x14ac:dyDescent="0.35">
      <c r="A93" s="196" t="s">
        <v>21</v>
      </c>
      <c r="B93" s="35">
        <v>242510068</v>
      </c>
      <c r="C93" s="261" t="s">
        <v>1366</v>
      </c>
      <c r="D93" s="245" t="s">
        <v>6</v>
      </c>
      <c r="E93" s="215">
        <v>19</v>
      </c>
      <c r="F93" s="216">
        <v>1</v>
      </c>
      <c r="G93" s="216">
        <v>1</v>
      </c>
      <c r="H93" s="216">
        <v>1</v>
      </c>
      <c r="I93" s="326">
        <f>SUM(F93:H93)</f>
        <v>3</v>
      </c>
      <c r="J93" s="326">
        <f>E93-I93</f>
        <v>16</v>
      </c>
      <c r="K93" s="327">
        <f>J93/E93</f>
        <v>0.84210526315789469</v>
      </c>
      <c r="L93" s="221">
        <v>14</v>
      </c>
      <c r="M93" s="221">
        <v>1</v>
      </c>
      <c r="N93" s="221">
        <v>1</v>
      </c>
      <c r="O93" s="221">
        <v>1</v>
      </c>
      <c r="P93" s="328">
        <f>SUM(M93:O93)</f>
        <v>3</v>
      </c>
      <c r="Q93" s="328">
        <f>L93-P93</f>
        <v>11</v>
      </c>
      <c r="R93" s="329">
        <f>Q93/L93</f>
        <v>0.7857142857142857</v>
      </c>
      <c r="S93" s="225">
        <v>12</v>
      </c>
      <c r="T93" s="225"/>
      <c r="U93" s="225">
        <v>2</v>
      </c>
      <c r="V93" s="225"/>
      <c r="W93" s="330">
        <f>SUM(T93:V93)</f>
        <v>2</v>
      </c>
      <c r="X93" s="330">
        <f>S93-W93</f>
        <v>10</v>
      </c>
      <c r="Y93" s="331">
        <f>X93/S93</f>
        <v>0.83333333333333337</v>
      </c>
      <c r="Z93" s="228">
        <v>21</v>
      </c>
      <c r="AA93" s="228"/>
      <c r="AB93" s="228"/>
      <c r="AC93" s="228"/>
      <c r="AD93" s="280">
        <f>SUM(AA93:AC93)</f>
        <v>0</v>
      </c>
      <c r="AE93" s="280">
        <f>Z93-AD93</f>
        <v>21</v>
      </c>
      <c r="AF93" s="281">
        <f>AE93/Z93</f>
        <v>1</v>
      </c>
      <c r="AG93" s="229">
        <v>18</v>
      </c>
      <c r="AH93" s="229"/>
      <c r="AI93" s="229"/>
      <c r="AJ93" s="229"/>
      <c r="AK93" s="305">
        <f>SUM(AH93:AJ93)</f>
        <v>0</v>
      </c>
      <c r="AL93" s="305">
        <f>AG93-AK93</f>
        <v>18</v>
      </c>
      <c r="AM93" s="306">
        <f>AL93/AG93</f>
        <v>1</v>
      </c>
      <c r="AN93" s="230">
        <v>14</v>
      </c>
      <c r="AO93" s="230"/>
      <c r="AP93" s="230"/>
      <c r="AQ93" s="230"/>
      <c r="AR93" s="307">
        <f>SUM(AO93:AQ93)</f>
        <v>0</v>
      </c>
      <c r="AS93" s="307">
        <f>AN93-AR93</f>
        <v>14</v>
      </c>
      <c r="AT93" s="308">
        <f>AS93/AN93</f>
        <v>1</v>
      </c>
      <c r="AU93" s="289"/>
      <c r="AV93" s="289"/>
      <c r="AW93" s="289"/>
      <c r="AX93" s="290">
        <v>98</v>
      </c>
      <c r="AY93" s="289">
        <f>AX93-AU93-AV93-AW93</f>
        <v>98</v>
      </c>
      <c r="AZ93" s="291">
        <f t="shared" ref="AZ93" si="83">AY93/AX93</f>
        <v>1</v>
      </c>
      <c r="BA93" s="292"/>
      <c r="BB93" s="393" cm="1">
        <f t="array" ref="BB93:BB133">[1]XI!$BF$94:$BF$134</f>
        <v>96</v>
      </c>
      <c r="BC93" s="379">
        <f t="shared" ref="BC93" si="84">BA93*2</f>
        <v>0</v>
      </c>
      <c r="BD93" s="378">
        <f t="shared" ref="BD93" si="85">AW93*2</f>
        <v>0</v>
      </c>
      <c r="BE93" s="380"/>
      <c r="BF93" s="393">
        <f t="shared" ref="BF93:BF133" si="86">BB93-BC93-BD93-BE93</f>
        <v>96</v>
      </c>
    </row>
    <row r="94" spans="1:58" x14ac:dyDescent="0.35">
      <c r="A94" s="197" t="s">
        <v>22</v>
      </c>
      <c r="B94" s="35">
        <v>242510069</v>
      </c>
      <c r="C94" s="261" t="s">
        <v>1367</v>
      </c>
      <c r="D94" s="245" t="s">
        <v>8</v>
      </c>
      <c r="E94" s="215">
        <v>19</v>
      </c>
      <c r="F94" s="249">
        <v>1</v>
      </c>
      <c r="G94" s="217">
        <v>1</v>
      </c>
      <c r="H94" s="217">
        <v>1</v>
      </c>
      <c r="I94" s="326">
        <f t="shared" ref="I94:I133" si="87">SUM(F94:H94)</f>
        <v>3</v>
      </c>
      <c r="J94" s="326">
        <f t="shared" ref="J94:J133" si="88">E94-I94</f>
        <v>16</v>
      </c>
      <c r="K94" s="327">
        <f t="shared" ref="K94:K133" si="89">J94/E94</f>
        <v>0.84210526315789469</v>
      </c>
      <c r="L94" s="221">
        <v>18</v>
      </c>
      <c r="M94" s="222"/>
      <c r="N94" s="222">
        <v>2</v>
      </c>
      <c r="O94" s="222">
        <v>6</v>
      </c>
      <c r="P94" s="328">
        <f t="shared" ref="P94:P133" si="90">SUM(M94:O94)</f>
        <v>8</v>
      </c>
      <c r="Q94" s="328">
        <f t="shared" ref="Q94:Q133" si="91">L94-P94</f>
        <v>10</v>
      </c>
      <c r="R94" s="329">
        <f t="shared" ref="R94:R133" si="92">Q94/L94</f>
        <v>0.55555555555555558</v>
      </c>
      <c r="S94" s="225">
        <v>12</v>
      </c>
      <c r="T94" s="226"/>
      <c r="U94" s="226"/>
      <c r="V94" s="226"/>
      <c r="W94" s="330">
        <f t="shared" ref="W94:W133" si="93">SUM(T94:V94)</f>
        <v>0</v>
      </c>
      <c r="X94" s="330">
        <f t="shared" ref="X94:X133" si="94">S94-W94</f>
        <v>12</v>
      </c>
      <c r="Y94" s="331">
        <f t="shared" ref="Y94:Y133" si="95">X94/S94</f>
        <v>1</v>
      </c>
      <c r="Z94" s="228">
        <v>21</v>
      </c>
      <c r="AA94" s="255"/>
      <c r="AB94" s="255"/>
      <c r="AC94" s="255"/>
      <c r="AD94" s="280">
        <f t="shared" ref="AD94:AD133" si="96">SUM(AA94:AC94)</f>
        <v>0</v>
      </c>
      <c r="AE94" s="280">
        <f t="shared" ref="AE94:AE133" si="97">Z94-AD94</f>
        <v>21</v>
      </c>
      <c r="AF94" s="281">
        <f t="shared" ref="AF94:AF133" si="98">AE94/Z94</f>
        <v>1</v>
      </c>
      <c r="AG94" s="229">
        <v>18</v>
      </c>
      <c r="AH94" s="257"/>
      <c r="AI94" s="257"/>
      <c r="AJ94" s="257"/>
      <c r="AK94" s="305">
        <f t="shared" ref="AK94:AK133" si="99">SUM(AH94:AJ94)</f>
        <v>0</v>
      </c>
      <c r="AL94" s="305">
        <f t="shared" ref="AL94:AL133" si="100">AG94-AK94</f>
        <v>18</v>
      </c>
      <c r="AM94" s="306">
        <f t="shared" ref="AM94:AM133" si="101">AL94/AG94</f>
        <v>1</v>
      </c>
      <c r="AN94" s="230">
        <v>14</v>
      </c>
      <c r="AO94" s="259"/>
      <c r="AP94" s="259"/>
      <c r="AQ94" s="259"/>
      <c r="AR94" s="307">
        <f t="shared" ref="AR94:AR133" si="102">SUM(AO94:AQ94)</f>
        <v>0</v>
      </c>
      <c r="AS94" s="307">
        <f t="shared" ref="AS94:AS133" si="103">AN94-AR94</f>
        <v>14</v>
      </c>
      <c r="AT94" s="308">
        <f t="shared" ref="AT94:AT133" si="104">AS94/AN94</f>
        <v>1</v>
      </c>
      <c r="AU94" s="289"/>
      <c r="AV94" s="289"/>
      <c r="AW94" s="289"/>
      <c r="AX94" s="290">
        <v>98</v>
      </c>
      <c r="AY94" s="289">
        <f t="shared" ref="AY94:AY133" si="105">AX94-AU94-AV94-AW94</f>
        <v>98</v>
      </c>
      <c r="AZ94" s="291">
        <f t="shared" ref="AZ94:AZ133" si="106">AY94/AX94</f>
        <v>1</v>
      </c>
      <c r="BA94" s="293"/>
      <c r="BB94" s="394">
        <v>94</v>
      </c>
      <c r="BC94" s="379">
        <f t="shared" ref="BC94:BC133" si="107">BA94*2</f>
        <v>0</v>
      </c>
      <c r="BD94" s="378">
        <f t="shared" ref="BD94:BD133" si="108">AW94*2</f>
        <v>0</v>
      </c>
      <c r="BE94" s="381"/>
      <c r="BF94" s="393">
        <f t="shared" si="86"/>
        <v>94</v>
      </c>
    </row>
    <row r="95" spans="1:58" x14ac:dyDescent="0.35">
      <c r="A95" s="197" t="s">
        <v>23</v>
      </c>
      <c r="B95" s="35">
        <v>242510070</v>
      </c>
      <c r="C95" s="261" t="s">
        <v>1368</v>
      </c>
      <c r="D95" s="245" t="s">
        <v>8</v>
      </c>
      <c r="E95" s="215">
        <v>19</v>
      </c>
      <c r="F95" s="249">
        <v>1</v>
      </c>
      <c r="G95" s="218"/>
      <c r="H95" s="217"/>
      <c r="I95" s="326">
        <f t="shared" si="87"/>
        <v>1</v>
      </c>
      <c r="J95" s="326">
        <f t="shared" si="88"/>
        <v>18</v>
      </c>
      <c r="K95" s="327">
        <f t="shared" si="89"/>
        <v>0.94736842105263153</v>
      </c>
      <c r="L95" s="221">
        <v>18</v>
      </c>
      <c r="M95" s="222"/>
      <c r="N95" s="223">
        <v>3</v>
      </c>
      <c r="O95" s="222">
        <v>1</v>
      </c>
      <c r="P95" s="328">
        <f t="shared" si="90"/>
        <v>4</v>
      </c>
      <c r="Q95" s="328">
        <f t="shared" si="91"/>
        <v>14</v>
      </c>
      <c r="R95" s="329">
        <f t="shared" si="92"/>
        <v>0.77777777777777779</v>
      </c>
      <c r="S95" s="225">
        <v>12</v>
      </c>
      <c r="T95" s="226"/>
      <c r="U95" s="226"/>
      <c r="V95" s="226"/>
      <c r="W95" s="330">
        <f t="shared" si="93"/>
        <v>0</v>
      </c>
      <c r="X95" s="330">
        <f t="shared" si="94"/>
        <v>12</v>
      </c>
      <c r="Y95" s="331">
        <f t="shared" si="95"/>
        <v>1</v>
      </c>
      <c r="Z95" s="228">
        <v>21</v>
      </c>
      <c r="AA95" s="255"/>
      <c r="AB95" s="255"/>
      <c r="AC95" s="255"/>
      <c r="AD95" s="280">
        <f t="shared" si="96"/>
        <v>0</v>
      </c>
      <c r="AE95" s="280">
        <f t="shared" si="97"/>
        <v>21</v>
      </c>
      <c r="AF95" s="281">
        <f t="shared" si="98"/>
        <v>1</v>
      </c>
      <c r="AG95" s="229">
        <v>18</v>
      </c>
      <c r="AH95" s="257"/>
      <c r="AI95" s="257"/>
      <c r="AJ95" s="257"/>
      <c r="AK95" s="305">
        <f t="shared" si="99"/>
        <v>0</v>
      </c>
      <c r="AL95" s="305">
        <f t="shared" si="100"/>
        <v>18</v>
      </c>
      <c r="AM95" s="306">
        <f t="shared" si="101"/>
        <v>1</v>
      </c>
      <c r="AN95" s="230">
        <v>14</v>
      </c>
      <c r="AO95" s="259"/>
      <c r="AP95" s="259"/>
      <c r="AQ95" s="259"/>
      <c r="AR95" s="307">
        <f t="shared" si="102"/>
        <v>0</v>
      </c>
      <c r="AS95" s="307">
        <f t="shared" si="103"/>
        <v>14</v>
      </c>
      <c r="AT95" s="308">
        <f t="shared" si="104"/>
        <v>1</v>
      </c>
      <c r="AU95" s="289"/>
      <c r="AV95" s="289"/>
      <c r="AW95" s="289"/>
      <c r="AX95" s="290">
        <v>98</v>
      </c>
      <c r="AY95" s="289">
        <f t="shared" si="105"/>
        <v>98</v>
      </c>
      <c r="AZ95" s="291">
        <f t="shared" si="106"/>
        <v>1</v>
      </c>
      <c r="BA95" s="293"/>
      <c r="BB95" s="394">
        <v>96</v>
      </c>
      <c r="BC95" s="379">
        <f t="shared" si="107"/>
        <v>0</v>
      </c>
      <c r="BD95" s="378">
        <f t="shared" si="108"/>
        <v>0</v>
      </c>
      <c r="BE95" s="381"/>
      <c r="BF95" s="393">
        <f t="shared" si="86"/>
        <v>96</v>
      </c>
    </row>
    <row r="96" spans="1:58" x14ac:dyDescent="0.35">
      <c r="A96" s="197" t="s">
        <v>24</v>
      </c>
      <c r="B96" s="35">
        <v>242510071</v>
      </c>
      <c r="C96" s="261" t="s">
        <v>1369</v>
      </c>
      <c r="D96" s="245" t="s">
        <v>6</v>
      </c>
      <c r="E96" s="215">
        <v>19</v>
      </c>
      <c r="F96" s="249">
        <v>1</v>
      </c>
      <c r="G96" s="217">
        <v>1</v>
      </c>
      <c r="H96" s="217">
        <v>1</v>
      </c>
      <c r="I96" s="326">
        <f t="shared" si="87"/>
        <v>3</v>
      </c>
      <c r="J96" s="326">
        <f t="shared" si="88"/>
        <v>16</v>
      </c>
      <c r="K96" s="327">
        <f t="shared" si="89"/>
        <v>0.84210526315789469</v>
      </c>
      <c r="L96" s="221">
        <v>18</v>
      </c>
      <c r="M96" s="222"/>
      <c r="N96" s="223"/>
      <c r="O96" s="222">
        <v>2</v>
      </c>
      <c r="P96" s="328">
        <f t="shared" si="90"/>
        <v>2</v>
      </c>
      <c r="Q96" s="328">
        <f t="shared" si="91"/>
        <v>16</v>
      </c>
      <c r="R96" s="329">
        <f t="shared" si="92"/>
        <v>0.88888888888888884</v>
      </c>
      <c r="S96" s="225">
        <v>12</v>
      </c>
      <c r="T96" s="226"/>
      <c r="U96" s="226"/>
      <c r="V96" s="226"/>
      <c r="W96" s="330">
        <f t="shared" si="93"/>
        <v>0</v>
      </c>
      <c r="X96" s="330">
        <f t="shared" si="94"/>
        <v>12</v>
      </c>
      <c r="Y96" s="331">
        <f t="shared" si="95"/>
        <v>1</v>
      </c>
      <c r="Z96" s="228">
        <v>21</v>
      </c>
      <c r="AA96" s="255"/>
      <c r="AB96" s="255"/>
      <c r="AC96" s="255"/>
      <c r="AD96" s="280">
        <f t="shared" si="96"/>
        <v>0</v>
      </c>
      <c r="AE96" s="280">
        <f t="shared" si="97"/>
        <v>21</v>
      </c>
      <c r="AF96" s="281">
        <f t="shared" si="98"/>
        <v>1</v>
      </c>
      <c r="AG96" s="229">
        <v>18</v>
      </c>
      <c r="AH96" s="257"/>
      <c r="AI96" s="257"/>
      <c r="AJ96" s="257"/>
      <c r="AK96" s="305">
        <f t="shared" si="99"/>
        <v>0</v>
      </c>
      <c r="AL96" s="305">
        <f t="shared" si="100"/>
        <v>18</v>
      </c>
      <c r="AM96" s="306">
        <f t="shared" si="101"/>
        <v>1</v>
      </c>
      <c r="AN96" s="230">
        <v>14</v>
      </c>
      <c r="AO96" s="259"/>
      <c r="AP96" s="259"/>
      <c r="AQ96" s="259"/>
      <c r="AR96" s="307">
        <f t="shared" si="102"/>
        <v>0</v>
      </c>
      <c r="AS96" s="307">
        <f t="shared" si="103"/>
        <v>14</v>
      </c>
      <c r="AT96" s="308">
        <f t="shared" si="104"/>
        <v>1</v>
      </c>
      <c r="AU96" s="289"/>
      <c r="AV96" s="289"/>
      <c r="AW96" s="289"/>
      <c r="AX96" s="290">
        <v>98</v>
      </c>
      <c r="AY96" s="289">
        <f t="shared" si="105"/>
        <v>98</v>
      </c>
      <c r="AZ96" s="291">
        <f t="shared" si="106"/>
        <v>1</v>
      </c>
      <c r="BA96" s="293"/>
      <c r="BB96" s="394">
        <v>94</v>
      </c>
      <c r="BC96" s="379">
        <f t="shared" si="107"/>
        <v>0</v>
      </c>
      <c r="BD96" s="378">
        <f t="shared" si="108"/>
        <v>0</v>
      </c>
      <c r="BE96" s="381"/>
      <c r="BF96" s="393">
        <f t="shared" si="86"/>
        <v>94</v>
      </c>
    </row>
    <row r="97" spans="1:58" x14ac:dyDescent="0.35">
      <c r="A97" s="197" t="s">
        <v>25</v>
      </c>
      <c r="B97" s="35">
        <v>242510072</v>
      </c>
      <c r="C97" s="261" t="s">
        <v>1370</v>
      </c>
      <c r="D97" s="245" t="s">
        <v>6</v>
      </c>
      <c r="E97" s="215">
        <v>19</v>
      </c>
      <c r="F97" s="249"/>
      <c r="G97" s="218"/>
      <c r="H97" s="217"/>
      <c r="I97" s="326">
        <f t="shared" si="87"/>
        <v>0</v>
      </c>
      <c r="J97" s="326">
        <f t="shared" si="88"/>
        <v>19</v>
      </c>
      <c r="K97" s="327">
        <f t="shared" si="89"/>
        <v>1</v>
      </c>
      <c r="L97" s="221">
        <v>18</v>
      </c>
      <c r="M97" s="223"/>
      <c r="N97" s="223"/>
      <c r="O97" s="223"/>
      <c r="P97" s="328">
        <f t="shared" si="90"/>
        <v>0</v>
      </c>
      <c r="Q97" s="328">
        <f t="shared" si="91"/>
        <v>18</v>
      </c>
      <c r="R97" s="329">
        <f t="shared" si="92"/>
        <v>1</v>
      </c>
      <c r="S97" s="225">
        <v>12</v>
      </c>
      <c r="T97" s="226">
        <v>1</v>
      </c>
      <c r="U97" s="226"/>
      <c r="V97" s="226"/>
      <c r="W97" s="330">
        <f t="shared" si="93"/>
        <v>1</v>
      </c>
      <c r="X97" s="330">
        <f t="shared" si="94"/>
        <v>11</v>
      </c>
      <c r="Y97" s="331">
        <f t="shared" si="95"/>
        <v>0.91666666666666663</v>
      </c>
      <c r="Z97" s="228">
        <v>21</v>
      </c>
      <c r="AA97" s="255"/>
      <c r="AB97" s="255"/>
      <c r="AC97" s="255"/>
      <c r="AD97" s="280">
        <f t="shared" si="96"/>
        <v>0</v>
      </c>
      <c r="AE97" s="280">
        <f t="shared" si="97"/>
        <v>21</v>
      </c>
      <c r="AF97" s="281">
        <f t="shared" si="98"/>
        <v>1</v>
      </c>
      <c r="AG97" s="229">
        <v>18</v>
      </c>
      <c r="AH97" s="257"/>
      <c r="AI97" s="257"/>
      <c r="AJ97" s="257"/>
      <c r="AK97" s="305">
        <f t="shared" si="99"/>
        <v>0</v>
      </c>
      <c r="AL97" s="305">
        <f t="shared" si="100"/>
        <v>18</v>
      </c>
      <c r="AM97" s="306">
        <f t="shared" si="101"/>
        <v>1</v>
      </c>
      <c r="AN97" s="230">
        <v>14</v>
      </c>
      <c r="AO97" s="259"/>
      <c r="AP97" s="259"/>
      <c r="AQ97" s="259"/>
      <c r="AR97" s="307">
        <f t="shared" si="102"/>
        <v>0</v>
      </c>
      <c r="AS97" s="307">
        <f t="shared" si="103"/>
        <v>14</v>
      </c>
      <c r="AT97" s="308">
        <f t="shared" si="104"/>
        <v>1</v>
      </c>
      <c r="AU97" s="289"/>
      <c r="AV97" s="289"/>
      <c r="AW97" s="289"/>
      <c r="AX97" s="290">
        <v>98</v>
      </c>
      <c r="AY97" s="289">
        <f t="shared" si="105"/>
        <v>98</v>
      </c>
      <c r="AZ97" s="291">
        <f t="shared" si="106"/>
        <v>1</v>
      </c>
      <c r="BA97" s="293"/>
      <c r="BB97" s="394">
        <v>84</v>
      </c>
      <c r="BC97" s="379">
        <f t="shared" si="107"/>
        <v>0</v>
      </c>
      <c r="BD97" s="378">
        <f t="shared" si="108"/>
        <v>0</v>
      </c>
      <c r="BE97" s="381"/>
      <c r="BF97" s="393">
        <f t="shared" si="86"/>
        <v>84</v>
      </c>
    </row>
    <row r="98" spans="1:58" x14ac:dyDescent="0.35">
      <c r="A98" s="197" t="s">
        <v>26</v>
      </c>
      <c r="B98" s="35">
        <v>252611232</v>
      </c>
      <c r="C98" s="261" t="s">
        <v>1371</v>
      </c>
      <c r="D98" s="245" t="s">
        <v>6</v>
      </c>
      <c r="E98" s="215">
        <v>19</v>
      </c>
      <c r="F98" s="249"/>
      <c r="G98" s="217">
        <v>1</v>
      </c>
      <c r="H98" s="217"/>
      <c r="I98" s="326">
        <f t="shared" si="87"/>
        <v>1</v>
      </c>
      <c r="J98" s="326">
        <f t="shared" si="88"/>
        <v>18</v>
      </c>
      <c r="K98" s="327">
        <f t="shared" si="89"/>
        <v>0.94736842105263153</v>
      </c>
      <c r="L98" s="221">
        <v>18</v>
      </c>
      <c r="M98" s="223"/>
      <c r="N98" s="222">
        <v>2</v>
      </c>
      <c r="O98" s="222">
        <v>4</v>
      </c>
      <c r="P98" s="328">
        <f t="shared" si="90"/>
        <v>6</v>
      </c>
      <c r="Q98" s="328">
        <f t="shared" si="91"/>
        <v>12</v>
      </c>
      <c r="R98" s="329">
        <f t="shared" si="92"/>
        <v>0.66666666666666663</v>
      </c>
      <c r="S98" s="225">
        <v>12</v>
      </c>
      <c r="T98" s="226"/>
      <c r="U98" s="226">
        <v>1</v>
      </c>
      <c r="V98" s="226"/>
      <c r="W98" s="330">
        <f t="shared" si="93"/>
        <v>1</v>
      </c>
      <c r="X98" s="330">
        <f t="shared" si="94"/>
        <v>11</v>
      </c>
      <c r="Y98" s="331">
        <f t="shared" si="95"/>
        <v>0.91666666666666663</v>
      </c>
      <c r="Z98" s="228">
        <v>21</v>
      </c>
      <c r="AA98" s="255"/>
      <c r="AB98" s="255"/>
      <c r="AC98" s="255"/>
      <c r="AD98" s="280">
        <f t="shared" si="96"/>
        <v>0</v>
      </c>
      <c r="AE98" s="280">
        <f t="shared" si="97"/>
        <v>21</v>
      </c>
      <c r="AF98" s="281">
        <f t="shared" si="98"/>
        <v>1</v>
      </c>
      <c r="AG98" s="229">
        <v>18</v>
      </c>
      <c r="AH98" s="257"/>
      <c r="AI98" s="257"/>
      <c r="AJ98" s="257"/>
      <c r="AK98" s="305">
        <f t="shared" si="99"/>
        <v>0</v>
      </c>
      <c r="AL98" s="305">
        <f t="shared" si="100"/>
        <v>18</v>
      </c>
      <c r="AM98" s="306">
        <f t="shared" si="101"/>
        <v>1</v>
      </c>
      <c r="AN98" s="230">
        <v>14</v>
      </c>
      <c r="AO98" s="259"/>
      <c r="AP98" s="259"/>
      <c r="AQ98" s="259"/>
      <c r="AR98" s="307">
        <f t="shared" si="102"/>
        <v>0</v>
      </c>
      <c r="AS98" s="307">
        <f t="shared" si="103"/>
        <v>14</v>
      </c>
      <c r="AT98" s="308">
        <f t="shared" si="104"/>
        <v>1</v>
      </c>
      <c r="AU98" s="289"/>
      <c r="AV98" s="289"/>
      <c r="AW98" s="289"/>
      <c r="AX98" s="290">
        <v>98</v>
      </c>
      <c r="AY98" s="289">
        <f t="shared" si="105"/>
        <v>98</v>
      </c>
      <c r="AZ98" s="291">
        <f t="shared" si="106"/>
        <v>1</v>
      </c>
      <c r="BA98" s="293">
        <v>1</v>
      </c>
      <c r="BB98" s="394">
        <v>94</v>
      </c>
      <c r="BC98" s="379">
        <f t="shared" si="107"/>
        <v>2</v>
      </c>
      <c r="BD98" s="378">
        <f t="shared" si="108"/>
        <v>0</v>
      </c>
      <c r="BE98" s="381"/>
      <c r="BF98" s="393">
        <f t="shared" si="86"/>
        <v>92</v>
      </c>
    </row>
    <row r="99" spans="1:58" x14ac:dyDescent="0.35">
      <c r="A99" s="197" t="s">
        <v>27</v>
      </c>
      <c r="B99" s="35">
        <v>242510073</v>
      </c>
      <c r="C99" s="261" t="s">
        <v>1372</v>
      </c>
      <c r="D99" s="245" t="s">
        <v>8</v>
      </c>
      <c r="E99" s="215">
        <v>19</v>
      </c>
      <c r="F99" s="249">
        <v>1</v>
      </c>
      <c r="G99" s="217"/>
      <c r="H99" s="217"/>
      <c r="I99" s="326">
        <f t="shared" si="87"/>
        <v>1</v>
      </c>
      <c r="J99" s="326">
        <f t="shared" si="88"/>
        <v>18</v>
      </c>
      <c r="K99" s="327">
        <f t="shared" si="89"/>
        <v>0.94736842105263153</v>
      </c>
      <c r="L99" s="221">
        <v>18</v>
      </c>
      <c r="M99" s="222">
        <v>1</v>
      </c>
      <c r="N99" s="222">
        <v>1</v>
      </c>
      <c r="O99" s="223">
        <v>2</v>
      </c>
      <c r="P99" s="328">
        <f t="shared" si="90"/>
        <v>4</v>
      </c>
      <c r="Q99" s="328">
        <f t="shared" si="91"/>
        <v>14</v>
      </c>
      <c r="R99" s="329">
        <f t="shared" si="92"/>
        <v>0.77777777777777779</v>
      </c>
      <c r="S99" s="225">
        <v>12</v>
      </c>
      <c r="T99" s="226"/>
      <c r="U99" s="226"/>
      <c r="V99" s="226"/>
      <c r="W99" s="330">
        <f t="shared" si="93"/>
        <v>0</v>
      </c>
      <c r="X99" s="330">
        <f t="shared" si="94"/>
        <v>12</v>
      </c>
      <c r="Y99" s="331">
        <f t="shared" si="95"/>
        <v>1</v>
      </c>
      <c r="Z99" s="228">
        <v>21</v>
      </c>
      <c r="AA99" s="255"/>
      <c r="AB99" s="255"/>
      <c r="AC99" s="255"/>
      <c r="AD99" s="280">
        <f t="shared" si="96"/>
        <v>0</v>
      </c>
      <c r="AE99" s="280">
        <f t="shared" si="97"/>
        <v>21</v>
      </c>
      <c r="AF99" s="281">
        <f t="shared" si="98"/>
        <v>1</v>
      </c>
      <c r="AG99" s="229">
        <v>18</v>
      </c>
      <c r="AH99" s="257"/>
      <c r="AI99" s="257"/>
      <c r="AJ99" s="257"/>
      <c r="AK99" s="305">
        <f t="shared" si="99"/>
        <v>0</v>
      </c>
      <c r="AL99" s="305">
        <f t="shared" si="100"/>
        <v>18</v>
      </c>
      <c r="AM99" s="306">
        <f t="shared" si="101"/>
        <v>1</v>
      </c>
      <c r="AN99" s="230">
        <v>14</v>
      </c>
      <c r="AO99" s="259"/>
      <c r="AP99" s="259"/>
      <c r="AQ99" s="259"/>
      <c r="AR99" s="307">
        <f t="shared" si="102"/>
        <v>0</v>
      </c>
      <c r="AS99" s="307">
        <f t="shared" si="103"/>
        <v>14</v>
      </c>
      <c r="AT99" s="308">
        <f t="shared" si="104"/>
        <v>1</v>
      </c>
      <c r="AU99" s="289"/>
      <c r="AV99" s="289"/>
      <c r="AW99" s="289"/>
      <c r="AX99" s="290">
        <v>98</v>
      </c>
      <c r="AY99" s="289">
        <f t="shared" si="105"/>
        <v>98</v>
      </c>
      <c r="AZ99" s="291">
        <f t="shared" si="106"/>
        <v>1</v>
      </c>
      <c r="BA99" s="293">
        <v>1</v>
      </c>
      <c r="BB99" s="394">
        <v>94</v>
      </c>
      <c r="BC99" s="379">
        <f t="shared" si="107"/>
        <v>2</v>
      </c>
      <c r="BD99" s="378">
        <f t="shared" si="108"/>
        <v>0</v>
      </c>
      <c r="BE99" s="381"/>
      <c r="BF99" s="393">
        <f t="shared" si="86"/>
        <v>92</v>
      </c>
    </row>
    <row r="100" spans="1:58" x14ac:dyDescent="0.35">
      <c r="A100" s="197" t="s">
        <v>28</v>
      </c>
      <c r="B100" s="35">
        <v>242510074</v>
      </c>
      <c r="C100" s="261" t="s">
        <v>1373</v>
      </c>
      <c r="D100" s="245" t="s">
        <v>6</v>
      </c>
      <c r="E100" s="215">
        <v>19</v>
      </c>
      <c r="F100" s="249">
        <v>1</v>
      </c>
      <c r="G100" s="217">
        <v>1</v>
      </c>
      <c r="H100" s="217"/>
      <c r="I100" s="326">
        <f t="shared" si="87"/>
        <v>2</v>
      </c>
      <c r="J100" s="326">
        <f t="shared" si="88"/>
        <v>17</v>
      </c>
      <c r="K100" s="327">
        <f t="shared" si="89"/>
        <v>0.89473684210526316</v>
      </c>
      <c r="L100" s="221">
        <v>18</v>
      </c>
      <c r="M100" s="222">
        <v>1</v>
      </c>
      <c r="N100" s="223">
        <v>2</v>
      </c>
      <c r="O100" s="223">
        <v>1</v>
      </c>
      <c r="P100" s="328">
        <f t="shared" si="90"/>
        <v>4</v>
      </c>
      <c r="Q100" s="328">
        <f t="shared" si="91"/>
        <v>14</v>
      </c>
      <c r="R100" s="329">
        <f t="shared" si="92"/>
        <v>0.77777777777777779</v>
      </c>
      <c r="S100" s="225">
        <v>12</v>
      </c>
      <c r="T100" s="226"/>
      <c r="U100" s="226">
        <v>1</v>
      </c>
      <c r="V100" s="226"/>
      <c r="W100" s="330">
        <f t="shared" si="93"/>
        <v>1</v>
      </c>
      <c r="X100" s="330">
        <f t="shared" si="94"/>
        <v>11</v>
      </c>
      <c r="Y100" s="331">
        <f t="shared" si="95"/>
        <v>0.91666666666666663</v>
      </c>
      <c r="Z100" s="228">
        <v>21</v>
      </c>
      <c r="AA100" s="255"/>
      <c r="AB100" s="255"/>
      <c r="AC100" s="255"/>
      <c r="AD100" s="280">
        <f t="shared" si="96"/>
        <v>0</v>
      </c>
      <c r="AE100" s="280">
        <f t="shared" si="97"/>
        <v>21</v>
      </c>
      <c r="AF100" s="281">
        <f t="shared" si="98"/>
        <v>1</v>
      </c>
      <c r="AG100" s="229">
        <v>18</v>
      </c>
      <c r="AH100" s="257"/>
      <c r="AI100" s="257"/>
      <c r="AJ100" s="257"/>
      <c r="AK100" s="305">
        <f t="shared" si="99"/>
        <v>0</v>
      </c>
      <c r="AL100" s="305">
        <f t="shared" si="100"/>
        <v>18</v>
      </c>
      <c r="AM100" s="306">
        <f t="shared" si="101"/>
        <v>1</v>
      </c>
      <c r="AN100" s="230">
        <v>14</v>
      </c>
      <c r="AO100" s="259"/>
      <c r="AP100" s="259"/>
      <c r="AQ100" s="259"/>
      <c r="AR100" s="307">
        <f t="shared" si="102"/>
        <v>0</v>
      </c>
      <c r="AS100" s="307">
        <f t="shared" si="103"/>
        <v>14</v>
      </c>
      <c r="AT100" s="308">
        <f t="shared" si="104"/>
        <v>1</v>
      </c>
      <c r="AU100" s="289"/>
      <c r="AV100" s="289"/>
      <c r="AW100" s="289"/>
      <c r="AX100" s="290">
        <v>98</v>
      </c>
      <c r="AY100" s="289">
        <f t="shared" si="105"/>
        <v>98</v>
      </c>
      <c r="AZ100" s="291">
        <f t="shared" si="106"/>
        <v>1</v>
      </c>
      <c r="BA100" s="293"/>
      <c r="BB100" s="394">
        <v>94</v>
      </c>
      <c r="BC100" s="379">
        <f t="shared" si="107"/>
        <v>0</v>
      </c>
      <c r="BD100" s="378">
        <f t="shared" si="108"/>
        <v>0</v>
      </c>
      <c r="BE100" s="381"/>
      <c r="BF100" s="393">
        <f t="shared" si="86"/>
        <v>94</v>
      </c>
    </row>
    <row r="101" spans="1:58" x14ac:dyDescent="0.35">
      <c r="A101" s="197" t="s">
        <v>29</v>
      </c>
      <c r="B101" s="35">
        <v>252611236</v>
      </c>
      <c r="C101" s="261" t="s">
        <v>1374</v>
      </c>
      <c r="D101" s="245" t="s">
        <v>6</v>
      </c>
      <c r="E101" s="215">
        <v>19</v>
      </c>
      <c r="F101" s="249">
        <v>1</v>
      </c>
      <c r="G101" s="217">
        <v>2</v>
      </c>
      <c r="H101" s="217">
        <v>7</v>
      </c>
      <c r="I101" s="326">
        <f t="shared" si="87"/>
        <v>10</v>
      </c>
      <c r="J101" s="326">
        <f t="shared" si="88"/>
        <v>9</v>
      </c>
      <c r="K101" s="327">
        <f t="shared" si="89"/>
        <v>0.47368421052631576</v>
      </c>
      <c r="L101" s="221">
        <v>18</v>
      </c>
      <c r="M101" s="222"/>
      <c r="N101" s="223"/>
      <c r="O101" s="223"/>
      <c r="P101" s="328">
        <f t="shared" si="90"/>
        <v>0</v>
      </c>
      <c r="Q101" s="328">
        <f t="shared" si="91"/>
        <v>18</v>
      </c>
      <c r="R101" s="329">
        <f t="shared" si="92"/>
        <v>1</v>
      </c>
      <c r="S101" s="225">
        <v>12</v>
      </c>
      <c r="T101" s="226"/>
      <c r="U101" s="226"/>
      <c r="V101" s="226"/>
      <c r="W101" s="330">
        <f t="shared" si="93"/>
        <v>0</v>
      </c>
      <c r="X101" s="330">
        <f t="shared" si="94"/>
        <v>12</v>
      </c>
      <c r="Y101" s="331">
        <f t="shared" si="95"/>
        <v>1</v>
      </c>
      <c r="Z101" s="228">
        <v>21</v>
      </c>
      <c r="AA101" s="255"/>
      <c r="AB101" s="255"/>
      <c r="AC101" s="255"/>
      <c r="AD101" s="280">
        <f t="shared" si="96"/>
        <v>0</v>
      </c>
      <c r="AE101" s="280">
        <f t="shared" si="97"/>
        <v>21</v>
      </c>
      <c r="AF101" s="281">
        <f t="shared" si="98"/>
        <v>1</v>
      </c>
      <c r="AG101" s="229">
        <v>18</v>
      </c>
      <c r="AH101" s="257"/>
      <c r="AI101" s="257"/>
      <c r="AJ101" s="257"/>
      <c r="AK101" s="305">
        <f t="shared" si="99"/>
        <v>0</v>
      </c>
      <c r="AL101" s="305">
        <f t="shared" si="100"/>
        <v>18</v>
      </c>
      <c r="AM101" s="306">
        <f t="shared" si="101"/>
        <v>1</v>
      </c>
      <c r="AN101" s="230">
        <v>14</v>
      </c>
      <c r="AO101" s="259"/>
      <c r="AP101" s="259"/>
      <c r="AQ101" s="259"/>
      <c r="AR101" s="307">
        <f t="shared" si="102"/>
        <v>0</v>
      </c>
      <c r="AS101" s="307">
        <f t="shared" si="103"/>
        <v>14</v>
      </c>
      <c r="AT101" s="308">
        <f t="shared" si="104"/>
        <v>1</v>
      </c>
      <c r="AU101" s="289"/>
      <c r="AV101" s="289"/>
      <c r="AW101" s="289"/>
      <c r="AX101" s="290">
        <v>98</v>
      </c>
      <c r="AY101" s="289">
        <f t="shared" si="105"/>
        <v>98</v>
      </c>
      <c r="AZ101" s="291">
        <f t="shared" si="106"/>
        <v>1</v>
      </c>
      <c r="BA101" s="293"/>
      <c r="BB101" s="394">
        <v>54</v>
      </c>
      <c r="BC101" s="379">
        <f t="shared" si="107"/>
        <v>0</v>
      </c>
      <c r="BD101" s="378">
        <f t="shared" si="108"/>
        <v>0</v>
      </c>
      <c r="BE101" s="381"/>
      <c r="BF101" s="393">
        <f t="shared" si="86"/>
        <v>54</v>
      </c>
    </row>
    <row r="102" spans="1:58" x14ac:dyDescent="0.35">
      <c r="A102" s="197" t="s">
        <v>30</v>
      </c>
      <c r="B102" s="35">
        <v>242510075</v>
      </c>
      <c r="C102" s="261" t="s">
        <v>1375</v>
      </c>
      <c r="D102" s="245" t="s">
        <v>8</v>
      </c>
      <c r="E102" s="215">
        <v>19</v>
      </c>
      <c r="F102" s="249"/>
      <c r="G102" s="217"/>
      <c r="H102" s="218"/>
      <c r="I102" s="326">
        <f t="shared" si="87"/>
        <v>0</v>
      </c>
      <c r="J102" s="326">
        <f t="shared" si="88"/>
        <v>19</v>
      </c>
      <c r="K102" s="327">
        <f t="shared" si="89"/>
        <v>1</v>
      </c>
      <c r="L102" s="221">
        <v>18</v>
      </c>
      <c r="M102" s="222"/>
      <c r="N102" s="223"/>
      <c r="O102" s="223"/>
      <c r="P102" s="328">
        <f t="shared" si="90"/>
        <v>0</v>
      </c>
      <c r="Q102" s="328">
        <f t="shared" si="91"/>
        <v>18</v>
      </c>
      <c r="R102" s="329">
        <f t="shared" si="92"/>
        <v>1</v>
      </c>
      <c r="S102" s="225">
        <v>12</v>
      </c>
      <c r="T102" s="226"/>
      <c r="U102" s="226"/>
      <c r="V102" s="226"/>
      <c r="W102" s="330">
        <f t="shared" si="93"/>
        <v>0</v>
      </c>
      <c r="X102" s="330">
        <f t="shared" si="94"/>
        <v>12</v>
      </c>
      <c r="Y102" s="331">
        <f t="shared" si="95"/>
        <v>1</v>
      </c>
      <c r="Z102" s="228">
        <v>21</v>
      </c>
      <c r="AA102" s="255"/>
      <c r="AB102" s="255"/>
      <c r="AC102" s="255"/>
      <c r="AD102" s="280">
        <f t="shared" si="96"/>
        <v>0</v>
      </c>
      <c r="AE102" s="280">
        <f t="shared" si="97"/>
        <v>21</v>
      </c>
      <c r="AF102" s="281">
        <f t="shared" si="98"/>
        <v>1</v>
      </c>
      <c r="AG102" s="229">
        <v>18</v>
      </c>
      <c r="AH102" s="257"/>
      <c r="AI102" s="257"/>
      <c r="AJ102" s="257"/>
      <c r="AK102" s="305">
        <f t="shared" si="99"/>
        <v>0</v>
      </c>
      <c r="AL102" s="305">
        <f t="shared" si="100"/>
        <v>18</v>
      </c>
      <c r="AM102" s="306">
        <f t="shared" si="101"/>
        <v>1</v>
      </c>
      <c r="AN102" s="230">
        <v>14</v>
      </c>
      <c r="AO102" s="259"/>
      <c r="AP102" s="259"/>
      <c r="AQ102" s="259"/>
      <c r="AR102" s="307">
        <f t="shared" si="102"/>
        <v>0</v>
      </c>
      <c r="AS102" s="307">
        <f t="shared" si="103"/>
        <v>14</v>
      </c>
      <c r="AT102" s="308">
        <f t="shared" si="104"/>
        <v>1</v>
      </c>
      <c r="AU102" s="289"/>
      <c r="AV102" s="289"/>
      <c r="AW102" s="289"/>
      <c r="AX102" s="290">
        <v>98</v>
      </c>
      <c r="AY102" s="289">
        <f t="shared" si="105"/>
        <v>98</v>
      </c>
      <c r="AZ102" s="291">
        <f t="shared" si="106"/>
        <v>1</v>
      </c>
      <c r="BA102" s="293"/>
      <c r="BB102" s="394">
        <v>98</v>
      </c>
      <c r="BC102" s="379">
        <f t="shared" si="107"/>
        <v>0</v>
      </c>
      <c r="BD102" s="378">
        <f t="shared" si="108"/>
        <v>0</v>
      </c>
      <c r="BE102" s="381"/>
      <c r="BF102" s="393">
        <f t="shared" si="86"/>
        <v>98</v>
      </c>
    </row>
    <row r="103" spans="1:58" x14ac:dyDescent="0.35">
      <c r="A103" s="197" t="s">
        <v>31</v>
      </c>
      <c r="B103" s="35">
        <v>242510076</v>
      </c>
      <c r="C103" s="261" t="s">
        <v>1376</v>
      </c>
      <c r="D103" s="245" t="s">
        <v>6</v>
      </c>
      <c r="E103" s="215">
        <v>19</v>
      </c>
      <c r="F103" s="249">
        <v>1</v>
      </c>
      <c r="G103" s="217"/>
      <c r="H103" s="217">
        <v>1</v>
      </c>
      <c r="I103" s="326">
        <f t="shared" si="87"/>
        <v>2</v>
      </c>
      <c r="J103" s="326">
        <f t="shared" si="88"/>
        <v>17</v>
      </c>
      <c r="K103" s="327">
        <f t="shared" si="89"/>
        <v>0.89473684210526316</v>
      </c>
      <c r="L103" s="221">
        <v>18</v>
      </c>
      <c r="M103" s="222"/>
      <c r="N103" s="223">
        <v>2</v>
      </c>
      <c r="O103" s="222">
        <v>4</v>
      </c>
      <c r="P103" s="328">
        <f t="shared" si="90"/>
        <v>6</v>
      </c>
      <c r="Q103" s="328">
        <f t="shared" si="91"/>
        <v>12</v>
      </c>
      <c r="R103" s="329">
        <f t="shared" si="92"/>
        <v>0.66666666666666663</v>
      </c>
      <c r="S103" s="225">
        <v>12</v>
      </c>
      <c r="T103" s="226"/>
      <c r="U103" s="226"/>
      <c r="V103" s="226"/>
      <c r="W103" s="330">
        <f t="shared" si="93"/>
        <v>0</v>
      </c>
      <c r="X103" s="330">
        <f t="shared" si="94"/>
        <v>12</v>
      </c>
      <c r="Y103" s="331">
        <f t="shared" si="95"/>
        <v>1</v>
      </c>
      <c r="Z103" s="228">
        <v>21</v>
      </c>
      <c r="AA103" s="255"/>
      <c r="AB103" s="255"/>
      <c r="AC103" s="255"/>
      <c r="AD103" s="280">
        <f t="shared" si="96"/>
        <v>0</v>
      </c>
      <c r="AE103" s="280">
        <f t="shared" si="97"/>
        <v>21</v>
      </c>
      <c r="AF103" s="281">
        <f t="shared" si="98"/>
        <v>1</v>
      </c>
      <c r="AG103" s="229">
        <v>18</v>
      </c>
      <c r="AH103" s="257"/>
      <c r="AI103" s="257"/>
      <c r="AJ103" s="257"/>
      <c r="AK103" s="305">
        <f t="shared" si="99"/>
        <v>0</v>
      </c>
      <c r="AL103" s="305">
        <f t="shared" si="100"/>
        <v>18</v>
      </c>
      <c r="AM103" s="306">
        <f t="shared" si="101"/>
        <v>1</v>
      </c>
      <c r="AN103" s="230">
        <v>14</v>
      </c>
      <c r="AO103" s="259"/>
      <c r="AP103" s="259"/>
      <c r="AQ103" s="259"/>
      <c r="AR103" s="307">
        <f t="shared" si="102"/>
        <v>0</v>
      </c>
      <c r="AS103" s="307">
        <f t="shared" si="103"/>
        <v>14</v>
      </c>
      <c r="AT103" s="308">
        <f t="shared" si="104"/>
        <v>1</v>
      </c>
      <c r="AU103" s="289"/>
      <c r="AV103" s="289"/>
      <c r="AW103" s="289"/>
      <c r="AX103" s="290">
        <v>98</v>
      </c>
      <c r="AY103" s="289">
        <f t="shared" si="105"/>
        <v>98</v>
      </c>
      <c r="AZ103" s="291">
        <f t="shared" si="106"/>
        <v>1</v>
      </c>
      <c r="BA103" s="293"/>
      <c r="BB103" s="394">
        <v>90</v>
      </c>
      <c r="BC103" s="379">
        <f t="shared" si="107"/>
        <v>0</v>
      </c>
      <c r="BD103" s="378">
        <f t="shared" si="108"/>
        <v>0</v>
      </c>
      <c r="BE103" s="381"/>
      <c r="BF103" s="393">
        <f t="shared" si="86"/>
        <v>90</v>
      </c>
    </row>
    <row r="104" spans="1:58" x14ac:dyDescent="0.35">
      <c r="A104" s="197" t="s">
        <v>32</v>
      </c>
      <c r="B104" s="35">
        <v>242510077</v>
      </c>
      <c r="C104" s="261" t="s">
        <v>1377</v>
      </c>
      <c r="D104" s="245" t="s">
        <v>8</v>
      </c>
      <c r="E104" s="215">
        <v>19</v>
      </c>
      <c r="F104" s="249">
        <v>2</v>
      </c>
      <c r="G104" s="217"/>
      <c r="H104" s="217">
        <v>1</v>
      </c>
      <c r="I104" s="326">
        <f t="shared" si="87"/>
        <v>3</v>
      </c>
      <c r="J104" s="326">
        <f t="shared" si="88"/>
        <v>16</v>
      </c>
      <c r="K104" s="327">
        <f t="shared" si="89"/>
        <v>0.84210526315789469</v>
      </c>
      <c r="L104" s="221">
        <v>18</v>
      </c>
      <c r="M104" s="222"/>
      <c r="N104" s="222">
        <v>1</v>
      </c>
      <c r="O104" s="223">
        <v>4</v>
      </c>
      <c r="P104" s="328">
        <f t="shared" si="90"/>
        <v>5</v>
      </c>
      <c r="Q104" s="328">
        <f t="shared" si="91"/>
        <v>13</v>
      </c>
      <c r="R104" s="329">
        <f t="shared" si="92"/>
        <v>0.72222222222222221</v>
      </c>
      <c r="S104" s="225">
        <v>12</v>
      </c>
      <c r="T104" s="226"/>
      <c r="U104" s="226">
        <v>1</v>
      </c>
      <c r="V104" s="226"/>
      <c r="W104" s="330">
        <f t="shared" si="93"/>
        <v>1</v>
      </c>
      <c r="X104" s="330">
        <f t="shared" si="94"/>
        <v>11</v>
      </c>
      <c r="Y104" s="331">
        <f t="shared" si="95"/>
        <v>0.91666666666666663</v>
      </c>
      <c r="Z104" s="228">
        <v>21</v>
      </c>
      <c r="AA104" s="255"/>
      <c r="AB104" s="255"/>
      <c r="AC104" s="255"/>
      <c r="AD104" s="280">
        <f t="shared" si="96"/>
        <v>0</v>
      </c>
      <c r="AE104" s="280">
        <f t="shared" si="97"/>
        <v>21</v>
      </c>
      <c r="AF104" s="281">
        <f t="shared" si="98"/>
        <v>1</v>
      </c>
      <c r="AG104" s="229">
        <v>18</v>
      </c>
      <c r="AH104" s="257"/>
      <c r="AI104" s="257"/>
      <c r="AJ104" s="257"/>
      <c r="AK104" s="305">
        <f t="shared" si="99"/>
        <v>0</v>
      </c>
      <c r="AL104" s="305">
        <f t="shared" si="100"/>
        <v>18</v>
      </c>
      <c r="AM104" s="306">
        <f t="shared" si="101"/>
        <v>1</v>
      </c>
      <c r="AN104" s="230">
        <v>14</v>
      </c>
      <c r="AO104" s="259"/>
      <c r="AP104" s="259"/>
      <c r="AQ104" s="259"/>
      <c r="AR104" s="307">
        <f t="shared" si="102"/>
        <v>0</v>
      </c>
      <c r="AS104" s="307">
        <f t="shared" si="103"/>
        <v>14</v>
      </c>
      <c r="AT104" s="308">
        <f t="shared" si="104"/>
        <v>1</v>
      </c>
      <c r="AU104" s="289"/>
      <c r="AV104" s="289"/>
      <c r="AW104" s="289"/>
      <c r="AX104" s="290">
        <v>98</v>
      </c>
      <c r="AY104" s="289">
        <f t="shared" si="105"/>
        <v>98</v>
      </c>
      <c r="AZ104" s="291">
        <f t="shared" si="106"/>
        <v>1</v>
      </c>
      <c r="BA104" s="293">
        <v>1</v>
      </c>
      <c r="BB104" s="394">
        <v>88</v>
      </c>
      <c r="BC104" s="379">
        <f t="shared" si="107"/>
        <v>2</v>
      </c>
      <c r="BD104" s="378">
        <f t="shared" si="108"/>
        <v>0</v>
      </c>
      <c r="BE104" s="381"/>
      <c r="BF104" s="393">
        <f t="shared" si="86"/>
        <v>86</v>
      </c>
    </row>
    <row r="105" spans="1:58" x14ac:dyDescent="0.35">
      <c r="A105" s="197" t="s">
        <v>33</v>
      </c>
      <c r="B105" s="35">
        <v>242510078</v>
      </c>
      <c r="C105" s="261" t="s">
        <v>1378</v>
      </c>
      <c r="D105" s="245" t="s">
        <v>6</v>
      </c>
      <c r="E105" s="215">
        <v>19</v>
      </c>
      <c r="F105" s="249"/>
      <c r="G105" s="217">
        <v>2</v>
      </c>
      <c r="H105" s="217">
        <v>2</v>
      </c>
      <c r="I105" s="326">
        <f t="shared" si="87"/>
        <v>4</v>
      </c>
      <c r="J105" s="326">
        <f t="shared" si="88"/>
        <v>15</v>
      </c>
      <c r="K105" s="327">
        <f t="shared" si="89"/>
        <v>0.78947368421052633</v>
      </c>
      <c r="L105" s="221">
        <v>18</v>
      </c>
      <c r="M105" s="222"/>
      <c r="N105" s="223">
        <v>1</v>
      </c>
      <c r="O105" s="223">
        <v>4</v>
      </c>
      <c r="P105" s="328">
        <f t="shared" si="90"/>
        <v>5</v>
      </c>
      <c r="Q105" s="328">
        <f t="shared" si="91"/>
        <v>13</v>
      </c>
      <c r="R105" s="329">
        <f t="shared" si="92"/>
        <v>0.72222222222222221</v>
      </c>
      <c r="S105" s="225">
        <v>12</v>
      </c>
      <c r="T105" s="226"/>
      <c r="U105" s="226"/>
      <c r="V105" s="226"/>
      <c r="W105" s="330">
        <f t="shared" si="93"/>
        <v>0</v>
      </c>
      <c r="X105" s="330">
        <f t="shared" si="94"/>
        <v>12</v>
      </c>
      <c r="Y105" s="331">
        <f t="shared" si="95"/>
        <v>1</v>
      </c>
      <c r="Z105" s="228">
        <v>21</v>
      </c>
      <c r="AA105" s="255"/>
      <c r="AB105" s="255"/>
      <c r="AC105" s="255"/>
      <c r="AD105" s="280">
        <f t="shared" si="96"/>
        <v>0</v>
      </c>
      <c r="AE105" s="280">
        <f t="shared" si="97"/>
        <v>21</v>
      </c>
      <c r="AF105" s="281">
        <f t="shared" si="98"/>
        <v>1</v>
      </c>
      <c r="AG105" s="229">
        <v>18</v>
      </c>
      <c r="AH105" s="257"/>
      <c r="AI105" s="257"/>
      <c r="AJ105" s="257"/>
      <c r="AK105" s="305">
        <f t="shared" si="99"/>
        <v>0</v>
      </c>
      <c r="AL105" s="305">
        <f t="shared" si="100"/>
        <v>18</v>
      </c>
      <c r="AM105" s="306">
        <f t="shared" si="101"/>
        <v>1</v>
      </c>
      <c r="AN105" s="230">
        <v>14</v>
      </c>
      <c r="AO105" s="259"/>
      <c r="AP105" s="259"/>
      <c r="AQ105" s="259"/>
      <c r="AR105" s="307">
        <f t="shared" si="102"/>
        <v>0</v>
      </c>
      <c r="AS105" s="307">
        <f t="shared" si="103"/>
        <v>14</v>
      </c>
      <c r="AT105" s="308">
        <f t="shared" si="104"/>
        <v>1</v>
      </c>
      <c r="AU105" s="289"/>
      <c r="AV105" s="289"/>
      <c r="AW105" s="289"/>
      <c r="AX105" s="290">
        <v>98</v>
      </c>
      <c r="AY105" s="289">
        <f t="shared" si="105"/>
        <v>98</v>
      </c>
      <c r="AZ105" s="291">
        <f t="shared" si="106"/>
        <v>1</v>
      </c>
      <c r="BA105" s="293">
        <v>9</v>
      </c>
      <c r="BB105" s="394">
        <v>66</v>
      </c>
      <c r="BC105" s="379">
        <f t="shared" si="107"/>
        <v>18</v>
      </c>
      <c r="BD105" s="378">
        <f t="shared" si="108"/>
        <v>0</v>
      </c>
      <c r="BE105" s="381"/>
      <c r="BF105" s="393">
        <f t="shared" si="86"/>
        <v>48</v>
      </c>
    </row>
    <row r="106" spans="1:58" x14ac:dyDescent="0.35">
      <c r="A106" s="197" t="s">
        <v>34</v>
      </c>
      <c r="B106" s="35">
        <v>242510079</v>
      </c>
      <c r="C106" s="261" t="s">
        <v>1379</v>
      </c>
      <c r="D106" s="245" t="s">
        <v>6</v>
      </c>
      <c r="E106" s="215">
        <v>19</v>
      </c>
      <c r="F106" s="249"/>
      <c r="G106" s="217">
        <v>2</v>
      </c>
      <c r="H106" s="217">
        <v>2</v>
      </c>
      <c r="I106" s="326">
        <f t="shared" si="87"/>
        <v>4</v>
      </c>
      <c r="J106" s="326">
        <f t="shared" si="88"/>
        <v>15</v>
      </c>
      <c r="K106" s="327">
        <f t="shared" si="89"/>
        <v>0.78947368421052633</v>
      </c>
      <c r="L106" s="221">
        <v>18</v>
      </c>
      <c r="M106" s="222"/>
      <c r="N106" s="223">
        <v>1</v>
      </c>
      <c r="O106" s="222">
        <v>2</v>
      </c>
      <c r="P106" s="328">
        <f t="shared" si="90"/>
        <v>3</v>
      </c>
      <c r="Q106" s="328">
        <f t="shared" si="91"/>
        <v>15</v>
      </c>
      <c r="R106" s="329">
        <f t="shared" si="92"/>
        <v>0.83333333333333337</v>
      </c>
      <c r="S106" s="225">
        <v>12</v>
      </c>
      <c r="T106" s="226">
        <v>7</v>
      </c>
      <c r="U106" s="226"/>
      <c r="V106" s="226"/>
      <c r="W106" s="330">
        <f t="shared" si="93"/>
        <v>7</v>
      </c>
      <c r="X106" s="330">
        <f t="shared" si="94"/>
        <v>5</v>
      </c>
      <c r="Y106" s="331">
        <f t="shared" si="95"/>
        <v>0.41666666666666669</v>
      </c>
      <c r="Z106" s="228">
        <v>21</v>
      </c>
      <c r="AA106" s="255"/>
      <c r="AB106" s="255"/>
      <c r="AC106" s="255"/>
      <c r="AD106" s="280">
        <f t="shared" si="96"/>
        <v>0</v>
      </c>
      <c r="AE106" s="280">
        <f t="shared" si="97"/>
        <v>21</v>
      </c>
      <c r="AF106" s="281">
        <f t="shared" si="98"/>
        <v>1</v>
      </c>
      <c r="AG106" s="229">
        <v>18</v>
      </c>
      <c r="AH106" s="257"/>
      <c r="AI106" s="257"/>
      <c r="AJ106" s="257"/>
      <c r="AK106" s="305">
        <f t="shared" si="99"/>
        <v>0</v>
      </c>
      <c r="AL106" s="305">
        <f t="shared" si="100"/>
        <v>18</v>
      </c>
      <c r="AM106" s="306">
        <f t="shared" si="101"/>
        <v>1</v>
      </c>
      <c r="AN106" s="230">
        <v>14</v>
      </c>
      <c r="AO106" s="259"/>
      <c r="AP106" s="259"/>
      <c r="AQ106" s="259"/>
      <c r="AR106" s="307">
        <f t="shared" si="102"/>
        <v>0</v>
      </c>
      <c r="AS106" s="307">
        <f t="shared" si="103"/>
        <v>14</v>
      </c>
      <c r="AT106" s="308">
        <f t="shared" si="104"/>
        <v>1</v>
      </c>
      <c r="AU106" s="289"/>
      <c r="AV106" s="289"/>
      <c r="AW106" s="289"/>
      <c r="AX106" s="290">
        <v>98</v>
      </c>
      <c r="AY106" s="289">
        <f t="shared" si="105"/>
        <v>98</v>
      </c>
      <c r="AZ106" s="291">
        <f t="shared" si="106"/>
        <v>1</v>
      </c>
      <c r="BA106" s="293"/>
      <c r="BB106" s="394">
        <v>92</v>
      </c>
      <c r="BC106" s="379">
        <f t="shared" si="107"/>
        <v>0</v>
      </c>
      <c r="BD106" s="378">
        <f t="shared" si="108"/>
        <v>0</v>
      </c>
      <c r="BE106" s="381"/>
      <c r="BF106" s="393">
        <f t="shared" si="86"/>
        <v>92</v>
      </c>
    </row>
    <row r="107" spans="1:58" x14ac:dyDescent="0.35">
      <c r="A107" s="197" t="s">
        <v>35</v>
      </c>
      <c r="B107" s="35">
        <v>242510080</v>
      </c>
      <c r="C107" s="261" t="s">
        <v>1380</v>
      </c>
      <c r="D107" s="245" t="s">
        <v>8</v>
      </c>
      <c r="E107" s="215">
        <v>19</v>
      </c>
      <c r="F107" s="249"/>
      <c r="G107" s="217"/>
      <c r="H107" s="217"/>
      <c r="I107" s="326">
        <f t="shared" si="87"/>
        <v>0</v>
      </c>
      <c r="J107" s="326">
        <f t="shared" si="88"/>
        <v>19</v>
      </c>
      <c r="K107" s="327">
        <f t="shared" si="89"/>
        <v>1</v>
      </c>
      <c r="L107" s="221">
        <v>18</v>
      </c>
      <c r="M107" s="222"/>
      <c r="N107" s="223">
        <v>1</v>
      </c>
      <c r="O107" s="223">
        <v>1</v>
      </c>
      <c r="P107" s="328">
        <f t="shared" si="90"/>
        <v>2</v>
      </c>
      <c r="Q107" s="328">
        <f t="shared" si="91"/>
        <v>16</v>
      </c>
      <c r="R107" s="329">
        <f t="shared" si="92"/>
        <v>0.88888888888888884</v>
      </c>
      <c r="S107" s="225">
        <v>12</v>
      </c>
      <c r="T107" s="226"/>
      <c r="U107" s="226"/>
      <c r="V107" s="226"/>
      <c r="W107" s="330">
        <f t="shared" si="93"/>
        <v>0</v>
      </c>
      <c r="X107" s="330">
        <f t="shared" si="94"/>
        <v>12</v>
      </c>
      <c r="Y107" s="331">
        <f t="shared" si="95"/>
        <v>1</v>
      </c>
      <c r="Z107" s="228">
        <v>21</v>
      </c>
      <c r="AA107" s="255"/>
      <c r="AB107" s="255"/>
      <c r="AC107" s="255"/>
      <c r="AD107" s="280">
        <f t="shared" si="96"/>
        <v>0</v>
      </c>
      <c r="AE107" s="280">
        <f t="shared" si="97"/>
        <v>21</v>
      </c>
      <c r="AF107" s="281">
        <f t="shared" si="98"/>
        <v>1</v>
      </c>
      <c r="AG107" s="229">
        <v>18</v>
      </c>
      <c r="AH107" s="257"/>
      <c r="AI107" s="257"/>
      <c r="AJ107" s="257"/>
      <c r="AK107" s="305">
        <f t="shared" si="99"/>
        <v>0</v>
      </c>
      <c r="AL107" s="305">
        <f t="shared" si="100"/>
        <v>18</v>
      </c>
      <c r="AM107" s="306">
        <f t="shared" si="101"/>
        <v>1</v>
      </c>
      <c r="AN107" s="230">
        <v>14</v>
      </c>
      <c r="AO107" s="259"/>
      <c r="AP107" s="259"/>
      <c r="AQ107" s="259"/>
      <c r="AR107" s="307">
        <f t="shared" si="102"/>
        <v>0</v>
      </c>
      <c r="AS107" s="307">
        <f t="shared" si="103"/>
        <v>14</v>
      </c>
      <c r="AT107" s="308">
        <f t="shared" si="104"/>
        <v>1</v>
      </c>
      <c r="AU107" s="344"/>
      <c r="AV107" s="344"/>
      <c r="AW107" s="344"/>
      <c r="AX107" s="290">
        <v>98</v>
      </c>
      <c r="AY107" s="344">
        <f t="shared" si="105"/>
        <v>98</v>
      </c>
      <c r="AZ107" s="424">
        <f t="shared" si="106"/>
        <v>1</v>
      </c>
      <c r="BA107" s="293"/>
      <c r="BB107" s="394">
        <v>94</v>
      </c>
      <c r="BC107" s="379">
        <f t="shared" si="107"/>
        <v>0</v>
      </c>
      <c r="BD107" s="378">
        <f t="shared" si="108"/>
        <v>0</v>
      </c>
      <c r="BE107" s="381"/>
      <c r="BF107" s="393">
        <f t="shared" si="86"/>
        <v>94</v>
      </c>
    </row>
    <row r="108" spans="1:58" x14ac:dyDescent="0.35">
      <c r="A108" s="197" t="s">
        <v>36</v>
      </c>
      <c r="B108" s="35">
        <v>242510081</v>
      </c>
      <c r="C108" s="261" t="s">
        <v>1381</v>
      </c>
      <c r="D108" s="245" t="s">
        <v>6</v>
      </c>
      <c r="E108" s="215">
        <v>19</v>
      </c>
      <c r="F108" s="249">
        <v>1</v>
      </c>
      <c r="G108" s="217">
        <v>1</v>
      </c>
      <c r="H108" s="217">
        <v>1</v>
      </c>
      <c r="I108" s="326">
        <f t="shared" si="87"/>
        <v>3</v>
      </c>
      <c r="J108" s="326">
        <f t="shared" si="88"/>
        <v>16</v>
      </c>
      <c r="K108" s="327">
        <f t="shared" si="89"/>
        <v>0.84210526315789469</v>
      </c>
      <c r="L108" s="221">
        <v>18</v>
      </c>
      <c r="M108" s="222"/>
      <c r="N108" s="222"/>
      <c r="O108" s="222"/>
      <c r="P108" s="328">
        <f t="shared" si="90"/>
        <v>0</v>
      </c>
      <c r="Q108" s="328">
        <f t="shared" si="91"/>
        <v>18</v>
      </c>
      <c r="R108" s="329">
        <f t="shared" si="92"/>
        <v>1</v>
      </c>
      <c r="S108" s="225">
        <v>12</v>
      </c>
      <c r="T108" s="226"/>
      <c r="U108" s="226"/>
      <c r="V108" s="226"/>
      <c r="W108" s="330">
        <f t="shared" si="93"/>
        <v>0</v>
      </c>
      <c r="X108" s="330">
        <f t="shared" si="94"/>
        <v>12</v>
      </c>
      <c r="Y108" s="331">
        <f t="shared" si="95"/>
        <v>1</v>
      </c>
      <c r="Z108" s="228">
        <v>21</v>
      </c>
      <c r="AA108" s="255"/>
      <c r="AB108" s="255"/>
      <c r="AC108" s="255"/>
      <c r="AD108" s="280">
        <f t="shared" si="96"/>
        <v>0</v>
      </c>
      <c r="AE108" s="280">
        <f t="shared" si="97"/>
        <v>21</v>
      </c>
      <c r="AF108" s="281">
        <f t="shared" si="98"/>
        <v>1</v>
      </c>
      <c r="AG108" s="229">
        <v>18</v>
      </c>
      <c r="AH108" s="257"/>
      <c r="AI108" s="257"/>
      <c r="AJ108" s="257"/>
      <c r="AK108" s="305">
        <f t="shared" si="99"/>
        <v>0</v>
      </c>
      <c r="AL108" s="305">
        <f t="shared" si="100"/>
        <v>18</v>
      </c>
      <c r="AM108" s="306">
        <f t="shared" si="101"/>
        <v>1</v>
      </c>
      <c r="AN108" s="230">
        <v>14</v>
      </c>
      <c r="AO108" s="259"/>
      <c r="AP108" s="259"/>
      <c r="AQ108" s="259"/>
      <c r="AR108" s="307">
        <f t="shared" si="102"/>
        <v>0</v>
      </c>
      <c r="AS108" s="307">
        <f t="shared" si="103"/>
        <v>14</v>
      </c>
      <c r="AT108" s="308">
        <f t="shared" si="104"/>
        <v>1</v>
      </c>
      <c r="AU108" s="344"/>
      <c r="AV108" s="344"/>
      <c r="AW108" s="344"/>
      <c r="AX108" s="290">
        <v>98</v>
      </c>
      <c r="AY108" s="344">
        <f t="shared" si="105"/>
        <v>98</v>
      </c>
      <c r="AZ108" s="424">
        <f t="shared" si="106"/>
        <v>1</v>
      </c>
      <c r="BA108" s="293"/>
      <c r="BB108" s="394">
        <v>94</v>
      </c>
      <c r="BC108" s="379">
        <f t="shared" si="107"/>
        <v>0</v>
      </c>
      <c r="BD108" s="378">
        <f t="shared" si="108"/>
        <v>0</v>
      </c>
      <c r="BE108" s="381"/>
      <c r="BF108" s="393">
        <f t="shared" si="86"/>
        <v>94</v>
      </c>
    </row>
    <row r="109" spans="1:58" x14ac:dyDescent="0.35">
      <c r="A109" s="197" t="s">
        <v>37</v>
      </c>
      <c r="B109" s="35">
        <v>242510082</v>
      </c>
      <c r="C109" s="261" t="s">
        <v>1382</v>
      </c>
      <c r="D109" s="245" t="s">
        <v>6</v>
      </c>
      <c r="E109" s="215">
        <v>19</v>
      </c>
      <c r="F109" s="249"/>
      <c r="G109" s="217"/>
      <c r="H109" s="217"/>
      <c r="I109" s="326">
        <f t="shared" si="87"/>
        <v>0</v>
      </c>
      <c r="J109" s="326">
        <f t="shared" si="88"/>
        <v>19</v>
      </c>
      <c r="K109" s="327">
        <f t="shared" si="89"/>
        <v>1</v>
      </c>
      <c r="L109" s="221">
        <v>18</v>
      </c>
      <c r="M109" s="222"/>
      <c r="N109" s="223"/>
      <c r="O109" s="222"/>
      <c r="P109" s="328">
        <f t="shared" si="90"/>
        <v>0</v>
      </c>
      <c r="Q109" s="328">
        <f t="shared" si="91"/>
        <v>18</v>
      </c>
      <c r="R109" s="329">
        <f t="shared" si="92"/>
        <v>1</v>
      </c>
      <c r="S109" s="225">
        <v>12</v>
      </c>
      <c r="T109" s="226"/>
      <c r="U109" s="226"/>
      <c r="V109" s="226"/>
      <c r="W109" s="330">
        <f t="shared" si="93"/>
        <v>0</v>
      </c>
      <c r="X109" s="330">
        <f t="shared" si="94"/>
        <v>12</v>
      </c>
      <c r="Y109" s="331">
        <f t="shared" si="95"/>
        <v>1</v>
      </c>
      <c r="Z109" s="228">
        <v>21</v>
      </c>
      <c r="AA109" s="255"/>
      <c r="AB109" s="255"/>
      <c r="AC109" s="255"/>
      <c r="AD109" s="280">
        <f t="shared" si="96"/>
        <v>0</v>
      </c>
      <c r="AE109" s="280">
        <f t="shared" si="97"/>
        <v>21</v>
      </c>
      <c r="AF109" s="281">
        <f t="shared" si="98"/>
        <v>1</v>
      </c>
      <c r="AG109" s="229">
        <v>18</v>
      </c>
      <c r="AH109" s="257"/>
      <c r="AI109" s="257"/>
      <c r="AJ109" s="257"/>
      <c r="AK109" s="305">
        <f t="shared" si="99"/>
        <v>0</v>
      </c>
      <c r="AL109" s="305">
        <f t="shared" si="100"/>
        <v>18</v>
      </c>
      <c r="AM109" s="306">
        <f t="shared" si="101"/>
        <v>1</v>
      </c>
      <c r="AN109" s="230">
        <v>14</v>
      </c>
      <c r="AO109" s="259"/>
      <c r="AP109" s="259"/>
      <c r="AQ109" s="259"/>
      <c r="AR109" s="307">
        <f t="shared" si="102"/>
        <v>0</v>
      </c>
      <c r="AS109" s="307">
        <f t="shared" si="103"/>
        <v>14</v>
      </c>
      <c r="AT109" s="308">
        <f t="shared" si="104"/>
        <v>1</v>
      </c>
      <c r="AU109" s="344"/>
      <c r="AV109" s="344"/>
      <c r="AW109" s="344"/>
      <c r="AX109" s="290">
        <v>98</v>
      </c>
      <c r="AY109" s="344">
        <f t="shared" si="105"/>
        <v>98</v>
      </c>
      <c r="AZ109" s="424">
        <f t="shared" si="106"/>
        <v>1</v>
      </c>
      <c r="BA109" s="293"/>
      <c r="BB109" s="394">
        <v>80</v>
      </c>
      <c r="BC109" s="379">
        <f t="shared" si="107"/>
        <v>0</v>
      </c>
      <c r="BD109" s="378">
        <f t="shared" si="108"/>
        <v>0</v>
      </c>
      <c r="BE109" s="381"/>
      <c r="BF109" s="393">
        <f t="shared" si="86"/>
        <v>80</v>
      </c>
    </row>
    <row r="110" spans="1:58" x14ac:dyDescent="0.35">
      <c r="A110" s="200" t="s">
        <v>38</v>
      </c>
      <c r="B110" s="38">
        <v>242510176</v>
      </c>
      <c r="C110" s="94" t="s">
        <v>1383</v>
      </c>
      <c r="D110" s="246" t="s">
        <v>6</v>
      </c>
      <c r="E110" s="215">
        <v>19</v>
      </c>
      <c r="F110" s="249"/>
      <c r="G110" s="217">
        <v>2</v>
      </c>
      <c r="H110" s="217">
        <v>2</v>
      </c>
      <c r="I110" s="326">
        <f t="shared" si="87"/>
        <v>4</v>
      </c>
      <c r="J110" s="326">
        <f t="shared" si="88"/>
        <v>15</v>
      </c>
      <c r="K110" s="327">
        <f t="shared" si="89"/>
        <v>0.78947368421052633</v>
      </c>
      <c r="L110" s="221">
        <v>18</v>
      </c>
      <c r="M110" s="222"/>
      <c r="N110" s="223"/>
      <c r="O110" s="223"/>
      <c r="P110" s="328">
        <f t="shared" si="90"/>
        <v>0</v>
      </c>
      <c r="Q110" s="328">
        <f t="shared" si="91"/>
        <v>18</v>
      </c>
      <c r="R110" s="329">
        <f t="shared" si="92"/>
        <v>1</v>
      </c>
      <c r="S110" s="225">
        <v>12</v>
      </c>
      <c r="T110" s="226"/>
      <c r="U110" s="226">
        <v>3</v>
      </c>
      <c r="V110" s="226">
        <v>1</v>
      </c>
      <c r="W110" s="330">
        <f t="shared" si="93"/>
        <v>4</v>
      </c>
      <c r="X110" s="330">
        <f t="shared" si="94"/>
        <v>8</v>
      </c>
      <c r="Y110" s="331">
        <f t="shared" si="95"/>
        <v>0.66666666666666663</v>
      </c>
      <c r="Z110" s="228">
        <v>21</v>
      </c>
      <c r="AA110" s="255"/>
      <c r="AB110" s="255"/>
      <c r="AC110" s="255"/>
      <c r="AD110" s="280">
        <f t="shared" si="96"/>
        <v>0</v>
      </c>
      <c r="AE110" s="280">
        <f t="shared" si="97"/>
        <v>21</v>
      </c>
      <c r="AF110" s="281">
        <f t="shared" si="98"/>
        <v>1</v>
      </c>
      <c r="AG110" s="229">
        <v>18</v>
      </c>
      <c r="AH110" s="257"/>
      <c r="AI110" s="257"/>
      <c r="AJ110" s="257"/>
      <c r="AK110" s="305">
        <f t="shared" si="99"/>
        <v>0</v>
      </c>
      <c r="AL110" s="305">
        <f t="shared" si="100"/>
        <v>18</v>
      </c>
      <c r="AM110" s="306">
        <f t="shared" si="101"/>
        <v>1</v>
      </c>
      <c r="AN110" s="230">
        <v>14</v>
      </c>
      <c r="AO110" s="259"/>
      <c r="AP110" s="259"/>
      <c r="AQ110" s="259"/>
      <c r="AR110" s="307">
        <f t="shared" si="102"/>
        <v>0</v>
      </c>
      <c r="AS110" s="307">
        <f t="shared" si="103"/>
        <v>14</v>
      </c>
      <c r="AT110" s="308">
        <f t="shared" si="104"/>
        <v>1</v>
      </c>
      <c r="AU110" s="344"/>
      <c r="AV110" s="344"/>
      <c r="AW110" s="344"/>
      <c r="AX110" s="290">
        <v>98</v>
      </c>
      <c r="AY110" s="344">
        <f t="shared" si="105"/>
        <v>98</v>
      </c>
      <c r="AZ110" s="424">
        <f t="shared" si="106"/>
        <v>1</v>
      </c>
      <c r="BA110" s="293"/>
      <c r="BB110" s="394">
        <v>66</v>
      </c>
      <c r="BC110" s="379">
        <f t="shared" si="107"/>
        <v>0</v>
      </c>
      <c r="BD110" s="378">
        <f t="shared" si="108"/>
        <v>0</v>
      </c>
      <c r="BE110" s="381"/>
      <c r="BF110" s="393">
        <f t="shared" si="86"/>
        <v>66</v>
      </c>
    </row>
    <row r="111" spans="1:58" x14ac:dyDescent="0.35">
      <c r="A111" s="200" t="s">
        <v>39</v>
      </c>
      <c r="B111" s="38">
        <v>242510083</v>
      </c>
      <c r="C111" s="94" t="s">
        <v>1384</v>
      </c>
      <c r="D111" s="246" t="s">
        <v>8</v>
      </c>
      <c r="E111" s="215">
        <v>19</v>
      </c>
      <c r="F111" s="249">
        <v>1</v>
      </c>
      <c r="G111" s="217">
        <v>1</v>
      </c>
      <c r="H111" s="217">
        <v>1</v>
      </c>
      <c r="I111" s="326">
        <f t="shared" si="87"/>
        <v>3</v>
      </c>
      <c r="J111" s="326">
        <f t="shared" si="88"/>
        <v>16</v>
      </c>
      <c r="K111" s="327">
        <f t="shared" si="89"/>
        <v>0.84210526315789469</v>
      </c>
      <c r="L111" s="221">
        <v>18</v>
      </c>
      <c r="M111" s="222"/>
      <c r="N111" s="223">
        <v>1</v>
      </c>
      <c r="O111" s="222">
        <v>3</v>
      </c>
      <c r="P111" s="328">
        <f t="shared" si="90"/>
        <v>4</v>
      </c>
      <c r="Q111" s="328">
        <f t="shared" si="91"/>
        <v>14</v>
      </c>
      <c r="R111" s="329">
        <f t="shared" si="92"/>
        <v>0.77777777777777779</v>
      </c>
      <c r="S111" s="225">
        <v>12</v>
      </c>
      <c r="T111" s="226"/>
      <c r="U111" s="226"/>
      <c r="V111" s="226"/>
      <c r="W111" s="330">
        <f t="shared" si="93"/>
        <v>0</v>
      </c>
      <c r="X111" s="330">
        <f t="shared" si="94"/>
        <v>12</v>
      </c>
      <c r="Y111" s="331">
        <f t="shared" si="95"/>
        <v>1</v>
      </c>
      <c r="Z111" s="228">
        <v>21</v>
      </c>
      <c r="AA111" s="255"/>
      <c r="AB111" s="255"/>
      <c r="AC111" s="255"/>
      <c r="AD111" s="280">
        <f t="shared" si="96"/>
        <v>0</v>
      </c>
      <c r="AE111" s="280">
        <f t="shared" si="97"/>
        <v>21</v>
      </c>
      <c r="AF111" s="281">
        <f t="shared" si="98"/>
        <v>1</v>
      </c>
      <c r="AG111" s="229">
        <v>18</v>
      </c>
      <c r="AH111" s="257"/>
      <c r="AI111" s="257"/>
      <c r="AJ111" s="257"/>
      <c r="AK111" s="305">
        <f t="shared" si="99"/>
        <v>0</v>
      </c>
      <c r="AL111" s="305">
        <f t="shared" si="100"/>
        <v>18</v>
      </c>
      <c r="AM111" s="306">
        <f t="shared" si="101"/>
        <v>1</v>
      </c>
      <c r="AN111" s="230">
        <v>14</v>
      </c>
      <c r="AO111" s="259"/>
      <c r="AP111" s="259"/>
      <c r="AQ111" s="259"/>
      <c r="AR111" s="307">
        <f t="shared" si="102"/>
        <v>0</v>
      </c>
      <c r="AS111" s="307">
        <f t="shared" si="103"/>
        <v>14</v>
      </c>
      <c r="AT111" s="308">
        <f t="shared" si="104"/>
        <v>1</v>
      </c>
      <c r="AU111" s="344"/>
      <c r="AV111" s="344"/>
      <c r="AW111" s="344"/>
      <c r="AX111" s="290">
        <v>98</v>
      </c>
      <c r="AY111" s="344">
        <f t="shared" si="105"/>
        <v>98</v>
      </c>
      <c r="AZ111" s="424">
        <f t="shared" si="106"/>
        <v>1</v>
      </c>
      <c r="BA111" s="293">
        <v>1</v>
      </c>
      <c r="BB111" s="394">
        <v>88</v>
      </c>
      <c r="BC111" s="379">
        <f t="shared" si="107"/>
        <v>2</v>
      </c>
      <c r="BD111" s="378">
        <f t="shared" si="108"/>
        <v>0</v>
      </c>
      <c r="BE111" s="381"/>
      <c r="BF111" s="393">
        <f t="shared" si="86"/>
        <v>86</v>
      </c>
    </row>
    <row r="112" spans="1:58" x14ac:dyDescent="0.35">
      <c r="A112" s="200" t="s">
        <v>40</v>
      </c>
      <c r="B112" s="38">
        <v>242510084</v>
      </c>
      <c r="C112" s="94" t="s">
        <v>1385</v>
      </c>
      <c r="D112" s="246" t="s">
        <v>8</v>
      </c>
      <c r="E112" s="215">
        <v>19</v>
      </c>
      <c r="F112" s="249"/>
      <c r="G112" s="217">
        <v>1</v>
      </c>
      <c r="H112" s="217">
        <v>1</v>
      </c>
      <c r="I112" s="326">
        <f t="shared" si="87"/>
        <v>2</v>
      </c>
      <c r="J112" s="326">
        <f t="shared" si="88"/>
        <v>17</v>
      </c>
      <c r="K112" s="327">
        <f t="shared" si="89"/>
        <v>0.89473684210526316</v>
      </c>
      <c r="L112" s="221">
        <v>18</v>
      </c>
      <c r="M112" s="222">
        <v>1</v>
      </c>
      <c r="N112" s="222">
        <v>1</v>
      </c>
      <c r="O112" s="222">
        <v>1</v>
      </c>
      <c r="P112" s="328">
        <f t="shared" si="90"/>
        <v>3</v>
      </c>
      <c r="Q112" s="328">
        <f t="shared" si="91"/>
        <v>15</v>
      </c>
      <c r="R112" s="329">
        <f t="shared" si="92"/>
        <v>0.83333333333333337</v>
      </c>
      <c r="S112" s="225">
        <v>12</v>
      </c>
      <c r="T112" s="226"/>
      <c r="U112" s="226"/>
      <c r="V112" s="226"/>
      <c r="W112" s="330">
        <f t="shared" si="93"/>
        <v>0</v>
      </c>
      <c r="X112" s="330">
        <f t="shared" si="94"/>
        <v>12</v>
      </c>
      <c r="Y112" s="331">
        <f t="shared" si="95"/>
        <v>1</v>
      </c>
      <c r="Z112" s="228">
        <v>21</v>
      </c>
      <c r="AA112" s="255"/>
      <c r="AB112" s="255"/>
      <c r="AC112" s="255"/>
      <c r="AD112" s="280">
        <f t="shared" si="96"/>
        <v>0</v>
      </c>
      <c r="AE112" s="280">
        <f t="shared" si="97"/>
        <v>21</v>
      </c>
      <c r="AF112" s="281">
        <f t="shared" si="98"/>
        <v>1</v>
      </c>
      <c r="AG112" s="229">
        <v>18</v>
      </c>
      <c r="AH112" s="257"/>
      <c r="AI112" s="257"/>
      <c r="AJ112" s="257"/>
      <c r="AK112" s="305">
        <f t="shared" si="99"/>
        <v>0</v>
      </c>
      <c r="AL112" s="305">
        <f t="shared" si="100"/>
        <v>18</v>
      </c>
      <c r="AM112" s="306">
        <f t="shared" si="101"/>
        <v>1</v>
      </c>
      <c r="AN112" s="230">
        <v>14</v>
      </c>
      <c r="AO112" s="259"/>
      <c r="AP112" s="259"/>
      <c r="AQ112" s="259"/>
      <c r="AR112" s="307">
        <f t="shared" si="102"/>
        <v>0</v>
      </c>
      <c r="AS112" s="307">
        <f t="shared" si="103"/>
        <v>14</v>
      </c>
      <c r="AT112" s="308">
        <f t="shared" si="104"/>
        <v>1</v>
      </c>
      <c r="AU112" s="344"/>
      <c r="AV112" s="344"/>
      <c r="AW112" s="344"/>
      <c r="AX112" s="290">
        <v>98</v>
      </c>
      <c r="AY112" s="344">
        <f t="shared" si="105"/>
        <v>98</v>
      </c>
      <c r="AZ112" s="424">
        <f t="shared" si="106"/>
        <v>1</v>
      </c>
      <c r="BA112" s="293"/>
      <c r="BB112" s="394">
        <v>96</v>
      </c>
      <c r="BC112" s="379">
        <f t="shared" si="107"/>
        <v>0</v>
      </c>
      <c r="BD112" s="378">
        <f t="shared" si="108"/>
        <v>0</v>
      </c>
      <c r="BE112" s="381"/>
      <c r="BF112" s="393">
        <f t="shared" si="86"/>
        <v>96</v>
      </c>
    </row>
    <row r="113" spans="1:58" x14ac:dyDescent="0.35">
      <c r="A113" s="200" t="s">
        <v>41</v>
      </c>
      <c r="B113" s="38">
        <v>242510085</v>
      </c>
      <c r="C113" s="94" t="s">
        <v>1386</v>
      </c>
      <c r="D113" s="246" t="s">
        <v>8</v>
      </c>
      <c r="E113" s="215">
        <v>19</v>
      </c>
      <c r="F113" s="249">
        <v>1</v>
      </c>
      <c r="G113" s="217"/>
      <c r="H113" s="217"/>
      <c r="I113" s="326">
        <f t="shared" si="87"/>
        <v>1</v>
      </c>
      <c r="J113" s="326">
        <f t="shared" si="88"/>
        <v>18</v>
      </c>
      <c r="K113" s="327">
        <f t="shared" si="89"/>
        <v>0.94736842105263153</v>
      </c>
      <c r="L113" s="221">
        <v>18</v>
      </c>
      <c r="M113" s="222">
        <v>2</v>
      </c>
      <c r="N113" s="223"/>
      <c r="O113" s="222"/>
      <c r="P113" s="328">
        <f t="shared" si="90"/>
        <v>2</v>
      </c>
      <c r="Q113" s="328">
        <f t="shared" si="91"/>
        <v>16</v>
      </c>
      <c r="R113" s="329">
        <f t="shared" si="92"/>
        <v>0.88888888888888884</v>
      </c>
      <c r="S113" s="225">
        <v>12</v>
      </c>
      <c r="T113" s="226"/>
      <c r="U113" s="226"/>
      <c r="V113" s="226"/>
      <c r="W113" s="330">
        <f t="shared" si="93"/>
        <v>0</v>
      </c>
      <c r="X113" s="330">
        <f t="shared" si="94"/>
        <v>12</v>
      </c>
      <c r="Y113" s="331">
        <f t="shared" si="95"/>
        <v>1</v>
      </c>
      <c r="Z113" s="228">
        <v>21</v>
      </c>
      <c r="AA113" s="255"/>
      <c r="AB113" s="255"/>
      <c r="AC113" s="255"/>
      <c r="AD113" s="280">
        <f t="shared" si="96"/>
        <v>0</v>
      </c>
      <c r="AE113" s="280">
        <f t="shared" si="97"/>
        <v>21</v>
      </c>
      <c r="AF113" s="281">
        <f t="shared" si="98"/>
        <v>1</v>
      </c>
      <c r="AG113" s="229">
        <v>18</v>
      </c>
      <c r="AH113" s="257"/>
      <c r="AI113" s="257"/>
      <c r="AJ113" s="257"/>
      <c r="AK113" s="305">
        <f t="shared" si="99"/>
        <v>0</v>
      </c>
      <c r="AL113" s="305">
        <f t="shared" si="100"/>
        <v>18</v>
      </c>
      <c r="AM113" s="306">
        <f t="shared" si="101"/>
        <v>1</v>
      </c>
      <c r="AN113" s="230">
        <v>14</v>
      </c>
      <c r="AO113" s="259"/>
      <c r="AP113" s="259"/>
      <c r="AQ113" s="259"/>
      <c r="AR113" s="307">
        <f t="shared" si="102"/>
        <v>0</v>
      </c>
      <c r="AS113" s="307">
        <f t="shared" si="103"/>
        <v>14</v>
      </c>
      <c r="AT113" s="308">
        <f t="shared" si="104"/>
        <v>1</v>
      </c>
      <c r="AU113" s="344"/>
      <c r="AV113" s="344"/>
      <c r="AW113" s="344"/>
      <c r="AX113" s="290">
        <v>98</v>
      </c>
      <c r="AY113" s="344">
        <f t="shared" si="105"/>
        <v>98</v>
      </c>
      <c r="AZ113" s="424">
        <f t="shared" si="106"/>
        <v>1</v>
      </c>
      <c r="BA113" s="293"/>
      <c r="BB113" s="394">
        <v>96</v>
      </c>
      <c r="BC113" s="379">
        <f t="shared" si="107"/>
        <v>0</v>
      </c>
      <c r="BD113" s="378">
        <f t="shared" si="108"/>
        <v>0</v>
      </c>
      <c r="BE113" s="381"/>
      <c r="BF113" s="393">
        <f t="shared" si="86"/>
        <v>96</v>
      </c>
    </row>
    <row r="114" spans="1:58" x14ac:dyDescent="0.35">
      <c r="A114" s="200" t="s">
        <v>42</v>
      </c>
      <c r="B114" s="38">
        <v>242510086</v>
      </c>
      <c r="C114" s="94" t="s">
        <v>1387</v>
      </c>
      <c r="D114" s="246" t="s">
        <v>8</v>
      </c>
      <c r="E114" s="215">
        <v>19</v>
      </c>
      <c r="F114" s="249"/>
      <c r="G114" s="217"/>
      <c r="H114" s="217"/>
      <c r="I114" s="326">
        <f t="shared" si="87"/>
        <v>0</v>
      </c>
      <c r="J114" s="326">
        <f t="shared" si="88"/>
        <v>19</v>
      </c>
      <c r="K114" s="327">
        <f t="shared" si="89"/>
        <v>1</v>
      </c>
      <c r="L114" s="221">
        <v>18</v>
      </c>
      <c r="M114" s="222"/>
      <c r="N114" s="223"/>
      <c r="O114" s="222"/>
      <c r="P114" s="328">
        <f t="shared" si="90"/>
        <v>0</v>
      </c>
      <c r="Q114" s="328">
        <f t="shared" si="91"/>
        <v>18</v>
      </c>
      <c r="R114" s="329">
        <f t="shared" si="92"/>
        <v>1</v>
      </c>
      <c r="S114" s="225">
        <v>12</v>
      </c>
      <c r="T114" s="226">
        <v>6</v>
      </c>
      <c r="U114" s="226"/>
      <c r="V114" s="226"/>
      <c r="W114" s="330">
        <f t="shared" si="93"/>
        <v>6</v>
      </c>
      <c r="X114" s="330">
        <f t="shared" si="94"/>
        <v>6</v>
      </c>
      <c r="Y114" s="331">
        <f t="shared" si="95"/>
        <v>0.5</v>
      </c>
      <c r="Z114" s="228">
        <v>21</v>
      </c>
      <c r="AA114" s="255"/>
      <c r="AB114" s="255"/>
      <c r="AC114" s="255"/>
      <c r="AD114" s="280">
        <f t="shared" si="96"/>
        <v>0</v>
      </c>
      <c r="AE114" s="280">
        <f t="shared" si="97"/>
        <v>21</v>
      </c>
      <c r="AF114" s="281">
        <f t="shared" si="98"/>
        <v>1</v>
      </c>
      <c r="AG114" s="229">
        <v>18</v>
      </c>
      <c r="AH114" s="257"/>
      <c r="AI114" s="257"/>
      <c r="AJ114" s="257"/>
      <c r="AK114" s="305">
        <f t="shared" si="99"/>
        <v>0</v>
      </c>
      <c r="AL114" s="305">
        <f t="shared" si="100"/>
        <v>18</v>
      </c>
      <c r="AM114" s="306">
        <f t="shared" si="101"/>
        <v>1</v>
      </c>
      <c r="AN114" s="230">
        <v>14</v>
      </c>
      <c r="AO114" s="259"/>
      <c r="AP114" s="259"/>
      <c r="AQ114" s="259"/>
      <c r="AR114" s="307">
        <f t="shared" si="102"/>
        <v>0</v>
      </c>
      <c r="AS114" s="307">
        <f t="shared" si="103"/>
        <v>14</v>
      </c>
      <c r="AT114" s="308">
        <f t="shared" si="104"/>
        <v>1</v>
      </c>
      <c r="AU114" s="344"/>
      <c r="AV114" s="344"/>
      <c r="AW114" s="344"/>
      <c r="AX114" s="290">
        <v>98</v>
      </c>
      <c r="AY114" s="344">
        <f t="shared" si="105"/>
        <v>98</v>
      </c>
      <c r="AZ114" s="424">
        <f t="shared" si="106"/>
        <v>1</v>
      </c>
      <c r="BA114" s="293"/>
      <c r="BB114" s="394">
        <v>96</v>
      </c>
      <c r="BC114" s="379">
        <f t="shared" si="107"/>
        <v>0</v>
      </c>
      <c r="BD114" s="378">
        <f t="shared" si="108"/>
        <v>0</v>
      </c>
      <c r="BE114" s="381"/>
      <c r="BF114" s="393">
        <f t="shared" si="86"/>
        <v>96</v>
      </c>
    </row>
    <row r="115" spans="1:58" x14ac:dyDescent="0.35">
      <c r="A115" s="200" t="s">
        <v>43</v>
      </c>
      <c r="B115" s="38">
        <v>242510087</v>
      </c>
      <c r="C115" s="94" t="s">
        <v>1388</v>
      </c>
      <c r="D115" s="246" t="s">
        <v>8</v>
      </c>
      <c r="E115" s="215">
        <v>19</v>
      </c>
      <c r="F115" s="249">
        <v>1</v>
      </c>
      <c r="G115" s="217"/>
      <c r="H115" s="217">
        <v>2</v>
      </c>
      <c r="I115" s="326">
        <f t="shared" si="87"/>
        <v>3</v>
      </c>
      <c r="J115" s="326">
        <f t="shared" si="88"/>
        <v>16</v>
      </c>
      <c r="K115" s="327">
        <f t="shared" si="89"/>
        <v>0.84210526315789469</v>
      </c>
      <c r="L115" s="221">
        <v>18</v>
      </c>
      <c r="M115" s="222">
        <v>2</v>
      </c>
      <c r="N115" s="223"/>
      <c r="O115" s="222">
        <v>2</v>
      </c>
      <c r="P115" s="328">
        <f t="shared" si="90"/>
        <v>4</v>
      </c>
      <c r="Q115" s="328">
        <f t="shared" si="91"/>
        <v>14</v>
      </c>
      <c r="R115" s="329">
        <f t="shared" si="92"/>
        <v>0.77777777777777779</v>
      </c>
      <c r="S115" s="225">
        <v>12</v>
      </c>
      <c r="T115" s="226">
        <v>1</v>
      </c>
      <c r="U115" s="226"/>
      <c r="V115" s="226"/>
      <c r="W115" s="330">
        <f t="shared" si="93"/>
        <v>1</v>
      </c>
      <c r="X115" s="330">
        <f t="shared" si="94"/>
        <v>11</v>
      </c>
      <c r="Y115" s="331">
        <f t="shared" si="95"/>
        <v>0.91666666666666663</v>
      </c>
      <c r="Z115" s="228">
        <v>21</v>
      </c>
      <c r="AA115" s="255"/>
      <c r="AB115" s="255"/>
      <c r="AC115" s="255"/>
      <c r="AD115" s="280">
        <f t="shared" si="96"/>
        <v>0</v>
      </c>
      <c r="AE115" s="280">
        <f t="shared" si="97"/>
        <v>21</v>
      </c>
      <c r="AF115" s="281">
        <f t="shared" si="98"/>
        <v>1</v>
      </c>
      <c r="AG115" s="229">
        <v>18</v>
      </c>
      <c r="AH115" s="257"/>
      <c r="AI115" s="257"/>
      <c r="AJ115" s="257"/>
      <c r="AK115" s="305">
        <f t="shared" si="99"/>
        <v>0</v>
      </c>
      <c r="AL115" s="305">
        <f t="shared" si="100"/>
        <v>18</v>
      </c>
      <c r="AM115" s="306">
        <f t="shared" si="101"/>
        <v>1</v>
      </c>
      <c r="AN115" s="230">
        <v>14</v>
      </c>
      <c r="AO115" s="259"/>
      <c r="AP115" s="259"/>
      <c r="AQ115" s="259"/>
      <c r="AR115" s="307">
        <f t="shared" si="102"/>
        <v>0</v>
      </c>
      <c r="AS115" s="307">
        <f t="shared" si="103"/>
        <v>14</v>
      </c>
      <c r="AT115" s="308">
        <f t="shared" si="104"/>
        <v>1</v>
      </c>
      <c r="AU115" s="344"/>
      <c r="AV115" s="344"/>
      <c r="AW115" s="344"/>
      <c r="AX115" s="290">
        <v>98</v>
      </c>
      <c r="AY115" s="344">
        <f t="shared" si="105"/>
        <v>98</v>
      </c>
      <c r="AZ115" s="424">
        <f t="shared" si="106"/>
        <v>1</v>
      </c>
      <c r="BA115" s="293"/>
      <c r="BB115" s="394">
        <v>98</v>
      </c>
      <c r="BC115" s="379">
        <f t="shared" si="107"/>
        <v>0</v>
      </c>
      <c r="BD115" s="378">
        <f t="shared" si="108"/>
        <v>0</v>
      </c>
      <c r="BE115" s="381"/>
      <c r="BF115" s="393">
        <f t="shared" si="86"/>
        <v>98</v>
      </c>
    </row>
    <row r="116" spans="1:58" x14ac:dyDescent="0.35">
      <c r="A116" s="200" t="s">
        <v>44</v>
      </c>
      <c r="B116" s="38">
        <v>242510088</v>
      </c>
      <c r="C116" s="94" t="s">
        <v>1389</v>
      </c>
      <c r="D116" s="246" t="s">
        <v>8</v>
      </c>
      <c r="E116" s="215">
        <v>19</v>
      </c>
      <c r="F116" s="249">
        <v>1</v>
      </c>
      <c r="G116" s="217">
        <v>2</v>
      </c>
      <c r="H116" s="217"/>
      <c r="I116" s="326">
        <f t="shared" si="87"/>
        <v>3</v>
      </c>
      <c r="J116" s="326">
        <f t="shared" si="88"/>
        <v>16</v>
      </c>
      <c r="K116" s="327">
        <f t="shared" si="89"/>
        <v>0.84210526315789469</v>
      </c>
      <c r="L116" s="221">
        <v>18</v>
      </c>
      <c r="M116" s="222"/>
      <c r="N116" s="223"/>
      <c r="O116" s="222">
        <v>1</v>
      </c>
      <c r="P116" s="328">
        <f t="shared" si="90"/>
        <v>1</v>
      </c>
      <c r="Q116" s="328">
        <f t="shared" si="91"/>
        <v>17</v>
      </c>
      <c r="R116" s="329">
        <f t="shared" si="92"/>
        <v>0.94444444444444442</v>
      </c>
      <c r="S116" s="225">
        <v>12</v>
      </c>
      <c r="T116" s="226"/>
      <c r="U116" s="226"/>
      <c r="V116" s="226"/>
      <c r="W116" s="330">
        <f t="shared" si="93"/>
        <v>0</v>
      </c>
      <c r="X116" s="330">
        <f t="shared" si="94"/>
        <v>12</v>
      </c>
      <c r="Y116" s="331">
        <f t="shared" si="95"/>
        <v>1</v>
      </c>
      <c r="Z116" s="228">
        <v>21</v>
      </c>
      <c r="AA116" s="255"/>
      <c r="AB116" s="255"/>
      <c r="AC116" s="255"/>
      <c r="AD116" s="280">
        <f t="shared" si="96"/>
        <v>0</v>
      </c>
      <c r="AE116" s="280">
        <f t="shared" si="97"/>
        <v>21</v>
      </c>
      <c r="AF116" s="281">
        <f t="shared" si="98"/>
        <v>1</v>
      </c>
      <c r="AG116" s="229">
        <v>18</v>
      </c>
      <c r="AH116" s="257"/>
      <c r="AI116" s="257"/>
      <c r="AJ116" s="257"/>
      <c r="AK116" s="305">
        <f t="shared" si="99"/>
        <v>0</v>
      </c>
      <c r="AL116" s="305">
        <f t="shared" si="100"/>
        <v>18</v>
      </c>
      <c r="AM116" s="306">
        <f t="shared" si="101"/>
        <v>1</v>
      </c>
      <c r="AN116" s="230">
        <v>14</v>
      </c>
      <c r="AO116" s="259"/>
      <c r="AP116" s="259"/>
      <c r="AQ116" s="259"/>
      <c r="AR116" s="307">
        <f t="shared" si="102"/>
        <v>0</v>
      </c>
      <c r="AS116" s="307">
        <f t="shared" si="103"/>
        <v>14</v>
      </c>
      <c r="AT116" s="308">
        <f t="shared" si="104"/>
        <v>1</v>
      </c>
      <c r="AU116" s="344"/>
      <c r="AV116" s="344"/>
      <c r="AW116" s="344"/>
      <c r="AX116" s="290">
        <v>98</v>
      </c>
      <c r="AY116" s="344">
        <f t="shared" si="105"/>
        <v>98</v>
      </c>
      <c r="AZ116" s="424">
        <f t="shared" si="106"/>
        <v>1</v>
      </c>
      <c r="BA116" s="293"/>
      <c r="BB116" s="394">
        <v>94</v>
      </c>
      <c r="BC116" s="379">
        <f t="shared" si="107"/>
        <v>0</v>
      </c>
      <c r="BD116" s="378">
        <f t="shared" si="108"/>
        <v>0</v>
      </c>
      <c r="BE116" s="381"/>
      <c r="BF116" s="393">
        <f t="shared" si="86"/>
        <v>94</v>
      </c>
    </row>
    <row r="117" spans="1:58" x14ac:dyDescent="0.35">
      <c r="A117" s="200" t="s">
        <v>45</v>
      </c>
      <c r="B117" s="38">
        <v>252611233</v>
      </c>
      <c r="C117" s="94" t="s">
        <v>1390</v>
      </c>
      <c r="D117" s="246" t="s">
        <v>6</v>
      </c>
      <c r="E117" s="215">
        <v>19</v>
      </c>
      <c r="F117" s="249"/>
      <c r="G117" s="217"/>
      <c r="H117" s="217"/>
      <c r="I117" s="326">
        <f t="shared" si="87"/>
        <v>0</v>
      </c>
      <c r="J117" s="326">
        <f t="shared" si="88"/>
        <v>19</v>
      </c>
      <c r="K117" s="327">
        <f t="shared" si="89"/>
        <v>1</v>
      </c>
      <c r="L117" s="221">
        <v>18</v>
      </c>
      <c r="M117" s="223"/>
      <c r="N117" s="223"/>
      <c r="O117" s="222"/>
      <c r="P117" s="328">
        <f t="shared" si="90"/>
        <v>0</v>
      </c>
      <c r="Q117" s="328">
        <f t="shared" si="91"/>
        <v>18</v>
      </c>
      <c r="R117" s="329">
        <f t="shared" si="92"/>
        <v>1</v>
      </c>
      <c r="S117" s="225">
        <v>12</v>
      </c>
      <c r="T117" s="226"/>
      <c r="U117" s="226"/>
      <c r="V117" s="226"/>
      <c r="W117" s="330">
        <f t="shared" si="93"/>
        <v>0</v>
      </c>
      <c r="X117" s="330">
        <f t="shared" si="94"/>
        <v>12</v>
      </c>
      <c r="Y117" s="331">
        <f t="shared" si="95"/>
        <v>1</v>
      </c>
      <c r="Z117" s="228">
        <v>21</v>
      </c>
      <c r="AA117" s="255"/>
      <c r="AB117" s="255"/>
      <c r="AC117" s="255"/>
      <c r="AD117" s="280">
        <f t="shared" si="96"/>
        <v>0</v>
      </c>
      <c r="AE117" s="280">
        <f t="shared" si="97"/>
        <v>21</v>
      </c>
      <c r="AF117" s="281">
        <f t="shared" si="98"/>
        <v>1</v>
      </c>
      <c r="AG117" s="229">
        <v>18</v>
      </c>
      <c r="AH117" s="257"/>
      <c r="AI117" s="257"/>
      <c r="AJ117" s="257"/>
      <c r="AK117" s="305">
        <f t="shared" si="99"/>
        <v>0</v>
      </c>
      <c r="AL117" s="305">
        <f t="shared" si="100"/>
        <v>18</v>
      </c>
      <c r="AM117" s="306">
        <f t="shared" si="101"/>
        <v>1</v>
      </c>
      <c r="AN117" s="230">
        <v>14</v>
      </c>
      <c r="AO117" s="259"/>
      <c r="AP117" s="259"/>
      <c r="AQ117" s="259"/>
      <c r="AR117" s="307">
        <f t="shared" si="102"/>
        <v>0</v>
      </c>
      <c r="AS117" s="307">
        <f t="shared" si="103"/>
        <v>14</v>
      </c>
      <c r="AT117" s="308">
        <f t="shared" si="104"/>
        <v>1</v>
      </c>
      <c r="AU117" s="344"/>
      <c r="AV117" s="344"/>
      <c r="AW117" s="344"/>
      <c r="AX117" s="290">
        <v>98</v>
      </c>
      <c r="AY117" s="344">
        <f t="shared" si="105"/>
        <v>98</v>
      </c>
      <c r="AZ117" s="424">
        <f t="shared" si="106"/>
        <v>1</v>
      </c>
      <c r="BA117" s="293"/>
      <c r="BB117" s="394">
        <v>92</v>
      </c>
      <c r="BC117" s="379">
        <f t="shared" si="107"/>
        <v>0</v>
      </c>
      <c r="BD117" s="378">
        <f t="shared" si="108"/>
        <v>0</v>
      </c>
      <c r="BE117" s="381"/>
      <c r="BF117" s="393">
        <f t="shared" si="86"/>
        <v>92</v>
      </c>
    </row>
    <row r="118" spans="1:58" x14ac:dyDescent="0.35">
      <c r="A118" s="200" t="s">
        <v>46</v>
      </c>
      <c r="B118" s="38">
        <v>242510089</v>
      </c>
      <c r="C118" s="94" t="s">
        <v>1391</v>
      </c>
      <c r="D118" s="246" t="s">
        <v>6</v>
      </c>
      <c r="E118" s="215">
        <v>19</v>
      </c>
      <c r="F118" s="249"/>
      <c r="G118" s="217"/>
      <c r="H118" s="217"/>
      <c r="I118" s="326">
        <f t="shared" si="87"/>
        <v>0</v>
      </c>
      <c r="J118" s="326">
        <f t="shared" si="88"/>
        <v>19</v>
      </c>
      <c r="K118" s="327">
        <f t="shared" si="89"/>
        <v>1</v>
      </c>
      <c r="L118" s="221">
        <v>18</v>
      </c>
      <c r="M118" s="222"/>
      <c r="N118" s="223"/>
      <c r="O118" s="222"/>
      <c r="P118" s="328">
        <f t="shared" si="90"/>
        <v>0</v>
      </c>
      <c r="Q118" s="328">
        <f t="shared" si="91"/>
        <v>18</v>
      </c>
      <c r="R118" s="329">
        <f t="shared" si="92"/>
        <v>1</v>
      </c>
      <c r="S118" s="225">
        <v>12</v>
      </c>
      <c r="T118" s="226"/>
      <c r="U118" s="226"/>
      <c r="V118" s="226"/>
      <c r="W118" s="330">
        <f t="shared" si="93"/>
        <v>0</v>
      </c>
      <c r="X118" s="330">
        <f t="shared" si="94"/>
        <v>12</v>
      </c>
      <c r="Y118" s="331">
        <f t="shared" si="95"/>
        <v>1</v>
      </c>
      <c r="Z118" s="228">
        <v>21</v>
      </c>
      <c r="AA118" s="255"/>
      <c r="AB118" s="255"/>
      <c r="AC118" s="255"/>
      <c r="AD118" s="280">
        <f t="shared" si="96"/>
        <v>0</v>
      </c>
      <c r="AE118" s="280">
        <f t="shared" si="97"/>
        <v>21</v>
      </c>
      <c r="AF118" s="281">
        <f t="shared" si="98"/>
        <v>1</v>
      </c>
      <c r="AG118" s="229">
        <v>18</v>
      </c>
      <c r="AH118" s="257"/>
      <c r="AI118" s="257"/>
      <c r="AJ118" s="257"/>
      <c r="AK118" s="305">
        <f t="shared" si="99"/>
        <v>0</v>
      </c>
      <c r="AL118" s="305">
        <f t="shared" si="100"/>
        <v>18</v>
      </c>
      <c r="AM118" s="306">
        <f t="shared" si="101"/>
        <v>1</v>
      </c>
      <c r="AN118" s="230">
        <v>14</v>
      </c>
      <c r="AO118" s="259"/>
      <c r="AP118" s="259"/>
      <c r="AQ118" s="259"/>
      <c r="AR118" s="307">
        <f t="shared" si="102"/>
        <v>0</v>
      </c>
      <c r="AS118" s="307">
        <f t="shared" si="103"/>
        <v>14</v>
      </c>
      <c r="AT118" s="308">
        <f t="shared" si="104"/>
        <v>1</v>
      </c>
      <c r="AU118" s="344"/>
      <c r="AV118" s="344"/>
      <c r="AW118" s="344"/>
      <c r="AX118" s="290">
        <v>98</v>
      </c>
      <c r="AY118" s="344">
        <f t="shared" si="105"/>
        <v>98</v>
      </c>
      <c r="AZ118" s="424">
        <f t="shared" si="106"/>
        <v>1</v>
      </c>
      <c r="BA118" s="293">
        <v>1</v>
      </c>
      <c r="BB118" s="394">
        <v>68</v>
      </c>
      <c r="BC118" s="379">
        <f t="shared" si="107"/>
        <v>2</v>
      </c>
      <c r="BD118" s="378">
        <f t="shared" si="108"/>
        <v>0</v>
      </c>
      <c r="BE118" s="381"/>
      <c r="BF118" s="393">
        <f t="shared" si="86"/>
        <v>66</v>
      </c>
    </row>
    <row r="119" spans="1:58" x14ac:dyDescent="0.35">
      <c r="A119" s="200" t="s">
        <v>47</v>
      </c>
      <c r="B119" s="38">
        <v>242510090</v>
      </c>
      <c r="C119" s="94" t="s">
        <v>1392</v>
      </c>
      <c r="D119" s="246" t="s">
        <v>6</v>
      </c>
      <c r="E119" s="215">
        <v>19</v>
      </c>
      <c r="F119" s="249">
        <v>3</v>
      </c>
      <c r="G119" s="217">
        <v>2</v>
      </c>
      <c r="H119" s="217">
        <v>3</v>
      </c>
      <c r="I119" s="326">
        <f t="shared" si="87"/>
        <v>8</v>
      </c>
      <c r="J119" s="326">
        <f t="shared" si="88"/>
        <v>11</v>
      </c>
      <c r="K119" s="327">
        <f t="shared" si="89"/>
        <v>0.57894736842105265</v>
      </c>
      <c r="L119" s="221">
        <v>18</v>
      </c>
      <c r="M119" s="222">
        <v>2</v>
      </c>
      <c r="N119" s="223">
        <v>2</v>
      </c>
      <c r="O119" s="222">
        <v>4</v>
      </c>
      <c r="P119" s="328">
        <f t="shared" si="90"/>
        <v>8</v>
      </c>
      <c r="Q119" s="328">
        <f t="shared" si="91"/>
        <v>10</v>
      </c>
      <c r="R119" s="329">
        <f t="shared" si="92"/>
        <v>0.55555555555555558</v>
      </c>
      <c r="S119" s="225">
        <v>12</v>
      </c>
      <c r="T119" s="226">
        <v>1</v>
      </c>
      <c r="U119" s="226"/>
      <c r="V119" s="226"/>
      <c r="W119" s="330">
        <f t="shared" si="93"/>
        <v>1</v>
      </c>
      <c r="X119" s="330">
        <f t="shared" si="94"/>
        <v>11</v>
      </c>
      <c r="Y119" s="331">
        <f t="shared" si="95"/>
        <v>0.91666666666666663</v>
      </c>
      <c r="Z119" s="228">
        <v>21</v>
      </c>
      <c r="AA119" s="255"/>
      <c r="AB119" s="255"/>
      <c r="AC119" s="255"/>
      <c r="AD119" s="280">
        <f t="shared" si="96"/>
        <v>0</v>
      </c>
      <c r="AE119" s="280">
        <f t="shared" si="97"/>
        <v>21</v>
      </c>
      <c r="AF119" s="281">
        <f t="shared" si="98"/>
        <v>1</v>
      </c>
      <c r="AG119" s="229">
        <v>18</v>
      </c>
      <c r="AH119" s="257"/>
      <c r="AI119" s="257"/>
      <c r="AJ119" s="257"/>
      <c r="AK119" s="305">
        <f t="shared" si="99"/>
        <v>0</v>
      </c>
      <c r="AL119" s="305">
        <f t="shared" si="100"/>
        <v>18</v>
      </c>
      <c r="AM119" s="306">
        <f t="shared" si="101"/>
        <v>1</v>
      </c>
      <c r="AN119" s="230">
        <v>14</v>
      </c>
      <c r="AO119" s="259"/>
      <c r="AP119" s="259"/>
      <c r="AQ119" s="259"/>
      <c r="AR119" s="307">
        <f t="shared" si="102"/>
        <v>0</v>
      </c>
      <c r="AS119" s="307">
        <f t="shared" si="103"/>
        <v>14</v>
      </c>
      <c r="AT119" s="308">
        <f t="shared" si="104"/>
        <v>1</v>
      </c>
      <c r="AU119" s="344"/>
      <c r="AV119" s="344"/>
      <c r="AW119" s="344"/>
      <c r="AX119" s="290">
        <v>98</v>
      </c>
      <c r="AY119" s="344">
        <f t="shared" si="105"/>
        <v>98</v>
      </c>
      <c r="AZ119" s="424">
        <f t="shared" si="106"/>
        <v>1</v>
      </c>
      <c r="BA119" s="293">
        <v>5</v>
      </c>
      <c r="BB119" s="394">
        <v>92</v>
      </c>
      <c r="BC119" s="379">
        <f t="shared" si="107"/>
        <v>10</v>
      </c>
      <c r="BD119" s="378">
        <f t="shared" si="108"/>
        <v>0</v>
      </c>
      <c r="BE119" s="381"/>
      <c r="BF119" s="393">
        <f t="shared" si="86"/>
        <v>82</v>
      </c>
    </row>
    <row r="120" spans="1:58" x14ac:dyDescent="0.35">
      <c r="A120" s="200" t="s">
        <v>48</v>
      </c>
      <c r="B120" s="38">
        <v>242510091</v>
      </c>
      <c r="C120" s="94" t="s">
        <v>1393</v>
      </c>
      <c r="D120" s="246" t="s">
        <v>8</v>
      </c>
      <c r="E120" s="215">
        <v>19</v>
      </c>
      <c r="F120" s="249"/>
      <c r="G120" s="217"/>
      <c r="H120" s="217"/>
      <c r="I120" s="326">
        <f t="shared" si="87"/>
        <v>0</v>
      </c>
      <c r="J120" s="326">
        <f t="shared" si="88"/>
        <v>19</v>
      </c>
      <c r="K120" s="327">
        <f t="shared" si="89"/>
        <v>1</v>
      </c>
      <c r="L120" s="221">
        <v>18</v>
      </c>
      <c r="M120" s="222"/>
      <c r="N120" s="222"/>
      <c r="O120" s="222"/>
      <c r="P120" s="328">
        <f t="shared" si="90"/>
        <v>0</v>
      </c>
      <c r="Q120" s="328">
        <f t="shared" si="91"/>
        <v>18</v>
      </c>
      <c r="R120" s="329">
        <f t="shared" si="92"/>
        <v>1</v>
      </c>
      <c r="S120" s="225">
        <v>12</v>
      </c>
      <c r="T120" s="226"/>
      <c r="U120" s="226"/>
      <c r="V120" s="226"/>
      <c r="W120" s="330">
        <f t="shared" si="93"/>
        <v>0</v>
      </c>
      <c r="X120" s="330">
        <f t="shared" si="94"/>
        <v>12</v>
      </c>
      <c r="Y120" s="331">
        <f t="shared" si="95"/>
        <v>1</v>
      </c>
      <c r="Z120" s="228">
        <v>21</v>
      </c>
      <c r="AA120" s="255"/>
      <c r="AB120" s="255"/>
      <c r="AC120" s="255"/>
      <c r="AD120" s="280">
        <f t="shared" si="96"/>
        <v>0</v>
      </c>
      <c r="AE120" s="280">
        <f t="shared" si="97"/>
        <v>21</v>
      </c>
      <c r="AF120" s="281">
        <f t="shared" si="98"/>
        <v>1</v>
      </c>
      <c r="AG120" s="229">
        <v>18</v>
      </c>
      <c r="AH120" s="257"/>
      <c r="AI120" s="257"/>
      <c r="AJ120" s="257"/>
      <c r="AK120" s="305">
        <f t="shared" si="99"/>
        <v>0</v>
      </c>
      <c r="AL120" s="305">
        <f t="shared" si="100"/>
        <v>18</v>
      </c>
      <c r="AM120" s="306">
        <f t="shared" si="101"/>
        <v>1</v>
      </c>
      <c r="AN120" s="230">
        <v>14</v>
      </c>
      <c r="AO120" s="259"/>
      <c r="AP120" s="259"/>
      <c r="AQ120" s="259"/>
      <c r="AR120" s="307">
        <f t="shared" si="102"/>
        <v>0</v>
      </c>
      <c r="AS120" s="307">
        <f t="shared" si="103"/>
        <v>14</v>
      </c>
      <c r="AT120" s="308">
        <f t="shared" si="104"/>
        <v>1</v>
      </c>
      <c r="AU120" s="344"/>
      <c r="AV120" s="344"/>
      <c r="AW120" s="344"/>
      <c r="AX120" s="290">
        <v>98</v>
      </c>
      <c r="AY120" s="344">
        <f t="shared" si="105"/>
        <v>98</v>
      </c>
      <c r="AZ120" s="424">
        <f t="shared" si="106"/>
        <v>1</v>
      </c>
      <c r="BA120" s="293"/>
      <c r="BB120" s="394">
        <v>96</v>
      </c>
      <c r="BC120" s="379">
        <f t="shared" si="107"/>
        <v>0</v>
      </c>
      <c r="BD120" s="378">
        <f t="shared" si="108"/>
        <v>0</v>
      </c>
      <c r="BE120" s="381"/>
      <c r="BF120" s="393">
        <f t="shared" si="86"/>
        <v>96</v>
      </c>
    </row>
    <row r="121" spans="1:58" x14ac:dyDescent="0.35">
      <c r="A121" s="200" t="s">
        <v>49</v>
      </c>
      <c r="B121" s="38">
        <v>242510092</v>
      </c>
      <c r="C121" s="94" t="s">
        <v>1394</v>
      </c>
      <c r="D121" s="246" t="s">
        <v>8</v>
      </c>
      <c r="E121" s="215">
        <v>19</v>
      </c>
      <c r="F121" s="249">
        <v>1</v>
      </c>
      <c r="G121" s="217"/>
      <c r="H121" s="217"/>
      <c r="I121" s="326">
        <f t="shared" si="87"/>
        <v>1</v>
      </c>
      <c r="J121" s="326">
        <f t="shared" si="88"/>
        <v>18</v>
      </c>
      <c r="K121" s="327">
        <f t="shared" si="89"/>
        <v>0.94736842105263153</v>
      </c>
      <c r="L121" s="221">
        <v>18</v>
      </c>
      <c r="M121" s="223">
        <v>2</v>
      </c>
      <c r="N121" s="223">
        <v>1</v>
      </c>
      <c r="O121" s="222"/>
      <c r="P121" s="328">
        <f t="shared" si="90"/>
        <v>3</v>
      </c>
      <c r="Q121" s="328">
        <f t="shared" si="91"/>
        <v>15</v>
      </c>
      <c r="R121" s="329">
        <f t="shared" si="92"/>
        <v>0.83333333333333337</v>
      </c>
      <c r="S121" s="225">
        <v>12</v>
      </c>
      <c r="T121" s="226"/>
      <c r="U121" s="226"/>
      <c r="V121" s="226"/>
      <c r="W121" s="330">
        <f t="shared" si="93"/>
        <v>0</v>
      </c>
      <c r="X121" s="330">
        <f t="shared" si="94"/>
        <v>12</v>
      </c>
      <c r="Y121" s="331">
        <f t="shared" si="95"/>
        <v>1</v>
      </c>
      <c r="Z121" s="228">
        <v>21</v>
      </c>
      <c r="AA121" s="255"/>
      <c r="AB121" s="255"/>
      <c r="AC121" s="255"/>
      <c r="AD121" s="280">
        <f t="shared" si="96"/>
        <v>0</v>
      </c>
      <c r="AE121" s="280">
        <f t="shared" si="97"/>
        <v>21</v>
      </c>
      <c r="AF121" s="281">
        <f t="shared" si="98"/>
        <v>1</v>
      </c>
      <c r="AG121" s="229">
        <v>18</v>
      </c>
      <c r="AH121" s="257"/>
      <c r="AI121" s="257"/>
      <c r="AJ121" s="257"/>
      <c r="AK121" s="305">
        <f t="shared" si="99"/>
        <v>0</v>
      </c>
      <c r="AL121" s="305">
        <f t="shared" si="100"/>
        <v>18</v>
      </c>
      <c r="AM121" s="306">
        <f t="shared" si="101"/>
        <v>1</v>
      </c>
      <c r="AN121" s="230">
        <v>14</v>
      </c>
      <c r="AO121" s="259"/>
      <c r="AP121" s="259"/>
      <c r="AQ121" s="259"/>
      <c r="AR121" s="307">
        <f t="shared" si="102"/>
        <v>0</v>
      </c>
      <c r="AS121" s="307">
        <f t="shared" si="103"/>
        <v>14</v>
      </c>
      <c r="AT121" s="308">
        <f t="shared" si="104"/>
        <v>1</v>
      </c>
      <c r="AU121" s="344"/>
      <c r="AV121" s="344"/>
      <c r="AW121" s="344"/>
      <c r="AX121" s="290">
        <v>98</v>
      </c>
      <c r="AY121" s="344">
        <f t="shared" si="105"/>
        <v>98</v>
      </c>
      <c r="AZ121" s="424">
        <f t="shared" si="106"/>
        <v>1</v>
      </c>
      <c r="BA121" s="293"/>
      <c r="BB121" s="394">
        <v>96</v>
      </c>
      <c r="BC121" s="379">
        <f t="shared" si="107"/>
        <v>0</v>
      </c>
      <c r="BD121" s="378">
        <f t="shared" si="108"/>
        <v>0</v>
      </c>
      <c r="BE121" s="381"/>
      <c r="BF121" s="393">
        <f t="shared" si="86"/>
        <v>96</v>
      </c>
    </row>
    <row r="122" spans="1:58" x14ac:dyDescent="0.35">
      <c r="A122" s="200" t="s">
        <v>50</v>
      </c>
      <c r="B122" s="38">
        <v>242510093</v>
      </c>
      <c r="C122" s="94" t="s">
        <v>1395</v>
      </c>
      <c r="D122" s="246" t="s">
        <v>8</v>
      </c>
      <c r="E122" s="215">
        <v>19</v>
      </c>
      <c r="F122" s="249"/>
      <c r="G122" s="217"/>
      <c r="H122" s="217"/>
      <c r="I122" s="326">
        <f t="shared" si="87"/>
        <v>0</v>
      </c>
      <c r="J122" s="326">
        <f t="shared" si="88"/>
        <v>19</v>
      </c>
      <c r="K122" s="327">
        <f t="shared" si="89"/>
        <v>1</v>
      </c>
      <c r="L122" s="221">
        <v>18</v>
      </c>
      <c r="M122" s="223">
        <v>2</v>
      </c>
      <c r="N122" s="223"/>
      <c r="O122" s="223"/>
      <c r="P122" s="328">
        <f t="shared" si="90"/>
        <v>2</v>
      </c>
      <c r="Q122" s="328">
        <f t="shared" si="91"/>
        <v>16</v>
      </c>
      <c r="R122" s="329">
        <f t="shared" si="92"/>
        <v>0.88888888888888884</v>
      </c>
      <c r="S122" s="225">
        <v>12</v>
      </c>
      <c r="T122" s="226"/>
      <c r="U122" s="226"/>
      <c r="V122" s="226"/>
      <c r="W122" s="330">
        <f t="shared" si="93"/>
        <v>0</v>
      </c>
      <c r="X122" s="330">
        <f t="shared" si="94"/>
        <v>12</v>
      </c>
      <c r="Y122" s="331">
        <f t="shared" si="95"/>
        <v>1</v>
      </c>
      <c r="Z122" s="228">
        <v>21</v>
      </c>
      <c r="AA122" s="255"/>
      <c r="AB122" s="255"/>
      <c r="AC122" s="255"/>
      <c r="AD122" s="280">
        <f t="shared" si="96"/>
        <v>0</v>
      </c>
      <c r="AE122" s="280">
        <f t="shared" si="97"/>
        <v>21</v>
      </c>
      <c r="AF122" s="281">
        <f t="shared" si="98"/>
        <v>1</v>
      </c>
      <c r="AG122" s="229">
        <v>18</v>
      </c>
      <c r="AH122" s="257"/>
      <c r="AI122" s="257"/>
      <c r="AJ122" s="257"/>
      <c r="AK122" s="305">
        <f t="shared" si="99"/>
        <v>0</v>
      </c>
      <c r="AL122" s="305">
        <f t="shared" si="100"/>
        <v>18</v>
      </c>
      <c r="AM122" s="306">
        <f t="shared" si="101"/>
        <v>1</v>
      </c>
      <c r="AN122" s="230">
        <v>14</v>
      </c>
      <c r="AO122" s="259"/>
      <c r="AP122" s="259"/>
      <c r="AQ122" s="259"/>
      <c r="AR122" s="307">
        <f t="shared" si="102"/>
        <v>0</v>
      </c>
      <c r="AS122" s="307">
        <f t="shared" si="103"/>
        <v>14</v>
      </c>
      <c r="AT122" s="308">
        <f t="shared" si="104"/>
        <v>1</v>
      </c>
      <c r="AU122" s="344"/>
      <c r="AV122" s="344"/>
      <c r="AW122" s="344"/>
      <c r="AX122" s="290">
        <v>98</v>
      </c>
      <c r="AY122" s="344">
        <f t="shared" si="105"/>
        <v>98</v>
      </c>
      <c r="AZ122" s="424">
        <f t="shared" si="106"/>
        <v>1</v>
      </c>
      <c r="BA122" s="293">
        <v>4</v>
      </c>
      <c r="BB122" s="394">
        <v>94</v>
      </c>
      <c r="BC122" s="379">
        <f t="shared" si="107"/>
        <v>8</v>
      </c>
      <c r="BD122" s="378">
        <f t="shared" si="108"/>
        <v>0</v>
      </c>
      <c r="BE122" s="381"/>
      <c r="BF122" s="393">
        <f t="shared" si="86"/>
        <v>86</v>
      </c>
    </row>
    <row r="123" spans="1:58" x14ac:dyDescent="0.35">
      <c r="A123" s="200" t="s">
        <v>51</v>
      </c>
      <c r="B123" s="38">
        <v>242510175</v>
      </c>
      <c r="C123" s="94" t="s">
        <v>1396</v>
      </c>
      <c r="D123" s="246" t="s">
        <v>8</v>
      </c>
      <c r="E123" s="215">
        <v>19</v>
      </c>
      <c r="F123" s="249">
        <v>2</v>
      </c>
      <c r="G123" s="218"/>
      <c r="H123" s="217"/>
      <c r="I123" s="326">
        <f t="shared" si="87"/>
        <v>2</v>
      </c>
      <c r="J123" s="326">
        <f t="shared" si="88"/>
        <v>17</v>
      </c>
      <c r="K123" s="327">
        <f t="shared" si="89"/>
        <v>0.89473684210526316</v>
      </c>
      <c r="L123" s="221">
        <v>18</v>
      </c>
      <c r="M123" s="222">
        <v>4</v>
      </c>
      <c r="N123" s="222"/>
      <c r="O123" s="222">
        <v>1</v>
      </c>
      <c r="P123" s="328">
        <f t="shared" si="90"/>
        <v>5</v>
      </c>
      <c r="Q123" s="328">
        <f t="shared" si="91"/>
        <v>13</v>
      </c>
      <c r="R123" s="329">
        <f t="shared" si="92"/>
        <v>0.72222222222222221</v>
      </c>
      <c r="S123" s="225">
        <v>12</v>
      </c>
      <c r="T123" s="226"/>
      <c r="U123" s="226">
        <v>1</v>
      </c>
      <c r="V123" s="226">
        <v>2</v>
      </c>
      <c r="W123" s="330">
        <f t="shared" si="93"/>
        <v>3</v>
      </c>
      <c r="X123" s="330">
        <f t="shared" si="94"/>
        <v>9</v>
      </c>
      <c r="Y123" s="331">
        <f t="shared" si="95"/>
        <v>0.75</v>
      </c>
      <c r="Z123" s="228">
        <v>21</v>
      </c>
      <c r="AA123" s="255"/>
      <c r="AB123" s="255"/>
      <c r="AC123" s="255"/>
      <c r="AD123" s="280">
        <f t="shared" si="96"/>
        <v>0</v>
      </c>
      <c r="AE123" s="280">
        <f t="shared" si="97"/>
        <v>21</v>
      </c>
      <c r="AF123" s="281">
        <f t="shared" si="98"/>
        <v>1</v>
      </c>
      <c r="AG123" s="229">
        <v>18</v>
      </c>
      <c r="AH123" s="257"/>
      <c r="AI123" s="257"/>
      <c r="AJ123" s="257"/>
      <c r="AK123" s="305">
        <f t="shared" si="99"/>
        <v>0</v>
      </c>
      <c r="AL123" s="305">
        <f t="shared" si="100"/>
        <v>18</v>
      </c>
      <c r="AM123" s="306">
        <f t="shared" si="101"/>
        <v>1</v>
      </c>
      <c r="AN123" s="230">
        <v>14</v>
      </c>
      <c r="AO123" s="259"/>
      <c r="AP123" s="259"/>
      <c r="AQ123" s="259"/>
      <c r="AR123" s="307">
        <f t="shared" si="102"/>
        <v>0</v>
      </c>
      <c r="AS123" s="307">
        <f t="shared" si="103"/>
        <v>14</v>
      </c>
      <c r="AT123" s="308">
        <f t="shared" si="104"/>
        <v>1</v>
      </c>
      <c r="AU123" s="344"/>
      <c r="AV123" s="344"/>
      <c r="AW123" s="344"/>
      <c r="AX123" s="290">
        <v>98</v>
      </c>
      <c r="AY123" s="344">
        <f t="shared" si="105"/>
        <v>98</v>
      </c>
      <c r="AZ123" s="424">
        <f t="shared" si="106"/>
        <v>1</v>
      </c>
      <c r="BA123" s="293"/>
      <c r="BB123" s="394">
        <v>92</v>
      </c>
      <c r="BC123" s="379">
        <f t="shared" si="107"/>
        <v>0</v>
      </c>
      <c r="BD123" s="378">
        <f t="shared" si="108"/>
        <v>0</v>
      </c>
      <c r="BE123" s="381"/>
      <c r="BF123" s="393">
        <f t="shared" si="86"/>
        <v>92</v>
      </c>
    </row>
    <row r="124" spans="1:58" x14ac:dyDescent="0.35">
      <c r="A124" s="200" t="s">
        <v>122</v>
      </c>
      <c r="B124" s="38">
        <v>242510094</v>
      </c>
      <c r="C124" s="94" t="s">
        <v>1397</v>
      </c>
      <c r="D124" s="246" t="s">
        <v>8</v>
      </c>
      <c r="E124" s="215">
        <v>19</v>
      </c>
      <c r="F124" s="249">
        <v>2</v>
      </c>
      <c r="G124" s="217">
        <v>3</v>
      </c>
      <c r="H124" s="217">
        <v>1</v>
      </c>
      <c r="I124" s="326">
        <f t="shared" si="87"/>
        <v>6</v>
      </c>
      <c r="J124" s="326">
        <f t="shared" si="88"/>
        <v>13</v>
      </c>
      <c r="K124" s="327">
        <f t="shared" si="89"/>
        <v>0.68421052631578949</v>
      </c>
      <c r="L124" s="221">
        <v>18</v>
      </c>
      <c r="M124" s="222">
        <v>2</v>
      </c>
      <c r="N124" s="223">
        <v>2</v>
      </c>
      <c r="O124" s="222">
        <v>2</v>
      </c>
      <c r="P124" s="328">
        <f t="shared" si="90"/>
        <v>6</v>
      </c>
      <c r="Q124" s="328">
        <f t="shared" si="91"/>
        <v>12</v>
      </c>
      <c r="R124" s="329">
        <f t="shared" si="92"/>
        <v>0.66666666666666663</v>
      </c>
      <c r="S124" s="225">
        <v>12</v>
      </c>
      <c r="T124" s="226">
        <v>1</v>
      </c>
      <c r="U124" s="226"/>
      <c r="V124" s="226"/>
      <c r="W124" s="330">
        <f t="shared" si="93"/>
        <v>1</v>
      </c>
      <c r="X124" s="330">
        <f t="shared" si="94"/>
        <v>11</v>
      </c>
      <c r="Y124" s="331">
        <f t="shared" si="95"/>
        <v>0.91666666666666663</v>
      </c>
      <c r="Z124" s="228">
        <v>21</v>
      </c>
      <c r="AA124" s="255"/>
      <c r="AB124" s="255"/>
      <c r="AC124" s="255"/>
      <c r="AD124" s="280">
        <f t="shared" si="96"/>
        <v>0</v>
      </c>
      <c r="AE124" s="280">
        <f t="shared" si="97"/>
        <v>21</v>
      </c>
      <c r="AF124" s="281">
        <f t="shared" si="98"/>
        <v>1</v>
      </c>
      <c r="AG124" s="229">
        <v>18</v>
      </c>
      <c r="AH124" s="257"/>
      <c r="AI124" s="257"/>
      <c r="AJ124" s="257"/>
      <c r="AK124" s="305">
        <f t="shared" si="99"/>
        <v>0</v>
      </c>
      <c r="AL124" s="305">
        <f t="shared" si="100"/>
        <v>18</v>
      </c>
      <c r="AM124" s="306">
        <f t="shared" si="101"/>
        <v>1</v>
      </c>
      <c r="AN124" s="230">
        <v>14</v>
      </c>
      <c r="AO124" s="259"/>
      <c r="AP124" s="259"/>
      <c r="AQ124" s="259"/>
      <c r="AR124" s="307">
        <f t="shared" si="102"/>
        <v>0</v>
      </c>
      <c r="AS124" s="307">
        <f t="shared" si="103"/>
        <v>14</v>
      </c>
      <c r="AT124" s="308">
        <f t="shared" si="104"/>
        <v>1</v>
      </c>
      <c r="AU124" s="344"/>
      <c r="AV124" s="344"/>
      <c r="AW124" s="344"/>
      <c r="AX124" s="290">
        <v>98</v>
      </c>
      <c r="AY124" s="344">
        <f t="shared" si="105"/>
        <v>98</v>
      </c>
      <c r="AZ124" s="424">
        <f t="shared" si="106"/>
        <v>1</v>
      </c>
      <c r="BA124" s="293">
        <v>1</v>
      </c>
      <c r="BB124" s="394">
        <v>86</v>
      </c>
      <c r="BC124" s="379">
        <f t="shared" si="107"/>
        <v>2</v>
      </c>
      <c r="BD124" s="378">
        <f t="shared" si="108"/>
        <v>0</v>
      </c>
      <c r="BE124" s="381"/>
      <c r="BF124" s="393">
        <f t="shared" si="86"/>
        <v>84</v>
      </c>
    </row>
    <row r="125" spans="1:58" x14ac:dyDescent="0.35">
      <c r="A125" s="200" t="s">
        <v>123</v>
      </c>
      <c r="B125" s="38">
        <v>242510095</v>
      </c>
      <c r="C125" s="94" t="s">
        <v>1398</v>
      </c>
      <c r="D125" s="246" t="s">
        <v>6</v>
      </c>
      <c r="E125" s="215">
        <v>19</v>
      </c>
      <c r="F125" s="249"/>
      <c r="G125" s="217"/>
      <c r="H125" s="217">
        <v>1</v>
      </c>
      <c r="I125" s="326">
        <f t="shared" si="87"/>
        <v>1</v>
      </c>
      <c r="J125" s="326">
        <f t="shared" si="88"/>
        <v>18</v>
      </c>
      <c r="K125" s="327">
        <f t="shared" si="89"/>
        <v>0.94736842105263153</v>
      </c>
      <c r="L125" s="221">
        <v>18</v>
      </c>
      <c r="M125" s="222"/>
      <c r="N125" s="223"/>
      <c r="O125" s="222"/>
      <c r="P125" s="328">
        <f t="shared" si="90"/>
        <v>0</v>
      </c>
      <c r="Q125" s="328">
        <f t="shared" si="91"/>
        <v>18</v>
      </c>
      <c r="R125" s="329">
        <f t="shared" si="92"/>
        <v>1</v>
      </c>
      <c r="S125" s="225">
        <v>12</v>
      </c>
      <c r="T125" s="226"/>
      <c r="U125" s="226"/>
      <c r="V125" s="226"/>
      <c r="W125" s="330">
        <f t="shared" si="93"/>
        <v>0</v>
      </c>
      <c r="X125" s="330">
        <f t="shared" si="94"/>
        <v>12</v>
      </c>
      <c r="Y125" s="331">
        <f t="shared" si="95"/>
        <v>1</v>
      </c>
      <c r="Z125" s="228">
        <v>21</v>
      </c>
      <c r="AA125" s="255"/>
      <c r="AB125" s="255"/>
      <c r="AC125" s="255"/>
      <c r="AD125" s="280">
        <f t="shared" si="96"/>
        <v>0</v>
      </c>
      <c r="AE125" s="280">
        <f t="shared" si="97"/>
        <v>21</v>
      </c>
      <c r="AF125" s="281">
        <f t="shared" si="98"/>
        <v>1</v>
      </c>
      <c r="AG125" s="229">
        <v>18</v>
      </c>
      <c r="AH125" s="257"/>
      <c r="AI125" s="257"/>
      <c r="AJ125" s="257"/>
      <c r="AK125" s="305">
        <f t="shared" si="99"/>
        <v>0</v>
      </c>
      <c r="AL125" s="305">
        <f t="shared" si="100"/>
        <v>18</v>
      </c>
      <c r="AM125" s="306">
        <f t="shared" si="101"/>
        <v>1</v>
      </c>
      <c r="AN125" s="230">
        <v>14</v>
      </c>
      <c r="AO125" s="259"/>
      <c r="AP125" s="259"/>
      <c r="AQ125" s="259"/>
      <c r="AR125" s="307">
        <f t="shared" si="102"/>
        <v>0</v>
      </c>
      <c r="AS125" s="307">
        <f t="shared" si="103"/>
        <v>14</v>
      </c>
      <c r="AT125" s="308">
        <f t="shared" si="104"/>
        <v>1</v>
      </c>
      <c r="AU125" s="344"/>
      <c r="AV125" s="344"/>
      <c r="AW125" s="344"/>
      <c r="AX125" s="290">
        <v>98</v>
      </c>
      <c r="AY125" s="344">
        <f t="shared" si="105"/>
        <v>98</v>
      </c>
      <c r="AZ125" s="424">
        <f t="shared" si="106"/>
        <v>1</v>
      </c>
      <c r="BA125" s="293">
        <v>1</v>
      </c>
      <c r="BB125" s="394">
        <v>92</v>
      </c>
      <c r="BC125" s="379">
        <f t="shared" si="107"/>
        <v>2</v>
      </c>
      <c r="BD125" s="378">
        <f t="shared" si="108"/>
        <v>0</v>
      </c>
      <c r="BE125" s="381"/>
      <c r="BF125" s="393">
        <f t="shared" si="86"/>
        <v>90</v>
      </c>
    </row>
    <row r="126" spans="1:58" x14ac:dyDescent="0.35">
      <c r="A126" s="200" t="s">
        <v>124</v>
      </c>
      <c r="B126" s="38">
        <v>242510096</v>
      </c>
      <c r="C126" s="94" t="s">
        <v>1399</v>
      </c>
      <c r="D126" s="246" t="s">
        <v>6</v>
      </c>
      <c r="E126" s="215">
        <v>19</v>
      </c>
      <c r="F126" s="249"/>
      <c r="G126" s="217">
        <v>1</v>
      </c>
      <c r="H126" s="217">
        <v>2</v>
      </c>
      <c r="I126" s="326">
        <f t="shared" si="87"/>
        <v>3</v>
      </c>
      <c r="J126" s="326">
        <f t="shared" si="88"/>
        <v>16</v>
      </c>
      <c r="K126" s="327">
        <f t="shared" si="89"/>
        <v>0.84210526315789469</v>
      </c>
      <c r="L126" s="221">
        <v>18</v>
      </c>
      <c r="M126" s="222">
        <v>2</v>
      </c>
      <c r="N126" s="222"/>
      <c r="O126" s="222"/>
      <c r="P126" s="328">
        <f t="shared" si="90"/>
        <v>2</v>
      </c>
      <c r="Q126" s="328">
        <f t="shared" si="91"/>
        <v>16</v>
      </c>
      <c r="R126" s="329">
        <f t="shared" si="92"/>
        <v>0.88888888888888884</v>
      </c>
      <c r="S126" s="225">
        <v>12</v>
      </c>
      <c r="T126" s="226"/>
      <c r="U126" s="226"/>
      <c r="V126" s="226"/>
      <c r="W126" s="330">
        <f t="shared" si="93"/>
        <v>0</v>
      </c>
      <c r="X126" s="330">
        <f t="shared" si="94"/>
        <v>12</v>
      </c>
      <c r="Y126" s="331">
        <f t="shared" si="95"/>
        <v>1</v>
      </c>
      <c r="Z126" s="228">
        <v>21</v>
      </c>
      <c r="AA126" s="255"/>
      <c r="AB126" s="255"/>
      <c r="AC126" s="255"/>
      <c r="AD126" s="280">
        <f t="shared" si="96"/>
        <v>0</v>
      </c>
      <c r="AE126" s="280">
        <f t="shared" si="97"/>
        <v>21</v>
      </c>
      <c r="AF126" s="281">
        <f t="shared" si="98"/>
        <v>1</v>
      </c>
      <c r="AG126" s="229">
        <v>18</v>
      </c>
      <c r="AH126" s="257"/>
      <c r="AI126" s="257"/>
      <c r="AJ126" s="257"/>
      <c r="AK126" s="305">
        <f t="shared" si="99"/>
        <v>0</v>
      </c>
      <c r="AL126" s="305">
        <f t="shared" si="100"/>
        <v>18</v>
      </c>
      <c r="AM126" s="306">
        <f t="shared" si="101"/>
        <v>1</v>
      </c>
      <c r="AN126" s="230">
        <v>14</v>
      </c>
      <c r="AO126" s="259"/>
      <c r="AP126" s="259"/>
      <c r="AQ126" s="259"/>
      <c r="AR126" s="307">
        <f t="shared" si="102"/>
        <v>0</v>
      </c>
      <c r="AS126" s="307">
        <f t="shared" si="103"/>
        <v>14</v>
      </c>
      <c r="AT126" s="308">
        <f t="shared" si="104"/>
        <v>1</v>
      </c>
      <c r="AU126" s="344"/>
      <c r="AV126" s="344"/>
      <c r="AW126" s="344"/>
      <c r="AX126" s="290">
        <v>98</v>
      </c>
      <c r="AY126" s="344">
        <f t="shared" si="105"/>
        <v>98</v>
      </c>
      <c r="AZ126" s="424">
        <f t="shared" si="106"/>
        <v>1</v>
      </c>
      <c r="BA126" s="293"/>
      <c r="BB126" s="394">
        <v>92</v>
      </c>
      <c r="BC126" s="379">
        <f t="shared" si="107"/>
        <v>0</v>
      </c>
      <c r="BD126" s="378">
        <f t="shared" si="108"/>
        <v>0</v>
      </c>
      <c r="BE126" s="381"/>
      <c r="BF126" s="393">
        <f t="shared" si="86"/>
        <v>92</v>
      </c>
    </row>
    <row r="127" spans="1:58" x14ac:dyDescent="0.35">
      <c r="A127" s="200" t="s">
        <v>125</v>
      </c>
      <c r="B127" s="38">
        <v>242510097</v>
      </c>
      <c r="C127" s="94" t="s">
        <v>1400</v>
      </c>
      <c r="D127" s="246" t="s">
        <v>6</v>
      </c>
      <c r="E127" s="215">
        <v>19</v>
      </c>
      <c r="F127" s="249"/>
      <c r="G127" s="217"/>
      <c r="H127" s="217">
        <v>2</v>
      </c>
      <c r="I127" s="326">
        <f t="shared" si="87"/>
        <v>2</v>
      </c>
      <c r="J127" s="326">
        <f t="shared" si="88"/>
        <v>17</v>
      </c>
      <c r="K127" s="327">
        <f t="shared" si="89"/>
        <v>0.89473684210526316</v>
      </c>
      <c r="L127" s="221">
        <v>18</v>
      </c>
      <c r="M127" s="222"/>
      <c r="N127" s="223">
        <v>1</v>
      </c>
      <c r="O127" s="222">
        <v>3</v>
      </c>
      <c r="P127" s="328">
        <f t="shared" si="90"/>
        <v>4</v>
      </c>
      <c r="Q127" s="328">
        <f t="shared" si="91"/>
        <v>14</v>
      </c>
      <c r="R127" s="329">
        <f t="shared" si="92"/>
        <v>0.77777777777777779</v>
      </c>
      <c r="S127" s="225">
        <v>12</v>
      </c>
      <c r="T127" s="226"/>
      <c r="U127" s="226"/>
      <c r="V127" s="226"/>
      <c r="W127" s="330">
        <f t="shared" si="93"/>
        <v>0</v>
      </c>
      <c r="X127" s="330">
        <f t="shared" si="94"/>
        <v>12</v>
      </c>
      <c r="Y127" s="331">
        <f t="shared" si="95"/>
        <v>1</v>
      </c>
      <c r="Z127" s="228">
        <v>21</v>
      </c>
      <c r="AA127" s="255"/>
      <c r="AB127" s="255"/>
      <c r="AC127" s="255"/>
      <c r="AD127" s="280">
        <f t="shared" si="96"/>
        <v>0</v>
      </c>
      <c r="AE127" s="280">
        <f t="shared" si="97"/>
        <v>21</v>
      </c>
      <c r="AF127" s="281">
        <f t="shared" si="98"/>
        <v>1</v>
      </c>
      <c r="AG127" s="229">
        <v>18</v>
      </c>
      <c r="AH127" s="257"/>
      <c r="AI127" s="257"/>
      <c r="AJ127" s="257"/>
      <c r="AK127" s="305">
        <f t="shared" si="99"/>
        <v>0</v>
      </c>
      <c r="AL127" s="305">
        <f t="shared" si="100"/>
        <v>18</v>
      </c>
      <c r="AM127" s="306">
        <f t="shared" si="101"/>
        <v>1</v>
      </c>
      <c r="AN127" s="230">
        <v>14</v>
      </c>
      <c r="AO127" s="259"/>
      <c r="AP127" s="259"/>
      <c r="AQ127" s="259"/>
      <c r="AR127" s="307">
        <f t="shared" si="102"/>
        <v>0</v>
      </c>
      <c r="AS127" s="307">
        <f t="shared" si="103"/>
        <v>14</v>
      </c>
      <c r="AT127" s="308">
        <f t="shared" si="104"/>
        <v>1</v>
      </c>
      <c r="AU127" s="344"/>
      <c r="AV127" s="344"/>
      <c r="AW127" s="344"/>
      <c r="AX127" s="290">
        <v>98</v>
      </c>
      <c r="AY127" s="344">
        <f t="shared" si="105"/>
        <v>98</v>
      </c>
      <c r="AZ127" s="424">
        <f t="shared" si="106"/>
        <v>1</v>
      </c>
      <c r="BA127" s="293"/>
      <c r="BB127" s="394">
        <v>92</v>
      </c>
      <c r="BC127" s="379">
        <f t="shared" si="107"/>
        <v>0</v>
      </c>
      <c r="BD127" s="378">
        <f t="shared" si="108"/>
        <v>0</v>
      </c>
      <c r="BE127" s="381"/>
      <c r="BF127" s="393">
        <f t="shared" si="86"/>
        <v>92</v>
      </c>
    </row>
    <row r="128" spans="1:58" x14ac:dyDescent="0.35">
      <c r="A128" s="200" t="s">
        <v>126</v>
      </c>
      <c r="B128" s="38">
        <v>242510099</v>
      </c>
      <c r="C128" s="335" t="s">
        <v>1401</v>
      </c>
      <c r="D128" s="246" t="s">
        <v>8</v>
      </c>
      <c r="E128" s="215">
        <v>19</v>
      </c>
      <c r="F128" s="249">
        <v>1</v>
      </c>
      <c r="G128" s="217">
        <v>1</v>
      </c>
      <c r="H128" s="217">
        <v>1</v>
      </c>
      <c r="I128" s="326">
        <f t="shared" si="87"/>
        <v>3</v>
      </c>
      <c r="J128" s="326">
        <f t="shared" si="88"/>
        <v>16</v>
      </c>
      <c r="K128" s="327">
        <f t="shared" si="89"/>
        <v>0.84210526315789469</v>
      </c>
      <c r="L128" s="221">
        <v>18</v>
      </c>
      <c r="M128" s="222">
        <v>1</v>
      </c>
      <c r="N128" s="223">
        <v>1</v>
      </c>
      <c r="O128" s="222"/>
      <c r="P128" s="328">
        <f t="shared" si="90"/>
        <v>2</v>
      </c>
      <c r="Q128" s="328">
        <f t="shared" si="91"/>
        <v>16</v>
      </c>
      <c r="R128" s="329">
        <f t="shared" si="92"/>
        <v>0.88888888888888884</v>
      </c>
      <c r="S128" s="225">
        <v>12</v>
      </c>
      <c r="T128" s="226"/>
      <c r="U128" s="226">
        <v>1</v>
      </c>
      <c r="V128" s="226"/>
      <c r="W128" s="330">
        <f t="shared" si="93"/>
        <v>1</v>
      </c>
      <c r="X128" s="330">
        <f t="shared" si="94"/>
        <v>11</v>
      </c>
      <c r="Y128" s="331">
        <f t="shared" si="95"/>
        <v>0.91666666666666663</v>
      </c>
      <c r="Z128" s="228">
        <v>21</v>
      </c>
      <c r="AA128" s="255"/>
      <c r="AB128" s="255"/>
      <c r="AC128" s="255"/>
      <c r="AD128" s="280">
        <f t="shared" si="96"/>
        <v>0</v>
      </c>
      <c r="AE128" s="280">
        <f t="shared" si="97"/>
        <v>21</v>
      </c>
      <c r="AF128" s="281">
        <f t="shared" si="98"/>
        <v>1</v>
      </c>
      <c r="AG128" s="229">
        <v>18</v>
      </c>
      <c r="AH128" s="257"/>
      <c r="AI128" s="257"/>
      <c r="AJ128" s="257"/>
      <c r="AK128" s="305">
        <f t="shared" si="99"/>
        <v>0</v>
      </c>
      <c r="AL128" s="305">
        <f t="shared" si="100"/>
        <v>18</v>
      </c>
      <c r="AM128" s="306">
        <f t="shared" si="101"/>
        <v>1</v>
      </c>
      <c r="AN128" s="230">
        <v>14</v>
      </c>
      <c r="AO128" s="259"/>
      <c r="AP128" s="259"/>
      <c r="AQ128" s="259"/>
      <c r="AR128" s="307">
        <f t="shared" si="102"/>
        <v>0</v>
      </c>
      <c r="AS128" s="307">
        <f t="shared" si="103"/>
        <v>14</v>
      </c>
      <c r="AT128" s="308">
        <f t="shared" si="104"/>
        <v>1</v>
      </c>
      <c r="AU128" s="344"/>
      <c r="AV128" s="344"/>
      <c r="AW128" s="344"/>
      <c r="AX128" s="290">
        <v>98</v>
      </c>
      <c r="AY128" s="344">
        <f t="shared" si="105"/>
        <v>98</v>
      </c>
      <c r="AZ128" s="424">
        <f t="shared" si="106"/>
        <v>1</v>
      </c>
      <c r="BA128" s="293">
        <v>3</v>
      </c>
      <c r="BB128" s="394">
        <v>94</v>
      </c>
      <c r="BC128" s="379">
        <f t="shared" si="107"/>
        <v>6</v>
      </c>
      <c r="BD128" s="378">
        <f t="shared" si="108"/>
        <v>0</v>
      </c>
      <c r="BE128" s="381"/>
      <c r="BF128" s="393">
        <f t="shared" si="86"/>
        <v>88</v>
      </c>
    </row>
    <row r="129" spans="1:58" x14ac:dyDescent="0.35">
      <c r="A129" s="200" t="s">
        <v>127</v>
      </c>
      <c r="B129" s="38">
        <v>242510100</v>
      </c>
      <c r="C129" s="94" t="s">
        <v>1402</v>
      </c>
      <c r="D129" s="246" t="s">
        <v>8</v>
      </c>
      <c r="E129" s="215">
        <v>19</v>
      </c>
      <c r="F129" s="249">
        <v>1</v>
      </c>
      <c r="G129" s="217"/>
      <c r="H129" s="217"/>
      <c r="I129" s="326">
        <f t="shared" si="87"/>
        <v>1</v>
      </c>
      <c r="J129" s="326">
        <f t="shared" si="88"/>
        <v>18</v>
      </c>
      <c r="K129" s="327">
        <f t="shared" si="89"/>
        <v>0.94736842105263153</v>
      </c>
      <c r="L129" s="221">
        <v>18</v>
      </c>
      <c r="M129" s="222">
        <v>1</v>
      </c>
      <c r="N129" s="223"/>
      <c r="O129" s="222">
        <v>2</v>
      </c>
      <c r="P129" s="328">
        <f t="shared" si="90"/>
        <v>3</v>
      </c>
      <c r="Q129" s="328">
        <f t="shared" si="91"/>
        <v>15</v>
      </c>
      <c r="R129" s="329">
        <f t="shared" si="92"/>
        <v>0.83333333333333337</v>
      </c>
      <c r="S129" s="225">
        <v>12</v>
      </c>
      <c r="T129" s="226"/>
      <c r="U129" s="226"/>
      <c r="V129" s="226"/>
      <c r="W129" s="330">
        <f t="shared" si="93"/>
        <v>0</v>
      </c>
      <c r="X129" s="330">
        <f t="shared" si="94"/>
        <v>12</v>
      </c>
      <c r="Y129" s="331">
        <f t="shared" si="95"/>
        <v>1</v>
      </c>
      <c r="Z129" s="228">
        <v>21</v>
      </c>
      <c r="AA129" s="255"/>
      <c r="AB129" s="255"/>
      <c r="AC129" s="255"/>
      <c r="AD129" s="280">
        <f t="shared" si="96"/>
        <v>0</v>
      </c>
      <c r="AE129" s="280">
        <f t="shared" si="97"/>
        <v>21</v>
      </c>
      <c r="AF129" s="281">
        <f t="shared" si="98"/>
        <v>1</v>
      </c>
      <c r="AG129" s="229">
        <v>18</v>
      </c>
      <c r="AH129" s="257"/>
      <c r="AI129" s="257"/>
      <c r="AJ129" s="257"/>
      <c r="AK129" s="305">
        <f t="shared" si="99"/>
        <v>0</v>
      </c>
      <c r="AL129" s="305">
        <f t="shared" si="100"/>
        <v>18</v>
      </c>
      <c r="AM129" s="306">
        <f t="shared" si="101"/>
        <v>1</v>
      </c>
      <c r="AN129" s="230">
        <v>14</v>
      </c>
      <c r="AO129" s="259"/>
      <c r="AP129" s="259"/>
      <c r="AQ129" s="259"/>
      <c r="AR129" s="307">
        <f t="shared" si="102"/>
        <v>0</v>
      </c>
      <c r="AS129" s="307">
        <f t="shared" si="103"/>
        <v>14</v>
      </c>
      <c r="AT129" s="308">
        <f t="shared" si="104"/>
        <v>1</v>
      </c>
      <c r="AU129" s="344"/>
      <c r="AV129" s="344"/>
      <c r="AW129" s="344"/>
      <c r="AX129" s="290">
        <v>98</v>
      </c>
      <c r="AY129" s="344">
        <f t="shared" si="105"/>
        <v>98</v>
      </c>
      <c r="AZ129" s="424">
        <f t="shared" si="106"/>
        <v>1</v>
      </c>
      <c r="BA129" s="293"/>
      <c r="BB129" s="394">
        <v>98</v>
      </c>
      <c r="BC129" s="379">
        <f t="shared" si="107"/>
        <v>0</v>
      </c>
      <c r="BD129" s="378">
        <f t="shared" si="108"/>
        <v>0</v>
      </c>
      <c r="BE129" s="381"/>
      <c r="BF129" s="393">
        <f t="shared" si="86"/>
        <v>98</v>
      </c>
    </row>
    <row r="130" spans="1:58" x14ac:dyDescent="0.35">
      <c r="A130" s="200" t="s">
        <v>893</v>
      </c>
      <c r="B130" s="38">
        <v>242510101</v>
      </c>
      <c r="C130" s="94" t="s">
        <v>1403</v>
      </c>
      <c r="D130" s="246" t="s">
        <v>6</v>
      </c>
      <c r="E130" s="215">
        <v>19</v>
      </c>
      <c r="F130" s="249"/>
      <c r="G130" s="217">
        <v>2</v>
      </c>
      <c r="H130" s="217"/>
      <c r="I130" s="326">
        <f t="shared" si="87"/>
        <v>2</v>
      </c>
      <c r="J130" s="326">
        <f t="shared" si="88"/>
        <v>17</v>
      </c>
      <c r="K130" s="327">
        <f t="shared" si="89"/>
        <v>0.89473684210526316</v>
      </c>
      <c r="L130" s="221">
        <v>18</v>
      </c>
      <c r="M130" s="222"/>
      <c r="N130" s="223"/>
      <c r="O130" s="222"/>
      <c r="P130" s="328">
        <f t="shared" si="90"/>
        <v>0</v>
      </c>
      <c r="Q130" s="328">
        <f t="shared" si="91"/>
        <v>18</v>
      </c>
      <c r="R130" s="329">
        <f t="shared" si="92"/>
        <v>1</v>
      </c>
      <c r="S130" s="225">
        <v>12</v>
      </c>
      <c r="T130" s="226"/>
      <c r="U130" s="226"/>
      <c r="V130" s="226"/>
      <c r="W130" s="330">
        <f t="shared" si="93"/>
        <v>0</v>
      </c>
      <c r="X130" s="330">
        <f t="shared" si="94"/>
        <v>12</v>
      </c>
      <c r="Y130" s="331">
        <f t="shared" si="95"/>
        <v>1</v>
      </c>
      <c r="Z130" s="228">
        <v>21</v>
      </c>
      <c r="AA130" s="255"/>
      <c r="AB130" s="255"/>
      <c r="AC130" s="255"/>
      <c r="AD130" s="280">
        <f t="shared" si="96"/>
        <v>0</v>
      </c>
      <c r="AE130" s="280">
        <f t="shared" si="97"/>
        <v>21</v>
      </c>
      <c r="AF130" s="281">
        <f t="shared" si="98"/>
        <v>1</v>
      </c>
      <c r="AG130" s="229">
        <v>18</v>
      </c>
      <c r="AH130" s="257"/>
      <c r="AI130" s="257"/>
      <c r="AJ130" s="257"/>
      <c r="AK130" s="305">
        <f t="shared" si="99"/>
        <v>0</v>
      </c>
      <c r="AL130" s="305">
        <f t="shared" si="100"/>
        <v>18</v>
      </c>
      <c r="AM130" s="306">
        <f t="shared" si="101"/>
        <v>1</v>
      </c>
      <c r="AN130" s="230">
        <v>14</v>
      </c>
      <c r="AO130" s="259"/>
      <c r="AP130" s="259"/>
      <c r="AQ130" s="259"/>
      <c r="AR130" s="307">
        <f t="shared" si="102"/>
        <v>0</v>
      </c>
      <c r="AS130" s="307">
        <f t="shared" si="103"/>
        <v>14</v>
      </c>
      <c r="AT130" s="308">
        <f t="shared" si="104"/>
        <v>1</v>
      </c>
      <c r="AU130" s="344"/>
      <c r="AV130" s="344"/>
      <c r="AW130" s="344"/>
      <c r="AX130" s="290">
        <v>98</v>
      </c>
      <c r="AY130" s="344">
        <f t="shared" si="105"/>
        <v>98</v>
      </c>
      <c r="AZ130" s="424">
        <f t="shared" si="106"/>
        <v>1</v>
      </c>
      <c r="BA130" s="293"/>
      <c r="BB130" s="394">
        <v>86</v>
      </c>
      <c r="BC130" s="379">
        <f t="shared" si="107"/>
        <v>0</v>
      </c>
      <c r="BD130" s="378">
        <f t="shared" si="108"/>
        <v>0</v>
      </c>
      <c r="BE130" s="381"/>
      <c r="BF130" s="393">
        <f t="shared" si="86"/>
        <v>86</v>
      </c>
    </row>
    <row r="131" spans="1:58" x14ac:dyDescent="0.35">
      <c r="A131" s="197" t="s">
        <v>890</v>
      </c>
      <c r="B131" s="35">
        <v>242510102</v>
      </c>
      <c r="C131" s="261" t="s">
        <v>1404</v>
      </c>
      <c r="D131" s="245" t="s">
        <v>8</v>
      </c>
      <c r="E131" s="215">
        <v>19</v>
      </c>
      <c r="F131" s="249"/>
      <c r="G131" s="217"/>
      <c r="H131" s="217"/>
      <c r="I131" s="326">
        <f t="shared" si="87"/>
        <v>0</v>
      </c>
      <c r="J131" s="326">
        <f t="shared" si="88"/>
        <v>19</v>
      </c>
      <c r="K131" s="327">
        <f t="shared" si="89"/>
        <v>1</v>
      </c>
      <c r="L131" s="221">
        <v>18</v>
      </c>
      <c r="M131" s="222"/>
      <c r="N131" s="223"/>
      <c r="O131" s="222"/>
      <c r="P131" s="328">
        <f t="shared" si="90"/>
        <v>0</v>
      </c>
      <c r="Q131" s="328">
        <f t="shared" si="91"/>
        <v>18</v>
      </c>
      <c r="R131" s="329">
        <f t="shared" si="92"/>
        <v>1</v>
      </c>
      <c r="S131" s="225">
        <v>12</v>
      </c>
      <c r="T131" s="226"/>
      <c r="U131" s="226"/>
      <c r="V131" s="226"/>
      <c r="W131" s="330">
        <f t="shared" si="93"/>
        <v>0</v>
      </c>
      <c r="X131" s="330">
        <f t="shared" si="94"/>
        <v>12</v>
      </c>
      <c r="Y131" s="331">
        <f t="shared" si="95"/>
        <v>1</v>
      </c>
      <c r="Z131" s="228">
        <v>21</v>
      </c>
      <c r="AA131" s="255"/>
      <c r="AB131" s="255"/>
      <c r="AC131" s="255"/>
      <c r="AD131" s="280">
        <f t="shared" si="96"/>
        <v>0</v>
      </c>
      <c r="AE131" s="280">
        <f t="shared" si="97"/>
        <v>21</v>
      </c>
      <c r="AF131" s="281">
        <f t="shared" si="98"/>
        <v>1</v>
      </c>
      <c r="AG131" s="229">
        <v>18</v>
      </c>
      <c r="AH131" s="257"/>
      <c r="AI131" s="257"/>
      <c r="AJ131" s="257"/>
      <c r="AK131" s="305">
        <f t="shared" si="99"/>
        <v>0</v>
      </c>
      <c r="AL131" s="305">
        <f t="shared" si="100"/>
        <v>18</v>
      </c>
      <c r="AM131" s="306">
        <f t="shared" si="101"/>
        <v>1</v>
      </c>
      <c r="AN131" s="230">
        <v>14</v>
      </c>
      <c r="AO131" s="259"/>
      <c r="AP131" s="259"/>
      <c r="AQ131" s="259"/>
      <c r="AR131" s="307">
        <f t="shared" si="102"/>
        <v>0</v>
      </c>
      <c r="AS131" s="307">
        <f t="shared" si="103"/>
        <v>14</v>
      </c>
      <c r="AT131" s="308">
        <f t="shared" si="104"/>
        <v>1</v>
      </c>
      <c r="AU131" s="344"/>
      <c r="AV131" s="344"/>
      <c r="AW131" s="344"/>
      <c r="AX131" s="290">
        <v>98</v>
      </c>
      <c r="AY131" s="344">
        <f t="shared" si="105"/>
        <v>98</v>
      </c>
      <c r="AZ131" s="424">
        <f t="shared" si="106"/>
        <v>1</v>
      </c>
      <c r="BA131" s="293"/>
      <c r="BB131" s="394">
        <v>92</v>
      </c>
      <c r="BC131" s="379">
        <f t="shared" si="107"/>
        <v>0</v>
      </c>
      <c r="BD131" s="378">
        <f t="shared" si="108"/>
        <v>0</v>
      </c>
      <c r="BE131" s="381"/>
      <c r="BF131" s="393">
        <f t="shared" si="86"/>
        <v>92</v>
      </c>
    </row>
    <row r="132" spans="1:58" x14ac:dyDescent="0.35">
      <c r="A132" s="197" t="s">
        <v>894</v>
      </c>
      <c r="B132" s="35">
        <v>242510103</v>
      </c>
      <c r="C132" s="94" t="s">
        <v>1405</v>
      </c>
      <c r="D132" s="246" t="s">
        <v>8</v>
      </c>
      <c r="E132" s="215">
        <v>19</v>
      </c>
      <c r="F132" s="249">
        <v>1</v>
      </c>
      <c r="G132" s="217">
        <v>1</v>
      </c>
      <c r="H132" s="217">
        <v>1</v>
      </c>
      <c r="I132" s="326">
        <f t="shared" si="87"/>
        <v>3</v>
      </c>
      <c r="J132" s="326">
        <f t="shared" si="88"/>
        <v>16</v>
      </c>
      <c r="K132" s="327">
        <f t="shared" si="89"/>
        <v>0.84210526315789469</v>
      </c>
      <c r="L132" s="221">
        <v>18</v>
      </c>
      <c r="M132" s="222"/>
      <c r="N132" s="223"/>
      <c r="O132" s="222">
        <v>1</v>
      </c>
      <c r="P132" s="328">
        <f t="shared" si="90"/>
        <v>1</v>
      </c>
      <c r="Q132" s="328">
        <f t="shared" si="91"/>
        <v>17</v>
      </c>
      <c r="R132" s="329">
        <f t="shared" si="92"/>
        <v>0.94444444444444442</v>
      </c>
      <c r="S132" s="225">
        <v>12</v>
      </c>
      <c r="T132" s="226"/>
      <c r="U132" s="226">
        <v>1</v>
      </c>
      <c r="V132" s="226"/>
      <c r="W132" s="330">
        <f t="shared" si="93"/>
        <v>1</v>
      </c>
      <c r="X132" s="330">
        <f t="shared" si="94"/>
        <v>11</v>
      </c>
      <c r="Y132" s="331">
        <f t="shared" si="95"/>
        <v>0.91666666666666663</v>
      </c>
      <c r="Z132" s="228">
        <v>21</v>
      </c>
      <c r="AA132" s="255"/>
      <c r="AB132" s="255"/>
      <c r="AC132" s="255"/>
      <c r="AD132" s="280">
        <f t="shared" si="96"/>
        <v>0</v>
      </c>
      <c r="AE132" s="280">
        <f t="shared" si="97"/>
        <v>21</v>
      </c>
      <c r="AF132" s="281">
        <f t="shared" si="98"/>
        <v>1</v>
      </c>
      <c r="AG132" s="229">
        <v>18</v>
      </c>
      <c r="AH132" s="257"/>
      <c r="AI132" s="257"/>
      <c r="AJ132" s="257"/>
      <c r="AK132" s="305">
        <f t="shared" si="99"/>
        <v>0</v>
      </c>
      <c r="AL132" s="305">
        <f t="shared" si="100"/>
        <v>18</v>
      </c>
      <c r="AM132" s="306">
        <f t="shared" si="101"/>
        <v>1</v>
      </c>
      <c r="AN132" s="230">
        <v>14</v>
      </c>
      <c r="AO132" s="259"/>
      <c r="AP132" s="259"/>
      <c r="AQ132" s="259"/>
      <c r="AR132" s="307">
        <f t="shared" si="102"/>
        <v>0</v>
      </c>
      <c r="AS132" s="307">
        <f t="shared" si="103"/>
        <v>14</v>
      </c>
      <c r="AT132" s="308">
        <f t="shared" si="104"/>
        <v>1</v>
      </c>
      <c r="AU132" s="344"/>
      <c r="AV132" s="344"/>
      <c r="AW132" s="344"/>
      <c r="AX132" s="290">
        <v>98</v>
      </c>
      <c r="AY132" s="344">
        <f t="shared" si="105"/>
        <v>98</v>
      </c>
      <c r="AZ132" s="424">
        <f t="shared" si="106"/>
        <v>1</v>
      </c>
      <c r="BA132" s="293"/>
      <c r="BB132" s="394">
        <v>98</v>
      </c>
      <c r="BC132" s="379">
        <f t="shared" si="107"/>
        <v>0</v>
      </c>
      <c r="BD132" s="378">
        <f t="shared" si="108"/>
        <v>0</v>
      </c>
      <c r="BE132" s="381"/>
      <c r="BF132" s="393">
        <f t="shared" si="86"/>
        <v>98</v>
      </c>
    </row>
    <row r="133" spans="1:58" x14ac:dyDescent="0.35">
      <c r="A133" s="197" t="s">
        <v>898</v>
      </c>
      <c r="B133" s="191">
        <v>242510104</v>
      </c>
      <c r="C133" s="94" t="s">
        <v>1406</v>
      </c>
      <c r="D133" s="246" t="s">
        <v>8</v>
      </c>
      <c r="E133" s="215">
        <v>19</v>
      </c>
      <c r="F133" s="249"/>
      <c r="G133" s="217">
        <v>1</v>
      </c>
      <c r="H133" s="217">
        <v>1</v>
      </c>
      <c r="I133" s="326">
        <f t="shared" si="87"/>
        <v>2</v>
      </c>
      <c r="J133" s="326">
        <f t="shared" si="88"/>
        <v>17</v>
      </c>
      <c r="K133" s="327">
        <f t="shared" si="89"/>
        <v>0.89473684210526316</v>
      </c>
      <c r="L133" s="221">
        <v>18</v>
      </c>
      <c r="M133" s="222"/>
      <c r="N133" s="222"/>
      <c r="O133" s="222">
        <v>2</v>
      </c>
      <c r="P133" s="328">
        <f t="shared" si="90"/>
        <v>2</v>
      </c>
      <c r="Q133" s="328">
        <f t="shared" si="91"/>
        <v>16</v>
      </c>
      <c r="R133" s="329">
        <f t="shared" si="92"/>
        <v>0.88888888888888884</v>
      </c>
      <c r="S133" s="225">
        <v>12</v>
      </c>
      <c r="T133" s="226"/>
      <c r="U133" s="226"/>
      <c r="V133" s="226"/>
      <c r="W133" s="330">
        <f t="shared" si="93"/>
        <v>0</v>
      </c>
      <c r="X133" s="330">
        <f t="shared" si="94"/>
        <v>12</v>
      </c>
      <c r="Y133" s="331">
        <f t="shared" si="95"/>
        <v>1</v>
      </c>
      <c r="Z133" s="228">
        <v>21</v>
      </c>
      <c r="AA133" s="255"/>
      <c r="AB133" s="255"/>
      <c r="AC133" s="255"/>
      <c r="AD133" s="280">
        <f t="shared" si="96"/>
        <v>0</v>
      </c>
      <c r="AE133" s="280">
        <f t="shared" si="97"/>
        <v>21</v>
      </c>
      <c r="AF133" s="281">
        <f t="shared" si="98"/>
        <v>1</v>
      </c>
      <c r="AG133" s="229">
        <v>18</v>
      </c>
      <c r="AH133" s="257"/>
      <c r="AI133" s="257"/>
      <c r="AJ133" s="257"/>
      <c r="AK133" s="305">
        <f t="shared" si="99"/>
        <v>0</v>
      </c>
      <c r="AL133" s="305">
        <f t="shared" si="100"/>
        <v>18</v>
      </c>
      <c r="AM133" s="306">
        <f t="shared" si="101"/>
        <v>1</v>
      </c>
      <c r="AN133" s="230">
        <v>14</v>
      </c>
      <c r="AO133" s="259"/>
      <c r="AP133" s="259"/>
      <c r="AQ133" s="259"/>
      <c r="AR133" s="307">
        <f t="shared" si="102"/>
        <v>0</v>
      </c>
      <c r="AS133" s="307">
        <f t="shared" si="103"/>
        <v>14</v>
      </c>
      <c r="AT133" s="308">
        <f t="shared" si="104"/>
        <v>1</v>
      </c>
      <c r="AU133" s="344"/>
      <c r="AV133" s="344"/>
      <c r="AW133" s="344"/>
      <c r="AX133" s="290">
        <v>98</v>
      </c>
      <c r="AY133" s="344">
        <f t="shared" si="105"/>
        <v>98</v>
      </c>
      <c r="AZ133" s="424">
        <f t="shared" si="106"/>
        <v>1</v>
      </c>
      <c r="BA133" s="293"/>
      <c r="BB133" s="394">
        <v>100</v>
      </c>
      <c r="BC133" s="379">
        <f t="shared" si="107"/>
        <v>0</v>
      </c>
      <c r="BD133" s="378">
        <f t="shared" si="108"/>
        <v>0</v>
      </c>
      <c r="BE133" s="381"/>
      <c r="BF133" s="393">
        <f t="shared" si="86"/>
        <v>100</v>
      </c>
    </row>
    <row r="134" spans="1:58" s="323" customFormat="1" x14ac:dyDescent="0.35">
      <c r="B134" s="192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86"/>
      <c r="AV134" s="286"/>
      <c r="AW134" s="286"/>
      <c r="AX134" s="286"/>
      <c r="AY134" s="286"/>
      <c r="AZ134" s="286"/>
      <c r="BA134" s="286"/>
      <c r="BB134" s="395"/>
      <c r="BC134" s="205"/>
      <c r="BD134" s="205"/>
      <c r="BE134" s="287"/>
      <c r="BF134" s="319"/>
    </row>
    <row r="135" spans="1:58" s="323" customFormat="1" x14ac:dyDescent="0.35"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86"/>
      <c r="AV135" s="286"/>
      <c r="AW135" s="286"/>
      <c r="AX135" s="286"/>
      <c r="AY135" s="286"/>
      <c r="AZ135" s="286"/>
      <c r="BA135" s="286"/>
      <c r="BB135" s="395"/>
      <c r="BC135" s="205"/>
      <c r="BD135" s="205"/>
      <c r="BE135" s="287"/>
      <c r="BF135" s="319"/>
    </row>
    <row r="136" spans="1:58" s="323" customFormat="1" ht="16" thickBot="1" x14ac:dyDescent="0.4">
      <c r="A136" s="324" t="s">
        <v>239</v>
      </c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86"/>
      <c r="AV136" s="286"/>
      <c r="AW136" s="286"/>
      <c r="AX136" s="286"/>
      <c r="AY136" s="286"/>
      <c r="AZ136" s="286"/>
      <c r="BA136" s="286"/>
      <c r="BB136" s="395"/>
      <c r="BC136" s="205"/>
      <c r="BD136" s="205"/>
      <c r="BE136" s="287"/>
      <c r="BF136" s="319"/>
    </row>
    <row r="137" spans="1:58" s="325" customFormat="1" ht="25" customHeight="1" thickBot="1" x14ac:dyDescent="0.4">
      <c r="A137" s="447" t="s">
        <v>1072</v>
      </c>
      <c r="B137" s="447" t="s">
        <v>2</v>
      </c>
      <c r="C137" s="448" t="s">
        <v>1606</v>
      </c>
      <c r="D137" s="448" t="s">
        <v>4</v>
      </c>
      <c r="E137" s="431" t="s">
        <v>1612</v>
      </c>
      <c r="F137" s="431"/>
      <c r="G137" s="431"/>
      <c r="H137" s="431"/>
      <c r="I137" s="431"/>
      <c r="J137" s="431"/>
      <c r="K137" s="431"/>
      <c r="L137" s="432" t="s">
        <v>1613</v>
      </c>
      <c r="M137" s="432"/>
      <c r="N137" s="432"/>
      <c r="O137" s="432"/>
      <c r="P137" s="432"/>
      <c r="Q137" s="432"/>
      <c r="R137" s="432"/>
      <c r="S137" s="433" t="s">
        <v>1614</v>
      </c>
      <c r="T137" s="433"/>
      <c r="U137" s="433"/>
      <c r="V137" s="433"/>
      <c r="W137" s="433"/>
      <c r="X137" s="433"/>
      <c r="Y137" s="433"/>
      <c r="Z137" s="434" t="s">
        <v>1615</v>
      </c>
      <c r="AA137" s="434"/>
      <c r="AB137" s="434"/>
      <c r="AC137" s="434"/>
      <c r="AD137" s="434"/>
      <c r="AE137" s="434"/>
      <c r="AF137" s="434"/>
      <c r="AG137" s="435" t="s">
        <v>1616</v>
      </c>
      <c r="AH137" s="435"/>
      <c r="AI137" s="435"/>
      <c r="AJ137" s="435"/>
      <c r="AK137" s="435"/>
      <c r="AL137" s="435"/>
      <c r="AM137" s="435"/>
      <c r="AN137" s="436" t="s">
        <v>1617</v>
      </c>
      <c r="AO137" s="436"/>
      <c r="AP137" s="436"/>
      <c r="AQ137" s="436"/>
      <c r="AR137" s="436"/>
      <c r="AS137" s="436"/>
      <c r="AT137" s="436"/>
      <c r="AU137" s="438" t="s">
        <v>224</v>
      </c>
      <c r="AV137" s="438"/>
      <c r="AW137" s="438"/>
      <c r="AX137" s="437" t="s">
        <v>1602</v>
      </c>
      <c r="AY137" s="437" t="s">
        <v>1603</v>
      </c>
      <c r="AZ137" s="437" t="s">
        <v>1604</v>
      </c>
      <c r="BA137" s="443" t="s">
        <v>1076</v>
      </c>
      <c r="BB137" s="430" t="s">
        <v>883</v>
      </c>
      <c r="BC137" s="428" t="s">
        <v>880</v>
      </c>
      <c r="BD137" s="428"/>
      <c r="BE137" s="428"/>
      <c r="BF137" s="429" t="s">
        <v>884</v>
      </c>
    </row>
    <row r="138" spans="1:58" s="325" customFormat="1" ht="55" customHeight="1" thickBot="1" x14ac:dyDescent="0.4">
      <c r="A138" s="447"/>
      <c r="B138" s="447"/>
      <c r="C138" s="448"/>
      <c r="D138" s="448"/>
      <c r="E138" s="235" t="s">
        <v>1598</v>
      </c>
      <c r="F138" s="236" t="s">
        <v>20</v>
      </c>
      <c r="G138" s="236" t="s">
        <v>19</v>
      </c>
      <c r="H138" s="236" t="s">
        <v>52</v>
      </c>
      <c r="I138" s="237" t="s">
        <v>1599</v>
      </c>
      <c r="J138" s="237" t="s">
        <v>1600</v>
      </c>
      <c r="K138" s="237" t="s">
        <v>1601</v>
      </c>
      <c r="L138" s="202" t="s">
        <v>1598</v>
      </c>
      <c r="M138" s="206" t="s">
        <v>20</v>
      </c>
      <c r="N138" s="206" t="s">
        <v>19</v>
      </c>
      <c r="O138" s="206" t="s">
        <v>52</v>
      </c>
      <c r="P138" s="207" t="s">
        <v>1599</v>
      </c>
      <c r="Q138" s="207" t="s">
        <v>1600</v>
      </c>
      <c r="R138" s="207" t="s">
        <v>1601</v>
      </c>
      <c r="S138" s="238" t="s">
        <v>1598</v>
      </c>
      <c r="T138" s="239" t="s">
        <v>20</v>
      </c>
      <c r="U138" s="239" t="s">
        <v>19</v>
      </c>
      <c r="V138" s="239" t="s">
        <v>52</v>
      </c>
      <c r="W138" s="224" t="s">
        <v>1599</v>
      </c>
      <c r="X138" s="224" t="s">
        <v>1600</v>
      </c>
      <c r="Y138" s="224" t="s">
        <v>1601</v>
      </c>
      <c r="Z138" s="240" t="s">
        <v>1598</v>
      </c>
      <c r="AA138" s="241" t="s">
        <v>20</v>
      </c>
      <c r="AB138" s="241" t="s">
        <v>19</v>
      </c>
      <c r="AC138" s="241" t="s">
        <v>52</v>
      </c>
      <c r="AD138" s="208" t="s">
        <v>1599</v>
      </c>
      <c r="AE138" s="208" t="s">
        <v>1600</v>
      </c>
      <c r="AF138" s="208" t="s">
        <v>1601</v>
      </c>
      <c r="AG138" s="209" t="s">
        <v>1598</v>
      </c>
      <c r="AH138" s="210" t="s">
        <v>20</v>
      </c>
      <c r="AI138" s="210" t="s">
        <v>19</v>
      </c>
      <c r="AJ138" s="210" t="s">
        <v>52</v>
      </c>
      <c r="AK138" s="211" t="s">
        <v>1599</v>
      </c>
      <c r="AL138" s="211" t="s">
        <v>1600</v>
      </c>
      <c r="AM138" s="211" t="s">
        <v>1601</v>
      </c>
      <c r="AN138" s="212" t="s">
        <v>1598</v>
      </c>
      <c r="AO138" s="213" t="s">
        <v>20</v>
      </c>
      <c r="AP138" s="213" t="s">
        <v>19</v>
      </c>
      <c r="AQ138" s="213" t="s">
        <v>52</v>
      </c>
      <c r="AR138" s="214" t="s">
        <v>1599</v>
      </c>
      <c r="AS138" s="214" t="s">
        <v>1600</v>
      </c>
      <c r="AT138" s="214" t="s">
        <v>1601</v>
      </c>
      <c r="AU138" s="203" t="s">
        <v>20</v>
      </c>
      <c r="AV138" s="204" t="s">
        <v>19</v>
      </c>
      <c r="AW138" s="204" t="s">
        <v>52</v>
      </c>
      <c r="AX138" s="437"/>
      <c r="AY138" s="437"/>
      <c r="AZ138" s="437"/>
      <c r="BA138" s="444"/>
      <c r="BB138" s="430"/>
      <c r="BC138" s="375" t="s">
        <v>881</v>
      </c>
      <c r="BD138" s="377" t="s">
        <v>885</v>
      </c>
      <c r="BE138" s="376" t="s">
        <v>882</v>
      </c>
      <c r="BF138" s="429"/>
    </row>
    <row r="139" spans="1:58" x14ac:dyDescent="0.35">
      <c r="A139" s="242">
        <v>1</v>
      </c>
      <c r="B139" s="35">
        <v>242510106</v>
      </c>
      <c r="C139" s="261" t="s">
        <v>1407</v>
      </c>
      <c r="D139" s="194" t="s">
        <v>8</v>
      </c>
      <c r="E139" s="215">
        <v>19</v>
      </c>
      <c r="F139" s="216"/>
      <c r="G139" s="216"/>
      <c r="H139" s="216"/>
      <c r="I139" s="326">
        <f>SUM(F139:H139)</f>
        <v>0</v>
      </c>
      <c r="J139" s="326">
        <f>E139-I139</f>
        <v>19</v>
      </c>
      <c r="K139" s="327">
        <f>J139/E139</f>
        <v>1</v>
      </c>
      <c r="L139" s="221">
        <v>14</v>
      </c>
      <c r="M139" s="221"/>
      <c r="N139" s="221"/>
      <c r="O139" s="221"/>
      <c r="P139" s="328">
        <f>SUM(M139:O139)</f>
        <v>0</v>
      </c>
      <c r="Q139" s="328">
        <f>L139-P139</f>
        <v>14</v>
      </c>
      <c r="R139" s="329">
        <f>Q139/L139</f>
        <v>1</v>
      </c>
      <c r="S139" s="225">
        <v>12</v>
      </c>
      <c r="T139" s="225"/>
      <c r="U139" s="225"/>
      <c r="V139" s="225"/>
      <c r="W139" s="330">
        <f>SUM(T139:V139)</f>
        <v>0</v>
      </c>
      <c r="X139" s="330">
        <f>S139-W139</f>
        <v>12</v>
      </c>
      <c r="Y139" s="331">
        <f>X139/S139</f>
        <v>1</v>
      </c>
      <c r="Z139" s="228">
        <v>21</v>
      </c>
      <c r="AA139" s="228"/>
      <c r="AB139" s="228"/>
      <c r="AC139" s="228"/>
      <c r="AD139" s="280">
        <f>SUM(AA139:AC139)</f>
        <v>0</v>
      </c>
      <c r="AE139" s="280">
        <f>Z139-AD139</f>
        <v>21</v>
      </c>
      <c r="AF139" s="281">
        <f>AE139/Z139</f>
        <v>1</v>
      </c>
      <c r="AG139" s="229">
        <v>18</v>
      </c>
      <c r="AH139" s="229"/>
      <c r="AI139" s="229"/>
      <c r="AJ139" s="229"/>
      <c r="AK139" s="305">
        <f>SUM(AH139:AJ139)</f>
        <v>0</v>
      </c>
      <c r="AL139" s="305">
        <f>AG139-AK139</f>
        <v>18</v>
      </c>
      <c r="AM139" s="306">
        <f>AL139/AG139</f>
        <v>1</v>
      </c>
      <c r="AN139" s="230">
        <v>14</v>
      </c>
      <c r="AO139" s="230"/>
      <c r="AP139" s="230"/>
      <c r="AQ139" s="230"/>
      <c r="AR139" s="307">
        <f>SUM(AO139:AQ139)</f>
        <v>0</v>
      </c>
      <c r="AS139" s="307">
        <f>AN139-AR139</f>
        <v>14</v>
      </c>
      <c r="AT139" s="308">
        <f>AS139/AN139</f>
        <v>1</v>
      </c>
      <c r="AU139" s="289"/>
      <c r="AV139" s="289"/>
      <c r="AW139" s="289"/>
      <c r="AX139" s="290">
        <v>98</v>
      </c>
      <c r="AY139" s="289">
        <f>AX139-AU139-AV139-AW139</f>
        <v>98</v>
      </c>
      <c r="AZ139" s="291">
        <f t="shared" ref="AZ139" si="109">AY139/AX139</f>
        <v>1</v>
      </c>
      <c r="BA139" s="299">
        <v>1</v>
      </c>
      <c r="BB139" s="397" cm="1">
        <f t="array" ref="BB139:BB175">[1]XI!$BF$140:$BF$176</f>
        <v>100</v>
      </c>
      <c r="BC139" s="379">
        <f t="shared" ref="BC139" si="110">BA139*2</f>
        <v>2</v>
      </c>
      <c r="BD139" s="378">
        <f t="shared" ref="BD139" si="111">AW139*2</f>
        <v>0</v>
      </c>
      <c r="BE139" s="380"/>
      <c r="BF139" s="393">
        <f t="shared" ref="BF139:BF175" si="112">BB139-BC139-BD139-BE139</f>
        <v>98</v>
      </c>
    </row>
    <row r="140" spans="1:58" x14ac:dyDescent="0.35">
      <c r="A140" s="243">
        <v>2</v>
      </c>
      <c r="B140" s="35">
        <v>242510105</v>
      </c>
      <c r="C140" s="261" t="s">
        <v>1408</v>
      </c>
      <c r="D140" s="194" t="s">
        <v>8</v>
      </c>
      <c r="E140" s="215">
        <v>19</v>
      </c>
      <c r="F140" s="217"/>
      <c r="G140" s="217"/>
      <c r="H140" s="217"/>
      <c r="I140" s="326">
        <f t="shared" ref="I140:I175" si="113">SUM(F140:H140)</f>
        <v>0</v>
      </c>
      <c r="J140" s="326">
        <f t="shared" ref="J140:J175" si="114">E140-I140</f>
        <v>19</v>
      </c>
      <c r="K140" s="327">
        <f t="shared" ref="K140:K175" si="115">J140/E140</f>
        <v>1</v>
      </c>
      <c r="L140" s="221">
        <v>14</v>
      </c>
      <c r="M140" s="222"/>
      <c r="N140" s="222"/>
      <c r="O140" s="222"/>
      <c r="P140" s="328">
        <f t="shared" ref="P140:P175" si="116">SUM(M140:O140)</f>
        <v>0</v>
      </c>
      <c r="Q140" s="328">
        <f t="shared" ref="Q140:Q175" si="117">L140-P140</f>
        <v>14</v>
      </c>
      <c r="R140" s="329">
        <f t="shared" ref="R140:R175" si="118">Q140/L140</f>
        <v>1</v>
      </c>
      <c r="S140" s="225">
        <v>12</v>
      </c>
      <c r="T140" s="226"/>
      <c r="U140" s="226"/>
      <c r="V140" s="226"/>
      <c r="W140" s="330">
        <f t="shared" ref="W140:W175" si="119">SUM(T140:V140)</f>
        <v>0</v>
      </c>
      <c r="X140" s="330">
        <f t="shared" ref="X140:X175" si="120">S140-W140</f>
        <v>12</v>
      </c>
      <c r="Y140" s="331">
        <f t="shared" ref="Y140:Y175" si="121">X140/S140</f>
        <v>1</v>
      </c>
      <c r="Z140" s="228">
        <v>21</v>
      </c>
      <c r="AA140" s="255"/>
      <c r="AB140" s="255"/>
      <c r="AC140" s="255"/>
      <c r="AD140" s="280">
        <f t="shared" ref="AD140:AD175" si="122">SUM(AA140:AC140)</f>
        <v>0</v>
      </c>
      <c r="AE140" s="280">
        <f t="shared" ref="AE140:AE175" si="123">Z140-AD140</f>
        <v>21</v>
      </c>
      <c r="AF140" s="281">
        <f t="shared" ref="AF140:AF175" si="124">AE140/Z140</f>
        <v>1</v>
      </c>
      <c r="AG140" s="229">
        <v>18</v>
      </c>
      <c r="AH140" s="257"/>
      <c r="AI140" s="257"/>
      <c r="AJ140" s="257"/>
      <c r="AK140" s="305">
        <f t="shared" ref="AK140:AK175" si="125">SUM(AH140:AJ140)</f>
        <v>0</v>
      </c>
      <c r="AL140" s="305">
        <f t="shared" ref="AL140:AL175" si="126">AG140-AK140</f>
        <v>18</v>
      </c>
      <c r="AM140" s="306">
        <f t="shared" ref="AM140:AM175" si="127">AL140/AG140</f>
        <v>1</v>
      </c>
      <c r="AN140" s="230">
        <v>14</v>
      </c>
      <c r="AO140" s="259"/>
      <c r="AP140" s="259"/>
      <c r="AQ140" s="259"/>
      <c r="AR140" s="307">
        <f t="shared" ref="AR140:AR175" si="128">SUM(AO140:AQ140)</f>
        <v>0</v>
      </c>
      <c r="AS140" s="307">
        <f t="shared" ref="AS140:AS175" si="129">AN140-AR140</f>
        <v>14</v>
      </c>
      <c r="AT140" s="308">
        <f t="shared" ref="AT140:AT175" si="130">AS140/AN140</f>
        <v>1</v>
      </c>
      <c r="AU140" s="289"/>
      <c r="AV140" s="289"/>
      <c r="AW140" s="289"/>
      <c r="AX140" s="290">
        <v>98</v>
      </c>
      <c r="AY140" s="289">
        <f t="shared" ref="AY140:AY175" si="131">AX140-AU140-AV140-AW140</f>
        <v>98</v>
      </c>
      <c r="AZ140" s="291">
        <f t="shared" ref="AZ140:AZ175" si="132">AY140/AX140</f>
        <v>1</v>
      </c>
      <c r="BA140" s="300">
        <v>1</v>
      </c>
      <c r="BB140" s="398">
        <v>100</v>
      </c>
      <c r="BC140" s="379">
        <f t="shared" ref="BC140:BC175" si="133">BA140*2</f>
        <v>2</v>
      </c>
      <c r="BD140" s="378">
        <f t="shared" ref="BD140:BD175" si="134">AW140*2</f>
        <v>0</v>
      </c>
      <c r="BE140" s="381"/>
      <c r="BF140" s="393">
        <f t="shared" si="112"/>
        <v>98</v>
      </c>
    </row>
    <row r="141" spans="1:58" x14ac:dyDescent="0.35">
      <c r="A141" s="243">
        <v>3</v>
      </c>
      <c r="B141" s="35">
        <v>242510107</v>
      </c>
      <c r="C141" s="261" t="s">
        <v>1409</v>
      </c>
      <c r="D141" s="194" t="s">
        <v>6</v>
      </c>
      <c r="E141" s="215">
        <v>19</v>
      </c>
      <c r="F141" s="217"/>
      <c r="G141" s="217"/>
      <c r="H141" s="217"/>
      <c r="I141" s="326">
        <f t="shared" si="113"/>
        <v>0</v>
      </c>
      <c r="J141" s="326">
        <f t="shared" si="114"/>
        <v>19</v>
      </c>
      <c r="K141" s="327">
        <f t="shared" si="115"/>
        <v>1</v>
      </c>
      <c r="L141" s="221">
        <v>14</v>
      </c>
      <c r="M141" s="222"/>
      <c r="N141" s="222"/>
      <c r="O141" s="222"/>
      <c r="P141" s="328">
        <f t="shared" si="116"/>
        <v>0</v>
      </c>
      <c r="Q141" s="328">
        <f t="shared" si="117"/>
        <v>14</v>
      </c>
      <c r="R141" s="329">
        <f t="shared" si="118"/>
        <v>1</v>
      </c>
      <c r="S141" s="225">
        <v>12</v>
      </c>
      <c r="T141" s="226"/>
      <c r="U141" s="226"/>
      <c r="V141" s="226"/>
      <c r="W141" s="330">
        <f t="shared" si="119"/>
        <v>0</v>
      </c>
      <c r="X141" s="330">
        <f t="shared" si="120"/>
        <v>12</v>
      </c>
      <c r="Y141" s="331">
        <f t="shared" si="121"/>
        <v>1</v>
      </c>
      <c r="Z141" s="228">
        <v>21</v>
      </c>
      <c r="AA141" s="255"/>
      <c r="AB141" s="255"/>
      <c r="AC141" s="255"/>
      <c r="AD141" s="280">
        <f t="shared" si="122"/>
        <v>0</v>
      </c>
      <c r="AE141" s="280">
        <f t="shared" si="123"/>
        <v>21</v>
      </c>
      <c r="AF141" s="281">
        <f t="shared" si="124"/>
        <v>1</v>
      </c>
      <c r="AG141" s="229">
        <v>18</v>
      </c>
      <c r="AH141" s="257"/>
      <c r="AI141" s="257"/>
      <c r="AJ141" s="257"/>
      <c r="AK141" s="305">
        <f t="shared" si="125"/>
        <v>0</v>
      </c>
      <c r="AL141" s="305">
        <f t="shared" si="126"/>
        <v>18</v>
      </c>
      <c r="AM141" s="306">
        <f t="shared" si="127"/>
        <v>1</v>
      </c>
      <c r="AN141" s="230">
        <v>14</v>
      </c>
      <c r="AO141" s="259"/>
      <c r="AP141" s="259"/>
      <c r="AQ141" s="259"/>
      <c r="AR141" s="307">
        <f t="shared" si="128"/>
        <v>0</v>
      </c>
      <c r="AS141" s="307">
        <f t="shared" si="129"/>
        <v>14</v>
      </c>
      <c r="AT141" s="308">
        <f t="shared" si="130"/>
        <v>1</v>
      </c>
      <c r="AU141" s="289"/>
      <c r="AV141" s="289"/>
      <c r="AW141" s="289"/>
      <c r="AX141" s="290">
        <v>98</v>
      </c>
      <c r="AY141" s="289">
        <f t="shared" si="131"/>
        <v>98</v>
      </c>
      <c r="AZ141" s="291">
        <f t="shared" si="132"/>
        <v>1</v>
      </c>
      <c r="BA141" s="300"/>
      <c r="BB141" s="398">
        <v>100</v>
      </c>
      <c r="BC141" s="379">
        <f t="shared" si="133"/>
        <v>0</v>
      </c>
      <c r="BD141" s="378">
        <f t="shared" si="134"/>
        <v>0</v>
      </c>
      <c r="BE141" s="381"/>
      <c r="BF141" s="393">
        <f t="shared" si="112"/>
        <v>100</v>
      </c>
    </row>
    <row r="142" spans="1:58" x14ac:dyDescent="0.35">
      <c r="A142" s="243">
        <v>4</v>
      </c>
      <c r="B142" s="35">
        <v>242510109</v>
      </c>
      <c r="C142" s="261" t="s">
        <v>1410</v>
      </c>
      <c r="D142" s="194" t="s">
        <v>6</v>
      </c>
      <c r="E142" s="215">
        <v>19</v>
      </c>
      <c r="F142" s="217"/>
      <c r="G142" s="217"/>
      <c r="H142" s="217"/>
      <c r="I142" s="326">
        <f t="shared" si="113"/>
        <v>0</v>
      </c>
      <c r="J142" s="326">
        <f t="shared" si="114"/>
        <v>19</v>
      </c>
      <c r="K142" s="327">
        <f t="shared" si="115"/>
        <v>1</v>
      </c>
      <c r="L142" s="221">
        <v>14</v>
      </c>
      <c r="M142" s="222"/>
      <c r="N142" s="223"/>
      <c r="O142" s="222"/>
      <c r="P142" s="328">
        <f t="shared" si="116"/>
        <v>0</v>
      </c>
      <c r="Q142" s="328">
        <f t="shared" si="117"/>
        <v>14</v>
      </c>
      <c r="R142" s="329">
        <f t="shared" si="118"/>
        <v>1</v>
      </c>
      <c r="S142" s="225">
        <v>12</v>
      </c>
      <c r="T142" s="226"/>
      <c r="U142" s="226"/>
      <c r="V142" s="226"/>
      <c r="W142" s="330">
        <f t="shared" si="119"/>
        <v>0</v>
      </c>
      <c r="X142" s="330">
        <f t="shared" si="120"/>
        <v>12</v>
      </c>
      <c r="Y142" s="331">
        <f t="shared" si="121"/>
        <v>1</v>
      </c>
      <c r="Z142" s="228">
        <v>21</v>
      </c>
      <c r="AA142" s="255"/>
      <c r="AB142" s="255"/>
      <c r="AC142" s="255"/>
      <c r="AD142" s="280">
        <f t="shared" si="122"/>
        <v>0</v>
      </c>
      <c r="AE142" s="280">
        <f t="shared" si="123"/>
        <v>21</v>
      </c>
      <c r="AF142" s="281">
        <f t="shared" si="124"/>
        <v>1</v>
      </c>
      <c r="AG142" s="229">
        <v>18</v>
      </c>
      <c r="AH142" s="257"/>
      <c r="AI142" s="257"/>
      <c r="AJ142" s="257"/>
      <c r="AK142" s="305">
        <f t="shared" si="125"/>
        <v>0</v>
      </c>
      <c r="AL142" s="305">
        <f t="shared" si="126"/>
        <v>18</v>
      </c>
      <c r="AM142" s="306">
        <f t="shared" si="127"/>
        <v>1</v>
      </c>
      <c r="AN142" s="230">
        <v>14</v>
      </c>
      <c r="AO142" s="259"/>
      <c r="AP142" s="259"/>
      <c r="AQ142" s="259"/>
      <c r="AR142" s="307">
        <f t="shared" si="128"/>
        <v>0</v>
      </c>
      <c r="AS142" s="307">
        <f t="shared" si="129"/>
        <v>14</v>
      </c>
      <c r="AT142" s="308">
        <f t="shared" si="130"/>
        <v>1</v>
      </c>
      <c r="AU142" s="289"/>
      <c r="AV142" s="289"/>
      <c r="AW142" s="289"/>
      <c r="AX142" s="290">
        <v>98</v>
      </c>
      <c r="AY142" s="289">
        <f t="shared" si="131"/>
        <v>98</v>
      </c>
      <c r="AZ142" s="291">
        <f t="shared" si="132"/>
        <v>1</v>
      </c>
      <c r="BA142" s="300">
        <v>6</v>
      </c>
      <c r="BB142" s="398">
        <v>90</v>
      </c>
      <c r="BC142" s="379">
        <f t="shared" si="133"/>
        <v>12</v>
      </c>
      <c r="BD142" s="378">
        <f t="shared" si="134"/>
        <v>0</v>
      </c>
      <c r="BE142" s="381"/>
      <c r="BF142" s="393">
        <f t="shared" si="112"/>
        <v>78</v>
      </c>
    </row>
    <row r="143" spans="1:58" x14ac:dyDescent="0.35">
      <c r="A143" s="243">
        <v>5</v>
      </c>
      <c r="B143" s="35">
        <v>242510110</v>
      </c>
      <c r="C143" s="261" t="s">
        <v>1411</v>
      </c>
      <c r="D143" s="194" t="s">
        <v>8</v>
      </c>
      <c r="E143" s="215">
        <v>19</v>
      </c>
      <c r="F143" s="217"/>
      <c r="G143" s="217"/>
      <c r="H143" s="217"/>
      <c r="I143" s="326">
        <f t="shared" si="113"/>
        <v>0</v>
      </c>
      <c r="J143" s="326">
        <f t="shared" si="114"/>
        <v>19</v>
      </c>
      <c r="K143" s="327">
        <f t="shared" si="115"/>
        <v>1</v>
      </c>
      <c r="L143" s="221">
        <v>14</v>
      </c>
      <c r="M143" s="222"/>
      <c r="N143" s="223"/>
      <c r="O143" s="222"/>
      <c r="P143" s="328">
        <f t="shared" si="116"/>
        <v>0</v>
      </c>
      <c r="Q143" s="328">
        <f t="shared" si="117"/>
        <v>14</v>
      </c>
      <c r="R143" s="329">
        <f t="shared" si="118"/>
        <v>1</v>
      </c>
      <c r="S143" s="225">
        <v>12</v>
      </c>
      <c r="T143" s="226"/>
      <c r="U143" s="226"/>
      <c r="V143" s="226"/>
      <c r="W143" s="330">
        <f t="shared" si="119"/>
        <v>0</v>
      </c>
      <c r="X143" s="330">
        <f t="shared" si="120"/>
        <v>12</v>
      </c>
      <c r="Y143" s="331">
        <f t="shared" si="121"/>
        <v>1</v>
      </c>
      <c r="Z143" s="228">
        <v>21</v>
      </c>
      <c r="AA143" s="255"/>
      <c r="AB143" s="255"/>
      <c r="AC143" s="255"/>
      <c r="AD143" s="280">
        <f t="shared" si="122"/>
        <v>0</v>
      </c>
      <c r="AE143" s="280">
        <f t="shared" si="123"/>
        <v>21</v>
      </c>
      <c r="AF143" s="281">
        <f t="shared" si="124"/>
        <v>1</v>
      </c>
      <c r="AG143" s="229">
        <v>18</v>
      </c>
      <c r="AH143" s="257"/>
      <c r="AI143" s="257"/>
      <c r="AJ143" s="257"/>
      <c r="AK143" s="305">
        <f t="shared" si="125"/>
        <v>0</v>
      </c>
      <c r="AL143" s="305">
        <f t="shared" si="126"/>
        <v>18</v>
      </c>
      <c r="AM143" s="306">
        <f t="shared" si="127"/>
        <v>1</v>
      </c>
      <c r="AN143" s="230">
        <v>14</v>
      </c>
      <c r="AO143" s="259"/>
      <c r="AP143" s="259"/>
      <c r="AQ143" s="259"/>
      <c r="AR143" s="307">
        <f t="shared" si="128"/>
        <v>0</v>
      </c>
      <c r="AS143" s="307">
        <f t="shared" si="129"/>
        <v>14</v>
      </c>
      <c r="AT143" s="308">
        <f t="shared" si="130"/>
        <v>1</v>
      </c>
      <c r="AU143" s="289"/>
      <c r="AV143" s="289"/>
      <c r="AW143" s="289"/>
      <c r="AX143" s="290">
        <v>98</v>
      </c>
      <c r="AY143" s="289">
        <f t="shared" si="131"/>
        <v>98</v>
      </c>
      <c r="AZ143" s="291">
        <f t="shared" si="132"/>
        <v>1</v>
      </c>
      <c r="BA143" s="300"/>
      <c r="BB143" s="398">
        <v>100</v>
      </c>
      <c r="BC143" s="379">
        <f t="shared" si="133"/>
        <v>0</v>
      </c>
      <c r="BD143" s="378">
        <f t="shared" si="134"/>
        <v>0</v>
      </c>
      <c r="BE143" s="381"/>
      <c r="BF143" s="393">
        <f t="shared" si="112"/>
        <v>100</v>
      </c>
    </row>
    <row r="144" spans="1:58" x14ac:dyDescent="0.35">
      <c r="A144" s="243">
        <v>6</v>
      </c>
      <c r="B144" s="35">
        <v>242510111</v>
      </c>
      <c r="C144" s="261" t="s">
        <v>1412</v>
      </c>
      <c r="D144" s="194" t="s">
        <v>8</v>
      </c>
      <c r="E144" s="215">
        <v>19</v>
      </c>
      <c r="F144" s="217"/>
      <c r="G144" s="217"/>
      <c r="H144" s="217"/>
      <c r="I144" s="326">
        <f t="shared" si="113"/>
        <v>0</v>
      </c>
      <c r="J144" s="326">
        <f t="shared" si="114"/>
        <v>19</v>
      </c>
      <c r="K144" s="327">
        <f t="shared" si="115"/>
        <v>1</v>
      </c>
      <c r="L144" s="221">
        <v>14</v>
      </c>
      <c r="M144" s="222"/>
      <c r="N144" s="223"/>
      <c r="O144" s="222"/>
      <c r="P144" s="328">
        <f t="shared" si="116"/>
        <v>0</v>
      </c>
      <c r="Q144" s="328">
        <f t="shared" si="117"/>
        <v>14</v>
      </c>
      <c r="R144" s="329">
        <f t="shared" si="118"/>
        <v>1</v>
      </c>
      <c r="S144" s="225">
        <v>12</v>
      </c>
      <c r="T144" s="226"/>
      <c r="U144" s="226"/>
      <c r="V144" s="226"/>
      <c r="W144" s="330">
        <f t="shared" si="119"/>
        <v>0</v>
      </c>
      <c r="X144" s="330">
        <f t="shared" si="120"/>
        <v>12</v>
      </c>
      <c r="Y144" s="331">
        <f t="shared" si="121"/>
        <v>1</v>
      </c>
      <c r="Z144" s="228">
        <v>21</v>
      </c>
      <c r="AA144" s="255"/>
      <c r="AB144" s="255"/>
      <c r="AC144" s="255"/>
      <c r="AD144" s="280">
        <f t="shared" si="122"/>
        <v>0</v>
      </c>
      <c r="AE144" s="280">
        <f t="shared" si="123"/>
        <v>21</v>
      </c>
      <c r="AF144" s="281">
        <f t="shared" si="124"/>
        <v>1</v>
      </c>
      <c r="AG144" s="229">
        <v>18</v>
      </c>
      <c r="AH144" s="257"/>
      <c r="AI144" s="257"/>
      <c r="AJ144" s="257"/>
      <c r="AK144" s="305">
        <f t="shared" si="125"/>
        <v>0</v>
      </c>
      <c r="AL144" s="305">
        <f t="shared" si="126"/>
        <v>18</v>
      </c>
      <c r="AM144" s="306">
        <f t="shared" si="127"/>
        <v>1</v>
      </c>
      <c r="AN144" s="230">
        <v>14</v>
      </c>
      <c r="AO144" s="259"/>
      <c r="AP144" s="259"/>
      <c r="AQ144" s="259"/>
      <c r="AR144" s="307">
        <f t="shared" si="128"/>
        <v>0</v>
      </c>
      <c r="AS144" s="307">
        <f t="shared" si="129"/>
        <v>14</v>
      </c>
      <c r="AT144" s="308">
        <f t="shared" si="130"/>
        <v>1</v>
      </c>
      <c r="AU144" s="289"/>
      <c r="AV144" s="289"/>
      <c r="AW144" s="289"/>
      <c r="AX144" s="290">
        <v>98</v>
      </c>
      <c r="AY144" s="289">
        <f t="shared" si="131"/>
        <v>98</v>
      </c>
      <c r="AZ144" s="291">
        <f t="shared" si="132"/>
        <v>1</v>
      </c>
      <c r="BA144" s="300"/>
      <c r="BB144" s="398">
        <v>100</v>
      </c>
      <c r="BC144" s="379">
        <f t="shared" si="133"/>
        <v>0</v>
      </c>
      <c r="BD144" s="378">
        <f t="shared" si="134"/>
        <v>0</v>
      </c>
      <c r="BE144" s="381"/>
      <c r="BF144" s="393">
        <f t="shared" si="112"/>
        <v>100</v>
      </c>
    </row>
    <row r="145" spans="1:58" x14ac:dyDescent="0.35">
      <c r="A145" s="243">
        <v>7</v>
      </c>
      <c r="B145" s="35">
        <v>242510112</v>
      </c>
      <c r="C145" s="261" t="s">
        <v>1413</v>
      </c>
      <c r="D145" s="194" t="s">
        <v>8</v>
      </c>
      <c r="E145" s="215">
        <v>19</v>
      </c>
      <c r="F145" s="217"/>
      <c r="G145" s="217"/>
      <c r="H145" s="217"/>
      <c r="I145" s="326">
        <f t="shared" si="113"/>
        <v>0</v>
      </c>
      <c r="J145" s="326">
        <f t="shared" si="114"/>
        <v>19</v>
      </c>
      <c r="K145" s="327">
        <f t="shared" si="115"/>
        <v>1</v>
      </c>
      <c r="L145" s="221">
        <v>14</v>
      </c>
      <c r="M145" s="222"/>
      <c r="N145" s="222"/>
      <c r="O145" s="223"/>
      <c r="P145" s="328">
        <f t="shared" si="116"/>
        <v>0</v>
      </c>
      <c r="Q145" s="328">
        <f t="shared" si="117"/>
        <v>14</v>
      </c>
      <c r="R145" s="329">
        <f t="shared" si="118"/>
        <v>1</v>
      </c>
      <c r="S145" s="225">
        <v>12</v>
      </c>
      <c r="T145" s="226"/>
      <c r="U145" s="226"/>
      <c r="V145" s="226"/>
      <c r="W145" s="330">
        <f t="shared" si="119"/>
        <v>0</v>
      </c>
      <c r="X145" s="330">
        <f t="shared" si="120"/>
        <v>12</v>
      </c>
      <c r="Y145" s="331">
        <f t="shared" si="121"/>
        <v>1</v>
      </c>
      <c r="Z145" s="228">
        <v>21</v>
      </c>
      <c r="AA145" s="255"/>
      <c r="AB145" s="255"/>
      <c r="AC145" s="255"/>
      <c r="AD145" s="280">
        <f t="shared" si="122"/>
        <v>0</v>
      </c>
      <c r="AE145" s="280">
        <f t="shared" si="123"/>
        <v>21</v>
      </c>
      <c r="AF145" s="281">
        <f t="shared" si="124"/>
        <v>1</v>
      </c>
      <c r="AG145" s="229">
        <v>18</v>
      </c>
      <c r="AH145" s="257"/>
      <c r="AI145" s="257"/>
      <c r="AJ145" s="257"/>
      <c r="AK145" s="305">
        <f t="shared" si="125"/>
        <v>0</v>
      </c>
      <c r="AL145" s="305">
        <f t="shared" si="126"/>
        <v>18</v>
      </c>
      <c r="AM145" s="306">
        <f t="shared" si="127"/>
        <v>1</v>
      </c>
      <c r="AN145" s="230">
        <v>14</v>
      </c>
      <c r="AO145" s="259"/>
      <c r="AP145" s="259"/>
      <c r="AQ145" s="259"/>
      <c r="AR145" s="307">
        <f t="shared" si="128"/>
        <v>0</v>
      </c>
      <c r="AS145" s="307">
        <f t="shared" si="129"/>
        <v>14</v>
      </c>
      <c r="AT145" s="308">
        <f t="shared" si="130"/>
        <v>1</v>
      </c>
      <c r="AU145" s="289"/>
      <c r="AV145" s="289"/>
      <c r="AW145" s="289"/>
      <c r="AX145" s="290">
        <v>98</v>
      </c>
      <c r="AY145" s="289">
        <f t="shared" si="131"/>
        <v>98</v>
      </c>
      <c r="AZ145" s="291">
        <f t="shared" si="132"/>
        <v>1</v>
      </c>
      <c r="BA145" s="300"/>
      <c r="BB145" s="398">
        <v>100</v>
      </c>
      <c r="BC145" s="379">
        <f t="shared" si="133"/>
        <v>0</v>
      </c>
      <c r="BD145" s="378">
        <f t="shared" si="134"/>
        <v>0</v>
      </c>
      <c r="BE145" s="381"/>
      <c r="BF145" s="393">
        <f t="shared" si="112"/>
        <v>100</v>
      </c>
    </row>
    <row r="146" spans="1:58" x14ac:dyDescent="0.35">
      <c r="A146" s="243">
        <v>8</v>
      </c>
      <c r="B146" s="35">
        <v>242510113</v>
      </c>
      <c r="C146" s="261" t="s">
        <v>1414</v>
      </c>
      <c r="D146" s="194" t="s">
        <v>6</v>
      </c>
      <c r="E146" s="215">
        <v>19</v>
      </c>
      <c r="F146" s="217"/>
      <c r="G146" s="217"/>
      <c r="H146" s="217"/>
      <c r="I146" s="326">
        <f t="shared" si="113"/>
        <v>0</v>
      </c>
      <c r="J146" s="326">
        <f t="shared" si="114"/>
        <v>19</v>
      </c>
      <c r="K146" s="327">
        <f t="shared" si="115"/>
        <v>1</v>
      </c>
      <c r="L146" s="221">
        <v>14</v>
      </c>
      <c r="M146" s="222"/>
      <c r="N146" s="223"/>
      <c r="O146" s="223"/>
      <c r="P146" s="328">
        <f t="shared" si="116"/>
        <v>0</v>
      </c>
      <c r="Q146" s="328">
        <f t="shared" si="117"/>
        <v>14</v>
      </c>
      <c r="R146" s="329">
        <f t="shared" si="118"/>
        <v>1</v>
      </c>
      <c r="S146" s="225">
        <v>12</v>
      </c>
      <c r="T146" s="226"/>
      <c r="U146" s="226"/>
      <c r="V146" s="226"/>
      <c r="W146" s="330">
        <f t="shared" si="119"/>
        <v>0</v>
      </c>
      <c r="X146" s="330">
        <f t="shared" si="120"/>
        <v>12</v>
      </c>
      <c r="Y146" s="331">
        <f t="shared" si="121"/>
        <v>1</v>
      </c>
      <c r="Z146" s="228">
        <v>21</v>
      </c>
      <c r="AA146" s="255"/>
      <c r="AB146" s="255"/>
      <c r="AC146" s="255"/>
      <c r="AD146" s="280">
        <f t="shared" si="122"/>
        <v>0</v>
      </c>
      <c r="AE146" s="280">
        <f t="shared" si="123"/>
        <v>21</v>
      </c>
      <c r="AF146" s="281">
        <f t="shared" si="124"/>
        <v>1</v>
      </c>
      <c r="AG146" s="229">
        <v>18</v>
      </c>
      <c r="AH146" s="257"/>
      <c r="AI146" s="257"/>
      <c r="AJ146" s="257"/>
      <c r="AK146" s="305">
        <f t="shared" si="125"/>
        <v>0</v>
      </c>
      <c r="AL146" s="305">
        <f t="shared" si="126"/>
        <v>18</v>
      </c>
      <c r="AM146" s="306">
        <f t="shared" si="127"/>
        <v>1</v>
      </c>
      <c r="AN146" s="230">
        <v>14</v>
      </c>
      <c r="AO146" s="259"/>
      <c r="AP146" s="259"/>
      <c r="AQ146" s="259"/>
      <c r="AR146" s="307">
        <f t="shared" si="128"/>
        <v>0</v>
      </c>
      <c r="AS146" s="307">
        <f t="shared" si="129"/>
        <v>14</v>
      </c>
      <c r="AT146" s="308">
        <f t="shared" si="130"/>
        <v>1</v>
      </c>
      <c r="AU146" s="289"/>
      <c r="AV146" s="289"/>
      <c r="AW146" s="289"/>
      <c r="AX146" s="290">
        <v>98</v>
      </c>
      <c r="AY146" s="289">
        <f t="shared" si="131"/>
        <v>98</v>
      </c>
      <c r="AZ146" s="291">
        <f t="shared" si="132"/>
        <v>1</v>
      </c>
      <c r="BA146" s="300">
        <v>4</v>
      </c>
      <c r="BB146" s="398">
        <v>100</v>
      </c>
      <c r="BC146" s="379">
        <f t="shared" si="133"/>
        <v>8</v>
      </c>
      <c r="BD146" s="378">
        <f t="shared" si="134"/>
        <v>0</v>
      </c>
      <c r="BE146" s="381"/>
      <c r="BF146" s="393">
        <f t="shared" si="112"/>
        <v>92</v>
      </c>
    </row>
    <row r="147" spans="1:58" x14ac:dyDescent="0.35">
      <c r="A147" s="243">
        <v>9</v>
      </c>
      <c r="B147" s="35">
        <v>242510114</v>
      </c>
      <c r="C147" s="261" t="s">
        <v>1415</v>
      </c>
      <c r="D147" s="194" t="s">
        <v>6</v>
      </c>
      <c r="E147" s="215">
        <v>19</v>
      </c>
      <c r="F147" s="217"/>
      <c r="G147" s="217"/>
      <c r="H147" s="217"/>
      <c r="I147" s="326">
        <f t="shared" si="113"/>
        <v>0</v>
      </c>
      <c r="J147" s="326">
        <f t="shared" si="114"/>
        <v>19</v>
      </c>
      <c r="K147" s="327">
        <f t="shared" si="115"/>
        <v>1</v>
      </c>
      <c r="L147" s="221">
        <v>14</v>
      </c>
      <c r="M147" s="222"/>
      <c r="N147" s="223"/>
      <c r="O147" s="223"/>
      <c r="P147" s="328">
        <f t="shared" si="116"/>
        <v>0</v>
      </c>
      <c r="Q147" s="328">
        <f t="shared" si="117"/>
        <v>14</v>
      </c>
      <c r="R147" s="329">
        <f t="shared" si="118"/>
        <v>1</v>
      </c>
      <c r="S147" s="225">
        <v>12</v>
      </c>
      <c r="T147" s="226"/>
      <c r="U147" s="226"/>
      <c r="V147" s="226"/>
      <c r="W147" s="330">
        <f t="shared" si="119"/>
        <v>0</v>
      </c>
      <c r="X147" s="330">
        <f t="shared" si="120"/>
        <v>12</v>
      </c>
      <c r="Y147" s="331">
        <f t="shared" si="121"/>
        <v>1</v>
      </c>
      <c r="Z147" s="228">
        <v>21</v>
      </c>
      <c r="AA147" s="255"/>
      <c r="AB147" s="255"/>
      <c r="AC147" s="255"/>
      <c r="AD147" s="280">
        <f t="shared" si="122"/>
        <v>0</v>
      </c>
      <c r="AE147" s="280">
        <f t="shared" si="123"/>
        <v>21</v>
      </c>
      <c r="AF147" s="281">
        <f t="shared" si="124"/>
        <v>1</v>
      </c>
      <c r="AG147" s="229">
        <v>18</v>
      </c>
      <c r="AH147" s="257"/>
      <c r="AI147" s="257"/>
      <c r="AJ147" s="257"/>
      <c r="AK147" s="305">
        <f t="shared" si="125"/>
        <v>0</v>
      </c>
      <c r="AL147" s="305">
        <f t="shared" si="126"/>
        <v>18</v>
      </c>
      <c r="AM147" s="306">
        <f t="shared" si="127"/>
        <v>1</v>
      </c>
      <c r="AN147" s="230">
        <v>14</v>
      </c>
      <c r="AO147" s="259"/>
      <c r="AP147" s="259"/>
      <c r="AQ147" s="259"/>
      <c r="AR147" s="307">
        <f t="shared" si="128"/>
        <v>0</v>
      </c>
      <c r="AS147" s="307">
        <f t="shared" si="129"/>
        <v>14</v>
      </c>
      <c r="AT147" s="308">
        <f t="shared" si="130"/>
        <v>1</v>
      </c>
      <c r="AU147" s="289"/>
      <c r="AV147" s="289"/>
      <c r="AW147" s="289"/>
      <c r="AX147" s="290">
        <v>98</v>
      </c>
      <c r="AY147" s="289">
        <f t="shared" si="131"/>
        <v>98</v>
      </c>
      <c r="AZ147" s="291">
        <f t="shared" si="132"/>
        <v>1</v>
      </c>
      <c r="BA147" s="300"/>
      <c r="BB147" s="398">
        <v>100</v>
      </c>
      <c r="BC147" s="379">
        <f t="shared" si="133"/>
        <v>0</v>
      </c>
      <c r="BD147" s="378">
        <f t="shared" si="134"/>
        <v>0</v>
      </c>
      <c r="BE147" s="381"/>
      <c r="BF147" s="393">
        <f t="shared" si="112"/>
        <v>100</v>
      </c>
    </row>
    <row r="148" spans="1:58" x14ac:dyDescent="0.35">
      <c r="A148" s="243">
        <v>10</v>
      </c>
      <c r="B148" s="35">
        <v>242510115</v>
      </c>
      <c r="C148" s="261" t="s">
        <v>1416</v>
      </c>
      <c r="D148" s="194" t="s">
        <v>6</v>
      </c>
      <c r="E148" s="215">
        <v>19</v>
      </c>
      <c r="F148" s="217"/>
      <c r="G148" s="217"/>
      <c r="H148" s="218"/>
      <c r="I148" s="326">
        <f t="shared" si="113"/>
        <v>0</v>
      </c>
      <c r="J148" s="326">
        <f t="shared" si="114"/>
        <v>19</v>
      </c>
      <c r="K148" s="327">
        <f t="shared" si="115"/>
        <v>1</v>
      </c>
      <c r="L148" s="221">
        <v>14</v>
      </c>
      <c r="M148" s="222"/>
      <c r="N148" s="223"/>
      <c r="O148" s="223"/>
      <c r="P148" s="328">
        <f t="shared" si="116"/>
        <v>0</v>
      </c>
      <c r="Q148" s="328">
        <f t="shared" si="117"/>
        <v>14</v>
      </c>
      <c r="R148" s="329">
        <f t="shared" si="118"/>
        <v>1</v>
      </c>
      <c r="S148" s="225">
        <v>12</v>
      </c>
      <c r="T148" s="226"/>
      <c r="U148" s="226"/>
      <c r="V148" s="226"/>
      <c r="W148" s="330">
        <f t="shared" si="119"/>
        <v>0</v>
      </c>
      <c r="X148" s="330">
        <f t="shared" si="120"/>
        <v>12</v>
      </c>
      <c r="Y148" s="331">
        <f t="shared" si="121"/>
        <v>1</v>
      </c>
      <c r="Z148" s="228">
        <v>21</v>
      </c>
      <c r="AA148" s="255"/>
      <c r="AB148" s="255"/>
      <c r="AC148" s="255"/>
      <c r="AD148" s="280">
        <f t="shared" si="122"/>
        <v>0</v>
      </c>
      <c r="AE148" s="280">
        <f t="shared" si="123"/>
        <v>21</v>
      </c>
      <c r="AF148" s="281">
        <f t="shared" si="124"/>
        <v>1</v>
      </c>
      <c r="AG148" s="229">
        <v>18</v>
      </c>
      <c r="AH148" s="257"/>
      <c r="AI148" s="257"/>
      <c r="AJ148" s="257"/>
      <c r="AK148" s="305">
        <f t="shared" si="125"/>
        <v>0</v>
      </c>
      <c r="AL148" s="305">
        <f t="shared" si="126"/>
        <v>18</v>
      </c>
      <c r="AM148" s="306">
        <f t="shared" si="127"/>
        <v>1</v>
      </c>
      <c r="AN148" s="230">
        <v>14</v>
      </c>
      <c r="AO148" s="259"/>
      <c r="AP148" s="259"/>
      <c r="AQ148" s="259"/>
      <c r="AR148" s="307">
        <f t="shared" si="128"/>
        <v>0</v>
      </c>
      <c r="AS148" s="307">
        <f t="shared" si="129"/>
        <v>14</v>
      </c>
      <c r="AT148" s="308">
        <f t="shared" si="130"/>
        <v>1</v>
      </c>
      <c r="AU148" s="289"/>
      <c r="AV148" s="289"/>
      <c r="AW148" s="289"/>
      <c r="AX148" s="290">
        <v>98</v>
      </c>
      <c r="AY148" s="289">
        <f t="shared" si="131"/>
        <v>98</v>
      </c>
      <c r="AZ148" s="291">
        <f t="shared" si="132"/>
        <v>1</v>
      </c>
      <c r="BA148" s="300"/>
      <c r="BB148" s="398">
        <v>100</v>
      </c>
      <c r="BC148" s="379">
        <f t="shared" si="133"/>
        <v>0</v>
      </c>
      <c r="BD148" s="378">
        <f t="shared" si="134"/>
        <v>0</v>
      </c>
      <c r="BE148" s="381"/>
      <c r="BF148" s="393">
        <f t="shared" si="112"/>
        <v>100</v>
      </c>
    </row>
    <row r="149" spans="1:58" x14ac:dyDescent="0.35">
      <c r="A149" s="243">
        <v>11</v>
      </c>
      <c r="B149" s="35">
        <v>242510116</v>
      </c>
      <c r="C149" s="261" t="s">
        <v>1417</v>
      </c>
      <c r="D149" s="194" t="s">
        <v>6</v>
      </c>
      <c r="E149" s="215">
        <v>19</v>
      </c>
      <c r="F149" s="217"/>
      <c r="G149" s="217"/>
      <c r="H149" s="217"/>
      <c r="I149" s="326">
        <f t="shared" si="113"/>
        <v>0</v>
      </c>
      <c r="J149" s="326">
        <f t="shared" si="114"/>
        <v>19</v>
      </c>
      <c r="K149" s="327">
        <f t="shared" si="115"/>
        <v>1</v>
      </c>
      <c r="L149" s="221">
        <v>14</v>
      </c>
      <c r="M149" s="222"/>
      <c r="N149" s="223"/>
      <c r="O149" s="222"/>
      <c r="P149" s="328">
        <f t="shared" si="116"/>
        <v>0</v>
      </c>
      <c r="Q149" s="328">
        <f t="shared" si="117"/>
        <v>14</v>
      </c>
      <c r="R149" s="329">
        <f t="shared" si="118"/>
        <v>1</v>
      </c>
      <c r="S149" s="225">
        <v>12</v>
      </c>
      <c r="T149" s="226"/>
      <c r="U149" s="226"/>
      <c r="V149" s="226"/>
      <c r="W149" s="330">
        <f t="shared" si="119"/>
        <v>0</v>
      </c>
      <c r="X149" s="330">
        <f t="shared" si="120"/>
        <v>12</v>
      </c>
      <c r="Y149" s="331">
        <f t="shared" si="121"/>
        <v>1</v>
      </c>
      <c r="Z149" s="228">
        <v>21</v>
      </c>
      <c r="AA149" s="255"/>
      <c r="AB149" s="255"/>
      <c r="AC149" s="255"/>
      <c r="AD149" s="280">
        <f t="shared" si="122"/>
        <v>0</v>
      </c>
      <c r="AE149" s="280">
        <f t="shared" si="123"/>
        <v>21</v>
      </c>
      <c r="AF149" s="281">
        <f t="shared" si="124"/>
        <v>1</v>
      </c>
      <c r="AG149" s="229">
        <v>18</v>
      </c>
      <c r="AH149" s="257"/>
      <c r="AI149" s="257"/>
      <c r="AJ149" s="257"/>
      <c r="AK149" s="305">
        <f t="shared" si="125"/>
        <v>0</v>
      </c>
      <c r="AL149" s="305">
        <f t="shared" si="126"/>
        <v>18</v>
      </c>
      <c r="AM149" s="306">
        <f t="shared" si="127"/>
        <v>1</v>
      </c>
      <c r="AN149" s="230">
        <v>14</v>
      </c>
      <c r="AO149" s="259"/>
      <c r="AP149" s="259"/>
      <c r="AQ149" s="259"/>
      <c r="AR149" s="307">
        <f t="shared" si="128"/>
        <v>0</v>
      </c>
      <c r="AS149" s="307">
        <f t="shared" si="129"/>
        <v>14</v>
      </c>
      <c r="AT149" s="308">
        <f t="shared" si="130"/>
        <v>1</v>
      </c>
      <c r="AU149" s="289"/>
      <c r="AV149" s="289"/>
      <c r="AW149" s="289"/>
      <c r="AX149" s="290">
        <v>98</v>
      </c>
      <c r="AY149" s="289">
        <f t="shared" si="131"/>
        <v>98</v>
      </c>
      <c r="AZ149" s="291">
        <f t="shared" si="132"/>
        <v>1</v>
      </c>
      <c r="BA149" s="300"/>
      <c r="BB149" s="398">
        <v>98</v>
      </c>
      <c r="BC149" s="379">
        <f t="shared" si="133"/>
        <v>0</v>
      </c>
      <c r="BD149" s="378">
        <f t="shared" si="134"/>
        <v>0</v>
      </c>
      <c r="BE149" s="381"/>
      <c r="BF149" s="393">
        <f t="shared" si="112"/>
        <v>98</v>
      </c>
    </row>
    <row r="150" spans="1:58" x14ac:dyDescent="0.35">
      <c r="A150" s="243">
        <v>12</v>
      </c>
      <c r="B150" s="35">
        <v>242510117</v>
      </c>
      <c r="C150" s="261" t="s">
        <v>1418</v>
      </c>
      <c r="D150" s="194" t="s">
        <v>6</v>
      </c>
      <c r="E150" s="215">
        <v>19</v>
      </c>
      <c r="F150" s="217"/>
      <c r="G150" s="217"/>
      <c r="H150" s="217"/>
      <c r="I150" s="326">
        <f t="shared" si="113"/>
        <v>0</v>
      </c>
      <c r="J150" s="326">
        <f t="shared" si="114"/>
        <v>19</v>
      </c>
      <c r="K150" s="327">
        <f t="shared" si="115"/>
        <v>1</v>
      </c>
      <c r="L150" s="221">
        <v>14</v>
      </c>
      <c r="M150" s="222"/>
      <c r="N150" s="222"/>
      <c r="O150" s="223"/>
      <c r="P150" s="328">
        <f t="shared" si="116"/>
        <v>0</v>
      </c>
      <c r="Q150" s="328">
        <f t="shared" si="117"/>
        <v>14</v>
      </c>
      <c r="R150" s="329">
        <f t="shared" si="118"/>
        <v>1</v>
      </c>
      <c r="S150" s="225">
        <v>12</v>
      </c>
      <c r="T150" s="226"/>
      <c r="U150" s="226"/>
      <c r="V150" s="226"/>
      <c r="W150" s="330">
        <f t="shared" si="119"/>
        <v>0</v>
      </c>
      <c r="X150" s="330">
        <f t="shared" si="120"/>
        <v>12</v>
      </c>
      <c r="Y150" s="331">
        <f t="shared" si="121"/>
        <v>1</v>
      </c>
      <c r="Z150" s="228">
        <v>21</v>
      </c>
      <c r="AA150" s="255"/>
      <c r="AB150" s="255"/>
      <c r="AC150" s="255"/>
      <c r="AD150" s="280">
        <f t="shared" si="122"/>
        <v>0</v>
      </c>
      <c r="AE150" s="280">
        <f t="shared" si="123"/>
        <v>21</v>
      </c>
      <c r="AF150" s="281">
        <f t="shared" si="124"/>
        <v>1</v>
      </c>
      <c r="AG150" s="229">
        <v>18</v>
      </c>
      <c r="AH150" s="257"/>
      <c r="AI150" s="257"/>
      <c r="AJ150" s="257"/>
      <c r="AK150" s="305">
        <f t="shared" si="125"/>
        <v>0</v>
      </c>
      <c r="AL150" s="305">
        <f t="shared" si="126"/>
        <v>18</v>
      </c>
      <c r="AM150" s="306">
        <f t="shared" si="127"/>
        <v>1</v>
      </c>
      <c r="AN150" s="230">
        <v>14</v>
      </c>
      <c r="AO150" s="259"/>
      <c r="AP150" s="259"/>
      <c r="AQ150" s="259"/>
      <c r="AR150" s="307">
        <f t="shared" si="128"/>
        <v>0</v>
      </c>
      <c r="AS150" s="307">
        <f t="shared" si="129"/>
        <v>14</v>
      </c>
      <c r="AT150" s="308">
        <f t="shared" si="130"/>
        <v>1</v>
      </c>
      <c r="AU150" s="289"/>
      <c r="AV150" s="289"/>
      <c r="AW150" s="289"/>
      <c r="AX150" s="290">
        <v>98</v>
      </c>
      <c r="AY150" s="289">
        <f t="shared" si="131"/>
        <v>98</v>
      </c>
      <c r="AZ150" s="291">
        <f t="shared" si="132"/>
        <v>1</v>
      </c>
      <c r="BA150" s="300"/>
      <c r="BB150" s="398">
        <v>98</v>
      </c>
      <c r="BC150" s="379">
        <f t="shared" si="133"/>
        <v>0</v>
      </c>
      <c r="BD150" s="378">
        <f t="shared" si="134"/>
        <v>0</v>
      </c>
      <c r="BE150" s="381"/>
      <c r="BF150" s="393">
        <f t="shared" si="112"/>
        <v>98</v>
      </c>
    </row>
    <row r="151" spans="1:58" x14ac:dyDescent="0.35">
      <c r="A151" s="243">
        <v>13</v>
      </c>
      <c r="B151" s="35">
        <v>242510174</v>
      </c>
      <c r="C151" s="261" t="s">
        <v>1419</v>
      </c>
      <c r="D151" s="194" t="s">
        <v>6</v>
      </c>
      <c r="E151" s="215">
        <v>19</v>
      </c>
      <c r="F151" s="217"/>
      <c r="G151" s="217"/>
      <c r="H151" s="217"/>
      <c r="I151" s="326">
        <f t="shared" si="113"/>
        <v>0</v>
      </c>
      <c r="J151" s="326">
        <f t="shared" si="114"/>
        <v>19</v>
      </c>
      <c r="K151" s="327">
        <f t="shared" si="115"/>
        <v>1</v>
      </c>
      <c r="L151" s="221">
        <v>14</v>
      </c>
      <c r="M151" s="222"/>
      <c r="N151" s="222"/>
      <c r="O151" s="222"/>
      <c r="P151" s="328">
        <f t="shared" si="116"/>
        <v>0</v>
      </c>
      <c r="Q151" s="328">
        <f t="shared" si="117"/>
        <v>14</v>
      </c>
      <c r="R151" s="329">
        <f t="shared" si="118"/>
        <v>1</v>
      </c>
      <c r="S151" s="225">
        <v>12</v>
      </c>
      <c r="T151" s="226"/>
      <c r="U151" s="226"/>
      <c r="V151" s="226"/>
      <c r="W151" s="330">
        <f t="shared" si="119"/>
        <v>0</v>
      </c>
      <c r="X151" s="330">
        <f t="shared" si="120"/>
        <v>12</v>
      </c>
      <c r="Y151" s="331">
        <f t="shared" si="121"/>
        <v>1</v>
      </c>
      <c r="Z151" s="228">
        <v>21</v>
      </c>
      <c r="AA151" s="255"/>
      <c r="AB151" s="255"/>
      <c r="AC151" s="255"/>
      <c r="AD151" s="280">
        <f t="shared" si="122"/>
        <v>0</v>
      </c>
      <c r="AE151" s="280">
        <f t="shared" si="123"/>
        <v>21</v>
      </c>
      <c r="AF151" s="281">
        <f t="shared" si="124"/>
        <v>1</v>
      </c>
      <c r="AG151" s="229">
        <v>18</v>
      </c>
      <c r="AH151" s="257"/>
      <c r="AI151" s="257"/>
      <c r="AJ151" s="257"/>
      <c r="AK151" s="305">
        <f t="shared" si="125"/>
        <v>0</v>
      </c>
      <c r="AL151" s="305">
        <f t="shared" si="126"/>
        <v>18</v>
      </c>
      <c r="AM151" s="306">
        <f t="shared" si="127"/>
        <v>1</v>
      </c>
      <c r="AN151" s="230">
        <v>14</v>
      </c>
      <c r="AO151" s="259"/>
      <c r="AP151" s="259"/>
      <c r="AQ151" s="259"/>
      <c r="AR151" s="307">
        <f t="shared" si="128"/>
        <v>0</v>
      </c>
      <c r="AS151" s="307">
        <f t="shared" si="129"/>
        <v>14</v>
      </c>
      <c r="AT151" s="308">
        <f t="shared" si="130"/>
        <v>1</v>
      </c>
      <c r="AU151" s="289"/>
      <c r="AV151" s="289"/>
      <c r="AW151" s="289"/>
      <c r="AX151" s="290">
        <v>98</v>
      </c>
      <c r="AY151" s="289">
        <f t="shared" si="131"/>
        <v>98</v>
      </c>
      <c r="AZ151" s="291">
        <f t="shared" si="132"/>
        <v>1</v>
      </c>
      <c r="BA151" s="300">
        <v>2</v>
      </c>
      <c r="BB151" s="398">
        <v>68</v>
      </c>
      <c r="BC151" s="379">
        <f t="shared" si="133"/>
        <v>4</v>
      </c>
      <c r="BD151" s="378">
        <f t="shared" si="134"/>
        <v>0</v>
      </c>
      <c r="BE151" s="381"/>
      <c r="BF151" s="393">
        <f t="shared" si="112"/>
        <v>64</v>
      </c>
    </row>
    <row r="152" spans="1:58" x14ac:dyDescent="0.35">
      <c r="A152" s="243">
        <v>14</v>
      </c>
      <c r="B152" s="35">
        <v>242510118</v>
      </c>
      <c r="C152" s="261" t="s">
        <v>1420</v>
      </c>
      <c r="D152" s="194" t="s">
        <v>6</v>
      </c>
      <c r="E152" s="215">
        <v>19</v>
      </c>
      <c r="F152" s="217"/>
      <c r="G152" s="217"/>
      <c r="H152" s="217"/>
      <c r="I152" s="326">
        <f t="shared" si="113"/>
        <v>0</v>
      </c>
      <c r="J152" s="326">
        <f t="shared" si="114"/>
        <v>19</v>
      </c>
      <c r="K152" s="327">
        <f t="shared" si="115"/>
        <v>1</v>
      </c>
      <c r="L152" s="221">
        <v>14</v>
      </c>
      <c r="M152" s="222"/>
      <c r="N152" s="223"/>
      <c r="O152" s="222"/>
      <c r="P152" s="328">
        <f t="shared" si="116"/>
        <v>0</v>
      </c>
      <c r="Q152" s="328">
        <f t="shared" si="117"/>
        <v>14</v>
      </c>
      <c r="R152" s="329">
        <f t="shared" si="118"/>
        <v>1</v>
      </c>
      <c r="S152" s="225">
        <v>12</v>
      </c>
      <c r="T152" s="226"/>
      <c r="U152" s="226"/>
      <c r="V152" s="226"/>
      <c r="W152" s="330">
        <f t="shared" si="119"/>
        <v>0</v>
      </c>
      <c r="X152" s="330">
        <f t="shared" si="120"/>
        <v>12</v>
      </c>
      <c r="Y152" s="331">
        <f t="shared" si="121"/>
        <v>1</v>
      </c>
      <c r="Z152" s="228">
        <v>21</v>
      </c>
      <c r="AA152" s="255"/>
      <c r="AB152" s="255"/>
      <c r="AC152" s="255"/>
      <c r="AD152" s="280">
        <f t="shared" si="122"/>
        <v>0</v>
      </c>
      <c r="AE152" s="280">
        <f t="shared" si="123"/>
        <v>21</v>
      </c>
      <c r="AF152" s="281">
        <f t="shared" si="124"/>
        <v>1</v>
      </c>
      <c r="AG152" s="229">
        <v>18</v>
      </c>
      <c r="AH152" s="257"/>
      <c r="AI152" s="257"/>
      <c r="AJ152" s="257"/>
      <c r="AK152" s="305">
        <f t="shared" si="125"/>
        <v>0</v>
      </c>
      <c r="AL152" s="305">
        <f t="shared" si="126"/>
        <v>18</v>
      </c>
      <c r="AM152" s="306">
        <f t="shared" si="127"/>
        <v>1</v>
      </c>
      <c r="AN152" s="230">
        <v>14</v>
      </c>
      <c r="AO152" s="259"/>
      <c r="AP152" s="259"/>
      <c r="AQ152" s="259"/>
      <c r="AR152" s="307">
        <f t="shared" si="128"/>
        <v>0</v>
      </c>
      <c r="AS152" s="307">
        <f t="shared" si="129"/>
        <v>14</v>
      </c>
      <c r="AT152" s="308">
        <f t="shared" si="130"/>
        <v>1</v>
      </c>
      <c r="AU152" s="289"/>
      <c r="AV152" s="289"/>
      <c r="AW152" s="289"/>
      <c r="AX152" s="290">
        <v>98</v>
      </c>
      <c r="AY152" s="289">
        <f t="shared" si="131"/>
        <v>98</v>
      </c>
      <c r="AZ152" s="291">
        <f t="shared" si="132"/>
        <v>1</v>
      </c>
      <c r="BA152" s="300"/>
      <c r="BB152" s="398">
        <v>100</v>
      </c>
      <c r="BC152" s="379">
        <f t="shared" si="133"/>
        <v>0</v>
      </c>
      <c r="BD152" s="378">
        <f t="shared" si="134"/>
        <v>0</v>
      </c>
      <c r="BE152" s="381"/>
      <c r="BF152" s="393">
        <f t="shared" si="112"/>
        <v>100</v>
      </c>
    </row>
    <row r="153" spans="1:58" x14ac:dyDescent="0.35">
      <c r="A153" s="243">
        <v>15</v>
      </c>
      <c r="B153" s="35">
        <v>242510119</v>
      </c>
      <c r="C153" s="261" t="s">
        <v>1421</v>
      </c>
      <c r="D153" s="194" t="s">
        <v>6</v>
      </c>
      <c r="E153" s="215">
        <v>19</v>
      </c>
      <c r="F153" s="217"/>
      <c r="G153" s="217"/>
      <c r="H153" s="217"/>
      <c r="I153" s="326">
        <f t="shared" si="113"/>
        <v>0</v>
      </c>
      <c r="J153" s="326">
        <f t="shared" si="114"/>
        <v>19</v>
      </c>
      <c r="K153" s="327">
        <f t="shared" si="115"/>
        <v>1</v>
      </c>
      <c r="L153" s="221">
        <v>14</v>
      </c>
      <c r="M153" s="222"/>
      <c r="N153" s="222"/>
      <c r="O153" s="222"/>
      <c r="P153" s="328">
        <f t="shared" si="116"/>
        <v>0</v>
      </c>
      <c r="Q153" s="328">
        <f t="shared" si="117"/>
        <v>14</v>
      </c>
      <c r="R153" s="329">
        <f t="shared" si="118"/>
        <v>1</v>
      </c>
      <c r="S153" s="225">
        <v>12</v>
      </c>
      <c r="T153" s="226"/>
      <c r="U153" s="226"/>
      <c r="V153" s="226"/>
      <c r="W153" s="330">
        <f t="shared" si="119"/>
        <v>0</v>
      </c>
      <c r="X153" s="330">
        <f t="shared" si="120"/>
        <v>12</v>
      </c>
      <c r="Y153" s="331">
        <f t="shared" si="121"/>
        <v>1</v>
      </c>
      <c r="Z153" s="228">
        <v>21</v>
      </c>
      <c r="AA153" s="255"/>
      <c r="AB153" s="255"/>
      <c r="AC153" s="255"/>
      <c r="AD153" s="280">
        <f t="shared" si="122"/>
        <v>0</v>
      </c>
      <c r="AE153" s="280">
        <f t="shared" si="123"/>
        <v>21</v>
      </c>
      <c r="AF153" s="281">
        <f t="shared" si="124"/>
        <v>1</v>
      </c>
      <c r="AG153" s="229">
        <v>18</v>
      </c>
      <c r="AH153" s="257"/>
      <c r="AI153" s="257"/>
      <c r="AJ153" s="257"/>
      <c r="AK153" s="305">
        <f t="shared" si="125"/>
        <v>0</v>
      </c>
      <c r="AL153" s="305">
        <f t="shared" si="126"/>
        <v>18</v>
      </c>
      <c r="AM153" s="306">
        <f t="shared" si="127"/>
        <v>1</v>
      </c>
      <c r="AN153" s="230">
        <v>14</v>
      </c>
      <c r="AO153" s="259"/>
      <c r="AP153" s="259"/>
      <c r="AQ153" s="259"/>
      <c r="AR153" s="307">
        <f t="shared" si="128"/>
        <v>0</v>
      </c>
      <c r="AS153" s="307">
        <f t="shared" si="129"/>
        <v>14</v>
      </c>
      <c r="AT153" s="308">
        <f t="shared" si="130"/>
        <v>1</v>
      </c>
      <c r="AU153" s="289"/>
      <c r="AV153" s="289"/>
      <c r="AW153" s="289"/>
      <c r="AX153" s="290">
        <v>98</v>
      </c>
      <c r="AY153" s="289">
        <f t="shared" si="131"/>
        <v>98</v>
      </c>
      <c r="AZ153" s="291">
        <f t="shared" si="132"/>
        <v>1</v>
      </c>
      <c r="BA153" s="300"/>
      <c r="BB153" s="398">
        <v>100</v>
      </c>
      <c r="BC153" s="379">
        <f t="shared" si="133"/>
        <v>0</v>
      </c>
      <c r="BD153" s="378">
        <f t="shared" si="134"/>
        <v>0</v>
      </c>
      <c r="BE153" s="381"/>
      <c r="BF153" s="393">
        <f t="shared" si="112"/>
        <v>100</v>
      </c>
    </row>
    <row r="154" spans="1:58" x14ac:dyDescent="0.35">
      <c r="A154" s="243">
        <v>16</v>
      </c>
      <c r="B154" s="35">
        <v>242510120</v>
      </c>
      <c r="C154" s="261" t="s">
        <v>1422</v>
      </c>
      <c r="D154" s="194" t="s">
        <v>8</v>
      </c>
      <c r="E154" s="215">
        <v>19</v>
      </c>
      <c r="F154" s="217"/>
      <c r="G154" s="217"/>
      <c r="H154" s="217"/>
      <c r="I154" s="326">
        <f t="shared" si="113"/>
        <v>0</v>
      </c>
      <c r="J154" s="326">
        <f t="shared" si="114"/>
        <v>19</v>
      </c>
      <c r="K154" s="327">
        <f t="shared" si="115"/>
        <v>1</v>
      </c>
      <c r="L154" s="221">
        <v>14</v>
      </c>
      <c r="M154" s="222"/>
      <c r="N154" s="223"/>
      <c r="O154" s="222"/>
      <c r="P154" s="328">
        <f t="shared" si="116"/>
        <v>0</v>
      </c>
      <c r="Q154" s="328">
        <f t="shared" si="117"/>
        <v>14</v>
      </c>
      <c r="R154" s="329">
        <f t="shared" si="118"/>
        <v>1</v>
      </c>
      <c r="S154" s="225">
        <v>12</v>
      </c>
      <c r="T154" s="226"/>
      <c r="U154" s="226"/>
      <c r="V154" s="226"/>
      <c r="W154" s="330">
        <f t="shared" si="119"/>
        <v>0</v>
      </c>
      <c r="X154" s="330">
        <f t="shared" si="120"/>
        <v>12</v>
      </c>
      <c r="Y154" s="331">
        <f t="shared" si="121"/>
        <v>1</v>
      </c>
      <c r="Z154" s="228">
        <v>21</v>
      </c>
      <c r="AA154" s="255"/>
      <c r="AB154" s="255"/>
      <c r="AC154" s="255"/>
      <c r="AD154" s="280">
        <f t="shared" si="122"/>
        <v>0</v>
      </c>
      <c r="AE154" s="280">
        <f t="shared" si="123"/>
        <v>21</v>
      </c>
      <c r="AF154" s="281">
        <f t="shared" si="124"/>
        <v>1</v>
      </c>
      <c r="AG154" s="229">
        <v>18</v>
      </c>
      <c r="AH154" s="257"/>
      <c r="AI154" s="257"/>
      <c r="AJ154" s="257"/>
      <c r="AK154" s="305">
        <f t="shared" si="125"/>
        <v>0</v>
      </c>
      <c r="AL154" s="305">
        <f t="shared" si="126"/>
        <v>18</v>
      </c>
      <c r="AM154" s="306">
        <f t="shared" si="127"/>
        <v>1</v>
      </c>
      <c r="AN154" s="230">
        <v>14</v>
      </c>
      <c r="AO154" s="259"/>
      <c r="AP154" s="259"/>
      <c r="AQ154" s="259"/>
      <c r="AR154" s="307">
        <f t="shared" si="128"/>
        <v>0</v>
      </c>
      <c r="AS154" s="307">
        <f t="shared" si="129"/>
        <v>14</v>
      </c>
      <c r="AT154" s="308">
        <f t="shared" si="130"/>
        <v>1</v>
      </c>
      <c r="AU154" s="289"/>
      <c r="AV154" s="289"/>
      <c r="AW154" s="289"/>
      <c r="AX154" s="290">
        <v>98</v>
      </c>
      <c r="AY154" s="289">
        <f t="shared" si="131"/>
        <v>98</v>
      </c>
      <c r="AZ154" s="291">
        <f t="shared" si="132"/>
        <v>1</v>
      </c>
      <c r="BA154" s="300"/>
      <c r="BB154" s="398">
        <v>94</v>
      </c>
      <c r="BC154" s="379">
        <f t="shared" si="133"/>
        <v>0</v>
      </c>
      <c r="BD154" s="378">
        <f t="shared" si="134"/>
        <v>0</v>
      </c>
      <c r="BE154" s="381"/>
      <c r="BF154" s="393">
        <f t="shared" si="112"/>
        <v>94</v>
      </c>
    </row>
    <row r="155" spans="1:58" x14ac:dyDescent="0.35">
      <c r="A155" s="243">
        <v>17</v>
      </c>
      <c r="B155" s="35">
        <v>242510121</v>
      </c>
      <c r="C155" s="261" t="s">
        <v>1423</v>
      </c>
      <c r="D155" s="194" t="s">
        <v>6</v>
      </c>
      <c r="E155" s="215">
        <v>19</v>
      </c>
      <c r="F155" s="217"/>
      <c r="G155" s="217"/>
      <c r="H155" s="217"/>
      <c r="I155" s="326">
        <f t="shared" si="113"/>
        <v>0</v>
      </c>
      <c r="J155" s="326">
        <f t="shared" si="114"/>
        <v>19</v>
      </c>
      <c r="K155" s="327">
        <f t="shared" si="115"/>
        <v>1</v>
      </c>
      <c r="L155" s="221">
        <v>14</v>
      </c>
      <c r="M155" s="222"/>
      <c r="N155" s="223"/>
      <c r="O155" s="222"/>
      <c r="P155" s="328">
        <f t="shared" si="116"/>
        <v>0</v>
      </c>
      <c r="Q155" s="328">
        <f t="shared" si="117"/>
        <v>14</v>
      </c>
      <c r="R155" s="329">
        <f t="shared" si="118"/>
        <v>1</v>
      </c>
      <c r="S155" s="225">
        <v>12</v>
      </c>
      <c r="T155" s="226"/>
      <c r="U155" s="226"/>
      <c r="V155" s="226"/>
      <c r="W155" s="330">
        <f t="shared" si="119"/>
        <v>0</v>
      </c>
      <c r="X155" s="330">
        <f t="shared" si="120"/>
        <v>12</v>
      </c>
      <c r="Y155" s="331">
        <f t="shared" si="121"/>
        <v>1</v>
      </c>
      <c r="Z155" s="228">
        <v>21</v>
      </c>
      <c r="AA155" s="255"/>
      <c r="AB155" s="255"/>
      <c r="AC155" s="255"/>
      <c r="AD155" s="280">
        <f t="shared" si="122"/>
        <v>0</v>
      </c>
      <c r="AE155" s="280">
        <f t="shared" si="123"/>
        <v>21</v>
      </c>
      <c r="AF155" s="281">
        <f t="shared" si="124"/>
        <v>1</v>
      </c>
      <c r="AG155" s="229">
        <v>18</v>
      </c>
      <c r="AH155" s="257"/>
      <c r="AI155" s="257"/>
      <c r="AJ155" s="257"/>
      <c r="AK155" s="305">
        <f t="shared" si="125"/>
        <v>0</v>
      </c>
      <c r="AL155" s="305">
        <f t="shared" si="126"/>
        <v>18</v>
      </c>
      <c r="AM155" s="306">
        <f t="shared" si="127"/>
        <v>1</v>
      </c>
      <c r="AN155" s="230">
        <v>14</v>
      </c>
      <c r="AO155" s="259"/>
      <c r="AP155" s="259"/>
      <c r="AQ155" s="259"/>
      <c r="AR155" s="307">
        <f t="shared" si="128"/>
        <v>0</v>
      </c>
      <c r="AS155" s="307">
        <f t="shared" si="129"/>
        <v>14</v>
      </c>
      <c r="AT155" s="308">
        <f t="shared" si="130"/>
        <v>1</v>
      </c>
      <c r="AU155" s="289"/>
      <c r="AV155" s="289"/>
      <c r="AW155" s="289"/>
      <c r="AX155" s="290">
        <v>98</v>
      </c>
      <c r="AY155" s="289">
        <f t="shared" si="131"/>
        <v>98</v>
      </c>
      <c r="AZ155" s="291">
        <f t="shared" si="132"/>
        <v>1</v>
      </c>
      <c r="BA155" s="300">
        <v>4</v>
      </c>
      <c r="BB155" s="398">
        <v>36</v>
      </c>
      <c r="BC155" s="379">
        <f t="shared" si="133"/>
        <v>8</v>
      </c>
      <c r="BD155" s="378">
        <f t="shared" si="134"/>
        <v>0</v>
      </c>
      <c r="BE155" s="381"/>
      <c r="BF155" s="393">
        <f t="shared" si="112"/>
        <v>28</v>
      </c>
    </row>
    <row r="156" spans="1:58" x14ac:dyDescent="0.35">
      <c r="A156" s="243">
        <v>18</v>
      </c>
      <c r="B156" s="35">
        <v>252611234</v>
      </c>
      <c r="C156" s="261" t="s">
        <v>1424</v>
      </c>
      <c r="D156" s="194" t="s">
        <v>8</v>
      </c>
      <c r="E156" s="215">
        <v>19</v>
      </c>
      <c r="F156" s="217"/>
      <c r="G156" s="217"/>
      <c r="H156" s="217"/>
      <c r="I156" s="326">
        <f t="shared" si="113"/>
        <v>0</v>
      </c>
      <c r="J156" s="326">
        <f t="shared" si="114"/>
        <v>19</v>
      </c>
      <c r="K156" s="327">
        <f t="shared" si="115"/>
        <v>1</v>
      </c>
      <c r="L156" s="221">
        <v>14</v>
      </c>
      <c r="M156" s="222"/>
      <c r="N156" s="223"/>
      <c r="O156" s="222"/>
      <c r="P156" s="328">
        <f t="shared" si="116"/>
        <v>0</v>
      </c>
      <c r="Q156" s="328">
        <f t="shared" si="117"/>
        <v>14</v>
      </c>
      <c r="R156" s="329">
        <f t="shared" si="118"/>
        <v>1</v>
      </c>
      <c r="S156" s="225">
        <v>12</v>
      </c>
      <c r="T156" s="226"/>
      <c r="U156" s="226"/>
      <c r="V156" s="226"/>
      <c r="W156" s="330">
        <f t="shared" si="119"/>
        <v>0</v>
      </c>
      <c r="X156" s="330">
        <f t="shared" si="120"/>
        <v>12</v>
      </c>
      <c r="Y156" s="331">
        <f t="shared" si="121"/>
        <v>1</v>
      </c>
      <c r="Z156" s="228">
        <v>21</v>
      </c>
      <c r="AA156" s="255"/>
      <c r="AB156" s="255"/>
      <c r="AC156" s="255"/>
      <c r="AD156" s="280">
        <f t="shared" si="122"/>
        <v>0</v>
      </c>
      <c r="AE156" s="280">
        <f t="shared" si="123"/>
        <v>21</v>
      </c>
      <c r="AF156" s="281">
        <f t="shared" si="124"/>
        <v>1</v>
      </c>
      <c r="AG156" s="229">
        <v>18</v>
      </c>
      <c r="AH156" s="257"/>
      <c r="AI156" s="257"/>
      <c r="AJ156" s="257"/>
      <c r="AK156" s="305">
        <f t="shared" si="125"/>
        <v>0</v>
      </c>
      <c r="AL156" s="305">
        <f t="shared" si="126"/>
        <v>18</v>
      </c>
      <c r="AM156" s="306">
        <f t="shared" si="127"/>
        <v>1</v>
      </c>
      <c r="AN156" s="230">
        <v>14</v>
      </c>
      <c r="AO156" s="259"/>
      <c r="AP156" s="259"/>
      <c r="AQ156" s="259"/>
      <c r="AR156" s="307">
        <f t="shared" si="128"/>
        <v>0</v>
      </c>
      <c r="AS156" s="307">
        <f t="shared" si="129"/>
        <v>14</v>
      </c>
      <c r="AT156" s="308">
        <f t="shared" si="130"/>
        <v>1</v>
      </c>
      <c r="AU156" s="289"/>
      <c r="AV156" s="289"/>
      <c r="AW156" s="289"/>
      <c r="AX156" s="290">
        <v>98</v>
      </c>
      <c r="AY156" s="289">
        <f t="shared" si="131"/>
        <v>98</v>
      </c>
      <c r="AZ156" s="291">
        <f t="shared" si="132"/>
        <v>1</v>
      </c>
      <c r="BA156" s="300">
        <v>2</v>
      </c>
      <c r="BB156" s="398">
        <v>100</v>
      </c>
      <c r="BC156" s="379">
        <f t="shared" si="133"/>
        <v>4</v>
      </c>
      <c r="BD156" s="378">
        <f t="shared" si="134"/>
        <v>0</v>
      </c>
      <c r="BE156" s="381"/>
      <c r="BF156" s="393">
        <f t="shared" si="112"/>
        <v>96</v>
      </c>
    </row>
    <row r="157" spans="1:58" x14ac:dyDescent="0.35">
      <c r="A157" s="243">
        <v>19</v>
      </c>
      <c r="B157" s="38">
        <v>242510122</v>
      </c>
      <c r="C157" s="335" t="s">
        <v>1425</v>
      </c>
      <c r="D157" s="194" t="s">
        <v>6</v>
      </c>
      <c r="E157" s="215">
        <v>19</v>
      </c>
      <c r="F157" s="217"/>
      <c r="G157" s="217"/>
      <c r="H157" s="217"/>
      <c r="I157" s="326">
        <f t="shared" si="113"/>
        <v>0</v>
      </c>
      <c r="J157" s="326">
        <f t="shared" si="114"/>
        <v>19</v>
      </c>
      <c r="K157" s="327">
        <f t="shared" si="115"/>
        <v>1</v>
      </c>
      <c r="L157" s="221">
        <v>14</v>
      </c>
      <c r="M157" s="223"/>
      <c r="N157" s="223"/>
      <c r="O157" s="222"/>
      <c r="P157" s="328">
        <f t="shared" si="116"/>
        <v>0</v>
      </c>
      <c r="Q157" s="328">
        <f t="shared" si="117"/>
        <v>14</v>
      </c>
      <c r="R157" s="329">
        <f t="shared" si="118"/>
        <v>1</v>
      </c>
      <c r="S157" s="225">
        <v>12</v>
      </c>
      <c r="T157" s="226"/>
      <c r="U157" s="226"/>
      <c r="V157" s="226"/>
      <c r="W157" s="330">
        <f t="shared" si="119"/>
        <v>0</v>
      </c>
      <c r="X157" s="330">
        <f t="shared" si="120"/>
        <v>12</v>
      </c>
      <c r="Y157" s="331">
        <f t="shared" si="121"/>
        <v>1</v>
      </c>
      <c r="Z157" s="228">
        <v>21</v>
      </c>
      <c r="AA157" s="255"/>
      <c r="AB157" s="255"/>
      <c r="AC157" s="255"/>
      <c r="AD157" s="280">
        <f t="shared" si="122"/>
        <v>0</v>
      </c>
      <c r="AE157" s="280">
        <f t="shared" si="123"/>
        <v>21</v>
      </c>
      <c r="AF157" s="281">
        <f t="shared" si="124"/>
        <v>1</v>
      </c>
      <c r="AG157" s="229">
        <v>18</v>
      </c>
      <c r="AH157" s="257"/>
      <c r="AI157" s="257"/>
      <c r="AJ157" s="257"/>
      <c r="AK157" s="305">
        <f t="shared" si="125"/>
        <v>0</v>
      </c>
      <c r="AL157" s="305">
        <f t="shared" si="126"/>
        <v>18</v>
      </c>
      <c r="AM157" s="306">
        <f t="shared" si="127"/>
        <v>1</v>
      </c>
      <c r="AN157" s="230">
        <v>14</v>
      </c>
      <c r="AO157" s="259"/>
      <c r="AP157" s="259"/>
      <c r="AQ157" s="259"/>
      <c r="AR157" s="307">
        <f t="shared" si="128"/>
        <v>0</v>
      </c>
      <c r="AS157" s="307">
        <f t="shared" si="129"/>
        <v>14</v>
      </c>
      <c r="AT157" s="308">
        <f t="shared" si="130"/>
        <v>1</v>
      </c>
      <c r="AU157" s="289"/>
      <c r="AV157" s="289"/>
      <c r="AW157" s="289"/>
      <c r="AX157" s="290">
        <v>98</v>
      </c>
      <c r="AY157" s="289">
        <f t="shared" si="131"/>
        <v>98</v>
      </c>
      <c r="AZ157" s="291">
        <f t="shared" si="132"/>
        <v>1</v>
      </c>
      <c r="BA157" s="300"/>
      <c r="BB157" s="398">
        <v>100</v>
      </c>
      <c r="BC157" s="379">
        <f t="shared" si="133"/>
        <v>0</v>
      </c>
      <c r="BD157" s="378">
        <f t="shared" si="134"/>
        <v>0</v>
      </c>
      <c r="BE157" s="381"/>
      <c r="BF157" s="393">
        <f t="shared" si="112"/>
        <v>100</v>
      </c>
    </row>
    <row r="158" spans="1:58" x14ac:dyDescent="0.35">
      <c r="A158" s="243">
        <v>20</v>
      </c>
      <c r="B158" s="35">
        <v>242510123</v>
      </c>
      <c r="C158" s="261" t="s">
        <v>1426</v>
      </c>
      <c r="D158" s="194" t="s">
        <v>6</v>
      </c>
      <c r="E158" s="215">
        <v>19</v>
      </c>
      <c r="F158" s="217"/>
      <c r="G158" s="217"/>
      <c r="H158" s="217"/>
      <c r="I158" s="326">
        <f t="shared" si="113"/>
        <v>0</v>
      </c>
      <c r="J158" s="326">
        <f t="shared" si="114"/>
        <v>19</v>
      </c>
      <c r="K158" s="327">
        <f t="shared" si="115"/>
        <v>1</v>
      </c>
      <c r="L158" s="221">
        <v>14</v>
      </c>
      <c r="M158" s="222"/>
      <c r="N158" s="223"/>
      <c r="O158" s="223"/>
      <c r="P158" s="328">
        <f t="shared" si="116"/>
        <v>0</v>
      </c>
      <c r="Q158" s="328">
        <f t="shared" si="117"/>
        <v>14</v>
      </c>
      <c r="R158" s="329">
        <f t="shared" si="118"/>
        <v>1</v>
      </c>
      <c r="S158" s="225">
        <v>12</v>
      </c>
      <c r="T158" s="226"/>
      <c r="U158" s="226"/>
      <c r="V158" s="226"/>
      <c r="W158" s="330">
        <f t="shared" si="119"/>
        <v>0</v>
      </c>
      <c r="X158" s="330">
        <f t="shared" si="120"/>
        <v>12</v>
      </c>
      <c r="Y158" s="331">
        <f t="shared" si="121"/>
        <v>1</v>
      </c>
      <c r="Z158" s="228">
        <v>21</v>
      </c>
      <c r="AA158" s="255"/>
      <c r="AB158" s="255"/>
      <c r="AC158" s="255"/>
      <c r="AD158" s="280">
        <f t="shared" si="122"/>
        <v>0</v>
      </c>
      <c r="AE158" s="280">
        <f t="shared" si="123"/>
        <v>21</v>
      </c>
      <c r="AF158" s="281">
        <f t="shared" si="124"/>
        <v>1</v>
      </c>
      <c r="AG158" s="229">
        <v>18</v>
      </c>
      <c r="AH158" s="257"/>
      <c r="AI158" s="257"/>
      <c r="AJ158" s="257"/>
      <c r="AK158" s="305">
        <f t="shared" si="125"/>
        <v>0</v>
      </c>
      <c r="AL158" s="305">
        <f t="shared" si="126"/>
        <v>18</v>
      </c>
      <c r="AM158" s="306">
        <f t="shared" si="127"/>
        <v>1</v>
      </c>
      <c r="AN158" s="230">
        <v>14</v>
      </c>
      <c r="AO158" s="259"/>
      <c r="AP158" s="259"/>
      <c r="AQ158" s="259"/>
      <c r="AR158" s="307">
        <f t="shared" si="128"/>
        <v>0</v>
      </c>
      <c r="AS158" s="307">
        <f t="shared" si="129"/>
        <v>14</v>
      </c>
      <c r="AT158" s="308">
        <f t="shared" si="130"/>
        <v>1</v>
      </c>
      <c r="AU158" s="289"/>
      <c r="AV158" s="289"/>
      <c r="AW158" s="289"/>
      <c r="AX158" s="290">
        <v>98</v>
      </c>
      <c r="AY158" s="289">
        <f t="shared" si="131"/>
        <v>98</v>
      </c>
      <c r="AZ158" s="291">
        <f t="shared" si="132"/>
        <v>1</v>
      </c>
      <c r="BA158" s="300"/>
      <c r="BB158" s="398">
        <v>100</v>
      </c>
      <c r="BC158" s="379">
        <f t="shared" si="133"/>
        <v>0</v>
      </c>
      <c r="BD158" s="378">
        <f t="shared" si="134"/>
        <v>0</v>
      </c>
      <c r="BE158" s="381"/>
      <c r="BF158" s="393">
        <f t="shared" si="112"/>
        <v>100</v>
      </c>
    </row>
    <row r="159" spans="1:58" x14ac:dyDescent="0.35">
      <c r="A159" s="243">
        <v>21</v>
      </c>
      <c r="B159" s="35">
        <v>242510124</v>
      </c>
      <c r="C159" s="261" t="s">
        <v>1427</v>
      </c>
      <c r="D159" s="194" t="s">
        <v>6</v>
      </c>
      <c r="E159" s="215">
        <v>19</v>
      </c>
      <c r="F159" s="217"/>
      <c r="G159" s="218"/>
      <c r="H159" s="217"/>
      <c r="I159" s="326">
        <f t="shared" si="113"/>
        <v>0</v>
      </c>
      <c r="J159" s="326">
        <f t="shared" si="114"/>
        <v>19</v>
      </c>
      <c r="K159" s="327">
        <f t="shared" si="115"/>
        <v>1</v>
      </c>
      <c r="L159" s="221">
        <v>14</v>
      </c>
      <c r="M159" s="222"/>
      <c r="N159" s="223"/>
      <c r="O159" s="223"/>
      <c r="P159" s="328">
        <f t="shared" si="116"/>
        <v>0</v>
      </c>
      <c r="Q159" s="328">
        <f t="shared" si="117"/>
        <v>14</v>
      </c>
      <c r="R159" s="329">
        <f t="shared" si="118"/>
        <v>1</v>
      </c>
      <c r="S159" s="225">
        <v>12</v>
      </c>
      <c r="T159" s="226"/>
      <c r="U159" s="226"/>
      <c r="V159" s="226"/>
      <c r="W159" s="330">
        <f t="shared" si="119"/>
        <v>0</v>
      </c>
      <c r="X159" s="330">
        <f t="shared" si="120"/>
        <v>12</v>
      </c>
      <c r="Y159" s="331">
        <f t="shared" si="121"/>
        <v>1</v>
      </c>
      <c r="Z159" s="228">
        <v>21</v>
      </c>
      <c r="AA159" s="255"/>
      <c r="AB159" s="255"/>
      <c r="AC159" s="255"/>
      <c r="AD159" s="280">
        <f t="shared" si="122"/>
        <v>0</v>
      </c>
      <c r="AE159" s="280">
        <f t="shared" si="123"/>
        <v>21</v>
      </c>
      <c r="AF159" s="281">
        <f t="shared" si="124"/>
        <v>1</v>
      </c>
      <c r="AG159" s="229">
        <v>18</v>
      </c>
      <c r="AH159" s="257"/>
      <c r="AI159" s="257"/>
      <c r="AJ159" s="257"/>
      <c r="AK159" s="305">
        <f t="shared" si="125"/>
        <v>0</v>
      </c>
      <c r="AL159" s="305">
        <f t="shared" si="126"/>
        <v>18</v>
      </c>
      <c r="AM159" s="306">
        <f t="shared" si="127"/>
        <v>1</v>
      </c>
      <c r="AN159" s="230">
        <v>14</v>
      </c>
      <c r="AO159" s="259"/>
      <c r="AP159" s="259"/>
      <c r="AQ159" s="259"/>
      <c r="AR159" s="307">
        <f t="shared" si="128"/>
        <v>0</v>
      </c>
      <c r="AS159" s="307">
        <f t="shared" si="129"/>
        <v>14</v>
      </c>
      <c r="AT159" s="308">
        <f t="shared" si="130"/>
        <v>1</v>
      </c>
      <c r="AU159" s="289"/>
      <c r="AV159" s="289"/>
      <c r="AW159" s="289"/>
      <c r="AX159" s="290">
        <v>98</v>
      </c>
      <c r="AY159" s="289">
        <f t="shared" si="131"/>
        <v>98</v>
      </c>
      <c r="AZ159" s="291">
        <f t="shared" si="132"/>
        <v>1</v>
      </c>
      <c r="BA159" s="300">
        <v>1</v>
      </c>
      <c r="BB159" s="398">
        <v>80</v>
      </c>
      <c r="BC159" s="379">
        <f t="shared" si="133"/>
        <v>2</v>
      </c>
      <c r="BD159" s="378">
        <f t="shared" si="134"/>
        <v>0</v>
      </c>
      <c r="BE159" s="381"/>
      <c r="BF159" s="393">
        <f t="shared" si="112"/>
        <v>78</v>
      </c>
    </row>
    <row r="160" spans="1:58" x14ac:dyDescent="0.35">
      <c r="A160" s="243">
        <v>22</v>
      </c>
      <c r="B160" s="35">
        <v>242510125</v>
      </c>
      <c r="C160" s="261" t="s">
        <v>1428</v>
      </c>
      <c r="D160" s="194" t="s">
        <v>6</v>
      </c>
      <c r="E160" s="215">
        <v>19</v>
      </c>
      <c r="F160" s="217"/>
      <c r="G160" s="217"/>
      <c r="H160" s="217"/>
      <c r="I160" s="326">
        <f t="shared" si="113"/>
        <v>0</v>
      </c>
      <c r="J160" s="326">
        <f t="shared" si="114"/>
        <v>19</v>
      </c>
      <c r="K160" s="327">
        <f t="shared" si="115"/>
        <v>1</v>
      </c>
      <c r="L160" s="221">
        <v>14</v>
      </c>
      <c r="M160" s="222"/>
      <c r="N160" s="222"/>
      <c r="O160" s="222"/>
      <c r="P160" s="328">
        <f t="shared" si="116"/>
        <v>0</v>
      </c>
      <c r="Q160" s="328">
        <f t="shared" si="117"/>
        <v>14</v>
      </c>
      <c r="R160" s="329">
        <f t="shared" si="118"/>
        <v>1</v>
      </c>
      <c r="S160" s="225">
        <v>12</v>
      </c>
      <c r="T160" s="226"/>
      <c r="U160" s="226"/>
      <c r="V160" s="226"/>
      <c r="W160" s="330">
        <f t="shared" si="119"/>
        <v>0</v>
      </c>
      <c r="X160" s="330">
        <f t="shared" si="120"/>
        <v>12</v>
      </c>
      <c r="Y160" s="331">
        <f t="shared" si="121"/>
        <v>1</v>
      </c>
      <c r="Z160" s="228">
        <v>21</v>
      </c>
      <c r="AA160" s="255"/>
      <c r="AB160" s="255"/>
      <c r="AC160" s="255"/>
      <c r="AD160" s="280">
        <f t="shared" si="122"/>
        <v>0</v>
      </c>
      <c r="AE160" s="280">
        <f t="shared" si="123"/>
        <v>21</v>
      </c>
      <c r="AF160" s="281">
        <f t="shared" si="124"/>
        <v>1</v>
      </c>
      <c r="AG160" s="229">
        <v>18</v>
      </c>
      <c r="AH160" s="257"/>
      <c r="AI160" s="257"/>
      <c r="AJ160" s="257"/>
      <c r="AK160" s="305">
        <f t="shared" si="125"/>
        <v>0</v>
      </c>
      <c r="AL160" s="305">
        <f t="shared" si="126"/>
        <v>18</v>
      </c>
      <c r="AM160" s="306">
        <f t="shared" si="127"/>
        <v>1</v>
      </c>
      <c r="AN160" s="230">
        <v>14</v>
      </c>
      <c r="AO160" s="259"/>
      <c r="AP160" s="259"/>
      <c r="AQ160" s="259"/>
      <c r="AR160" s="307">
        <f t="shared" si="128"/>
        <v>0</v>
      </c>
      <c r="AS160" s="307">
        <f t="shared" si="129"/>
        <v>14</v>
      </c>
      <c r="AT160" s="308">
        <f t="shared" si="130"/>
        <v>1</v>
      </c>
      <c r="AU160" s="289"/>
      <c r="AV160" s="289"/>
      <c r="AW160" s="289"/>
      <c r="AX160" s="290">
        <v>98</v>
      </c>
      <c r="AY160" s="289">
        <f t="shared" si="131"/>
        <v>98</v>
      </c>
      <c r="AZ160" s="291">
        <f t="shared" si="132"/>
        <v>1</v>
      </c>
      <c r="BA160" s="300"/>
      <c r="BB160" s="398">
        <v>100</v>
      </c>
      <c r="BC160" s="379">
        <f t="shared" si="133"/>
        <v>0</v>
      </c>
      <c r="BD160" s="378">
        <f t="shared" si="134"/>
        <v>0</v>
      </c>
      <c r="BE160" s="381"/>
      <c r="BF160" s="393">
        <f t="shared" si="112"/>
        <v>100</v>
      </c>
    </row>
    <row r="161" spans="1:58" x14ac:dyDescent="0.35">
      <c r="A161" s="243">
        <v>23</v>
      </c>
      <c r="B161" s="35">
        <v>242510127</v>
      </c>
      <c r="C161" s="261" t="s">
        <v>1429</v>
      </c>
      <c r="D161" s="194" t="s">
        <v>6</v>
      </c>
      <c r="E161" s="215">
        <v>19</v>
      </c>
      <c r="F161" s="217"/>
      <c r="G161" s="217"/>
      <c r="H161" s="217"/>
      <c r="I161" s="326">
        <f t="shared" si="113"/>
        <v>0</v>
      </c>
      <c r="J161" s="326">
        <f t="shared" si="114"/>
        <v>19</v>
      </c>
      <c r="K161" s="327">
        <f t="shared" si="115"/>
        <v>1</v>
      </c>
      <c r="L161" s="221">
        <v>14</v>
      </c>
      <c r="M161" s="222"/>
      <c r="N161" s="223"/>
      <c r="O161" s="222"/>
      <c r="P161" s="328">
        <f t="shared" si="116"/>
        <v>0</v>
      </c>
      <c r="Q161" s="328">
        <f t="shared" si="117"/>
        <v>14</v>
      </c>
      <c r="R161" s="329">
        <f t="shared" si="118"/>
        <v>1</v>
      </c>
      <c r="S161" s="225">
        <v>12</v>
      </c>
      <c r="T161" s="226"/>
      <c r="U161" s="226"/>
      <c r="V161" s="226"/>
      <c r="W161" s="330">
        <f t="shared" si="119"/>
        <v>0</v>
      </c>
      <c r="X161" s="330">
        <f t="shared" si="120"/>
        <v>12</v>
      </c>
      <c r="Y161" s="331">
        <f t="shared" si="121"/>
        <v>1</v>
      </c>
      <c r="Z161" s="228">
        <v>21</v>
      </c>
      <c r="AA161" s="255"/>
      <c r="AB161" s="255"/>
      <c r="AC161" s="255"/>
      <c r="AD161" s="280">
        <f t="shared" si="122"/>
        <v>0</v>
      </c>
      <c r="AE161" s="280">
        <f t="shared" si="123"/>
        <v>21</v>
      </c>
      <c r="AF161" s="281">
        <f t="shared" si="124"/>
        <v>1</v>
      </c>
      <c r="AG161" s="229">
        <v>18</v>
      </c>
      <c r="AH161" s="257"/>
      <c r="AI161" s="257"/>
      <c r="AJ161" s="257"/>
      <c r="AK161" s="305">
        <f t="shared" si="125"/>
        <v>0</v>
      </c>
      <c r="AL161" s="305">
        <f t="shared" si="126"/>
        <v>18</v>
      </c>
      <c r="AM161" s="306">
        <f t="shared" si="127"/>
        <v>1</v>
      </c>
      <c r="AN161" s="230">
        <v>14</v>
      </c>
      <c r="AO161" s="259"/>
      <c r="AP161" s="259"/>
      <c r="AQ161" s="259"/>
      <c r="AR161" s="307">
        <f t="shared" si="128"/>
        <v>0</v>
      </c>
      <c r="AS161" s="307">
        <f t="shared" si="129"/>
        <v>14</v>
      </c>
      <c r="AT161" s="308">
        <f t="shared" si="130"/>
        <v>1</v>
      </c>
      <c r="AU161" s="289"/>
      <c r="AV161" s="289"/>
      <c r="AW161" s="289"/>
      <c r="AX161" s="290">
        <v>98</v>
      </c>
      <c r="AY161" s="289">
        <f t="shared" si="131"/>
        <v>98</v>
      </c>
      <c r="AZ161" s="291">
        <f t="shared" si="132"/>
        <v>1</v>
      </c>
      <c r="BA161" s="300"/>
      <c r="BB161" s="398">
        <v>100</v>
      </c>
      <c r="BC161" s="379">
        <f t="shared" si="133"/>
        <v>0</v>
      </c>
      <c r="BD161" s="378">
        <f t="shared" si="134"/>
        <v>0</v>
      </c>
      <c r="BE161" s="381"/>
      <c r="BF161" s="393">
        <f t="shared" si="112"/>
        <v>100</v>
      </c>
    </row>
    <row r="162" spans="1:58" x14ac:dyDescent="0.35">
      <c r="A162" s="243">
        <v>24</v>
      </c>
      <c r="B162" s="35">
        <v>242510128</v>
      </c>
      <c r="C162" s="261" t="s">
        <v>1430</v>
      </c>
      <c r="D162" s="194" t="s">
        <v>8</v>
      </c>
      <c r="E162" s="215">
        <v>19</v>
      </c>
      <c r="F162" s="217"/>
      <c r="G162" s="217"/>
      <c r="H162" s="217"/>
      <c r="I162" s="326">
        <f t="shared" si="113"/>
        <v>0</v>
      </c>
      <c r="J162" s="326">
        <f t="shared" si="114"/>
        <v>19</v>
      </c>
      <c r="K162" s="327">
        <f t="shared" si="115"/>
        <v>1</v>
      </c>
      <c r="L162" s="221">
        <v>14</v>
      </c>
      <c r="M162" s="222"/>
      <c r="N162" s="223"/>
      <c r="O162" s="222"/>
      <c r="P162" s="328">
        <f t="shared" si="116"/>
        <v>0</v>
      </c>
      <c r="Q162" s="328">
        <f t="shared" si="117"/>
        <v>14</v>
      </c>
      <c r="R162" s="329">
        <f t="shared" si="118"/>
        <v>1</v>
      </c>
      <c r="S162" s="225">
        <v>12</v>
      </c>
      <c r="T162" s="226"/>
      <c r="U162" s="226"/>
      <c r="V162" s="226"/>
      <c r="W162" s="330">
        <f t="shared" si="119"/>
        <v>0</v>
      </c>
      <c r="X162" s="330">
        <f t="shared" si="120"/>
        <v>12</v>
      </c>
      <c r="Y162" s="331">
        <f t="shared" si="121"/>
        <v>1</v>
      </c>
      <c r="Z162" s="228">
        <v>21</v>
      </c>
      <c r="AA162" s="255"/>
      <c r="AB162" s="255"/>
      <c r="AC162" s="255"/>
      <c r="AD162" s="280">
        <f t="shared" si="122"/>
        <v>0</v>
      </c>
      <c r="AE162" s="280">
        <f t="shared" si="123"/>
        <v>21</v>
      </c>
      <c r="AF162" s="281">
        <f t="shared" si="124"/>
        <v>1</v>
      </c>
      <c r="AG162" s="229">
        <v>18</v>
      </c>
      <c r="AH162" s="257"/>
      <c r="AI162" s="257"/>
      <c r="AJ162" s="257"/>
      <c r="AK162" s="305">
        <f t="shared" si="125"/>
        <v>0</v>
      </c>
      <c r="AL162" s="305">
        <f t="shared" si="126"/>
        <v>18</v>
      </c>
      <c r="AM162" s="306">
        <f t="shared" si="127"/>
        <v>1</v>
      </c>
      <c r="AN162" s="230">
        <v>14</v>
      </c>
      <c r="AO162" s="259"/>
      <c r="AP162" s="259"/>
      <c r="AQ162" s="259"/>
      <c r="AR162" s="307">
        <f t="shared" si="128"/>
        <v>0</v>
      </c>
      <c r="AS162" s="307">
        <f t="shared" si="129"/>
        <v>14</v>
      </c>
      <c r="AT162" s="308">
        <f t="shared" si="130"/>
        <v>1</v>
      </c>
      <c r="AU162" s="289"/>
      <c r="AV162" s="289"/>
      <c r="AW162" s="289"/>
      <c r="AX162" s="290">
        <v>98</v>
      </c>
      <c r="AY162" s="289">
        <f t="shared" si="131"/>
        <v>98</v>
      </c>
      <c r="AZ162" s="291">
        <f t="shared" si="132"/>
        <v>1</v>
      </c>
      <c r="BA162" s="300">
        <v>2</v>
      </c>
      <c r="BB162" s="398">
        <v>92</v>
      </c>
      <c r="BC162" s="379">
        <f t="shared" si="133"/>
        <v>4</v>
      </c>
      <c r="BD162" s="378">
        <f t="shared" si="134"/>
        <v>0</v>
      </c>
      <c r="BE162" s="381"/>
      <c r="BF162" s="393">
        <f t="shared" si="112"/>
        <v>88</v>
      </c>
    </row>
    <row r="163" spans="1:58" x14ac:dyDescent="0.35">
      <c r="A163" s="243">
        <v>25</v>
      </c>
      <c r="B163" s="35">
        <v>242510129</v>
      </c>
      <c r="C163" s="261" t="s">
        <v>1431</v>
      </c>
      <c r="D163" s="194" t="s">
        <v>8</v>
      </c>
      <c r="E163" s="215">
        <v>19</v>
      </c>
      <c r="F163" s="217"/>
      <c r="G163" s="217"/>
      <c r="H163" s="217"/>
      <c r="I163" s="326">
        <f t="shared" si="113"/>
        <v>0</v>
      </c>
      <c r="J163" s="326">
        <f t="shared" si="114"/>
        <v>19</v>
      </c>
      <c r="K163" s="327">
        <f t="shared" si="115"/>
        <v>1</v>
      </c>
      <c r="L163" s="221">
        <v>14</v>
      </c>
      <c r="M163" s="222"/>
      <c r="N163" s="223"/>
      <c r="O163" s="222"/>
      <c r="P163" s="328">
        <f t="shared" si="116"/>
        <v>0</v>
      </c>
      <c r="Q163" s="328">
        <f t="shared" si="117"/>
        <v>14</v>
      </c>
      <c r="R163" s="329">
        <f t="shared" si="118"/>
        <v>1</v>
      </c>
      <c r="S163" s="225">
        <v>12</v>
      </c>
      <c r="T163" s="226"/>
      <c r="U163" s="226"/>
      <c r="V163" s="226"/>
      <c r="W163" s="330">
        <f t="shared" si="119"/>
        <v>0</v>
      </c>
      <c r="X163" s="330">
        <f t="shared" si="120"/>
        <v>12</v>
      </c>
      <c r="Y163" s="331">
        <f t="shared" si="121"/>
        <v>1</v>
      </c>
      <c r="Z163" s="228">
        <v>21</v>
      </c>
      <c r="AA163" s="255"/>
      <c r="AB163" s="255"/>
      <c r="AC163" s="255"/>
      <c r="AD163" s="280">
        <f t="shared" si="122"/>
        <v>0</v>
      </c>
      <c r="AE163" s="280">
        <f t="shared" si="123"/>
        <v>21</v>
      </c>
      <c r="AF163" s="281">
        <f t="shared" si="124"/>
        <v>1</v>
      </c>
      <c r="AG163" s="229">
        <v>18</v>
      </c>
      <c r="AH163" s="257"/>
      <c r="AI163" s="257"/>
      <c r="AJ163" s="257"/>
      <c r="AK163" s="305">
        <f t="shared" si="125"/>
        <v>0</v>
      </c>
      <c r="AL163" s="305">
        <f t="shared" si="126"/>
        <v>18</v>
      </c>
      <c r="AM163" s="306">
        <f t="shared" si="127"/>
        <v>1</v>
      </c>
      <c r="AN163" s="230">
        <v>14</v>
      </c>
      <c r="AO163" s="259"/>
      <c r="AP163" s="259"/>
      <c r="AQ163" s="259"/>
      <c r="AR163" s="307">
        <f t="shared" si="128"/>
        <v>0</v>
      </c>
      <c r="AS163" s="307">
        <f t="shared" si="129"/>
        <v>14</v>
      </c>
      <c r="AT163" s="308">
        <f t="shared" si="130"/>
        <v>1</v>
      </c>
      <c r="AU163" s="289"/>
      <c r="AV163" s="289"/>
      <c r="AW163" s="289"/>
      <c r="AX163" s="290">
        <v>98</v>
      </c>
      <c r="AY163" s="289">
        <f t="shared" si="131"/>
        <v>98</v>
      </c>
      <c r="AZ163" s="291">
        <f t="shared" si="132"/>
        <v>1</v>
      </c>
      <c r="BA163" s="300"/>
      <c r="BB163" s="398">
        <v>96</v>
      </c>
      <c r="BC163" s="379">
        <f t="shared" si="133"/>
        <v>0</v>
      </c>
      <c r="BD163" s="378">
        <f t="shared" si="134"/>
        <v>0</v>
      </c>
      <c r="BE163" s="381"/>
      <c r="BF163" s="393">
        <f t="shared" si="112"/>
        <v>96</v>
      </c>
    </row>
    <row r="164" spans="1:58" x14ac:dyDescent="0.35">
      <c r="A164" s="243">
        <v>26</v>
      </c>
      <c r="B164" s="35">
        <v>242510130</v>
      </c>
      <c r="C164" s="261" t="s">
        <v>1432</v>
      </c>
      <c r="D164" s="194" t="s">
        <v>6</v>
      </c>
      <c r="E164" s="215">
        <v>19</v>
      </c>
      <c r="F164" s="217"/>
      <c r="G164" s="217"/>
      <c r="H164" s="217"/>
      <c r="I164" s="326">
        <f t="shared" si="113"/>
        <v>0</v>
      </c>
      <c r="J164" s="326">
        <f t="shared" si="114"/>
        <v>19</v>
      </c>
      <c r="K164" s="327">
        <f t="shared" si="115"/>
        <v>1</v>
      </c>
      <c r="L164" s="221">
        <v>14</v>
      </c>
      <c r="M164" s="222"/>
      <c r="N164" s="223"/>
      <c r="O164" s="222"/>
      <c r="P164" s="328">
        <f t="shared" si="116"/>
        <v>0</v>
      </c>
      <c r="Q164" s="328">
        <f t="shared" si="117"/>
        <v>14</v>
      </c>
      <c r="R164" s="329">
        <f t="shared" si="118"/>
        <v>1</v>
      </c>
      <c r="S164" s="225">
        <v>12</v>
      </c>
      <c r="T164" s="226"/>
      <c r="U164" s="226"/>
      <c r="V164" s="226"/>
      <c r="W164" s="330">
        <f t="shared" si="119"/>
        <v>0</v>
      </c>
      <c r="X164" s="330">
        <f t="shared" si="120"/>
        <v>12</v>
      </c>
      <c r="Y164" s="331">
        <f t="shared" si="121"/>
        <v>1</v>
      </c>
      <c r="Z164" s="228">
        <v>21</v>
      </c>
      <c r="AA164" s="255"/>
      <c r="AB164" s="255"/>
      <c r="AC164" s="255"/>
      <c r="AD164" s="280">
        <f t="shared" si="122"/>
        <v>0</v>
      </c>
      <c r="AE164" s="280">
        <f t="shared" si="123"/>
        <v>21</v>
      </c>
      <c r="AF164" s="281">
        <f t="shared" si="124"/>
        <v>1</v>
      </c>
      <c r="AG164" s="229">
        <v>18</v>
      </c>
      <c r="AH164" s="257"/>
      <c r="AI164" s="257"/>
      <c r="AJ164" s="257"/>
      <c r="AK164" s="305">
        <f t="shared" si="125"/>
        <v>0</v>
      </c>
      <c r="AL164" s="305">
        <f t="shared" si="126"/>
        <v>18</v>
      </c>
      <c r="AM164" s="306">
        <f t="shared" si="127"/>
        <v>1</v>
      </c>
      <c r="AN164" s="230">
        <v>14</v>
      </c>
      <c r="AO164" s="259"/>
      <c r="AP164" s="259"/>
      <c r="AQ164" s="259"/>
      <c r="AR164" s="307">
        <f t="shared" si="128"/>
        <v>0</v>
      </c>
      <c r="AS164" s="307">
        <f t="shared" si="129"/>
        <v>14</v>
      </c>
      <c r="AT164" s="308">
        <f t="shared" si="130"/>
        <v>1</v>
      </c>
      <c r="AU164" s="289"/>
      <c r="AV164" s="289"/>
      <c r="AW164" s="289"/>
      <c r="AX164" s="290">
        <v>98</v>
      </c>
      <c r="AY164" s="289">
        <f t="shared" si="131"/>
        <v>98</v>
      </c>
      <c r="AZ164" s="291">
        <f t="shared" si="132"/>
        <v>1</v>
      </c>
      <c r="BA164" s="300"/>
      <c r="BB164" s="398">
        <v>100</v>
      </c>
      <c r="BC164" s="379">
        <f t="shared" si="133"/>
        <v>0</v>
      </c>
      <c r="BD164" s="378">
        <f t="shared" si="134"/>
        <v>0</v>
      </c>
      <c r="BE164" s="381"/>
      <c r="BF164" s="393">
        <f t="shared" si="112"/>
        <v>100</v>
      </c>
    </row>
    <row r="165" spans="1:58" x14ac:dyDescent="0.35">
      <c r="A165" s="243">
        <v>27</v>
      </c>
      <c r="B165" s="35">
        <v>242510131</v>
      </c>
      <c r="C165" s="261" t="s">
        <v>1433</v>
      </c>
      <c r="D165" s="194" t="s">
        <v>8</v>
      </c>
      <c r="E165" s="215">
        <v>19</v>
      </c>
      <c r="F165" s="217"/>
      <c r="G165" s="217"/>
      <c r="H165" s="217"/>
      <c r="I165" s="326">
        <f t="shared" si="113"/>
        <v>0</v>
      </c>
      <c r="J165" s="326">
        <f t="shared" si="114"/>
        <v>19</v>
      </c>
      <c r="K165" s="327">
        <f t="shared" si="115"/>
        <v>1</v>
      </c>
      <c r="L165" s="221">
        <v>14</v>
      </c>
      <c r="M165" s="222"/>
      <c r="N165" s="223"/>
      <c r="O165" s="222"/>
      <c r="P165" s="328">
        <f t="shared" si="116"/>
        <v>0</v>
      </c>
      <c r="Q165" s="328">
        <f t="shared" si="117"/>
        <v>14</v>
      </c>
      <c r="R165" s="329">
        <f t="shared" si="118"/>
        <v>1</v>
      </c>
      <c r="S165" s="225">
        <v>12</v>
      </c>
      <c r="T165" s="226"/>
      <c r="U165" s="226"/>
      <c r="V165" s="226"/>
      <c r="W165" s="330">
        <f t="shared" si="119"/>
        <v>0</v>
      </c>
      <c r="X165" s="330">
        <f t="shared" si="120"/>
        <v>12</v>
      </c>
      <c r="Y165" s="331">
        <f t="shared" si="121"/>
        <v>1</v>
      </c>
      <c r="Z165" s="228">
        <v>21</v>
      </c>
      <c r="AA165" s="255"/>
      <c r="AB165" s="255"/>
      <c r="AC165" s="255"/>
      <c r="AD165" s="280">
        <f t="shared" si="122"/>
        <v>0</v>
      </c>
      <c r="AE165" s="280">
        <f t="shared" si="123"/>
        <v>21</v>
      </c>
      <c r="AF165" s="281">
        <f t="shared" si="124"/>
        <v>1</v>
      </c>
      <c r="AG165" s="229">
        <v>18</v>
      </c>
      <c r="AH165" s="257"/>
      <c r="AI165" s="257"/>
      <c r="AJ165" s="257"/>
      <c r="AK165" s="305">
        <f t="shared" si="125"/>
        <v>0</v>
      </c>
      <c r="AL165" s="305">
        <f t="shared" si="126"/>
        <v>18</v>
      </c>
      <c r="AM165" s="306">
        <f t="shared" si="127"/>
        <v>1</v>
      </c>
      <c r="AN165" s="230">
        <v>14</v>
      </c>
      <c r="AO165" s="259"/>
      <c r="AP165" s="259"/>
      <c r="AQ165" s="259"/>
      <c r="AR165" s="307">
        <f t="shared" si="128"/>
        <v>0</v>
      </c>
      <c r="AS165" s="307">
        <f t="shared" si="129"/>
        <v>14</v>
      </c>
      <c r="AT165" s="308">
        <f t="shared" si="130"/>
        <v>1</v>
      </c>
      <c r="AU165" s="289"/>
      <c r="AV165" s="289"/>
      <c r="AW165" s="289"/>
      <c r="AX165" s="290">
        <v>98</v>
      </c>
      <c r="AY165" s="289">
        <f t="shared" si="131"/>
        <v>98</v>
      </c>
      <c r="AZ165" s="291">
        <f t="shared" si="132"/>
        <v>1</v>
      </c>
      <c r="BA165" s="300"/>
      <c r="BB165" s="398">
        <v>100</v>
      </c>
      <c r="BC165" s="379">
        <f t="shared" si="133"/>
        <v>0</v>
      </c>
      <c r="BD165" s="378">
        <f t="shared" si="134"/>
        <v>0</v>
      </c>
      <c r="BE165" s="381"/>
      <c r="BF165" s="393">
        <f t="shared" si="112"/>
        <v>100</v>
      </c>
    </row>
    <row r="166" spans="1:58" x14ac:dyDescent="0.35">
      <c r="A166" s="243">
        <v>28</v>
      </c>
      <c r="B166" s="35">
        <v>242510133</v>
      </c>
      <c r="C166" s="261" t="s">
        <v>1434</v>
      </c>
      <c r="D166" s="194" t="s">
        <v>8</v>
      </c>
      <c r="E166" s="215">
        <v>19</v>
      </c>
      <c r="F166" s="217"/>
      <c r="G166" s="217"/>
      <c r="H166" s="217"/>
      <c r="I166" s="326">
        <f t="shared" si="113"/>
        <v>0</v>
      </c>
      <c r="J166" s="326">
        <f t="shared" si="114"/>
        <v>19</v>
      </c>
      <c r="K166" s="327">
        <f t="shared" si="115"/>
        <v>1</v>
      </c>
      <c r="L166" s="221">
        <v>14</v>
      </c>
      <c r="M166" s="223"/>
      <c r="N166" s="223"/>
      <c r="O166" s="222"/>
      <c r="P166" s="328">
        <f t="shared" si="116"/>
        <v>0</v>
      </c>
      <c r="Q166" s="328">
        <f t="shared" si="117"/>
        <v>14</v>
      </c>
      <c r="R166" s="329">
        <f t="shared" si="118"/>
        <v>1</v>
      </c>
      <c r="S166" s="225">
        <v>12</v>
      </c>
      <c r="T166" s="226"/>
      <c r="U166" s="226"/>
      <c r="V166" s="226"/>
      <c r="W166" s="330">
        <f t="shared" si="119"/>
        <v>0</v>
      </c>
      <c r="X166" s="330">
        <f t="shared" si="120"/>
        <v>12</v>
      </c>
      <c r="Y166" s="331">
        <f t="shared" si="121"/>
        <v>1</v>
      </c>
      <c r="Z166" s="228">
        <v>21</v>
      </c>
      <c r="AA166" s="255"/>
      <c r="AB166" s="255"/>
      <c r="AC166" s="255"/>
      <c r="AD166" s="280">
        <f t="shared" si="122"/>
        <v>0</v>
      </c>
      <c r="AE166" s="280">
        <f t="shared" si="123"/>
        <v>21</v>
      </c>
      <c r="AF166" s="281">
        <f t="shared" si="124"/>
        <v>1</v>
      </c>
      <c r="AG166" s="229">
        <v>18</v>
      </c>
      <c r="AH166" s="257"/>
      <c r="AI166" s="257"/>
      <c r="AJ166" s="257"/>
      <c r="AK166" s="305">
        <f t="shared" si="125"/>
        <v>0</v>
      </c>
      <c r="AL166" s="305">
        <f t="shared" si="126"/>
        <v>18</v>
      </c>
      <c r="AM166" s="306">
        <f t="shared" si="127"/>
        <v>1</v>
      </c>
      <c r="AN166" s="230">
        <v>14</v>
      </c>
      <c r="AO166" s="259"/>
      <c r="AP166" s="259"/>
      <c r="AQ166" s="259"/>
      <c r="AR166" s="307">
        <f t="shared" si="128"/>
        <v>0</v>
      </c>
      <c r="AS166" s="307">
        <f t="shared" si="129"/>
        <v>14</v>
      </c>
      <c r="AT166" s="308">
        <f t="shared" si="130"/>
        <v>1</v>
      </c>
      <c r="AU166" s="289"/>
      <c r="AV166" s="289"/>
      <c r="AW166" s="289"/>
      <c r="AX166" s="290">
        <v>98</v>
      </c>
      <c r="AY166" s="289">
        <f t="shared" si="131"/>
        <v>98</v>
      </c>
      <c r="AZ166" s="291">
        <f t="shared" si="132"/>
        <v>1</v>
      </c>
      <c r="BA166" s="300"/>
      <c r="BB166" s="398">
        <v>98</v>
      </c>
      <c r="BC166" s="379">
        <f t="shared" si="133"/>
        <v>0</v>
      </c>
      <c r="BD166" s="378">
        <f t="shared" si="134"/>
        <v>0</v>
      </c>
      <c r="BE166" s="381"/>
      <c r="BF166" s="393">
        <f t="shared" si="112"/>
        <v>98</v>
      </c>
    </row>
    <row r="167" spans="1:58" x14ac:dyDescent="0.35">
      <c r="A167" s="243">
        <v>29</v>
      </c>
      <c r="B167" s="35">
        <v>242510132</v>
      </c>
      <c r="C167" s="261" t="s">
        <v>1435</v>
      </c>
      <c r="D167" s="38" t="s">
        <v>8</v>
      </c>
      <c r="E167" s="215">
        <v>19</v>
      </c>
      <c r="F167" s="217"/>
      <c r="G167" s="217"/>
      <c r="H167" s="217"/>
      <c r="I167" s="326">
        <f t="shared" si="113"/>
        <v>0</v>
      </c>
      <c r="J167" s="326">
        <f t="shared" si="114"/>
        <v>19</v>
      </c>
      <c r="K167" s="327">
        <f t="shared" si="115"/>
        <v>1</v>
      </c>
      <c r="L167" s="221">
        <v>14</v>
      </c>
      <c r="M167" s="222"/>
      <c r="N167" s="222"/>
      <c r="O167" s="222"/>
      <c r="P167" s="328">
        <f t="shared" si="116"/>
        <v>0</v>
      </c>
      <c r="Q167" s="328">
        <f t="shared" si="117"/>
        <v>14</v>
      </c>
      <c r="R167" s="329">
        <f t="shared" si="118"/>
        <v>1</v>
      </c>
      <c r="S167" s="225">
        <v>12</v>
      </c>
      <c r="T167" s="226"/>
      <c r="U167" s="226"/>
      <c r="V167" s="226"/>
      <c r="W167" s="330">
        <f t="shared" si="119"/>
        <v>0</v>
      </c>
      <c r="X167" s="330">
        <f t="shared" si="120"/>
        <v>12</v>
      </c>
      <c r="Y167" s="331">
        <f t="shared" si="121"/>
        <v>1</v>
      </c>
      <c r="Z167" s="228">
        <v>21</v>
      </c>
      <c r="AA167" s="255"/>
      <c r="AB167" s="255"/>
      <c r="AC167" s="255"/>
      <c r="AD167" s="280">
        <f t="shared" si="122"/>
        <v>0</v>
      </c>
      <c r="AE167" s="280">
        <f t="shared" si="123"/>
        <v>21</v>
      </c>
      <c r="AF167" s="281">
        <f t="shared" si="124"/>
        <v>1</v>
      </c>
      <c r="AG167" s="229">
        <v>18</v>
      </c>
      <c r="AH167" s="257"/>
      <c r="AI167" s="257"/>
      <c r="AJ167" s="257"/>
      <c r="AK167" s="305">
        <f t="shared" si="125"/>
        <v>0</v>
      </c>
      <c r="AL167" s="305">
        <f t="shared" si="126"/>
        <v>18</v>
      </c>
      <c r="AM167" s="306">
        <f t="shared" si="127"/>
        <v>1</v>
      </c>
      <c r="AN167" s="230">
        <v>14</v>
      </c>
      <c r="AO167" s="259"/>
      <c r="AP167" s="259"/>
      <c r="AQ167" s="259"/>
      <c r="AR167" s="307">
        <f t="shared" si="128"/>
        <v>0</v>
      </c>
      <c r="AS167" s="307">
        <f t="shared" si="129"/>
        <v>14</v>
      </c>
      <c r="AT167" s="308">
        <f t="shared" si="130"/>
        <v>1</v>
      </c>
      <c r="AU167" s="289"/>
      <c r="AV167" s="289"/>
      <c r="AW167" s="289"/>
      <c r="AX167" s="290">
        <v>98</v>
      </c>
      <c r="AY167" s="289">
        <f t="shared" si="131"/>
        <v>98</v>
      </c>
      <c r="AZ167" s="291">
        <f t="shared" si="132"/>
        <v>1</v>
      </c>
      <c r="BA167" s="300"/>
      <c r="BB167" s="398">
        <v>98</v>
      </c>
      <c r="BC167" s="379">
        <f t="shared" si="133"/>
        <v>0</v>
      </c>
      <c r="BD167" s="378">
        <f t="shared" si="134"/>
        <v>0</v>
      </c>
      <c r="BE167" s="381"/>
      <c r="BF167" s="393">
        <f t="shared" si="112"/>
        <v>98</v>
      </c>
    </row>
    <row r="168" spans="1:58" x14ac:dyDescent="0.35">
      <c r="A168" s="243">
        <v>30</v>
      </c>
      <c r="B168" s="35">
        <v>242510134</v>
      </c>
      <c r="C168" s="261" t="s">
        <v>1436</v>
      </c>
      <c r="D168" s="194" t="s">
        <v>8</v>
      </c>
      <c r="E168" s="215">
        <v>19</v>
      </c>
      <c r="F168" s="217"/>
      <c r="G168" s="217"/>
      <c r="H168" s="217"/>
      <c r="I168" s="326">
        <f t="shared" si="113"/>
        <v>0</v>
      </c>
      <c r="J168" s="326">
        <f t="shared" si="114"/>
        <v>19</v>
      </c>
      <c r="K168" s="327">
        <f t="shared" si="115"/>
        <v>1</v>
      </c>
      <c r="L168" s="221">
        <v>14</v>
      </c>
      <c r="M168" s="222"/>
      <c r="N168" s="223"/>
      <c r="O168" s="222"/>
      <c r="P168" s="328">
        <f t="shared" si="116"/>
        <v>0</v>
      </c>
      <c r="Q168" s="328">
        <f t="shared" si="117"/>
        <v>14</v>
      </c>
      <c r="R168" s="329">
        <f t="shared" si="118"/>
        <v>1</v>
      </c>
      <c r="S168" s="225">
        <v>12</v>
      </c>
      <c r="T168" s="226"/>
      <c r="U168" s="226"/>
      <c r="V168" s="226"/>
      <c r="W168" s="330">
        <f t="shared" si="119"/>
        <v>0</v>
      </c>
      <c r="X168" s="330">
        <f t="shared" si="120"/>
        <v>12</v>
      </c>
      <c r="Y168" s="331">
        <f t="shared" si="121"/>
        <v>1</v>
      </c>
      <c r="Z168" s="228">
        <v>21</v>
      </c>
      <c r="AA168" s="255"/>
      <c r="AB168" s="255"/>
      <c r="AC168" s="255"/>
      <c r="AD168" s="280">
        <f t="shared" si="122"/>
        <v>0</v>
      </c>
      <c r="AE168" s="280">
        <f t="shared" si="123"/>
        <v>21</v>
      </c>
      <c r="AF168" s="281">
        <f t="shared" si="124"/>
        <v>1</v>
      </c>
      <c r="AG168" s="229">
        <v>18</v>
      </c>
      <c r="AH168" s="257"/>
      <c r="AI168" s="257"/>
      <c r="AJ168" s="257"/>
      <c r="AK168" s="305">
        <f t="shared" si="125"/>
        <v>0</v>
      </c>
      <c r="AL168" s="305">
        <f t="shared" si="126"/>
        <v>18</v>
      </c>
      <c r="AM168" s="306">
        <f t="shared" si="127"/>
        <v>1</v>
      </c>
      <c r="AN168" s="230">
        <v>14</v>
      </c>
      <c r="AO168" s="259"/>
      <c r="AP168" s="259"/>
      <c r="AQ168" s="259"/>
      <c r="AR168" s="307">
        <f t="shared" si="128"/>
        <v>0</v>
      </c>
      <c r="AS168" s="307">
        <f t="shared" si="129"/>
        <v>14</v>
      </c>
      <c r="AT168" s="308">
        <f t="shared" si="130"/>
        <v>1</v>
      </c>
      <c r="AU168" s="289"/>
      <c r="AV168" s="289"/>
      <c r="AW168" s="289"/>
      <c r="AX168" s="290">
        <v>98</v>
      </c>
      <c r="AY168" s="289">
        <f t="shared" si="131"/>
        <v>98</v>
      </c>
      <c r="AZ168" s="291">
        <f t="shared" si="132"/>
        <v>1</v>
      </c>
      <c r="BA168" s="300"/>
      <c r="BB168" s="398">
        <v>96</v>
      </c>
      <c r="BC168" s="379">
        <f t="shared" si="133"/>
        <v>0</v>
      </c>
      <c r="BD168" s="378">
        <f t="shared" si="134"/>
        <v>0</v>
      </c>
      <c r="BE168" s="381"/>
      <c r="BF168" s="393">
        <f t="shared" si="112"/>
        <v>96</v>
      </c>
    </row>
    <row r="169" spans="1:58" x14ac:dyDescent="0.35">
      <c r="A169" s="243">
        <v>31</v>
      </c>
      <c r="B169" s="35">
        <v>242510135</v>
      </c>
      <c r="C169" s="261" t="s">
        <v>1437</v>
      </c>
      <c r="D169" s="194" t="s">
        <v>6</v>
      </c>
      <c r="E169" s="215">
        <v>19</v>
      </c>
      <c r="F169" s="217"/>
      <c r="G169" s="217"/>
      <c r="H169" s="217"/>
      <c r="I169" s="326">
        <f t="shared" si="113"/>
        <v>0</v>
      </c>
      <c r="J169" s="326">
        <f t="shared" si="114"/>
        <v>19</v>
      </c>
      <c r="K169" s="327">
        <f t="shared" si="115"/>
        <v>1</v>
      </c>
      <c r="L169" s="221">
        <v>14</v>
      </c>
      <c r="M169" s="222"/>
      <c r="N169" s="222"/>
      <c r="O169" s="222"/>
      <c r="P169" s="328">
        <f t="shared" si="116"/>
        <v>0</v>
      </c>
      <c r="Q169" s="328">
        <f t="shared" si="117"/>
        <v>14</v>
      </c>
      <c r="R169" s="329">
        <f t="shared" si="118"/>
        <v>1</v>
      </c>
      <c r="S169" s="225">
        <v>12</v>
      </c>
      <c r="T169" s="226"/>
      <c r="U169" s="226"/>
      <c r="V169" s="226"/>
      <c r="W169" s="330">
        <f t="shared" si="119"/>
        <v>0</v>
      </c>
      <c r="X169" s="330">
        <f t="shared" si="120"/>
        <v>12</v>
      </c>
      <c r="Y169" s="331">
        <f t="shared" si="121"/>
        <v>1</v>
      </c>
      <c r="Z169" s="228">
        <v>21</v>
      </c>
      <c r="AA169" s="255"/>
      <c r="AB169" s="255"/>
      <c r="AC169" s="255"/>
      <c r="AD169" s="280">
        <f t="shared" si="122"/>
        <v>0</v>
      </c>
      <c r="AE169" s="280">
        <f t="shared" si="123"/>
        <v>21</v>
      </c>
      <c r="AF169" s="281">
        <f t="shared" si="124"/>
        <v>1</v>
      </c>
      <c r="AG169" s="229">
        <v>18</v>
      </c>
      <c r="AH169" s="257"/>
      <c r="AI169" s="257"/>
      <c r="AJ169" s="257"/>
      <c r="AK169" s="305">
        <f t="shared" si="125"/>
        <v>0</v>
      </c>
      <c r="AL169" s="305">
        <f t="shared" si="126"/>
        <v>18</v>
      </c>
      <c r="AM169" s="306">
        <f t="shared" si="127"/>
        <v>1</v>
      </c>
      <c r="AN169" s="230">
        <v>14</v>
      </c>
      <c r="AO169" s="259"/>
      <c r="AP169" s="259"/>
      <c r="AQ169" s="259"/>
      <c r="AR169" s="307">
        <f t="shared" si="128"/>
        <v>0</v>
      </c>
      <c r="AS169" s="307">
        <f t="shared" si="129"/>
        <v>14</v>
      </c>
      <c r="AT169" s="308">
        <f t="shared" si="130"/>
        <v>1</v>
      </c>
      <c r="AU169" s="289"/>
      <c r="AV169" s="289"/>
      <c r="AW169" s="289"/>
      <c r="AX169" s="290">
        <v>98</v>
      </c>
      <c r="AY169" s="289">
        <f t="shared" si="131"/>
        <v>98</v>
      </c>
      <c r="AZ169" s="291">
        <f t="shared" si="132"/>
        <v>1</v>
      </c>
      <c r="BA169" s="300"/>
      <c r="BB169" s="398">
        <v>100</v>
      </c>
      <c r="BC169" s="379">
        <f t="shared" si="133"/>
        <v>0</v>
      </c>
      <c r="BD169" s="378">
        <f t="shared" si="134"/>
        <v>0</v>
      </c>
      <c r="BE169" s="381"/>
      <c r="BF169" s="393">
        <f t="shared" si="112"/>
        <v>100</v>
      </c>
    </row>
    <row r="170" spans="1:58" x14ac:dyDescent="0.35">
      <c r="A170" s="243">
        <v>32</v>
      </c>
      <c r="B170" s="35">
        <v>242510136</v>
      </c>
      <c r="C170" s="261" t="s">
        <v>1438</v>
      </c>
      <c r="D170" s="194" t="s">
        <v>8</v>
      </c>
      <c r="E170" s="215">
        <v>19</v>
      </c>
      <c r="F170" s="217"/>
      <c r="G170" s="217"/>
      <c r="H170" s="217"/>
      <c r="I170" s="326">
        <f t="shared" si="113"/>
        <v>0</v>
      </c>
      <c r="J170" s="326">
        <f t="shared" si="114"/>
        <v>19</v>
      </c>
      <c r="K170" s="327">
        <f t="shared" si="115"/>
        <v>1</v>
      </c>
      <c r="L170" s="221">
        <v>14</v>
      </c>
      <c r="M170" s="222"/>
      <c r="N170" s="223"/>
      <c r="O170" s="223"/>
      <c r="P170" s="328">
        <f t="shared" si="116"/>
        <v>0</v>
      </c>
      <c r="Q170" s="328">
        <f t="shared" si="117"/>
        <v>14</v>
      </c>
      <c r="R170" s="329">
        <f t="shared" si="118"/>
        <v>1</v>
      </c>
      <c r="S170" s="225">
        <v>12</v>
      </c>
      <c r="T170" s="226"/>
      <c r="U170" s="226"/>
      <c r="V170" s="226"/>
      <c r="W170" s="330">
        <f t="shared" si="119"/>
        <v>0</v>
      </c>
      <c r="X170" s="330">
        <f t="shared" si="120"/>
        <v>12</v>
      </c>
      <c r="Y170" s="331">
        <f t="shared" si="121"/>
        <v>1</v>
      </c>
      <c r="Z170" s="228">
        <v>21</v>
      </c>
      <c r="AA170" s="255"/>
      <c r="AB170" s="255"/>
      <c r="AC170" s="255"/>
      <c r="AD170" s="280">
        <f t="shared" si="122"/>
        <v>0</v>
      </c>
      <c r="AE170" s="280">
        <f t="shared" si="123"/>
        <v>21</v>
      </c>
      <c r="AF170" s="281">
        <f t="shared" si="124"/>
        <v>1</v>
      </c>
      <c r="AG170" s="229">
        <v>18</v>
      </c>
      <c r="AH170" s="257"/>
      <c r="AI170" s="257"/>
      <c r="AJ170" s="257"/>
      <c r="AK170" s="305">
        <f t="shared" si="125"/>
        <v>0</v>
      </c>
      <c r="AL170" s="305">
        <f t="shared" si="126"/>
        <v>18</v>
      </c>
      <c r="AM170" s="306">
        <f t="shared" si="127"/>
        <v>1</v>
      </c>
      <c r="AN170" s="230">
        <v>14</v>
      </c>
      <c r="AO170" s="259"/>
      <c r="AP170" s="259"/>
      <c r="AQ170" s="259"/>
      <c r="AR170" s="307">
        <f t="shared" si="128"/>
        <v>0</v>
      </c>
      <c r="AS170" s="307">
        <f t="shared" si="129"/>
        <v>14</v>
      </c>
      <c r="AT170" s="308">
        <f t="shared" si="130"/>
        <v>1</v>
      </c>
      <c r="AU170" s="289"/>
      <c r="AV170" s="289"/>
      <c r="AW170" s="289"/>
      <c r="AX170" s="290">
        <v>98</v>
      </c>
      <c r="AY170" s="289">
        <f t="shared" si="131"/>
        <v>98</v>
      </c>
      <c r="AZ170" s="291">
        <f t="shared" si="132"/>
        <v>1</v>
      </c>
      <c r="BA170" s="300"/>
      <c r="BB170" s="398">
        <v>100</v>
      </c>
      <c r="BC170" s="379">
        <f t="shared" si="133"/>
        <v>0</v>
      </c>
      <c r="BD170" s="378">
        <f t="shared" si="134"/>
        <v>0</v>
      </c>
      <c r="BE170" s="381"/>
      <c r="BF170" s="393">
        <f t="shared" si="112"/>
        <v>100</v>
      </c>
    </row>
    <row r="171" spans="1:58" x14ac:dyDescent="0.35">
      <c r="A171" s="243">
        <v>33</v>
      </c>
      <c r="B171" s="35">
        <v>242510137</v>
      </c>
      <c r="C171" s="261" t="s">
        <v>1439</v>
      </c>
      <c r="D171" s="194" t="s">
        <v>8</v>
      </c>
      <c r="E171" s="215">
        <v>19</v>
      </c>
      <c r="F171" s="217"/>
      <c r="G171" s="217"/>
      <c r="H171" s="217"/>
      <c r="I171" s="326">
        <f t="shared" si="113"/>
        <v>0</v>
      </c>
      <c r="J171" s="326">
        <f t="shared" si="114"/>
        <v>19</v>
      </c>
      <c r="K171" s="327">
        <f t="shared" si="115"/>
        <v>1</v>
      </c>
      <c r="L171" s="221">
        <v>14</v>
      </c>
      <c r="M171" s="222"/>
      <c r="N171" s="222"/>
      <c r="O171" s="222"/>
      <c r="P171" s="328">
        <f t="shared" si="116"/>
        <v>0</v>
      </c>
      <c r="Q171" s="328">
        <f t="shared" si="117"/>
        <v>14</v>
      </c>
      <c r="R171" s="329">
        <f t="shared" si="118"/>
        <v>1</v>
      </c>
      <c r="S171" s="225">
        <v>12</v>
      </c>
      <c r="T171" s="226"/>
      <c r="U171" s="226"/>
      <c r="V171" s="226"/>
      <c r="W171" s="330">
        <f t="shared" si="119"/>
        <v>0</v>
      </c>
      <c r="X171" s="330">
        <f t="shared" si="120"/>
        <v>12</v>
      </c>
      <c r="Y171" s="331">
        <f t="shared" si="121"/>
        <v>1</v>
      </c>
      <c r="Z171" s="228">
        <v>21</v>
      </c>
      <c r="AA171" s="255"/>
      <c r="AB171" s="255"/>
      <c r="AC171" s="255"/>
      <c r="AD171" s="280">
        <f t="shared" si="122"/>
        <v>0</v>
      </c>
      <c r="AE171" s="280">
        <f t="shared" si="123"/>
        <v>21</v>
      </c>
      <c r="AF171" s="281">
        <f t="shared" si="124"/>
        <v>1</v>
      </c>
      <c r="AG171" s="229">
        <v>18</v>
      </c>
      <c r="AH171" s="257"/>
      <c r="AI171" s="257"/>
      <c r="AJ171" s="257"/>
      <c r="AK171" s="305">
        <f t="shared" si="125"/>
        <v>0</v>
      </c>
      <c r="AL171" s="305">
        <f t="shared" si="126"/>
        <v>18</v>
      </c>
      <c r="AM171" s="306">
        <f t="shared" si="127"/>
        <v>1</v>
      </c>
      <c r="AN171" s="230">
        <v>14</v>
      </c>
      <c r="AO171" s="259"/>
      <c r="AP171" s="259"/>
      <c r="AQ171" s="259"/>
      <c r="AR171" s="307">
        <f t="shared" si="128"/>
        <v>0</v>
      </c>
      <c r="AS171" s="307">
        <f t="shared" si="129"/>
        <v>14</v>
      </c>
      <c r="AT171" s="308">
        <f t="shared" si="130"/>
        <v>1</v>
      </c>
      <c r="AU171" s="289"/>
      <c r="AV171" s="289"/>
      <c r="AW171" s="289"/>
      <c r="AX171" s="290">
        <v>98</v>
      </c>
      <c r="AY171" s="289">
        <f t="shared" si="131"/>
        <v>98</v>
      </c>
      <c r="AZ171" s="291">
        <f t="shared" si="132"/>
        <v>1</v>
      </c>
      <c r="BA171" s="300"/>
      <c r="BB171" s="398">
        <v>100</v>
      </c>
      <c r="BC171" s="379">
        <f t="shared" si="133"/>
        <v>0</v>
      </c>
      <c r="BD171" s="378">
        <f t="shared" si="134"/>
        <v>0</v>
      </c>
      <c r="BE171" s="381"/>
      <c r="BF171" s="393">
        <f t="shared" si="112"/>
        <v>100</v>
      </c>
    </row>
    <row r="172" spans="1:58" x14ac:dyDescent="0.35">
      <c r="A172" s="243">
        <v>34</v>
      </c>
      <c r="B172" s="35">
        <v>242510138</v>
      </c>
      <c r="C172" s="261" t="s">
        <v>1440</v>
      </c>
      <c r="D172" s="194" t="s">
        <v>8</v>
      </c>
      <c r="E172" s="215">
        <v>19</v>
      </c>
      <c r="F172" s="217"/>
      <c r="G172" s="217"/>
      <c r="H172" s="217"/>
      <c r="I172" s="326">
        <f t="shared" si="113"/>
        <v>0</v>
      </c>
      <c r="J172" s="326">
        <f t="shared" si="114"/>
        <v>19</v>
      </c>
      <c r="K172" s="327">
        <f t="shared" si="115"/>
        <v>1</v>
      </c>
      <c r="L172" s="221">
        <v>14</v>
      </c>
      <c r="M172" s="222"/>
      <c r="N172" s="223"/>
      <c r="O172" s="222"/>
      <c r="P172" s="328">
        <f t="shared" si="116"/>
        <v>0</v>
      </c>
      <c r="Q172" s="328">
        <f t="shared" si="117"/>
        <v>14</v>
      </c>
      <c r="R172" s="329">
        <f t="shared" si="118"/>
        <v>1</v>
      </c>
      <c r="S172" s="225">
        <v>12</v>
      </c>
      <c r="T172" s="226"/>
      <c r="U172" s="226"/>
      <c r="V172" s="226"/>
      <c r="W172" s="330">
        <f t="shared" si="119"/>
        <v>0</v>
      </c>
      <c r="X172" s="330">
        <f t="shared" si="120"/>
        <v>12</v>
      </c>
      <c r="Y172" s="331">
        <f t="shared" si="121"/>
        <v>1</v>
      </c>
      <c r="Z172" s="228">
        <v>21</v>
      </c>
      <c r="AA172" s="255"/>
      <c r="AB172" s="255"/>
      <c r="AC172" s="255"/>
      <c r="AD172" s="280">
        <f t="shared" si="122"/>
        <v>0</v>
      </c>
      <c r="AE172" s="280">
        <f t="shared" si="123"/>
        <v>21</v>
      </c>
      <c r="AF172" s="281">
        <f t="shared" si="124"/>
        <v>1</v>
      </c>
      <c r="AG172" s="229">
        <v>18</v>
      </c>
      <c r="AH172" s="257"/>
      <c r="AI172" s="257"/>
      <c r="AJ172" s="257"/>
      <c r="AK172" s="305">
        <f t="shared" si="125"/>
        <v>0</v>
      </c>
      <c r="AL172" s="305">
        <f t="shared" si="126"/>
        <v>18</v>
      </c>
      <c r="AM172" s="306">
        <f t="shared" si="127"/>
        <v>1</v>
      </c>
      <c r="AN172" s="230">
        <v>14</v>
      </c>
      <c r="AO172" s="259"/>
      <c r="AP172" s="259"/>
      <c r="AQ172" s="259"/>
      <c r="AR172" s="307">
        <f t="shared" si="128"/>
        <v>0</v>
      </c>
      <c r="AS172" s="307">
        <f t="shared" si="129"/>
        <v>14</v>
      </c>
      <c r="AT172" s="308">
        <f t="shared" si="130"/>
        <v>1</v>
      </c>
      <c r="AU172" s="289"/>
      <c r="AV172" s="289"/>
      <c r="AW172" s="289"/>
      <c r="AX172" s="290">
        <v>98</v>
      </c>
      <c r="AY172" s="289">
        <f t="shared" si="131"/>
        <v>98</v>
      </c>
      <c r="AZ172" s="291">
        <f t="shared" si="132"/>
        <v>1</v>
      </c>
      <c r="BA172" s="300"/>
      <c r="BB172" s="398">
        <v>100</v>
      </c>
      <c r="BC172" s="379">
        <f t="shared" si="133"/>
        <v>0</v>
      </c>
      <c r="BD172" s="378">
        <f t="shared" si="134"/>
        <v>0</v>
      </c>
      <c r="BE172" s="381"/>
      <c r="BF172" s="393">
        <f t="shared" si="112"/>
        <v>100</v>
      </c>
    </row>
    <row r="173" spans="1:58" x14ac:dyDescent="0.35">
      <c r="A173" s="243">
        <v>35</v>
      </c>
      <c r="B173" s="35">
        <v>242510139</v>
      </c>
      <c r="C173" s="261" t="s">
        <v>1441</v>
      </c>
      <c r="D173" s="194" t="s">
        <v>8</v>
      </c>
      <c r="E173" s="215">
        <v>19</v>
      </c>
      <c r="F173" s="217"/>
      <c r="G173" s="217"/>
      <c r="H173" s="217"/>
      <c r="I173" s="326">
        <f t="shared" si="113"/>
        <v>0</v>
      </c>
      <c r="J173" s="326">
        <f t="shared" si="114"/>
        <v>19</v>
      </c>
      <c r="K173" s="327">
        <f t="shared" si="115"/>
        <v>1</v>
      </c>
      <c r="L173" s="221">
        <v>14</v>
      </c>
      <c r="M173" s="223"/>
      <c r="N173" s="223"/>
      <c r="O173" s="222"/>
      <c r="P173" s="328">
        <f t="shared" si="116"/>
        <v>0</v>
      </c>
      <c r="Q173" s="328">
        <f t="shared" si="117"/>
        <v>14</v>
      </c>
      <c r="R173" s="329">
        <f t="shared" si="118"/>
        <v>1</v>
      </c>
      <c r="S173" s="225">
        <v>12</v>
      </c>
      <c r="T173" s="226"/>
      <c r="U173" s="226"/>
      <c r="V173" s="226"/>
      <c r="W173" s="330">
        <f t="shared" si="119"/>
        <v>0</v>
      </c>
      <c r="X173" s="330">
        <f t="shared" si="120"/>
        <v>12</v>
      </c>
      <c r="Y173" s="331">
        <f t="shared" si="121"/>
        <v>1</v>
      </c>
      <c r="Z173" s="228">
        <v>21</v>
      </c>
      <c r="AA173" s="255"/>
      <c r="AB173" s="255"/>
      <c r="AC173" s="255"/>
      <c r="AD173" s="280">
        <f t="shared" si="122"/>
        <v>0</v>
      </c>
      <c r="AE173" s="280">
        <f t="shared" si="123"/>
        <v>21</v>
      </c>
      <c r="AF173" s="281">
        <f t="shared" si="124"/>
        <v>1</v>
      </c>
      <c r="AG173" s="229">
        <v>18</v>
      </c>
      <c r="AH173" s="257"/>
      <c r="AI173" s="257"/>
      <c r="AJ173" s="257"/>
      <c r="AK173" s="305">
        <f t="shared" si="125"/>
        <v>0</v>
      </c>
      <c r="AL173" s="305">
        <f t="shared" si="126"/>
        <v>18</v>
      </c>
      <c r="AM173" s="306">
        <f t="shared" si="127"/>
        <v>1</v>
      </c>
      <c r="AN173" s="230">
        <v>14</v>
      </c>
      <c r="AO173" s="259"/>
      <c r="AP173" s="259"/>
      <c r="AQ173" s="259"/>
      <c r="AR173" s="307">
        <f t="shared" si="128"/>
        <v>0</v>
      </c>
      <c r="AS173" s="307">
        <f t="shared" si="129"/>
        <v>14</v>
      </c>
      <c r="AT173" s="308">
        <f t="shared" si="130"/>
        <v>1</v>
      </c>
      <c r="AU173" s="289"/>
      <c r="AV173" s="289"/>
      <c r="AW173" s="289"/>
      <c r="AX173" s="290">
        <v>98</v>
      </c>
      <c r="AY173" s="289">
        <f t="shared" si="131"/>
        <v>98</v>
      </c>
      <c r="AZ173" s="291">
        <f t="shared" si="132"/>
        <v>1</v>
      </c>
      <c r="BA173" s="300"/>
      <c r="BB173" s="398">
        <v>100</v>
      </c>
      <c r="BC173" s="379">
        <f t="shared" si="133"/>
        <v>0</v>
      </c>
      <c r="BD173" s="378">
        <f t="shared" si="134"/>
        <v>0</v>
      </c>
      <c r="BE173" s="381"/>
      <c r="BF173" s="393">
        <f t="shared" si="112"/>
        <v>100</v>
      </c>
    </row>
    <row r="174" spans="1:58" x14ac:dyDescent="0.35">
      <c r="A174" s="243">
        <v>36</v>
      </c>
      <c r="B174" s="35">
        <v>242510140</v>
      </c>
      <c r="C174" s="261" t="s">
        <v>1442</v>
      </c>
      <c r="D174" s="194" t="s">
        <v>8</v>
      </c>
      <c r="E174" s="215">
        <v>19</v>
      </c>
      <c r="F174" s="217"/>
      <c r="G174" s="217"/>
      <c r="H174" s="217"/>
      <c r="I174" s="326">
        <f t="shared" si="113"/>
        <v>0</v>
      </c>
      <c r="J174" s="326">
        <f t="shared" si="114"/>
        <v>19</v>
      </c>
      <c r="K174" s="327">
        <f t="shared" si="115"/>
        <v>1</v>
      </c>
      <c r="L174" s="221">
        <v>14</v>
      </c>
      <c r="M174" s="222"/>
      <c r="N174" s="223"/>
      <c r="O174" s="222"/>
      <c r="P174" s="328">
        <f t="shared" si="116"/>
        <v>0</v>
      </c>
      <c r="Q174" s="328">
        <f t="shared" si="117"/>
        <v>14</v>
      </c>
      <c r="R174" s="329">
        <f t="shared" si="118"/>
        <v>1</v>
      </c>
      <c r="S174" s="225">
        <v>12</v>
      </c>
      <c r="T174" s="226"/>
      <c r="U174" s="226"/>
      <c r="V174" s="226"/>
      <c r="W174" s="330">
        <f t="shared" si="119"/>
        <v>0</v>
      </c>
      <c r="X174" s="330">
        <f t="shared" si="120"/>
        <v>12</v>
      </c>
      <c r="Y174" s="331">
        <f t="shared" si="121"/>
        <v>1</v>
      </c>
      <c r="Z174" s="228">
        <v>21</v>
      </c>
      <c r="AA174" s="255"/>
      <c r="AB174" s="255"/>
      <c r="AC174" s="255"/>
      <c r="AD174" s="280">
        <f t="shared" si="122"/>
        <v>0</v>
      </c>
      <c r="AE174" s="280">
        <f t="shared" si="123"/>
        <v>21</v>
      </c>
      <c r="AF174" s="281">
        <f t="shared" si="124"/>
        <v>1</v>
      </c>
      <c r="AG174" s="229">
        <v>18</v>
      </c>
      <c r="AH174" s="257"/>
      <c r="AI174" s="257"/>
      <c r="AJ174" s="257"/>
      <c r="AK174" s="305">
        <f t="shared" si="125"/>
        <v>0</v>
      </c>
      <c r="AL174" s="305">
        <f t="shared" si="126"/>
        <v>18</v>
      </c>
      <c r="AM174" s="306">
        <f t="shared" si="127"/>
        <v>1</v>
      </c>
      <c r="AN174" s="230">
        <v>14</v>
      </c>
      <c r="AO174" s="259"/>
      <c r="AP174" s="259"/>
      <c r="AQ174" s="259"/>
      <c r="AR174" s="307">
        <f t="shared" si="128"/>
        <v>0</v>
      </c>
      <c r="AS174" s="307">
        <f t="shared" si="129"/>
        <v>14</v>
      </c>
      <c r="AT174" s="308">
        <f t="shared" si="130"/>
        <v>1</v>
      </c>
      <c r="AU174" s="289"/>
      <c r="AV174" s="289"/>
      <c r="AW174" s="289"/>
      <c r="AX174" s="290">
        <v>98</v>
      </c>
      <c r="AY174" s="289">
        <f t="shared" si="131"/>
        <v>98</v>
      </c>
      <c r="AZ174" s="291">
        <f t="shared" si="132"/>
        <v>1</v>
      </c>
      <c r="BA174" s="300">
        <v>1</v>
      </c>
      <c r="BB174" s="398">
        <v>100</v>
      </c>
      <c r="BC174" s="379">
        <f t="shared" si="133"/>
        <v>2</v>
      </c>
      <c r="BD174" s="378">
        <f t="shared" si="134"/>
        <v>0</v>
      </c>
      <c r="BE174" s="381"/>
      <c r="BF174" s="393">
        <f t="shared" si="112"/>
        <v>98</v>
      </c>
    </row>
    <row r="175" spans="1:58" x14ac:dyDescent="0.35">
      <c r="A175" s="243">
        <v>37</v>
      </c>
      <c r="B175" s="35">
        <v>242510141</v>
      </c>
      <c r="C175" s="261" t="s">
        <v>1443</v>
      </c>
      <c r="D175" s="194" t="s">
        <v>6</v>
      </c>
      <c r="E175" s="215">
        <v>19</v>
      </c>
      <c r="F175" s="217"/>
      <c r="G175" s="217"/>
      <c r="H175" s="217"/>
      <c r="I175" s="326">
        <f t="shared" si="113"/>
        <v>0</v>
      </c>
      <c r="J175" s="326">
        <f t="shared" si="114"/>
        <v>19</v>
      </c>
      <c r="K175" s="327">
        <f t="shared" si="115"/>
        <v>1</v>
      </c>
      <c r="L175" s="221">
        <v>14</v>
      </c>
      <c r="M175" s="222"/>
      <c r="N175" s="222"/>
      <c r="O175" s="222"/>
      <c r="P175" s="328">
        <f t="shared" si="116"/>
        <v>0</v>
      </c>
      <c r="Q175" s="328">
        <f t="shared" si="117"/>
        <v>14</v>
      </c>
      <c r="R175" s="329">
        <f t="shared" si="118"/>
        <v>1</v>
      </c>
      <c r="S175" s="225">
        <v>12</v>
      </c>
      <c r="T175" s="226"/>
      <c r="U175" s="226"/>
      <c r="V175" s="226"/>
      <c r="W175" s="330">
        <f t="shared" si="119"/>
        <v>0</v>
      </c>
      <c r="X175" s="330">
        <f t="shared" si="120"/>
        <v>12</v>
      </c>
      <c r="Y175" s="331">
        <f t="shared" si="121"/>
        <v>1</v>
      </c>
      <c r="Z175" s="228">
        <v>21</v>
      </c>
      <c r="AA175" s="255"/>
      <c r="AB175" s="255"/>
      <c r="AC175" s="255"/>
      <c r="AD175" s="280">
        <f t="shared" si="122"/>
        <v>0</v>
      </c>
      <c r="AE175" s="280">
        <f t="shared" si="123"/>
        <v>21</v>
      </c>
      <c r="AF175" s="281">
        <f t="shared" si="124"/>
        <v>1</v>
      </c>
      <c r="AG175" s="229">
        <v>18</v>
      </c>
      <c r="AH175" s="257"/>
      <c r="AI175" s="257"/>
      <c r="AJ175" s="257"/>
      <c r="AK175" s="305">
        <f t="shared" si="125"/>
        <v>0</v>
      </c>
      <c r="AL175" s="305">
        <f t="shared" si="126"/>
        <v>18</v>
      </c>
      <c r="AM175" s="306">
        <f t="shared" si="127"/>
        <v>1</v>
      </c>
      <c r="AN175" s="230">
        <v>14</v>
      </c>
      <c r="AO175" s="259"/>
      <c r="AP175" s="259"/>
      <c r="AQ175" s="259"/>
      <c r="AR175" s="307">
        <f t="shared" si="128"/>
        <v>0</v>
      </c>
      <c r="AS175" s="307">
        <f t="shared" si="129"/>
        <v>14</v>
      </c>
      <c r="AT175" s="308">
        <f t="shared" si="130"/>
        <v>1</v>
      </c>
      <c r="AU175" s="289"/>
      <c r="AV175" s="289"/>
      <c r="AW175" s="289"/>
      <c r="AX175" s="290">
        <v>98</v>
      </c>
      <c r="AY175" s="289">
        <f t="shared" si="131"/>
        <v>98</v>
      </c>
      <c r="AZ175" s="291">
        <f t="shared" si="132"/>
        <v>1</v>
      </c>
      <c r="BA175" s="300"/>
      <c r="BB175" s="398">
        <v>100</v>
      </c>
      <c r="BC175" s="379">
        <f t="shared" si="133"/>
        <v>0</v>
      </c>
      <c r="BD175" s="378">
        <f t="shared" si="134"/>
        <v>0</v>
      </c>
      <c r="BE175" s="381"/>
      <c r="BF175" s="393">
        <f t="shared" si="112"/>
        <v>100</v>
      </c>
    </row>
    <row r="176" spans="1:58" s="323" customFormat="1" x14ac:dyDescent="0.35">
      <c r="A176" s="231"/>
      <c r="D176" s="233"/>
      <c r="E176" s="233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86"/>
      <c r="AV176" s="286"/>
      <c r="AW176" s="286"/>
      <c r="AX176" s="286"/>
      <c r="AY176" s="286"/>
      <c r="AZ176" s="286"/>
      <c r="BA176" s="286"/>
      <c r="BB176" s="395"/>
      <c r="BC176" s="205"/>
      <c r="BD176" s="205"/>
      <c r="BE176" s="287"/>
      <c r="BF176" s="395"/>
    </row>
    <row r="177" spans="1:58" s="323" customFormat="1" x14ac:dyDescent="0.35"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86"/>
      <c r="AV177" s="286"/>
      <c r="AW177" s="286"/>
      <c r="AX177" s="286"/>
      <c r="AY177" s="286"/>
      <c r="AZ177" s="286"/>
      <c r="BA177" s="286"/>
      <c r="BB177" s="395"/>
      <c r="BC177" s="205"/>
      <c r="BD177" s="205"/>
      <c r="BE177" s="287"/>
      <c r="BF177" s="319"/>
    </row>
    <row r="178" spans="1:58" s="323" customFormat="1" ht="16" thickBot="1" x14ac:dyDescent="0.4">
      <c r="A178" s="324" t="s">
        <v>232</v>
      </c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86"/>
      <c r="AV178" s="286"/>
      <c r="AW178" s="286"/>
      <c r="AX178" s="286"/>
      <c r="AY178" s="286"/>
      <c r="AZ178" s="286"/>
      <c r="BA178" s="286"/>
      <c r="BB178" s="395"/>
      <c r="BC178" s="205"/>
      <c r="BD178" s="205"/>
      <c r="BE178" s="287"/>
      <c r="BF178" s="319"/>
    </row>
    <row r="179" spans="1:58" s="325" customFormat="1" ht="25" customHeight="1" thickBot="1" x14ac:dyDescent="0.4">
      <c r="A179" s="447" t="s">
        <v>1072</v>
      </c>
      <c r="B179" s="447" t="s">
        <v>2</v>
      </c>
      <c r="C179" s="448" t="s">
        <v>1606</v>
      </c>
      <c r="D179" s="448" t="s">
        <v>4</v>
      </c>
      <c r="E179" s="431" t="s">
        <v>1612</v>
      </c>
      <c r="F179" s="431"/>
      <c r="G179" s="431"/>
      <c r="H179" s="431"/>
      <c r="I179" s="431"/>
      <c r="J179" s="431"/>
      <c r="K179" s="431"/>
      <c r="L179" s="432" t="s">
        <v>1613</v>
      </c>
      <c r="M179" s="432"/>
      <c r="N179" s="432"/>
      <c r="O179" s="432"/>
      <c r="P179" s="432"/>
      <c r="Q179" s="432"/>
      <c r="R179" s="432"/>
      <c r="S179" s="433" t="s">
        <v>1614</v>
      </c>
      <c r="T179" s="433"/>
      <c r="U179" s="433"/>
      <c r="V179" s="433"/>
      <c r="W179" s="433"/>
      <c r="X179" s="433"/>
      <c r="Y179" s="433"/>
      <c r="Z179" s="434" t="s">
        <v>1615</v>
      </c>
      <c r="AA179" s="434"/>
      <c r="AB179" s="434"/>
      <c r="AC179" s="434"/>
      <c r="AD179" s="434"/>
      <c r="AE179" s="434"/>
      <c r="AF179" s="434"/>
      <c r="AG179" s="435" t="s">
        <v>1616</v>
      </c>
      <c r="AH179" s="435"/>
      <c r="AI179" s="435"/>
      <c r="AJ179" s="435"/>
      <c r="AK179" s="435"/>
      <c r="AL179" s="435"/>
      <c r="AM179" s="435"/>
      <c r="AN179" s="436" t="s">
        <v>1617</v>
      </c>
      <c r="AO179" s="436"/>
      <c r="AP179" s="436"/>
      <c r="AQ179" s="436"/>
      <c r="AR179" s="436"/>
      <c r="AS179" s="436"/>
      <c r="AT179" s="436"/>
      <c r="AU179" s="438" t="s">
        <v>224</v>
      </c>
      <c r="AV179" s="438"/>
      <c r="AW179" s="438"/>
      <c r="AX179" s="437" t="s">
        <v>1602</v>
      </c>
      <c r="AY179" s="437" t="s">
        <v>1603</v>
      </c>
      <c r="AZ179" s="437" t="s">
        <v>1604</v>
      </c>
      <c r="BA179" s="443" t="s">
        <v>1076</v>
      </c>
      <c r="BB179" s="430" t="s">
        <v>883</v>
      </c>
      <c r="BC179" s="428" t="s">
        <v>880</v>
      </c>
      <c r="BD179" s="428"/>
      <c r="BE179" s="428"/>
      <c r="BF179" s="429" t="s">
        <v>884</v>
      </c>
    </row>
    <row r="180" spans="1:58" s="325" customFormat="1" ht="55" customHeight="1" thickBot="1" x14ac:dyDescent="0.4">
      <c r="A180" s="447"/>
      <c r="B180" s="447"/>
      <c r="C180" s="448"/>
      <c r="D180" s="448"/>
      <c r="E180" s="235" t="s">
        <v>1598</v>
      </c>
      <c r="F180" s="236" t="s">
        <v>20</v>
      </c>
      <c r="G180" s="236" t="s">
        <v>19</v>
      </c>
      <c r="H180" s="236" t="s">
        <v>52</v>
      </c>
      <c r="I180" s="237" t="s">
        <v>1599</v>
      </c>
      <c r="J180" s="237" t="s">
        <v>1600</v>
      </c>
      <c r="K180" s="237" t="s">
        <v>1601</v>
      </c>
      <c r="L180" s="202" t="s">
        <v>1598</v>
      </c>
      <c r="M180" s="206" t="s">
        <v>20</v>
      </c>
      <c r="N180" s="206" t="s">
        <v>19</v>
      </c>
      <c r="O180" s="206" t="s">
        <v>52</v>
      </c>
      <c r="P180" s="207" t="s">
        <v>1599</v>
      </c>
      <c r="Q180" s="207" t="s">
        <v>1600</v>
      </c>
      <c r="R180" s="207" t="s">
        <v>1601</v>
      </c>
      <c r="S180" s="238" t="s">
        <v>1598</v>
      </c>
      <c r="T180" s="239" t="s">
        <v>20</v>
      </c>
      <c r="U180" s="239" t="s">
        <v>19</v>
      </c>
      <c r="V180" s="239" t="s">
        <v>52</v>
      </c>
      <c r="W180" s="224" t="s">
        <v>1599</v>
      </c>
      <c r="X180" s="224" t="s">
        <v>1600</v>
      </c>
      <c r="Y180" s="224" t="s">
        <v>1601</v>
      </c>
      <c r="Z180" s="240" t="s">
        <v>1598</v>
      </c>
      <c r="AA180" s="241" t="s">
        <v>20</v>
      </c>
      <c r="AB180" s="241" t="s">
        <v>19</v>
      </c>
      <c r="AC180" s="241" t="s">
        <v>52</v>
      </c>
      <c r="AD180" s="208" t="s">
        <v>1599</v>
      </c>
      <c r="AE180" s="208" t="s">
        <v>1600</v>
      </c>
      <c r="AF180" s="208" t="s">
        <v>1601</v>
      </c>
      <c r="AG180" s="209" t="s">
        <v>1598</v>
      </c>
      <c r="AH180" s="210" t="s">
        <v>20</v>
      </c>
      <c r="AI180" s="210" t="s">
        <v>19</v>
      </c>
      <c r="AJ180" s="210" t="s">
        <v>52</v>
      </c>
      <c r="AK180" s="211" t="s">
        <v>1599</v>
      </c>
      <c r="AL180" s="211" t="s">
        <v>1600</v>
      </c>
      <c r="AM180" s="211" t="s">
        <v>1601</v>
      </c>
      <c r="AN180" s="212" t="s">
        <v>1598</v>
      </c>
      <c r="AO180" s="213" t="s">
        <v>20</v>
      </c>
      <c r="AP180" s="213" t="s">
        <v>19</v>
      </c>
      <c r="AQ180" s="213" t="s">
        <v>52</v>
      </c>
      <c r="AR180" s="214" t="s">
        <v>1599</v>
      </c>
      <c r="AS180" s="214" t="s">
        <v>1600</v>
      </c>
      <c r="AT180" s="214" t="s">
        <v>1601</v>
      </c>
      <c r="AU180" s="203" t="s">
        <v>20</v>
      </c>
      <c r="AV180" s="204" t="s">
        <v>19</v>
      </c>
      <c r="AW180" s="204" t="s">
        <v>52</v>
      </c>
      <c r="AX180" s="437"/>
      <c r="AY180" s="437"/>
      <c r="AZ180" s="437"/>
      <c r="BA180" s="444"/>
      <c r="BB180" s="430"/>
      <c r="BC180" s="375" t="s">
        <v>881</v>
      </c>
      <c r="BD180" s="377" t="s">
        <v>885</v>
      </c>
      <c r="BE180" s="376" t="s">
        <v>882</v>
      </c>
      <c r="BF180" s="429"/>
    </row>
    <row r="181" spans="1:58" x14ac:dyDescent="0.35">
      <c r="A181" s="242">
        <v>1</v>
      </c>
      <c r="B181" s="35">
        <v>242510142</v>
      </c>
      <c r="C181" s="261" t="s">
        <v>1444</v>
      </c>
      <c r="D181" s="247" t="s">
        <v>8</v>
      </c>
      <c r="E181" s="215">
        <v>19</v>
      </c>
      <c r="F181" s="216"/>
      <c r="G181" s="216"/>
      <c r="H181" s="216"/>
      <c r="I181" s="326">
        <f>SUM(F181:H181)</f>
        <v>0</v>
      </c>
      <c r="J181" s="326">
        <f>E181-I181</f>
        <v>19</v>
      </c>
      <c r="K181" s="327">
        <f>J181/E181</f>
        <v>1</v>
      </c>
      <c r="L181" s="221">
        <v>14</v>
      </c>
      <c r="M181" s="221"/>
      <c r="N181" s="221"/>
      <c r="O181" s="221"/>
      <c r="P181" s="328">
        <f>SUM(M181:O181)</f>
        <v>0</v>
      </c>
      <c r="Q181" s="328">
        <f>L181-P181</f>
        <v>14</v>
      </c>
      <c r="R181" s="329">
        <f>Q181/L181</f>
        <v>1</v>
      </c>
      <c r="S181" s="225">
        <v>12</v>
      </c>
      <c r="T181" s="225"/>
      <c r="U181" s="225"/>
      <c r="V181" s="225"/>
      <c r="W181" s="330">
        <f>SUM(T181:V181)</f>
        <v>0</v>
      </c>
      <c r="X181" s="330">
        <f>S181-W181</f>
        <v>12</v>
      </c>
      <c r="Y181" s="331">
        <f>X181/S181</f>
        <v>1</v>
      </c>
      <c r="Z181" s="228">
        <v>21</v>
      </c>
      <c r="AA181" s="228"/>
      <c r="AB181" s="228"/>
      <c r="AC181" s="228"/>
      <c r="AD181" s="280">
        <f>SUM(AA181:AC181)</f>
        <v>0</v>
      </c>
      <c r="AE181" s="280">
        <f>Z181-AD181</f>
        <v>21</v>
      </c>
      <c r="AF181" s="281">
        <f>AE181/Z181</f>
        <v>1</v>
      </c>
      <c r="AG181" s="229">
        <v>18</v>
      </c>
      <c r="AH181" s="229"/>
      <c r="AI181" s="229"/>
      <c r="AJ181" s="229"/>
      <c r="AK181" s="305">
        <f>SUM(AH181:AJ181)</f>
        <v>0</v>
      </c>
      <c r="AL181" s="305">
        <f>AG181-AK181</f>
        <v>18</v>
      </c>
      <c r="AM181" s="306">
        <f>AL181/AG181</f>
        <v>1</v>
      </c>
      <c r="AN181" s="230">
        <v>14</v>
      </c>
      <c r="AO181" s="230"/>
      <c r="AP181" s="230"/>
      <c r="AQ181" s="230"/>
      <c r="AR181" s="307">
        <f>SUM(AO181:AQ181)</f>
        <v>0</v>
      </c>
      <c r="AS181" s="307">
        <f>AN181-AR181</f>
        <v>14</v>
      </c>
      <c r="AT181" s="308">
        <f>AS181/AN181</f>
        <v>1</v>
      </c>
      <c r="AU181" s="289"/>
      <c r="AV181" s="289"/>
      <c r="AW181" s="289"/>
      <c r="AX181" s="290">
        <v>98</v>
      </c>
      <c r="AY181" s="289">
        <f>AX181-AU181-AV181-AW181</f>
        <v>98</v>
      </c>
      <c r="AZ181" s="291">
        <f t="shared" ref="AZ181" si="135">AY181/AX181</f>
        <v>1</v>
      </c>
      <c r="BA181" s="292">
        <v>1</v>
      </c>
      <c r="BB181" s="393" cm="1">
        <f t="array" ref="BB181:BB209">[1]XI!$BF$182:$BF$210</f>
        <v>98</v>
      </c>
      <c r="BC181" s="379">
        <f t="shared" ref="BC181" si="136">BA181*2</f>
        <v>2</v>
      </c>
      <c r="BD181" s="378">
        <f t="shared" ref="BD181" si="137">AW181*2</f>
        <v>0</v>
      </c>
      <c r="BE181" s="380"/>
      <c r="BF181" s="393">
        <f t="shared" ref="BF181:BF209" si="138">BB181-BC181-BD181-BE181</f>
        <v>96</v>
      </c>
    </row>
    <row r="182" spans="1:58" x14ac:dyDescent="0.35">
      <c r="A182" s="244">
        <v>2</v>
      </c>
      <c r="B182" s="35">
        <v>242510143</v>
      </c>
      <c r="C182" s="261" t="s">
        <v>1445</v>
      </c>
      <c r="D182" s="247" t="s">
        <v>8</v>
      </c>
      <c r="E182" s="215">
        <v>19</v>
      </c>
      <c r="F182" s="217"/>
      <c r="G182" s="250"/>
      <c r="H182" s="217"/>
      <c r="I182" s="326">
        <f t="shared" ref="I182:I209" si="139">SUM(F182:H182)</f>
        <v>0</v>
      </c>
      <c r="J182" s="326">
        <f t="shared" ref="J182:J209" si="140">E182-I182</f>
        <v>19</v>
      </c>
      <c r="K182" s="327">
        <f t="shared" ref="K182:K209" si="141">J182/E182</f>
        <v>1</v>
      </c>
      <c r="L182" s="221">
        <v>14</v>
      </c>
      <c r="M182" s="222"/>
      <c r="N182" s="223"/>
      <c r="O182" s="222"/>
      <c r="P182" s="328">
        <f t="shared" ref="P182:P209" si="142">SUM(M182:O182)</f>
        <v>0</v>
      </c>
      <c r="Q182" s="328">
        <f t="shared" ref="Q182:Q209" si="143">L182-P182</f>
        <v>14</v>
      </c>
      <c r="R182" s="329">
        <f t="shared" ref="R182:R209" si="144">Q182/L182</f>
        <v>1</v>
      </c>
      <c r="S182" s="225">
        <v>12</v>
      </c>
      <c r="T182" s="226"/>
      <c r="U182" s="226"/>
      <c r="V182" s="226"/>
      <c r="W182" s="330">
        <f t="shared" ref="W182:W209" si="145">SUM(T182:V182)</f>
        <v>0</v>
      </c>
      <c r="X182" s="330">
        <f t="shared" ref="X182:X209" si="146">S182-W182</f>
        <v>12</v>
      </c>
      <c r="Y182" s="331">
        <f t="shared" ref="Y182:Y209" si="147">X182/S182</f>
        <v>1</v>
      </c>
      <c r="Z182" s="228">
        <v>21</v>
      </c>
      <c r="AA182" s="255"/>
      <c r="AB182" s="255"/>
      <c r="AC182" s="255"/>
      <c r="AD182" s="280">
        <f t="shared" ref="AD182:AD209" si="148">SUM(AA182:AC182)</f>
        <v>0</v>
      </c>
      <c r="AE182" s="280">
        <f t="shared" ref="AE182:AE209" si="149">Z182-AD182</f>
        <v>21</v>
      </c>
      <c r="AF182" s="281">
        <f t="shared" ref="AF182:AF209" si="150">AE182/Z182</f>
        <v>1</v>
      </c>
      <c r="AG182" s="229">
        <v>18</v>
      </c>
      <c r="AH182" s="257"/>
      <c r="AI182" s="257"/>
      <c r="AJ182" s="257"/>
      <c r="AK182" s="305">
        <f t="shared" ref="AK182:AK209" si="151">SUM(AH182:AJ182)</f>
        <v>0</v>
      </c>
      <c r="AL182" s="305">
        <f t="shared" ref="AL182:AL209" si="152">AG182-AK182</f>
        <v>18</v>
      </c>
      <c r="AM182" s="306">
        <f t="shared" ref="AM182:AM209" si="153">AL182/AG182</f>
        <v>1</v>
      </c>
      <c r="AN182" s="230">
        <v>14</v>
      </c>
      <c r="AO182" s="259"/>
      <c r="AP182" s="259"/>
      <c r="AQ182" s="259"/>
      <c r="AR182" s="307">
        <f t="shared" ref="AR182:AR209" si="154">SUM(AO182:AQ182)</f>
        <v>0</v>
      </c>
      <c r="AS182" s="307">
        <f t="shared" ref="AS182:AS209" si="155">AN182-AR182</f>
        <v>14</v>
      </c>
      <c r="AT182" s="308">
        <f t="shared" ref="AT182:AT209" si="156">AS182/AN182</f>
        <v>1</v>
      </c>
      <c r="AU182" s="289"/>
      <c r="AV182" s="289"/>
      <c r="AW182" s="289"/>
      <c r="AX182" s="290">
        <v>98</v>
      </c>
      <c r="AY182" s="289">
        <f t="shared" ref="AY182:AY209" si="157">AX182-AU182-AV182-AW182</f>
        <v>98</v>
      </c>
      <c r="AZ182" s="291">
        <f t="shared" ref="AZ182:AZ209" si="158">AY182/AX182</f>
        <v>1</v>
      </c>
      <c r="BA182" s="293"/>
      <c r="BB182" s="394">
        <v>92</v>
      </c>
      <c r="BC182" s="379">
        <f t="shared" ref="BC182:BC209" si="159">BA182*2</f>
        <v>0</v>
      </c>
      <c r="BD182" s="378">
        <f t="shared" ref="BD182:BD209" si="160">AW182*2</f>
        <v>0</v>
      </c>
      <c r="BE182" s="381"/>
      <c r="BF182" s="393">
        <f t="shared" si="138"/>
        <v>92</v>
      </c>
    </row>
    <row r="183" spans="1:58" x14ac:dyDescent="0.35">
      <c r="A183" s="243">
        <v>3</v>
      </c>
      <c r="B183" s="35">
        <v>242510144</v>
      </c>
      <c r="C183" s="261" t="s">
        <v>1446</v>
      </c>
      <c r="D183" s="248" t="s">
        <v>8</v>
      </c>
      <c r="E183" s="215">
        <v>19</v>
      </c>
      <c r="F183" s="217"/>
      <c r="G183" s="251"/>
      <c r="H183" s="217"/>
      <c r="I183" s="326">
        <f t="shared" si="139"/>
        <v>0</v>
      </c>
      <c r="J183" s="326">
        <f t="shared" si="140"/>
        <v>19</v>
      </c>
      <c r="K183" s="327">
        <f t="shared" si="141"/>
        <v>1</v>
      </c>
      <c r="L183" s="221">
        <v>14</v>
      </c>
      <c r="M183" s="222"/>
      <c r="N183" s="223"/>
      <c r="O183" s="222"/>
      <c r="P183" s="328">
        <f t="shared" si="142"/>
        <v>0</v>
      </c>
      <c r="Q183" s="328">
        <f t="shared" si="143"/>
        <v>14</v>
      </c>
      <c r="R183" s="329">
        <f t="shared" si="144"/>
        <v>1</v>
      </c>
      <c r="S183" s="225">
        <v>12</v>
      </c>
      <c r="T183" s="226"/>
      <c r="U183" s="226"/>
      <c r="V183" s="226"/>
      <c r="W183" s="330">
        <f t="shared" si="145"/>
        <v>0</v>
      </c>
      <c r="X183" s="330">
        <f t="shared" si="146"/>
        <v>12</v>
      </c>
      <c r="Y183" s="331">
        <f t="shared" si="147"/>
        <v>1</v>
      </c>
      <c r="Z183" s="228">
        <v>21</v>
      </c>
      <c r="AA183" s="255"/>
      <c r="AB183" s="255"/>
      <c r="AC183" s="255"/>
      <c r="AD183" s="280">
        <f t="shared" si="148"/>
        <v>0</v>
      </c>
      <c r="AE183" s="280">
        <f t="shared" si="149"/>
        <v>21</v>
      </c>
      <c r="AF183" s="281">
        <f t="shared" si="150"/>
        <v>1</v>
      </c>
      <c r="AG183" s="229">
        <v>18</v>
      </c>
      <c r="AH183" s="257"/>
      <c r="AI183" s="257"/>
      <c r="AJ183" s="257"/>
      <c r="AK183" s="305">
        <f t="shared" si="151"/>
        <v>0</v>
      </c>
      <c r="AL183" s="305">
        <f t="shared" si="152"/>
        <v>18</v>
      </c>
      <c r="AM183" s="306">
        <f t="shared" si="153"/>
        <v>1</v>
      </c>
      <c r="AN183" s="230">
        <v>14</v>
      </c>
      <c r="AO183" s="259"/>
      <c r="AP183" s="259"/>
      <c r="AQ183" s="259"/>
      <c r="AR183" s="307">
        <f t="shared" si="154"/>
        <v>0</v>
      </c>
      <c r="AS183" s="307">
        <f t="shared" si="155"/>
        <v>14</v>
      </c>
      <c r="AT183" s="308">
        <f t="shared" si="156"/>
        <v>1</v>
      </c>
      <c r="AU183" s="289"/>
      <c r="AV183" s="289"/>
      <c r="AW183" s="289"/>
      <c r="AX183" s="290">
        <v>98</v>
      </c>
      <c r="AY183" s="289">
        <f t="shared" si="157"/>
        <v>98</v>
      </c>
      <c r="AZ183" s="291">
        <f t="shared" si="158"/>
        <v>1</v>
      </c>
      <c r="BA183" s="293"/>
      <c r="BB183" s="394">
        <v>96</v>
      </c>
      <c r="BC183" s="379">
        <f t="shared" si="159"/>
        <v>0</v>
      </c>
      <c r="BD183" s="378">
        <f t="shared" si="160"/>
        <v>0</v>
      </c>
      <c r="BE183" s="381"/>
      <c r="BF183" s="393">
        <f t="shared" si="138"/>
        <v>96</v>
      </c>
    </row>
    <row r="184" spans="1:58" x14ac:dyDescent="0.35">
      <c r="A184" s="243">
        <v>4</v>
      </c>
      <c r="B184" s="35">
        <v>242510145</v>
      </c>
      <c r="C184" s="261" t="s">
        <v>1447</v>
      </c>
      <c r="D184" s="248" t="s">
        <v>8</v>
      </c>
      <c r="E184" s="215">
        <v>19</v>
      </c>
      <c r="F184" s="217"/>
      <c r="G184" s="250"/>
      <c r="H184" s="217"/>
      <c r="I184" s="326">
        <f t="shared" si="139"/>
        <v>0</v>
      </c>
      <c r="J184" s="326">
        <f t="shared" si="140"/>
        <v>19</v>
      </c>
      <c r="K184" s="327">
        <f t="shared" si="141"/>
        <v>1</v>
      </c>
      <c r="L184" s="221">
        <v>14</v>
      </c>
      <c r="M184" s="223"/>
      <c r="N184" s="223"/>
      <c r="O184" s="223"/>
      <c r="P184" s="328">
        <f t="shared" si="142"/>
        <v>0</v>
      </c>
      <c r="Q184" s="328">
        <f t="shared" si="143"/>
        <v>14</v>
      </c>
      <c r="R184" s="329">
        <f t="shared" si="144"/>
        <v>1</v>
      </c>
      <c r="S184" s="225">
        <v>12</v>
      </c>
      <c r="T184" s="226"/>
      <c r="U184" s="226"/>
      <c r="V184" s="226"/>
      <c r="W184" s="330">
        <f t="shared" si="145"/>
        <v>0</v>
      </c>
      <c r="X184" s="330">
        <f t="shared" si="146"/>
        <v>12</v>
      </c>
      <c r="Y184" s="331">
        <f t="shared" si="147"/>
        <v>1</v>
      </c>
      <c r="Z184" s="228">
        <v>21</v>
      </c>
      <c r="AA184" s="255"/>
      <c r="AB184" s="255"/>
      <c r="AC184" s="255"/>
      <c r="AD184" s="280">
        <f t="shared" si="148"/>
        <v>0</v>
      </c>
      <c r="AE184" s="280">
        <f t="shared" si="149"/>
        <v>21</v>
      </c>
      <c r="AF184" s="281">
        <f t="shared" si="150"/>
        <v>1</v>
      </c>
      <c r="AG184" s="229">
        <v>18</v>
      </c>
      <c r="AH184" s="257"/>
      <c r="AI184" s="257"/>
      <c r="AJ184" s="257"/>
      <c r="AK184" s="305">
        <f t="shared" si="151"/>
        <v>0</v>
      </c>
      <c r="AL184" s="305">
        <f t="shared" si="152"/>
        <v>18</v>
      </c>
      <c r="AM184" s="306">
        <f t="shared" si="153"/>
        <v>1</v>
      </c>
      <c r="AN184" s="230">
        <v>14</v>
      </c>
      <c r="AO184" s="259"/>
      <c r="AP184" s="259"/>
      <c r="AQ184" s="259"/>
      <c r="AR184" s="307">
        <f t="shared" si="154"/>
        <v>0</v>
      </c>
      <c r="AS184" s="307">
        <f t="shared" si="155"/>
        <v>14</v>
      </c>
      <c r="AT184" s="308">
        <f t="shared" si="156"/>
        <v>1</v>
      </c>
      <c r="AU184" s="289"/>
      <c r="AV184" s="289"/>
      <c r="AW184" s="289"/>
      <c r="AX184" s="290">
        <v>98</v>
      </c>
      <c r="AY184" s="289">
        <f t="shared" si="157"/>
        <v>98</v>
      </c>
      <c r="AZ184" s="291">
        <f t="shared" si="158"/>
        <v>1</v>
      </c>
      <c r="BA184" s="293"/>
      <c r="BB184" s="394">
        <v>100</v>
      </c>
      <c r="BC184" s="379">
        <f t="shared" si="159"/>
        <v>0</v>
      </c>
      <c r="BD184" s="378">
        <f t="shared" si="160"/>
        <v>0</v>
      </c>
      <c r="BE184" s="381"/>
      <c r="BF184" s="393">
        <f t="shared" si="138"/>
        <v>100</v>
      </c>
    </row>
    <row r="185" spans="1:58" x14ac:dyDescent="0.35">
      <c r="A185" s="243">
        <v>5</v>
      </c>
      <c r="B185" s="35">
        <v>242510146</v>
      </c>
      <c r="C185" s="261" t="s">
        <v>1448</v>
      </c>
      <c r="D185" s="248" t="s">
        <v>8</v>
      </c>
      <c r="E185" s="215">
        <v>19</v>
      </c>
      <c r="F185" s="217"/>
      <c r="G185" s="250"/>
      <c r="H185" s="217"/>
      <c r="I185" s="326">
        <f t="shared" si="139"/>
        <v>0</v>
      </c>
      <c r="J185" s="326">
        <f t="shared" si="140"/>
        <v>19</v>
      </c>
      <c r="K185" s="327">
        <f t="shared" si="141"/>
        <v>1</v>
      </c>
      <c r="L185" s="221">
        <v>14</v>
      </c>
      <c r="M185" s="222"/>
      <c r="N185" s="223"/>
      <c r="O185" s="223"/>
      <c r="P185" s="328">
        <f t="shared" si="142"/>
        <v>0</v>
      </c>
      <c r="Q185" s="328">
        <f t="shared" si="143"/>
        <v>14</v>
      </c>
      <c r="R185" s="329">
        <f t="shared" si="144"/>
        <v>1</v>
      </c>
      <c r="S185" s="225">
        <v>12</v>
      </c>
      <c r="T185" s="226"/>
      <c r="U185" s="226"/>
      <c r="V185" s="226"/>
      <c r="W185" s="330">
        <f t="shared" si="145"/>
        <v>0</v>
      </c>
      <c r="X185" s="330">
        <f t="shared" si="146"/>
        <v>12</v>
      </c>
      <c r="Y185" s="331">
        <f t="shared" si="147"/>
        <v>1</v>
      </c>
      <c r="Z185" s="228">
        <v>21</v>
      </c>
      <c r="AA185" s="255"/>
      <c r="AB185" s="255"/>
      <c r="AC185" s="255"/>
      <c r="AD185" s="280">
        <f t="shared" si="148"/>
        <v>0</v>
      </c>
      <c r="AE185" s="280">
        <f t="shared" si="149"/>
        <v>21</v>
      </c>
      <c r="AF185" s="281">
        <f t="shared" si="150"/>
        <v>1</v>
      </c>
      <c r="AG185" s="229">
        <v>18</v>
      </c>
      <c r="AH185" s="257"/>
      <c r="AI185" s="257"/>
      <c r="AJ185" s="257"/>
      <c r="AK185" s="305">
        <f t="shared" si="151"/>
        <v>0</v>
      </c>
      <c r="AL185" s="305">
        <f t="shared" si="152"/>
        <v>18</v>
      </c>
      <c r="AM185" s="306">
        <f t="shared" si="153"/>
        <v>1</v>
      </c>
      <c r="AN185" s="230">
        <v>14</v>
      </c>
      <c r="AO185" s="259"/>
      <c r="AP185" s="259"/>
      <c r="AQ185" s="259"/>
      <c r="AR185" s="307">
        <f t="shared" si="154"/>
        <v>0</v>
      </c>
      <c r="AS185" s="307">
        <f t="shared" si="155"/>
        <v>14</v>
      </c>
      <c r="AT185" s="308">
        <f t="shared" si="156"/>
        <v>1</v>
      </c>
      <c r="AU185" s="289"/>
      <c r="AV185" s="289"/>
      <c r="AW185" s="289"/>
      <c r="AX185" s="290">
        <v>98</v>
      </c>
      <c r="AY185" s="289">
        <f t="shared" si="157"/>
        <v>98</v>
      </c>
      <c r="AZ185" s="291">
        <f t="shared" si="158"/>
        <v>1</v>
      </c>
      <c r="BA185" s="293"/>
      <c r="BB185" s="394">
        <v>100</v>
      </c>
      <c r="BC185" s="379">
        <f t="shared" si="159"/>
        <v>0</v>
      </c>
      <c r="BD185" s="378">
        <f t="shared" si="160"/>
        <v>0</v>
      </c>
      <c r="BE185" s="381"/>
      <c r="BF185" s="393">
        <f t="shared" si="138"/>
        <v>100</v>
      </c>
    </row>
    <row r="186" spans="1:58" x14ac:dyDescent="0.35">
      <c r="A186" s="243">
        <v>6</v>
      </c>
      <c r="B186" s="35">
        <v>242510147</v>
      </c>
      <c r="C186" s="261" t="s">
        <v>1449</v>
      </c>
      <c r="D186" s="247" t="s">
        <v>8</v>
      </c>
      <c r="E186" s="215">
        <v>19</v>
      </c>
      <c r="F186" s="217"/>
      <c r="G186" s="250"/>
      <c r="H186" s="217"/>
      <c r="I186" s="326">
        <f t="shared" si="139"/>
        <v>0</v>
      </c>
      <c r="J186" s="326">
        <f t="shared" si="140"/>
        <v>19</v>
      </c>
      <c r="K186" s="327">
        <f t="shared" si="141"/>
        <v>1</v>
      </c>
      <c r="L186" s="221">
        <v>14</v>
      </c>
      <c r="M186" s="222"/>
      <c r="N186" s="223"/>
      <c r="O186" s="222"/>
      <c r="P186" s="328">
        <f t="shared" si="142"/>
        <v>0</v>
      </c>
      <c r="Q186" s="328">
        <f t="shared" si="143"/>
        <v>14</v>
      </c>
      <c r="R186" s="329">
        <f t="shared" si="144"/>
        <v>1</v>
      </c>
      <c r="S186" s="225">
        <v>12</v>
      </c>
      <c r="T186" s="226"/>
      <c r="U186" s="226"/>
      <c r="V186" s="226"/>
      <c r="W186" s="330">
        <f t="shared" si="145"/>
        <v>0</v>
      </c>
      <c r="X186" s="330">
        <f t="shared" si="146"/>
        <v>12</v>
      </c>
      <c r="Y186" s="331">
        <f t="shared" si="147"/>
        <v>1</v>
      </c>
      <c r="Z186" s="228">
        <v>21</v>
      </c>
      <c r="AA186" s="255"/>
      <c r="AB186" s="255"/>
      <c r="AC186" s="255"/>
      <c r="AD186" s="280">
        <f t="shared" si="148"/>
        <v>0</v>
      </c>
      <c r="AE186" s="280">
        <f t="shared" si="149"/>
        <v>21</v>
      </c>
      <c r="AF186" s="281">
        <f t="shared" si="150"/>
        <v>1</v>
      </c>
      <c r="AG186" s="229">
        <v>18</v>
      </c>
      <c r="AH186" s="257"/>
      <c r="AI186" s="257"/>
      <c r="AJ186" s="257"/>
      <c r="AK186" s="305">
        <f t="shared" si="151"/>
        <v>0</v>
      </c>
      <c r="AL186" s="305">
        <f t="shared" si="152"/>
        <v>18</v>
      </c>
      <c r="AM186" s="306">
        <f t="shared" si="153"/>
        <v>1</v>
      </c>
      <c r="AN186" s="230">
        <v>14</v>
      </c>
      <c r="AO186" s="259"/>
      <c r="AP186" s="259"/>
      <c r="AQ186" s="259"/>
      <c r="AR186" s="307">
        <f t="shared" si="154"/>
        <v>0</v>
      </c>
      <c r="AS186" s="307">
        <f t="shared" si="155"/>
        <v>14</v>
      </c>
      <c r="AT186" s="308">
        <f t="shared" si="156"/>
        <v>1</v>
      </c>
      <c r="AU186" s="344"/>
      <c r="AV186" s="344"/>
      <c r="AW186" s="344"/>
      <c r="AX186" s="290">
        <v>98</v>
      </c>
      <c r="AY186" s="344">
        <f t="shared" si="157"/>
        <v>98</v>
      </c>
      <c r="AZ186" s="424">
        <f t="shared" si="158"/>
        <v>1</v>
      </c>
      <c r="BA186" s="293"/>
      <c r="BB186" s="394">
        <v>92</v>
      </c>
      <c r="BC186" s="379">
        <f t="shared" si="159"/>
        <v>0</v>
      </c>
      <c r="BD186" s="378">
        <f t="shared" si="160"/>
        <v>0</v>
      </c>
      <c r="BE186" s="381"/>
      <c r="BF186" s="393">
        <f t="shared" si="138"/>
        <v>92</v>
      </c>
    </row>
    <row r="187" spans="1:58" x14ac:dyDescent="0.35">
      <c r="A187" s="243">
        <v>7</v>
      </c>
      <c r="B187" s="35">
        <v>242510148</v>
      </c>
      <c r="C187" s="261" t="s">
        <v>1450</v>
      </c>
      <c r="D187" s="247" t="s">
        <v>8</v>
      </c>
      <c r="E187" s="215">
        <v>19</v>
      </c>
      <c r="F187" s="217"/>
      <c r="G187" s="250"/>
      <c r="H187" s="217"/>
      <c r="I187" s="326">
        <f t="shared" si="139"/>
        <v>0</v>
      </c>
      <c r="J187" s="326">
        <f t="shared" si="140"/>
        <v>19</v>
      </c>
      <c r="K187" s="327">
        <f t="shared" si="141"/>
        <v>1</v>
      </c>
      <c r="L187" s="221">
        <v>14</v>
      </c>
      <c r="M187" s="222"/>
      <c r="N187" s="222"/>
      <c r="O187" s="223"/>
      <c r="P187" s="328">
        <f t="shared" si="142"/>
        <v>0</v>
      </c>
      <c r="Q187" s="328">
        <f t="shared" si="143"/>
        <v>14</v>
      </c>
      <c r="R187" s="329">
        <f t="shared" si="144"/>
        <v>1</v>
      </c>
      <c r="S187" s="225">
        <v>12</v>
      </c>
      <c r="T187" s="226"/>
      <c r="U187" s="226"/>
      <c r="V187" s="226"/>
      <c r="W187" s="330">
        <f t="shared" si="145"/>
        <v>0</v>
      </c>
      <c r="X187" s="330">
        <f t="shared" si="146"/>
        <v>12</v>
      </c>
      <c r="Y187" s="331">
        <f t="shared" si="147"/>
        <v>1</v>
      </c>
      <c r="Z187" s="228">
        <v>21</v>
      </c>
      <c r="AA187" s="255"/>
      <c r="AB187" s="255"/>
      <c r="AC187" s="255"/>
      <c r="AD187" s="280">
        <f t="shared" si="148"/>
        <v>0</v>
      </c>
      <c r="AE187" s="280">
        <f t="shared" si="149"/>
        <v>21</v>
      </c>
      <c r="AF187" s="281">
        <f t="shared" si="150"/>
        <v>1</v>
      </c>
      <c r="AG187" s="229">
        <v>18</v>
      </c>
      <c r="AH187" s="257"/>
      <c r="AI187" s="257"/>
      <c r="AJ187" s="257"/>
      <c r="AK187" s="305">
        <f t="shared" si="151"/>
        <v>0</v>
      </c>
      <c r="AL187" s="305">
        <f t="shared" si="152"/>
        <v>18</v>
      </c>
      <c r="AM187" s="306">
        <f t="shared" si="153"/>
        <v>1</v>
      </c>
      <c r="AN187" s="230">
        <v>14</v>
      </c>
      <c r="AO187" s="259"/>
      <c r="AP187" s="259"/>
      <c r="AQ187" s="259"/>
      <c r="AR187" s="307">
        <f t="shared" si="154"/>
        <v>0</v>
      </c>
      <c r="AS187" s="307">
        <f t="shared" si="155"/>
        <v>14</v>
      </c>
      <c r="AT187" s="308">
        <f t="shared" si="156"/>
        <v>1</v>
      </c>
      <c r="AU187" s="344"/>
      <c r="AV187" s="344"/>
      <c r="AW187" s="344"/>
      <c r="AX187" s="290">
        <v>98</v>
      </c>
      <c r="AY187" s="344">
        <f t="shared" si="157"/>
        <v>98</v>
      </c>
      <c r="AZ187" s="424">
        <f t="shared" si="158"/>
        <v>1</v>
      </c>
      <c r="BA187" s="293"/>
      <c r="BB187" s="394">
        <v>96</v>
      </c>
      <c r="BC187" s="379">
        <f t="shared" si="159"/>
        <v>0</v>
      </c>
      <c r="BD187" s="378">
        <f t="shared" si="160"/>
        <v>0</v>
      </c>
      <c r="BE187" s="381"/>
      <c r="BF187" s="393">
        <f t="shared" si="138"/>
        <v>96</v>
      </c>
    </row>
    <row r="188" spans="1:58" x14ac:dyDescent="0.35">
      <c r="A188" s="244">
        <v>8</v>
      </c>
      <c r="B188" s="38">
        <v>242510149</v>
      </c>
      <c r="C188" s="94" t="s">
        <v>1451</v>
      </c>
      <c r="D188" s="248" t="s">
        <v>8</v>
      </c>
      <c r="E188" s="215">
        <v>19</v>
      </c>
      <c r="F188" s="217"/>
      <c r="G188" s="250"/>
      <c r="H188" s="217"/>
      <c r="I188" s="326">
        <f t="shared" si="139"/>
        <v>0</v>
      </c>
      <c r="J188" s="326">
        <f t="shared" si="140"/>
        <v>19</v>
      </c>
      <c r="K188" s="327">
        <f t="shared" si="141"/>
        <v>1</v>
      </c>
      <c r="L188" s="221">
        <v>14</v>
      </c>
      <c r="M188" s="222"/>
      <c r="N188" s="223"/>
      <c r="O188" s="223"/>
      <c r="P188" s="328">
        <f t="shared" si="142"/>
        <v>0</v>
      </c>
      <c r="Q188" s="328">
        <f t="shared" si="143"/>
        <v>14</v>
      </c>
      <c r="R188" s="329">
        <f t="shared" si="144"/>
        <v>1</v>
      </c>
      <c r="S188" s="225">
        <v>12</v>
      </c>
      <c r="T188" s="226"/>
      <c r="U188" s="226"/>
      <c r="V188" s="226"/>
      <c r="W188" s="330">
        <f t="shared" si="145"/>
        <v>0</v>
      </c>
      <c r="X188" s="330">
        <f t="shared" si="146"/>
        <v>12</v>
      </c>
      <c r="Y188" s="331">
        <f t="shared" si="147"/>
        <v>1</v>
      </c>
      <c r="Z188" s="228">
        <v>21</v>
      </c>
      <c r="AA188" s="255"/>
      <c r="AB188" s="255"/>
      <c r="AC188" s="255"/>
      <c r="AD188" s="280">
        <f t="shared" si="148"/>
        <v>0</v>
      </c>
      <c r="AE188" s="280">
        <f t="shared" si="149"/>
        <v>21</v>
      </c>
      <c r="AF188" s="281">
        <f t="shared" si="150"/>
        <v>1</v>
      </c>
      <c r="AG188" s="229">
        <v>18</v>
      </c>
      <c r="AH188" s="257"/>
      <c r="AI188" s="257"/>
      <c r="AJ188" s="257"/>
      <c r="AK188" s="305">
        <f t="shared" si="151"/>
        <v>0</v>
      </c>
      <c r="AL188" s="305">
        <f t="shared" si="152"/>
        <v>18</v>
      </c>
      <c r="AM188" s="306">
        <f t="shared" si="153"/>
        <v>1</v>
      </c>
      <c r="AN188" s="230">
        <v>14</v>
      </c>
      <c r="AO188" s="259"/>
      <c r="AP188" s="259"/>
      <c r="AQ188" s="259"/>
      <c r="AR188" s="307">
        <f t="shared" si="154"/>
        <v>0</v>
      </c>
      <c r="AS188" s="307">
        <f t="shared" si="155"/>
        <v>14</v>
      </c>
      <c r="AT188" s="308">
        <f t="shared" si="156"/>
        <v>1</v>
      </c>
      <c r="AU188" s="344"/>
      <c r="AV188" s="344"/>
      <c r="AW188" s="344"/>
      <c r="AX188" s="290">
        <v>98</v>
      </c>
      <c r="AY188" s="344">
        <f t="shared" si="157"/>
        <v>98</v>
      </c>
      <c r="AZ188" s="424">
        <f t="shared" si="158"/>
        <v>1</v>
      </c>
      <c r="BA188" s="293"/>
      <c r="BB188" s="394">
        <v>34</v>
      </c>
      <c r="BC188" s="379">
        <f t="shared" si="159"/>
        <v>0</v>
      </c>
      <c r="BD188" s="378">
        <f>AW188*2</f>
        <v>0</v>
      </c>
      <c r="BE188" s="381"/>
      <c r="BF188" s="393">
        <f t="shared" si="138"/>
        <v>34</v>
      </c>
    </row>
    <row r="189" spans="1:58" x14ac:dyDescent="0.35">
      <c r="A189" s="244">
        <v>9</v>
      </c>
      <c r="B189" s="38">
        <v>242510150</v>
      </c>
      <c r="C189" s="94" t="s">
        <v>1452</v>
      </c>
      <c r="D189" s="248" t="s">
        <v>8</v>
      </c>
      <c r="E189" s="215">
        <v>19</v>
      </c>
      <c r="F189" s="217"/>
      <c r="G189" s="250"/>
      <c r="H189" s="217"/>
      <c r="I189" s="326">
        <f t="shared" si="139"/>
        <v>0</v>
      </c>
      <c r="J189" s="326">
        <f t="shared" si="140"/>
        <v>19</v>
      </c>
      <c r="K189" s="327">
        <f t="shared" si="141"/>
        <v>1</v>
      </c>
      <c r="L189" s="221">
        <v>14</v>
      </c>
      <c r="M189" s="223"/>
      <c r="N189" s="223"/>
      <c r="O189" s="223"/>
      <c r="P189" s="328">
        <f t="shared" si="142"/>
        <v>0</v>
      </c>
      <c r="Q189" s="328">
        <f t="shared" si="143"/>
        <v>14</v>
      </c>
      <c r="R189" s="329">
        <f t="shared" si="144"/>
        <v>1</v>
      </c>
      <c r="S189" s="225">
        <v>12</v>
      </c>
      <c r="T189" s="226"/>
      <c r="U189" s="226"/>
      <c r="V189" s="226"/>
      <c r="W189" s="330">
        <f t="shared" si="145"/>
        <v>0</v>
      </c>
      <c r="X189" s="330">
        <f t="shared" si="146"/>
        <v>12</v>
      </c>
      <c r="Y189" s="331">
        <f t="shared" si="147"/>
        <v>1</v>
      </c>
      <c r="Z189" s="228">
        <v>21</v>
      </c>
      <c r="AA189" s="255"/>
      <c r="AB189" s="255"/>
      <c r="AC189" s="255"/>
      <c r="AD189" s="280">
        <f t="shared" si="148"/>
        <v>0</v>
      </c>
      <c r="AE189" s="280">
        <f t="shared" si="149"/>
        <v>21</v>
      </c>
      <c r="AF189" s="281">
        <f t="shared" si="150"/>
        <v>1</v>
      </c>
      <c r="AG189" s="229">
        <v>18</v>
      </c>
      <c r="AH189" s="257"/>
      <c r="AI189" s="257"/>
      <c r="AJ189" s="257"/>
      <c r="AK189" s="305">
        <f t="shared" si="151"/>
        <v>0</v>
      </c>
      <c r="AL189" s="305">
        <f t="shared" si="152"/>
        <v>18</v>
      </c>
      <c r="AM189" s="306">
        <f t="shared" si="153"/>
        <v>1</v>
      </c>
      <c r="AN189" s="230">
        <v>14</v>
      </c>
      <c r="AO189" s="259"/>
      <c r="AP189" s="259"/>
      <c r="AQ189" s="259"/>
      <c r="AR189" s="307">
        <f t="shared" si="154"/>
        <v>0</v>
      </c>
      <c r="AS189" s="307">
        <f t="shared" si="155"/>
        <v>14</v>
      </c>
      <c r="AT189" s="308">
        <f t="shared" si="156"/>
        <v>1</v>
      </c>
      <c r="AU189" s="344"/>
      <c r="AV189" s="344"/>
      <c r="AW189" s="344"/>
      <c r="AX189" s="290">
        <v>98</v>
      </c>
      <c r="AY189" s="344">
        <f t="shared" si="157"/>
        <v>98</v>
      </c>
      <c r="AZ189" s="424">
        <f t="shared" si="158"/>
        <v>1</v>
      </c>
      <c r="BA189" s="293"/>
      <c r="BB189" s="394">
        <v>88</v>
      </c>
      <c r="BC189" s="379">
        <f t="shared" si="159"/>
        <v>0</v>
      </c>
      <c r="BD189" s="378">
        <f t="shared" si="160"/>
        <v>0</v>
      </c>
      <c r="BE189" s="381"/>
      <c r="BF189" s="393">
        <f t="shared" si="138"/>
        <v>88</v>
      </c>
    </row>
    <row r="190" spans="1:58" x14ac:dyDescent="0.35">
      <c r="A190" s="243">
        <v>10</v>
      </c>
      <c r="B190" s="35">
        <v>242510151</v>
      </c>
      <c r="C190" s="261" t="s">
        <v>1453</v>
      </c>
      <c r="D190" s="248" t="s">
        <v>8</v>
      </c>
      <c r="E190" s="215">
        <v>19</v>
      </c>
      <c r="F190" s="217"/>
      <c r="G190" s="250"/>
      <c r="H190" s="218"/>
      <c r="I190" s="326">
        <f t="shared" si="139"/>
        <v>0</v>
      </c>
      <c r="J190" s="326">
        <f t="shared" si="140"/>
        <v>19</v>
      </c>
      <c r="K190" s="327">
        <f t="shared" si="141"/>
        <v>1</v>
      </c>
      <c r="L190" s="221">
        <v>14</v>
      </c>
      <c r="M190" s="222"/>
      <c r="N190" s="223"/>
      <c r="O190" s="223"/>
      <c r="P190" s="328">
        <f t="shared" si="142"/>
        <v>0</v>
      </c>
      <c r="Q190" s="328">
        <f t="shared" si="143"/>
        <v>14</v>
      </c>
      <c r="R190" s="329">
        <f t="shared" si="144"/>
        <v>1</v>
      </c>
      <c r="S190" s="225">
        <v>12</v>
      </c>
      <c r="T190" s="226"/>
      <c r="U190" s="226"/>
      <c r="V190" s="226"/>
      <c r="W190" s="330">
        <f t="shared" si="145"/>
        <v>0</v>
      </c>
      <c r="X190" s="330">
        <f t="shared" si="146"/>
        <v>12</v>
      </c>
      <c r="Y190" s="331">
        <f t="shared" si="147"/>
        <v>1</v>
      </c>
      <c r="Z190" s="228">
        <v>21</v>
      </c>
      <c r="AA190" s="255"/>
      <c r="AB190" s="255"/>
      <c r="AC190" s="255"/>
      <c r="AD190" s="280">
        <f t="shared" si="148"/>
        <v>0</v>
      </c>
      <c r="AE190" s="280">
        <f t="shared" si="149"/>
        <v>21</v>
      </c>
      <c r="AF190" s="281">
        <f t="shared" si="150"/>
        <v>1</v>
      </c>
      <c r="AG190" s="229">
        <v>18</v>
      </c>
      <c r="AH190" s="257"/>
      <c r="AI190" s="257"/>
      <c r="AJ190" s="257"/>
      <c r="AK190" s="305">
        <f t="shared" si="151"/>
        <v>0</v>
      </c>
      <c r="AL190" s="305">
        <f t="shared" si="152"/>
        <v>18</v>
      </c>
      <c r="AM190" s="306">
        <f t="shared" si="153"/>
        <v>1</v>
      </c>
      <c r="AN190" s="230">
        <v>14</v>
      </c>
      <c r="AO190" s="259"/>
      <c r="AP190" s="259"/>
      <c r="AQ190" s="259"/>
      <c r="AR190" s="307">
        <f t="shared" si="154"/>
        <v>0</v>
      </c>
      <c r="AS190" s="307">
        <f t="shared" si="155"/>
        <v>14</v>
      </c>
      <c r="AT190" s="308">
        <f t="shared" si="156"/>
        <v>1</v>
      </c>
      <c r="AU190" s="344"/>
      <c r="AV190" s="344"/>
      <c r="AW190" s="344"/>
      <c r="AX190" s="290">
        <v>98</v>
      </c>
      <c r="AY190" s="344">
        <f t="shared" si="157"/>
        <v>98</v>
      </c>
      <c r="AZ190" s="424">
        <f t="shared" si="158"/>
        <v>1</v>
      </c>
      <c r="BA190" s="293"/>
      <c r="BB190" s="394">
        <v>100</v>
      </c>
      <c r="BC190" s="379">
        <f t="shared" si="159"/>
        <v>0</v>
      </c>
      <c r="BD190" s="378">
        <f t="shared" si="160"/>
        <v>0</v>
      </c>
      <c r="BE190" s="381"/>
      <c r="BF190" s="393">
        <f t="shared" si="138"/>
        <v>100</v>
      </c>
    </row>
    <row r="191" spans="1:58" x14ac:dyDescent="0.35">
      <c r="A191" s="243">
        <v>11</v>
      </c>
      <c r="B191" s="35">
        <v>242510152</v>
      </c>
      <c r="C191" s="261" t="s">
        <v>1454</v>
      </c>
      <c r="D191" s="248" t="s">
        <v>8</v>
      </c>
      <c r="E191" s="215">
        <v>19</v>
      </c>
      <c r="F191" s="217"/>
      <c r="G191" s="250"/>
      <c r="H191" s="217"/>
      <c r="I191" s="326">
        <f t="shared" si="139"/>
        <v>0</v>
      </c>
      <c r="J191" s="326">
        <f t="shared" si="140"/>
        <v>19</v>
      </c>
      <c r="K191" s="327">
        <f t="shared" si="141"/>
        <v>1</v>
      </c>
      <c r="L191" s="221">
        <v>14</v>
      </c>
      <c r="M191" s="222"/>
      <c r="N191" s="223"/>
      <c r="O191" s="222"/>
      <c r="P191" s="328">
        <f t="shared" si="142"/>
        <v>0</v>
      </c>
      <c r="Q191" s="328">
        <f t="shared" si="143"/>
        <v>14</v>
      </c>
      <c r="R191" s="329">
        <f t="shared" si="144"/>
        <v>1</v>
      </c>
      <c r="S191" s="225">
        <v>12</v>
      </c>
      <c r="T191" s="226"/>
      <c r="U191" s="226"/>
      <c r="V191" s="226"/>
      <c r="W191" s="330">
        <f t="shared" si="145"/>
        <v>0</v>
      </c>
      <c r="X191" s="330">
        <f t="shared" si="146"/>
        <v>12</v>
      </c>
      <c r="Y191" s="331">
        <f t="shared" si="147"/>
        <v>1</v>
      </c>
      <c r="Z191" s="228">
        <v>21</v>
      </c>
      <c r="AA191" s="255"/>
      <c r="AB191" s="255"/>
      <c r="AC191" s="255"/>
      <c r="AD191" s="280">
        <f t="shared" si="148"/>
        <v>0</v>
      </c>
      <c r="AE191" s="280">
        <f t="shared" si="149"/>
        <v>21</v>
      </c>
      <c r="AF191" s="281">
        <f t="shared" si="150"/>
        <v>1</v>
      </c>
      <c r="AG191" s="229">
        <v>18</v>
      </c>
      <c r="AH191" s="257"/>
      <c r="AI191" s="257"/>
      <c r="AJ191" s="257"/>
      <c r="AK191" s="305">
        <f t="shared" si="151"/>
        <v>0</v>
      </c>
      <c r="AL191" s="305">
        <f t="shared" si="152"/>
        <v>18</v>
      </c>
      <c r="AM191" s="306">
        <f t="shared" si="153"/>
        <v>1</v>
      </c>
      <c r="AN191" s="230">
        <v>14</v>
      </c>
      <c r="AO191" s="259"/>
      <c r="AP191" s="259"/>
      <c r="AQ191" s="259"/>
      <c r="AR191" s="307">
        <f t="shared" si="154"/>
        <v>0</v>
      </c>
      <c r="AS191" s="307">
        <f t="shared" si="155"/>
        <v>14</v>
      </c>
      <c r="AT191" s="308">
        <f t="shared" si="156"/>
        <v>1</v>
      </c>
      <c r="AU191" s="344"/>
      <c r="AV191" s="344"/>
      <c r="AW191" s="344"/>
      <c r="AX191" s="290">
        <v>98</v>
      </c>
      <c r="AY191" s="344">
        <f t="shared" si="157"/>
        <v>98</v>
      </c>
      <c r="AZ191" s="424">
        <f t="shared" si="158"/>
        <v>1</v>
      </c>
      <c r="BA191" s="293"/>
      <c r="BB191" s="394">
        <v>100</v>
      </c>
      <c r="BC191" s="379">
        <f t="shared" si="159"/>
        <v>0</v>
      </c>
      <c r="BD191" s="378">
        <f t="shared" si="160"/>
        <v>0</v>
      </c>
      <c r="BE191" s="381"/>
      <c r="BF191" s="393">
        <f t="shared" si="138"/>
        <v>100</v>
      </c>
    </row>
    <row r="192" spans="1:58" x14ac:dyDescent="0.35">
      <c r="A192" s="243">
        <v>12</v>
      </c>
      <c r="B192" s="35">
        <v>242510153</v>
      </c>
      <c r="C192" s="261" t="s">
        <v>1455</v>
      </c>
      <c r="D192" s="248" t="s">
        <v>8</v>
      </c>
      <c r="E192" s="215">
        <v>19</v>
      </c>
      <c r="F192" s="217"/>
      <c r="G192" s="250"/>
      <c r="H192" s="217"/>
      <c r="I192" s="326">
        <f t="shared" si="139"/>
        <v>0</v>
      </c>
      <c r="J192" s="326">
        <f t="shared" si="140"/>
        <v>19</v>
      </c>
      <c r="K192" s="327">
        <f t="shared" si="141"/>
        <v>1</v>
      </c>
      <c r="L192" s="221">
        <v>14</v>
      </c>
      <c r="M192" s="223"/>
      <c r="N192" s="223"/>
      <c r="O192" s="223"/>
      <c r="P192" s="328">
        <f t="shared" si="142"/>
        <v>0</v>
      </c>
      <c r="Q192" s="328">
        <f t="shared" si="143"/>
        <v>14</v>
      </c>
      <c r="R192" s="329">
        <f t="shared" si="144"/>
        <v>1</v>
      </c>
      <c r="S192" s="225">
        <v>12</v>
      </c>
      <c r="T192" s="226"/>
      <c r="U192" s="226"/>
      <c r="V192" s="226"/>
      <c r="W192" s="330">
        <f t="shared" si="145"/>
        <v>0</v>
      </c>
      <c r="X192" s="330">
        <f t="shared" si="146"/>
        <v>12</v>
      </c>
      <c r="Y192" s="331">
        <f t="shared" si="147"/>
        <v>1</v>
      </c>
      <c r="Z192" s="228">
        <v>21</v>
      </c>
      <c r="AA192" s="255"/>
      <c r="AB192" s="255"/>
      <c r="AC192" s="255"/>
      <c r="AD192" s="280">
        <f t="shared" si="148"/>
        <v>0</v>
      </c>
      <c r="AE192" s="280">
        <f t="shared" si="149"/>
        <v>21</v>
      </c>
      <c r="AF192" s="281">
        <f t="shared" si="150"/>
        <v>1</v>
      </c>
      <c r="AG192" s="229">
        <v>18</v>
      </c>
      <c r="AH192" s="257"/>
      <c r="AI192" s="257"/>
      <c r="AJ192" s="257"/>
      <c r="AK192" s="305">
        <f t="shared" si="151"/>
        <v>0</v>
      </c>
      <c r="AL192" s="305">
        <f t="shared" si="152"/>
        <v>18</v>
      </c>
      <c r="AM192" s="306">
        <f t="shared" si="153"/>
        <v>1</v>
      </c>
      <c r="AN192" s="230">
        <v>14</v>
      </c>
      <c r="AO192" s="259"/>
      <c r="AP192" s="259"/>
      <c r="AQ192" s="259"/>
      <c r="AR192" s="307">
        <f t="shared" si="154"/>
        <v>0</v>
      </c>
      <c r="AS192" s="307">
        <f t="shared" si="155"/>
        <v>14</v>
      </c>
      <c r="AT192" s="308">
        <f t="shared" si="156"/>
        <v>1</v>
      </c>
      <c r="AU192" s="344"/>
      <c r="AV192" s="344"/>
      <c r="AW192" s="344"/>
      <c r="AX192" s="290">
        <v>98</v>
      </c>
      <c r="AY192" s="344">
        <f t="shared" si="157"/>
        <v>98</v>
      </c>
      <c r="AZ192" s="424">
        <f t="shared" si="158"/>
        <v>1</v>
      </c>
      <c r="BA192" s="293"/>
      <c r="BB192" s="394">
        <v>76</v>
      </c>
      <c r="BC192" s="379">
        <f t="shared" si="159"/>
        <v>0</v>
      </c>
      <c r="BD192" s="378">
        <f t="shared" si="160"/>
        <v>0</v>
      </c>
      <c r="BE192" s="381"/>
      <c r="BF192" s="393">
        <f t="shared" si="138"/>
        <v>76</v>
      </c>
    </row>
    <row r="193" spans="1:58" x14ac:dyDescent="0.35">
      <c r="A193" s="243">
        <v>13</v>
      </c>
      <c r="B193" s="35">
        <v>242510154</v>
      </c>
      <c r="C193" s="261" t="s">
        <v>1456</v>
      </c>
      <c r="D193" s="247" t="s">
        <v>6</v>
      </c>
      <c r="E193" s="215">
        <v>19</v>
      </c>
      <c r="F193" s="217"/>
      <c r="G193" s="250"/>
      <c r="H193" s="217"/>
      <c r="I193" s="326">
        <f t="shared" si="139"/>
        <v>0</v>
      </c>
      <c r="J193" s="326">
        <f t="shared" si="140"/>
        <v>19</v>
      </c>
      <c r="K193" s="327">
        <f t="shared" si="141"/>
        <v>1</v>
      </c>
      <c r="L193" s="221">
        <v>14</v>
      </c>
      <c r="M193" s="222"/>
      <c r="N193" s="222"/>
      <c r="O193" s="222"/>
      <c r="P193" s="328">
        <f t="shared" si="142"/>
        <v>0</v>
      </c>
      <c r="Q193" s="328">
        <f t="shared" si="143"/>
        <v>14</v>
      </c>
      <c r="R193" s="329">
        <f t="shared" si="144"/>
        <v>1</v>
      </c>
      <c r="S193" s="225">
        <v>12</v>
      </c>
      <c r="T193" s="226"/>
      <c r="U193" s="226"/>
      <c r="V193" s="226"/>
      <c r="W193" s="330">
        <f t="shared" si="145"/>
        <v>0</v>
      </c>
      <c r="X193" s="330">
        <f t="shared" si="146"/>
        <v>12</v>
      </c>
      <c r="Y193" s="331">
        <f t="shared" si="147"/>
        <v>1</v>
      </c>
      <c r="Z193" s="228">
        <v>21</v>
      </c>
      <c r="AA193" s="255"/>
      <c r="AB193" s="255"/>
      <c r="AC193" s="255"/>
      <c r="AD193" s="280">
        <f t="shared" si="148"/>
        <v>0</v>
      </c>
      <c r="AE193" s="280">
        <f t="shared" si="149"/>
        <v>21</v>
      </c>
      <c r="AF193" s="281">
        <f t="shared" si="150"/>
        <v>1</v>
      </c>
      <c r="AG193" s="229">
        <v>18</v>
      </c>
      <c r="AH193" s="257"/>
      <c r="AI193" s="257"/>
      <c r="AJ193" s="257"/>
      <c r="AK193" s="305">
        <f t="shared" si="151"/>
        <v>0</v>
      </c>
      <c r="AL193" s="305">
        <f t="shared" si="152"/>
        <v>18</v>
      </c>
      <c r="AM193" s="306">
        <f t="shared" si="153"/>
        <v>1</v>
      </c>
      <c r="AN193" s="230">
        <v>14</v>
      </c>
      <c r="AO193" s="259"/>
      <c r="AP193" s="259"/>
      <c r="AQ193" s="259"/>
      <c r="AR193" s="307">
        <f t="shared" si="154"/>
        <v>0</v>
      </c>
      <c r="AS193" s="307">
        <f t="shared" si="155"/>
        <v>14</v>
      </c>
      <c r="AT193" s="308">
        <f t="shared" si="156"/>
        <v>1</v>
      </c>
      <c r="AU193" s="344"/>
      <c r="AV193" s="344"/>
      <c r="AW193" s="344"/>
      <c r="AX193" s="290">
        <v>98</v>
      </c>
      <c r="AY193" s="344">
        <f t="shared" si="157"/>
        <v>98</v>
      </c>
      <c r="AZ193" s="424">
        <f t="shared" si="158"/>
        <v>1</v>
      </c>
      <c r="BA193" s="293">
        <v>1</v>
      </c>
      <c r="BB193" s="394">
        <v>90</v>
      </c>
      <c r="BC193" s="379">
        <f t="shared" si="159"/>
        <v>2</v>
      </c>
      <c r="BD193" s="378">
        <f t="shared" si="160"/>
        <v>0</v>
      </c>
      <c r="BE193" s="381"/>
      <c r="BF193" s="393">
        <f t="shared" si="138"/>
        <v>88</v>
      </c>
    </row>
    <row r="194" spans="1:58" x14ac:dyDescent="0.35">
      <c r="A194" s="243">
        <v>14</v>
      </c>
      <c r="B194" s="35">
        <v>242510155</v>
      </c>
      <c r="C194" s="261" t="s">
        <v>1457</v>
      </c>
      <c r="D194" s="248" t="s">
        <v>8</v>
      </c>
      <c r="E194" s="215">
        <v>19</v>
      </c>
      <c r="F194" s="217"/>
      <c r="G194" s="250"/>
      <c r="H194" s="217"/>
      <c r="I194" s="326">
        <f t="shared" si="139"/>
        <v>0</v>
      </c>
      <c r="J194" s="326">
        <f t="shared" si="140"/>
        <v>19</v>
      </c>
      <c r="K194" s="327">
        <f t="shared" si="141"/>
        <v>1</v>
      </c>
      <c r="L194" s="221">
        <v>14</v>
      </c>
      <c r="M194" s="222"/>
      <c r="N194" s="223"/>
      <c r="O194" s="222"/>
      <c r="P194" s="328">
        <f t="shared" si="142"/>
        <v>0</v>
      </c>
      <c r="Q194" s="328">
        <f t="shared" si="143"/>
        <v>14</v>
      </c>
      <c r="R194" s="329">
        <f t="shared" si="144"/>
        <v>1</v>
      </c>
      <c r="S194" s="225">
        <v>12</v>
      </c>
      <c r="T194" s="226"/>
      <c r="U194" s="226"/>
      <c r="V194" s="226"/>
      <c r="W194" s="330">
        <f t="shared" si="145"/>
        <v>0</v>
      </c>
      <c r="X194" s="330">
        <f t="shared" si="146"/>
        <v>12</v>
      </c>
      <c r="Y194" s="331">
        <f t="shared" si="147"/>
        <v>1</v>
      </c>
      <c r="Z194" s="228">
        <v>21</v>
      </c>
      <c r="AA194" s="255"/>
      <c r="AB194" s="255"/>
      <c r="AC194" s="255"/>
      <c r="AD194" s="280">
        <f t="shared" si="148"/>
        <v>0</v>
      </c>
      <c r="AE194" s="280">
        <f t="shared" si="149"/>
        <v>21</v>
      </c>
      <c r="AF194" s="281">
        <f t="shared" si="150"/>
        <v>1</v>
      </c>
      <c r="AG194" s="229">
        <v>18</v>
      </c>
      <c r="AH194" s="257"/>
      <c r="AI194" s="257"/>
      <c r="AJ194" s="257"/>
      <c r="AK194" s="305">
        <f t="shared" si="151"/>
        <v>0</v>
      </c>
      <c r="AL194" s="305">
        <f t="shared" si="152"/>
        <v>18</v>
      </c>
      <c r="AM194" s="306">
        <f t="shared" si="153"/>
        <v>1</v>
      </c>
      <c r="AN194" s="230">
        <v>14</v>
      </c>
      <c r="AO194" s="259"/>
      <c r="AP194" s="259"/>
      <c r="AQ194" s="259"/>
      <c r="AR194" s="307">
        <f t="shared" si="154"/>
        <v>0</v>
      </c>
      <c r="AS194" s="307">
        <f t="shared" si="155"/>
        <v>14</v>
      </c>
      <c r="AT194" s="308">
        <f t="shared" si="156"/>
        <v>1</v>
      </c>
      <c r="AU194" s="289"/>
      <c r="AV194" s="289"/>
      <c r="AW194" s="289"/>
      <c r="AX194" s="290">
        <v>98</v>
      </c>
      <c r="AY194" s="289">
        <f t="shared" si="157"/>
        <v>98</v>
      </c>
      <c r="AZ194" s="291">
        <f t="shared" si="158"/>
        <v>1</v>
      </c>
      <c r="BA194" s="293"/>
      <c r="BB194" s="394">
        <v>100</v>
      </c>
      <c r="BC194" s="379">
        <f t="shared" si="159"/>
        <v>0</v>
      </c>
      <c r="BD194" s="378">
        <f t="shared" si="160"/>
        <v>0</v>
      </c>
      <c r="BE194" s="381"/>
      <c r="BF194" s="393">
        <f t="shared" si="138"/>
        <v>100</v>
      </c>
    </row>
    <row r="195" spans="1:58" x14ac:dyDescent="0.35">
      <c r="A195" s="243">
        <v>15</v>
      </c>
      <c r="B195" s="35">
        <v>242510156</v>
      </c>
      <c r="C195" s="261" t="s">
        <v>1458</v>
      </c>
      <c r="D195" s="248" t="s">
        <v>8</v>
      </c>
      <c r="E195" s="215">
        <v>19</v>
      </c>
      <c r="F195" s="217"/>
      <c r="G195" s="250"/>
      <c r="H195" s="217"/>
      <c r="I195" s="326">
        <f t="shared" si="139"/>
        <v>0</v>
      </c>
      <c r="J195" s="326">
        <f t="shared" si="140"/>
        <v>19</v>
      </c>
      <c r="K195" s="327">
        <f t="shared" si="141"/>
        <v>1</v>
      </c>
      <c r="L195" s="221">
        <v>14</v>
      </c>
      <c r="M195" s="222"/>
      <c r="N195" s="223"/>
      <c r="O195" s="222"/>
      <c r="P195" s="328">
        <f t="shared" si="142"/>
        <v>0</v>
      </c>
      <c r="Q195" s="328">
        <f t="shared" si="143"/>
        <v>14</v>
      </c>
      <c r="R195" s="329">
        <f t="shared" si="144"/>
        <v>1</v>
      </c>
      <c r="S195" s="225">
        <v>12</v>
      </c>
      <c r="T195" s="226"/>
      <c r="U195" s="226"/>
      <c r="V195" s="226"/>
      <c r="W195" s="330">
        <f t="shared" si="145"/>
        <v>0</v>
      </c>
      <c r="X195" s="330">
        <f t="shared" si="146"/>
        <v>12</v>
      </c>
      <c r="Y195" s="331">
        <f t="shared" si="147"/>
        <v>1</v>
      </c>
      <c r="Z195" s="228">
        <v>21</v>
      </c>
      <c r="AA195" s="255"/>
      <c r="AB195" s="255"/>
      <c r="AC195" s="255"/>
      <c r="AD195" s="280">
        <f t="shared" si="148"/>
        <v>0</v>
      </c>
      <c r="AE195" s="280">
        <f t="shared" si="149"/>
        <v>21</v>
      </c>
      <c r="AF195" s="281">
        <f t="shared" si="150"/>
        <v>1</v>
      </c>
      <c r="AG195" s="229">
        <v>18</v>
      </c>
      <c r="AH195" s="257"/>
      <c r="AI195" s="257"/>
      <c r="AJ195" s="257"/>
      <c r="AK195" s="305">
        <f t="shared" si="151"/>
        <v>0</v>
      </c>
      <c r="AL195" s="305">
        <f t="shared" si="152"/>
        <v>18</v>
      </c>
      <c r="AM195" s="306">
        <f t="shared" si="153"/>
        <v>1</v>
      </c>
      <c r="AN195" s="230">
        <v>14</v>
      </c>
      <c r="AO195" s="259"/>
      <c r="AP195" s="259"/>
      <c r="AQ195" s="259"/>
      <c r="AR195" s="307">
        <f t="shared" si="154"/>
        <v>0</v>
      </c>
      <c r="AS195" s="307">
        <f t="shared" si="155"/>
        <v>14</v>
      </c>
      <c r="AT195" s="308">
        <f t="shared" si="156"/>
        <v>1</v>
      </c>
      <c r="AU195" s="289"/>
      <c r="AV195" s="289"/>
      <c r="AW195" s="289"/>
      <c r="AX195" s="290">
        <v>98</v>
      </c>
      <c r="AY195" s="289">
        <f t="shared" si="157"/>
        <v>98</v>
      </c>
      <c r="AZ195" s="291">
        <f t="shared" si="158"/>
        <v>1</v>
      </c>
      <c r="BA195" s="293"/>
      <c r="BB195" s="394">
        <v>96</v>
      </c>
      <c r="BC195" s="379">
        <f t="shared" si="159"/>
        <v>0</v>
      </c>
      <c r="BD195" s="378">
        <f t="shared" si="160"/>
        <v>0</v>
      </c>
      <c r="BE195" s="381"/>
      <c r="BF195" s="393">
        <f t="shared" si="138"/>
        <v>96</v>
      </c>
    </row>
    <row r="196" spans="1:58" x14ac:dyDescent="0.35">
      <c r="A196" s="243">
        <v>16</v>
      </c>
      <c r="B196" s="35">
        <v>242510157</v>
      </c>
      <c r="C196" s="261" t="s">
        <v>1459</v>
      </c>
      <c r="D196" s="248" t="s">
        <v>8</v>
      </c>
      <c r="E196" s="215">
        <v>19</v>
      </c>
      <c r="F196" s="217"/>
      <c r="G196" s="250"/>
      <c r="H196" s="217"/>
      <c r="I196" s="326">
        <f t="shared" si="139"/>
        <v>0</v>
      </c>
      <c r="J196" s="326">
        <f t="shared" si="140"/>
        <v>19</v>
      </c>
      <c r="K196" s="327">
        <f t="shared" si="141"/>
        <v>1</v>
      </c>
      <c r="L196" s="221">
        <v>14</v>
      </c>
      <c r="M196" s="222"/>
      <c r="N196" s="222"/>
      <c r="O196" s="222"/>
      <c r="P196" s="328">
        <f t="shared" si="142"/>
        <v>0</v>
      </c>
      <c r="Q196" s="328">
        <f t="shared" si="143"/>
        <v>14</v>
      </c>
      <c r="R196" s="329">
        <f t="shared" si="144"/>
        <v>1</v>
      </c>
      <c r="S196" s="225">
        <v>12</v>
      </c>
      <c r="T196" s="226"/>
      <c r="U196" s="226"/>
      <c r="V196" s="226"/>
      <c r="W196" s="330">
        <f t="shared" si="145"/>
        <v>0</v>
      </c>
      <c r="X196" s="330">
        <f t="shared" si="146"/>
        <v>12</v>
      </c>
      <c r="Y196" s="331">
        <f t="shared" si="147"/>
        <v>1</v>
      </c>
      <c r="Z196" s="228">
        <v>21</v>
      </c>
      <c r="AA196" s="255"/>
      <c r="AB196" s="255"/>
      <c r="AC196" s="255"/>
      <c r="AD196" s="280">
        <f t="shared" si="148"/>
        <v>0</v>
      </c>
      <c r="AE196" s="280">
        <f t="shared" si="149"/>
        <v>21</v>
      </c>
      <c r="AF196" s="281">
        <f t="shared" si="150"/>
        <v>1</v>
      </c>
      <c r="AG196" s="229">
        <v>18</v>
      </c>
      <c r="AH196" s="257"/>
      <c r="AI196" s="257"/>
      <c r="AJ196" s="257"/>
      <c r="AK196" s="305">
        <f t="shared" si="151"/>
        <v>0</v>
      </c>
      <c r="AL196" s="305">
        <f t="shared" si="152"/>
        <v>18</v>
      </c>
      <c r="AM196" s="306">
        <f t="shared" si="153"/>
        <v>1</v>
      </c>
      <c r="AN196" s="230">
        <v>14</v>
      </c>
      <c r="AO196" s="259"/>
      <c r="AP196" s="259"/>
      <c r="AQ196" s="259"/>
      <c r="AR196" s="307">
        <f t="shared" si="154"/>
        <v>0</v>
      </c>
      <c r="AS196" s="307">
        <f t="shared" si="155"/>
        <v>14</v>
      </c>
      <c r="AT196" s="308">
        <f t="shared" si="156"/>
        <v>1</v>
      </c>
      <c r="AU196" s="289"/>
      <c r="AV196" s="289"/>
      <c r="AW196" s="289"/>
      <c r="AX196" s="290">
        <v>98</v>
      </c>
      <c r="AY196" s="289">
        <f t="shared" si="157"/>
        <v>98</v>
      </c>
      <c r="AZ196" s="291">
        <f t="shared" si="158"/>
        <v>1</v>
      </c>
      <c r="BA196" s="293"/>
      <c r="BB196" s="394">
        <v>94</v>
      </c>
      <c r="BC196" s="379">
        <f t="shared" si="159"/>
        <v>0</v>
      </c>
      <c r="BD196" s="378">
        <f t="shared" si="160"/>
        <v>0</v>
      </c>
      <c r="BE196" s="381"/>
      <c r="BF196" s="393">
        <f t="shared" si="138"/>
        <v>94</v>
      </c>
    </row>
    <row r="197" spans="1:58" x14ac:dyDescent="0.35">
      <c r="A197" s="243">
        <v>17</v>
      </c>
      <c r="B197" s="35">
        <v>242510158</v>
      </c>
      <c r="C197" s="261" t="s">
        <v>1460</v>
      </c>
      <c r="D197" s="247" t="s">
        <v>8</v>
      </c>
      <c r="E197" s="215">
        <v>19</v>
      </c>
      <c r="F197" s="217"/>
      <c r="G197" s="250"/>
      <c r="H197" s="217"/>
      <c r="I197" s="326">
        <f t="shared" si="139"/>
        <v>0</v>
      </c>
      <c r="J197" s="326">
        <f t="shared" si="140"/>
        <v>19</v>
      </c>
      <c r="K197" s="327">
        <f t="shared" si="141"/>
        <v>1</v>
      </c>
      <c r="L197" s="221">
        <v>14</v>
      </c>
      <c r="M197" s="223"/>
      <c r="N197" s="223"/>
      <c r="O197" s="223"/>
      <c r="P197" s="328">
        <f t="shared" si="142"/>
        <v>0</v>
      </c>
      <c r="Q197" s="328">
        <f t="shared" si="143"/>
        <v>14</v>
      </c>
      <c r="R197" s="329">
        <f t="shared" si="144"/>
        <v>1</v>
      </c>
      <c r="S197" s="225">
        <v>12</v>
      </c>
      <c r="T197" s="226"/>
      <c r="U197" s="226"/>
      <c r="V197" s="226"/>
      <c r="W197" s="330">
        <f t="shared" si="145"/>
        <v>0</v>
      </c>
      <c r="X197" s="330">
        <f t="shared" si="146"/>
        <v>12</v>
      </c>
      <c r="Y197" s="331">
        <f t="shared" si="147"/>
        <v>1</v>
      </c>
      <c r="Z197" s="228">
        <v>21</v>
      </c>
      <c r="AA197" s="255"/>
      <c r="AB197" s="255"/>
      <c r="AC197" s="255"/>
      <c r="AD197" s="280">
        <f t="shared" si="148"/>
        <v>0</v>
      </c>
      <c r="AE197" s="280">
        <f t="shared" si="149"/>
        <v>21</v>
      </c>
      <c r="AF197" s="281">
        <f t="shared" si="150"/>
        <v>1</v>
      </c>
      <c r="AG197" s="229">
        <v>18</v>
      </c>
      <c r="AH197" s="257"/>
      <c r="AI197" s="257"/>
      <c r="AJ197" s="257"/>
      <c r="AK197" s="305">
        <f t="shared" si="151"/>
        <v>0</v>
      </c>
      <c r="AL197" s="305">
        <f t="shared" si="152"/>
        <v>18</v>
      </c>
      <c r="AM197" s="306">
        <f t="shared" si="153"/>
        <v>1</v>
      </c>
      <c r="AN197" s="230">
        <v>14</v>
      </c>
      <c r="AO197" s="259"/>
      <c r="AP197" s="259"/>
      <c r="AQ197" s="259"/>
      <c r="AR197" s="307">
        <f t="shared" si="154"/>
        <v>0</v>
      </c>
      <c r="AS197" s="307">
        <f t="shared" si="155"/>
        <v>14</v>
      </c>
      <c r="AT197" s="308">
        <f t="shared" si="156"/>
        <v>1</v>
      </c>
      <c r="AU197" s="289"/>
      <c r="AV197" s="289"/>
      <c r="AW197" s="289"/>
      <c r="AX197" s="290">
        <v>98</v>
      </c>
      <c r="AY197" s="289">
        <f t="shared" si="157"/>
        <v>98</v>
      </c>
      <c r="AZ197" s="291">
        <f t="shared" si="158"/>
        <v>1</v>
      </c>
      <c r="BA197" s="293"/>
      <c r="BB197" s="394">
        <v>96</v>
      </c>
      <c r="BC197" s="379">
        <f t="shared" si="159"/>
        <v>0</v>
      </c>
      <c r="BD197" s="378">
        <f t="shared" si="160"/>
        <v>0</v>
      </c>
      <c r="BE197" s="381"/>
      <c r="BF197" s="393">
        <f t="shared" si="138"/>
        <v>96</v>
      </c>
    </row>
    <row r="198" spans="1:58" x14ac:dyDescent="0.35">
      <c r="A198" s="243">
        <v>18</v>
      </c>
      <c r="B198" s="35">
        <v>242510159</v>
      </c>
      <c r="C198" s="261" t="s">
        <v>1461</v>
      </c>
      <c r="D198" s="247" t="s">
        <v>8</v>
      </c>
      <c r="E198" s="215">
        <v>19</v>
      </c>
      <c r="F198" s="217"/>
      <c r="G198" s="250"/>
      <c r="H198" s="217"/>
      <c r="I198" s="326">
        <f t="shared" si="139"/>
        <v>0</v>
      </c>
      <c r="J198" s="326">
        <f t="shared" si="140"/>
        <v>19</v>
      </c>
      <c r="K198" s="327">
        <f t="shared" si="141"/>
        <v>1</v>
      </c>
      <c r="L198" s="221">
        <v>14</v>
      </c>
      <c r="M198" s="222"/>
      <c r="N198" s="223"/>
      <c r="O198" s="223"/>
      <c r="P198" s="328">
        <f t="shared" si="142"/>
        <v>0</v>
      </c>
      <c r="Q198" s="328">
        <f t="shared" si="143"/>
        <v>14</v>
      </c>
      <c r="R198" s="329">
        <f t="shared" si="144"/>
        <v>1</v>
      </c>
      <c r="S198" s="225">
        <v>12</v>
      </c>
      <c r="T198" s="226"/>
      <c r="U198" s="226"/>
      <c r="V198" s="226"/>
      <c r="W198" s="330">
        <f t="shared" si="145"/>
        <v>0</v>
      </c>
      <c r="X198" s="330">
        <f t="shared" si="146"/>
        <v>12</v>
      </c>
      <c r="Y198" s="331">
        <f t="shared" si="147"/>
        <v>1</v>
      </c>
      <c r="Z198" s="228">
        <v>21</v>
      </c>
      <c r="AA198" s="255"/>
      <c r="AB198" s="255"/>
      <c r="AC198" s="255"/>
      <c r="AD198" s="280">
        <f t="shared" si="148"/>
        <v>0</v>
      </c>
      <c r="AE198" s="280">
        <f t="shared" si="149"/>
        <v>21</v>
      </c>
      <c r="AF198" s="281">
        <f t="shared" si="150"/>
        <v>1</v>
      </c>
      <c r="AG198" s="229">
        <v>18</v>
      </c>
      <c r="AH198" s="257"/>
      <c r="AI198" s="257"/>
      <c r="AJ198" s="257"/>
      <c r="AK198" s="305">
        <f t="shared" si="151"/>
        <v>0</v>
      </c>
      <c r="AL198" s="305">
        <f t="shared" si="152"/>
        <v>18</v>
      </c>
      <c r="AM198" s="306">
        <f t="shared" si="153"/>
        <v>1</v>
      </c>
      <c r="AN198" s="230">
        <v>14</v>
      </c>
      <c r="AO198" s="259"/>
      <c r="AP198" s="259"/>
      <c r="AQ198" s="259"/>
      <c r="AR198" s="307">
        <f t="shared" si="154"/>
        <v>0</v>
      </c>
      <c r="AS198" s="307">
        <f t="shared" si="155"/>
        <v>14</v>
      </c>
      <c r="AT198" s="308">
        <f t="shared" si="156"/>
        <v>1</v>
      </c>
      <c r="AU198" s="289"/>
      <c r="AV198" s="289"/>
      <c r="AW198" s="289"/>
      <c r="AX198" s="290">
        <v>98</v>
      </c>
      <c r="AY198" s="289">
        <f t="shared" si="157"/>
        <v>98</v>
      </c>
      <c r="AZ198" s="291">
        <f t="shared" si="158"/>
        <v>1</v>
      </c>
      <c r="BA198" s="293"/>
      <c r="BB198" s="394">
        <v>98</v>
      </c>
      <c r="BC198" s="379">
        <f t="shared" si="159"/>
        <v>0</v>
      </c>
      <c r="BD198" s="378">
        <f t="shared" si="160"/>
        <v>0</v>
      </c>
      <c r="BE198" s="381"/>
      <c r="BF198" s="393">
        <f t="shared" si="138"/>
        <v>98</v>
      </c>
    </row>
    <row r="199" spans="1:58" x14ac:dyDescent="0.35">
      <c r="A199" s="243">
        <v>19</v>
      </c>
      <c r="B199" s="35">
        <v>242510160</v>
      </c>
      <c r="C199" s="261" t="s">
        <v>1462</v>
      </c>
      <c r="D199" s="248" t="s">
        <v>6</v>
      </c>
      <c r="E199" s="215">
        <v>19</v>
      </c>
      <c r="F199" s="217"/>
      <c r="G199" s="250"/>
      <c r="H199" s="217"/>
      <c r="I199" s="326">
        <f t="shared" si="139"/>
        <v>0</v>
      </c>
      <c r="J199" s="326">
        <f t="shared" si="140"/>
        <v>19</v>
      </c>
      <c r="K199" s="327">
        <f t="shared" si="141"/>
        <v>1</v>
      </c>
      <c r="L199" s="221">
        <v>14</v>
      </c>
      <c r="M199" s="222"/>
      <c r="N199" s="222"/>
      <c r="O199" s="222"/>
      <c r="P199" s="328">
        <f t="shared" si="142"/>
        <v>0</v>
      </c>
      <c r="Q199" s="328">
        <f t="shared" si="143"/>
        <v>14</v>
      </c>
      <c r="R199" s="329">
        <f t="shared" si="144"/>
        <v>1</v>
      </c>
      <c r="S199" s="225">
        <v>12</v>
      </c>
      <c r="T199" s="226"/>
      <c r="U199" s="226"/>
      <c r="V199" s="226"/>
      <c r="W199" s="330">
        <f t="shared" si="145"/>
        <v>0</v>
      </c>
      <c r="X199" s="330">
        <f t="shared" si="146"/>
        <v>12</v>
      </c>
      <c r="Y199" s="331">
        <f t="shared" si="147"/>
        <v>1</v>
      </c>
      <c r="Z199" s="228">
        <v>21</v>
      </c>
      <c r="AA199" s="255"/>
      <c r="AB199" s="255"/>
      <c r="AC199" s="255"/>
      <c r="AD199" s="280">
        <f t="shared" si="148"/>
        <v>0</v>
      </c>
      <c r="AE199" s="280">
        <f t="shared" si="149"/>
        <v>21</v>
      </c>
      <c r="AF199" s="281">
        <f t="shared" si="150"/>
        <v>1</v>
      </c>
      <c r="AG199" s="229">
        <v>18</v>
      </c>
      <c r="AH199" s="257"/>
      <c r="AI199" s="257"/>
      <c r="AJ199" s="257"/>
      <c r="AK199" s="305">
        <f t="shared" si="151"/>
        <v>0</v>
      </c>
      <c r="AL199" s="305">
        <f t="shared" si="152"/>
        <v>18</v>
      </c>
      <c r="AM199" s="306">
        <f t="shared" si="153"/>
        <v>1</v>
      </c>
      <c r="AN199" s="230">
        <v>14</v>
      </c>
      <c r="AO199" s="259"/>
      <c r="AP199" s="259"/>
      <c r="AQ199" s="259"/>
      <c r="AR199" s="307">
        <f t="shared" si="154"/>
        <v>0</v>
      </c>
      <c r="AS199" s="307">
        <f t="shared" si="155"/>
        <v>14</v>
      </c>
      <c r="AT199" s="308">
        <f t="shared" si="156"/>
        <v>1</v>
      </c>
      <c r="AU199" s="289"/>
      <c r="AV199" s="289"/>
      <c r="AW199" s="289"/>
      <c r="AX199" s="290">
        <v>98</v>
      </c>
      <c r="AY199" s="289">
        <f t="shared" si="157"/>
        <v>98</v>
      </c>
      <c r="AZ199" s="291">
        <f t="shared" si="158"/>
        <v>1</v>
      </c>
      <c r="BA199" s="293"/>
      <c r="BB199" s="394">
        <v>76</v>
      </c>
      <c r="BC199" s="379">
        <f t="shared" si="159"/>
        <v>0</v>
      </c>
      <c r="BD199" s="378">
        <f t="shared" si="160"/>
        <v>0</v>
      </c>
      <c r="BE199" s="381"/>
      <c r="BF199" s="393">
        <f t="shared" si="138"/>
        <v>76</v>
      </c>
    </row>
    <row r="200" spans="1:58" x14ac:dyDescent="0.35">
      <c r="A200" s="243">
        <v>20</v>
      </c>
      <c r="B200" s="35">
        <v>242510161</v>
      </c>
      <c r="C200" s="336" t="s">
        <v>1463</v>
      </c>
      <c r="D200" s="247" t="s">
        <v>8</v>
      </c>
      <c r="E200" s="215">
        <v>19</v>
      </c>
      <c r="F200" s="217"/>
      <c r="G200" s="250"/>
      <c r="H200" s="217"/>
      <c r="I200" s="326">
        <f t="shared" si="139"/>
        <v>0</v>
      </c>
      <c r="J200" s="326">
        <f t="shared" si="140"/>
        <v>19</v>
      </c>
      <c r="K200" s="327">
        <f t="shared" si="141"/>
        <v>1</v>
      </c>
      <c r="L200" s="221">
        <v>14</v>
      </c>
      <c r="M200" s="222"/>
      <c r="N200" s="222"/>
      <c r="O200" s="222"/>
      <c r="P200" s="328">
        <f t="shared" si="142"/>
        <v>0</v>
      </c>
      <c r="Q200" s="328">
        <f t="shared" si="143"/>
        <v>14</v>
      </c>
      <c r="R200" s="329">
        <f t="shared" si="144"/>
        <v>1</v>
      </c>
      <c r="S200" s="225">
        <v>12</v>
      </c>
      <c r="T200" s="226"/>
      <c r="U200" s="226"/>
      <c r="V200" s="226"/>
      <c r="W200" s="330">
        <f t="shared" si="145"/>
        <v>0</v>
      </c>
      <c r="X200" s="330">
        <f t="shared" si="146"/>
        <v>12</v>
      </c>
      <c r="Y200" s="331">
        <f t="shared" si="147"/>
        <v>1</v>
      </c>
      <c r="Z200" s="228">
        <v>21</v>
      </c>
      <c r="AA200" s="255"/>
      <c r="AB200" s="255"/>
      <c r="AC200" s="255"/>
      <c r="AD200" s="280">
        <f t="shared" si="148"/>
        <v>0</v>
      </c>
      <c r="AE200" s="280">
        <f t="shared" si="149"/>
        <v>21</v>
      </c>
      <c r="AF200" s="281">
        <f t="shared" si="150"/>
        <v>1</v>
      </c>
      <c r="AG200" s="229">
        <v>18</v>
      </c>
      <c r="AH200" s="257"/>
      <c r="AI200" s="257"/>
      <c r="AJ200" s="257"/>
      <c r="AK200" s="305">
        <f t="shared" si="151"/>
        <v>0</v>
      </c>
      <c r="AL200" s="305">
        <f t="shared" si="152"/>
        <v>18</v>
      </c>
      <c r="AM200" s="306">
        <f t="shared" si="153"/>
        <v>1</v>
      </c>
      <c r="AN200" s="230">
        <v>14</v>
      </c>
      <c r="AO200" s="259"/>
      <c r="AP200" s="259"/>
      <c r="AQ200" s="259"/>
      <c r="AR200" s="307">
        <f t="shared" si="154"/>
        <v>0</v>
      </c>
      <c r="AS200" s="307">
        <f t="shared" si="155"/>
        <v>14</v>
      </c>
      <c r="AT200" s="308">
        <f t="shared" si="156"/>
        <v>1</v>
      </c>
      <c r="AU200" s="289"/>
      <c r="AV200" s="289"/>
      <c r="AW200" s="289"/>
      <c r="AX200" s="290">
        <v>98</v>
      </c>
      <c r="AY200" s="289">
        <f t="shared" si="157"/>
        <v>98</v>
      </c>
      <c r="AZ200" s="291">
        <f t="shared" si="158"/>
        <v>1</v>
      </c>
      <c r="BA200" s="293"/>
      <c r="BB200" s="394">
        <v>98</v>
      </c>
      <c r="BC200" s="379">
        <f t="shared" si="159"/>
        <v>0</v>
      </c>
      <c r="BD200" s="378">
        <f t="shared" si="160"/>
        <v>0</v>
      </c>
      <c r="BE200" s="381"/>
      <c r="BF200" s="393">
        <f t="shared" si="138"/>
        <v>98</v>
      </c>
    </row>
    <row r="201" spans="1:58" x14ac:dyDescent="0.35">
      <c r="A201" s="243">
        <v>21</v>
      </c>
      <c r="B201" s="35">
        <v>242510162</v>
      </c>
      <c r="C201" s="261" t="s">
        <v>1464</v>
      </c>
      <c r="D201" s="248" t="s">
        <v>8</v>
      </c>
      <c r="E201" s="215">
        <v>19</v>
      </c>
      <c r="F201" s="217"/>
      <c r="G201" s="250"/>
      <c r="H201" s="217"/>
      <c r="I201" s="326">
        <f t="shared" si="139"/>
        <v>0</v>
      </c>
      <c r="J201" s="326">
        <f t="shared" si="140"/>
        <v>19</v>
      </c>
      <c r="K201" s="327">
        <f t="shared" si="141"/>
        <v>1</v>
      </c>
      <c r="L201" s="221">
        <v>14</v>
      </c>
      <c r="M201" s="222"/>
      <c r="N201" s="223"/>
      <c r="O201" s="222"/>
      <c r="P201" s="328">
        <f t="shared" si="142"/>
        <v>0</v>
      </c>
      <c r="Q201" s="328">
        <f t="shared" si="143"/>
        <v>14</v>
      </c>
      <c r="R201" s="329">
        <f t="shared" si="144"/>
        <v>1</v>
      </c>
      <c r="S201" s="225">
        <v>12</v>
      </c>
      <c r="T201" s="226"/>
      <c r="U201" s="226"/>
      <c r="V201" s="226"/>
      <c r="W201" s="330">
        <f t="shared" si="145"/>
        <v>0</v>
      </c>
      <c r="X201" s="330">
        <f t="shared" si="146"/>
        <v>12</v>
      </c>
      <c r="Y201" s="331">
        <f t="shared" si="147"/>
        <v>1</v>
      </c>
      <c r="Z201" s="228">
        <v>21</v>
      </c>
      <c r="AA201" s="255"/>
      <c r="AB201" s="255"/>
      <c r="AC201" s="255"/>
      <c r="AD201" s="280">
        <f t="shared" si="148"/>
        <v>0</v>
      </c>
      <c r="AE201" s="280">
        <f t="shared" si="149"/>
        <v>21</v>
      </c>
      <c r="AF201" s="281">
        <f t="shared" si="150"/>
        <v>1</v>
      </c>
      <c r="AG201" s="229">
        <v>18</v>
      </c>
      <c r="AH201" s="257"/>
      <c r="AI201" s="257"/>
      <c r="AJ201" s="257"/>
      <c r="AK201" s="305">
        <f t="shared" si="151"/>
        <v>0</v>
      </c>
      <c r="AL201" s="305">
        <f t="shared" si="152"/>
        <v>18</v>
      </c>
      <c r="AM201" s="306">
        <f t="shared" si="153"/>
        <v>1</v>
      </c>
      <c r="AN201" s="230">
        <v>14</v>
      </c>
      <c r="AO201" s="259"/>
      <c r="AP201" s="259"/>
      <c r="AQ201" s="259"/>
      <c r="AR201" s="307">
        <f t="shared" si="154"/>
        <v>0</v>
      </c>
      <c r="AS201" s="307">
        <f t="shared" si="155"/>
        <v>14</v>
      </c>
      <c r="AT201" s="308">
        <f t="shared" si="156"/>
        <v>1</v>
      </c>
      <c r="AU201" s="289"/>
      <c r="AV201" s="289"/>
      <c r="AW201" s="289"/>
      <c r="AX201" s="290">
        <v>98</v>
      </c>
      <c r="AY201" s="289">
        <f t="shared" si="157"/>
        <v>98</v>
      </c>
      <c r="AZ201" s="291">
        <f t="shared" si="158"/>
        <v>1</v>
      </c>
      <c r="BA201" s="293"/>
      <c r="BB201" s="394">
        <v>96</v>
      </c>
      <c r="BC201" s="379">
        <f t="shared" si="159"/>
        <v>0</v>
      </c>
      <c r="BD201" s="378">
        <f t="shared" si="160"/>
        <v>0</v>
      </c>
      <c r="BE201" s="381"/>
      <c r="BF201" s="393">
        <f t="shared" si="138"/>
        <v>96</v>
      </c>
    </row>
    <row r="202" spans="1:58" x14ac:dyDescent="0.35">
      <c r="A202" s="243">
        <v>22</v>
      </c>
      <c r="B202" s="35">
        <v>242510163</v>
      </c>
      <c r="C202" s="261" t="s">
        <v>1465</v>
      </c>
      <c r="D202" s="247" t="s">
        <v>8</v>
      </c>
      <c r="E202" s="215">
        <v>19</v>
      </c>
      <c r="F202" s="217"/>
      <c r="G202" s="250"/>
      <c r="H202" s="217"/>
      <c r="I202" s="326">
        <f t="shared" si="139"/>
        <v>0</v>
      </c>
      <c r="J202" s="326">
        <f t="shared" si="140"/>
        <v>19</v>
      </c>
      <c r="K202" s="327">
        <f t="shared" si="141"/>
        <v>1</v>
      </c>
      <c r="L202" s="221">
        <v>14</v>
      </c>
      <c r="M202" s="222"/>
      <c r="N202" s="223"/>
      <c r="O202" s="222"/>
      <c r="P202" s="328">
        <f t="shared" si="142"/>
        <v>0</v>
      </c>
      <c r="Q202" s="328">
        <f t="shared" si="143"/>
        <v>14</v>
      </c>
      <c r="R202" s="329">
        <f t="shared" si="144"/>
        <v>1</v>
      </c>
      <c r="S202" s="225">
        <v>12</v>
      </c>
      <c r="T202" s="226"/>
      <c r="U202" s="226"/>
      <c r="V202" s="226"/>
      <c r="W202" s="330">
        <f t="shared" si="145"/>
        <v>0</v>
      </c>
      <c r="X202" s="330">
        <f t="shared" si="146"/>
        <v>12</v>
      </c>
      <c r="Y202" s="331">
        <f t="shared" si="147"/>
        <v>1</v>
      </c>
      <c r="Z202" s="228">
        <v>21</v>
      </c>
      <c r="AA202" s="255"/>
      <c r="AB202" s="255"/>
      <c r="AC202" s="255"/>
      <c r="AD202" s="280">
        <f t="shared" si="148"/>
        <v>0</v>
      </c>
      <c r="AE202" s="280">
        <f t="shared" si="149"/>
        <v>21</v>
      </c>
      <c r="AF202" s="281">
        <f t="shared" si="150"/>
        <v>1</v>
      </c>
      <c r="AG202" s="229">
        <v>18</v>
      </c>
      <c r="AH202" s="257"/>
      <c r="AI202" s="257"/>
      <c r="AJ202" s="257"/>
      <c r="AK202" s="305">
        <f t="shared" si="151"/>
        <v>0</v>
      </c>
      <c r="AL202" s="305">
        <f t="shared" si="152"/>
        <v>18</v>
      </c>
      <c r="AM202" s="306">
        <f t="shared" si="153"/>
        <v>1</v>
      </c>
      <c r="AN202" s="230">
        <v>14</v>
      </c>
      <c r="AO202" s="259"/>
      <c r="AP202" s="259"/>
      <c r="AQ202" s="259"/>
      <c r="AR202" s="307">
        <f t="shared" si="154"/>
        <v>0</v>
      </c>
      <c r="AS202" s="307">
        <f t="shared" si="155"/>
        <v>14</v>
      </c>
      <c r="AT202" s="308">
        <f t="shared" si="156"/>
        <v>1</v>
      </c>
      <c r="AU202" s="289"/>
      <c r="AV202" s="289"/>
      <c r="AW202" s="289"/>
      <c r="AX202" s="290">
        <v>98</v>
      </c>
      <c r="AY202" s="289">
        <f t="shared" si="157"/>
        <v>98</v>
      </c>
      <c r="AZ202" s="291">
        <f t="shared" si="158"/>
        <v>1</v>
      </c>
      <c r="BA202" s="293"/>
      <c r="BB202" s="394">
        <v>88</v>
      </c>
      <c r="BC202" s="379">
        <f t="shared" si="159"/>
        <v>0</v>
      </c>
      <c r="BD202" s="378">
        <f t="shared" si="160"/>
        <v>0</v>
      </c>
      <c r="BE202" s="381"/>
      <c r="BF202" s="393">
        <f t="shared" si="138"/>
        <v>88</v>
      </c>
    </row>
    <row r="203" spans="1:58" x14ac:dyDescent="0.35">
      <c r="A203" s="243">
        <v>23</v>
      </c>
      <c r="B203" s="35">
        <v>242510164</v>
      </c>
      <c r="C203" s="261" t="s">
        <v>1466</v>
      </c>
      <c r="D203" s="248" t="s">
        <v>8</v>
      </c>
      <c r="E203" s="215">
        <v>19</v>
      </c>
      <c r="F203" s="217"/>
      <c r="G203" s="250"/>
      <c r="H203" s="217"/>
      <c r="I203" s="326">
        <f t="shared" si="139"/>
        <v>0</v>
      </c>
      <c r="J203" s="326">
        <f t="shared" si="140"/>
        <v>19</v>
      </c>
      <c r="K203" s="327">
        <f t="shared" si="141"/>
        <v>1</v>
      </c>
      <c r="L203" s="221">
        <v>14</v>
      </c>
      <c r="M203" s="222"/>
      <c r="N203" s="222"/>
      <c r="O203" s="222"/>
      <c r="P203" s="328">
        <f t="shared" si="142"/>
        <v>0</v>
      </c>
      <c r="Q203" s="328">
        <f t="shared" si="143"/>
        <v>14</v>
      </c>
      <c r="R203" s="329">
        <f t="shared" si="144"/>
        <v>1</v>
      </c>
      <c r="S203" s="225">
        <v>12</v>
      </c>
      <c r="T203" s="226"/>
      <c r="U203" s="226"/>
      <c r="V203" s="226"/>
      <c r="W203" s="330">
        <f t="shared" si="145"/>
        <v>0</v>
      </c>
      <c r="X203" s="330">
        <f t="shared" si="146"/>
        <v>12</v>
      </c>
      <c r="Y203" s="331">
        <f t="shared" si="147"/>
        <v>1</v>
      </c>
      <c r="Z203" s="228">
        <v>21</v>
      </c>
      <c r="AA203" s="255"/>
      <c r="AB203" s="255"/>
      <c r="AC203" s="255"/>
      <c r="AD203" s="280">
        <f t="shared" si="148"/>
        <v>0</v>
      </c>
      <c r="AE203" s="280">
        <f t="shared" si="149"/>
        <v>21</v>
      </c>
      <c r="AF203" s="281">
        <f t="shared" si="150"/>
        <v>1</v>
      </c>
      <c r="AG203" s="229">
        <v>18</v>
      </c>
      <c r="AH203" s="257"/>
      <c r="AI203" s="257"/>
      <c r="AJ203" s="257"/>
      <c r="AK203" s="305">
        <f t="shared" si="151"/>
        <v>0</v>
      </c>
      <c r="AL203" s="305">
        <f t="shared" si="152"/>
        <v>18</v>
      </c>
      <c r="AM203" s="306">
        <f t="shared" si="153"/>
        <v>1</v>
      </c>
      <c r="AN203" s="230">
        <v>14</v>
      </c>
      <c r="AO203" s="259"/>
      <c r="AP203" s="259"/>
      <c r="AQ203" s="259"/>
      <c r="AR203" s="307">
        <f t="shared" si="154"/>
        <v>0</v>
      </c>
      <c r="AS203" s="307">
        <f t="shared" si="155"/>
        <v>14</v>
      </c>
      <c r="AT203" s="308">
        <f t="shared" si="156"/>
        <v>1</v>
      </c>
      <c r="AU203" s="289"/>
      <c r="AV203" s="289"/>
      <c r="AW203" s="289"/>
      <c r="AX203" s="290">
        <v>98</v>
      </c>
      <c r="AY203" s="289">
        <f t="shared" si="157"/>
        <v>98</v>
      </c>
      <c r="AZ203" s="291">
        <f t="shared" si="158"/>
        <v>1</v>
      </c>
      <c r="BA203" s="293">
        <v>1</v>
      </c>
      <c r="BB203" s="394">
        <v>72</v>
      </c>
      <c r="BC203" s="379">
        <f t="shared" si="159"/>
        <v>2</v>
      </c>
      <c r="BD203" s="378">
        <f t="shared" si="160"/>
        <v>0</v>
      </c>
      <c r="BE203" s="381"/>
      <c r="BF203" s="393">
        <f t="shared" si="138"/>
        <v>70</v>
      </c>
    </row>
    <row r="204" spans="1:58" x14ac:dyDescent="0.35">
      <c r="A204" s="243">
        <v>24</v>
      </c>
      <c r="B204" s="35">
        <v>242510165</v>
      </c>
      <c r="C204" s="261" t="s">
        <v>1467</v>
      </c>
      <c r="D204" s="248" t="s">
        <v>8</v>
      </c>
      <c r="E204" s="215">
        <v>19</v>
      </c>
      <c r="F204" s="217"/>
      <c r="G204" s="250"/>
      <c r="H204" s="217"/>
      <c r="I204" s="326">
        <f t="shared" si="139"/>
        <v>0</v>
      </c>
      <c r="J204" s="326">
        <f t="shared" si="140"/>
        <v>19</v>
      </c>
      <c r="K204" s="327">
        <f t="shared" si="141"/>
        <v>1</v>
      </c>
      <c r="L204" s="221">
        <v>14</v>
      </c>
      <c r="M204" s="222"/>
      <c r="N204" s="223"/>
      <c r="O204" s="222"/>
      <c r="P204" s="328">
        <f t="shared" si="142"/>
        <v>0</v>
      </c>
      <c r="Q204" s="328">
        <f t="shared" si="143"/>
        <v>14</v>
      </c>
      <c r="R204" s="329">
        <f t="shared" si="144"/>
        <v>1</v>
      </c>
      <c r="S204" s="225">
        <v>12</v>
      </c>
      <c r="T204" s="226"/>
      <c r="U204" s="226"/>
      <c r="V204" s="226"/>
      <c r="W204" s="330">
        <f t="shared" si="145"/>
        <v>0</v>
      </c>
      <c r="X204" s="330">
        <f t="shared" si="146"/>
        <v>12</v>
      </c>
      <c r="Y204" s="331">
        <f t="shared" si="147"/>
        <v>1</v>
      </c>
      <c r="Z204" s="228">
        <v>21</v>
      </c>
      <c r="AA204" s="255"/>
      <c r="AB204" s="255"/>
      <c r="AC204" s="255"/>
      <c r="AD204" s="280">
        <f t="shared" si="148"/>
        <v>0</v>
      </c>
      <c r="AE204" s="280">
        <f t="shared" si="149"/>
        <v>21</v>
      </c>
      <c r="AF204" s="281">
        <f t="shared" si="150"/>
        <v>1</v>
      </c>
      <c r="AG204" s="229">
        <v>18</v>
      </c>
      <c r="AH204" s="257"/>
      <c r="AI204" s="257"/>
      <c r="AJ204" s="257"/>
      <c r="AK204" s="305">
        <f t="shared" si="151"/>
        <v>0</v>
      </c>
      <c r="AL204" s="305">
        <f t="shared" si="152"/>
        <v>18</v>
      </c>
      <c r="AM204" s="306">
        <f t="shared" si="153"/>
        <v>1</v>
      </c>
      <c r="AN204" s="230">
        <v>14</v>
      </c>
      <c r="AO204" s="259"/>
      <c r="AP204" s="259"/>
      <c r="AQ204" s="259"/>
      <c r="AR204" s="307">
        <f t="shared" si="154"/>
        <v>0</v>
      </c>
      <c r="AS204" s="307">
        <f t="shared" si="155"/>
        <v>14</v>
      </c>
      <c r="AT204" s="308">
        <f t="shared" si="156"/>
        <v>1</v>
      </c>
      <c r="AU204" s="289"/>
      <c r="AV204" s="289"/>
      <c r="AW204" s="289"/>
      <c r="AX204" s="290">
        <v>98</v>
      </c>
      <c r="AY204" s="289">
        <f t="shared" si="157"/>
        <v>98</v>
      </c>
      <c r="AZ204" s="291">
        <f t="shared" si="158"/>
        <v>1</v>
      </c>
      <c r="BA204" s="293"/>
      <c r="BB204" s="394">
        <v>88</v>
      </c>
      <c r="BC204" s="379">
        <f t="shared" si="159"/>
        <v>0</v>
      </c>
      <c r="BD204" s="378">
        <f t="shared" si="160"/>
        <v>0</v>
      </c>
      <c r="BE204" s="381"/>
      <c r="BF204" s="393">
        <f t="shared" si="138"/>
        <v>88</v>
      </c>
    </row>
    <row r="205" spans="1:58" x14ac:dyDescent="0.35">
      <c r="A205" s="243">
        <v>25</v>
      </c>
      <c r="B205" s="35">
        <v>242510166</v>
      </c>
      <c r="C205" s="261" t="s">
        <v>1468</v>
      </c>
      <c r="D205" s="248" t="s">
        <v>8</v>
      </c>
      <c r="E205" s="215">
        <v>19</v>
      </c>
      <c r="F205" s="217"/>
      <c r="G205" s="250"/>
      <c r="H205" s="217"/>
      <c r="I205" s="326">
        <f t="shared" si="139"/>
        <v>0</v>
      </c>
      <c r="J205" s="326">
        <f t="shared" si="140"/>
        <v>19</v>
      </c>
      <c r="K205" s="327">
        <f t="shared" si="141"/>
        <v>1</v>
      </c>
      <c r="L205" s="221">
        <v>14</v>
      </c>
      <c r="M205" s="222"/>
      <c r="N205" s="223"/>
      <c r="O205" s="222"/>
      <c r="P205" s="328">
        <f t="shared" si="142"/>
        <v>0</v>
      </c>
      <c r="Q205" s="328">
        <f t="shared" si="143"/>
        <v>14</v>
      </c>
      <c r="R205" s="329">
        <f t="shared" si="144"/>
        <v>1</v>
      </c>
      <c r="S205" s="225">
        <v>12</v>
      </c>
      <c r="T205" s="226"/>
      <c r="U205" s="226"/>
      <c r="V205" s="226"/>
      <c r="W205" s="330">
        <f t="shared" si="145"/>
        <v>0</v>
      </c>
      <c r="X205" s="330">
        <f t="shared" si="146"/>
        <v>12</v>
      </c>
      <c r="Y205" s="331">
        <f t="shared" si="147"/>
        <v>1</v>
      </c>
      <c r="Z205" s="228">
        <v>21</v>
      </c>
      <c r="AA205" s="255"/>
      <c r="AB205" s="255"/>
      <c r="AC205" s="255"/>
      <c r="AD205" s="280">
        <f t="shared" si="148"/>
        <v>0</v>
      </c>
      <c r="AE205" s="280">
        <f t="shared" si="149"/>
        <v>21</v>
      </c>
      <c r="AF205" s="281">
        <f t="shared" si="150"/>
        <v>1</v>
      </c>
      <c r="AG205" s="229">
        <v>18</v>
      </c>
      <c r="AH205" s="257"/>
      <c r="AI205" s="257"/>
      <c r="AJ205" s="257"/>
      <c r="AK205" s="305">
        <f t="shared" si="151"/>
        <v>0</v>
      </c>
      <c r="AL205" s="305">
        <f t="shared" si="152"/>
        <v>18</v>
      </c>
      <c r="AM205" s="306">
        <f t="shared" si="153"/>
        <v>1</v>
      </c>
      <c r="AN205" s="230">
        <v>14</v>
      </c>
      <c r="AO205" s="259"/>
      <c r="AP205" s="259"/>
      <c r="AQ205" s="259"/>
      <c r="AR205" s="307">
        <f t="shared" si="154"/>
        <v>0</v>
      </c>
      <c r="AS205" s="307">
        <f t="shared" si="155"/>
        <v>14</v>
      </c>
      <c r="AT205" s="308">
        <f t="shared" si="156"/>
        <v>1</v>
      </c>
      <c r="AU205" s="289"/>
      <c r="AV205" s="289"/>
      <c r="AW205" s="289"/>
      <c r="AX205" s="290">
        <v>98</v>
      </c>
      <c r="AY205" s="289">
        <f t="shared" si="157"/>
        <v>98</v>
      </c>
      <c r="AZ205" s="291">
        <f t="shared" si="158"/>
        <v>1</v>
      </c>
      <c r="BA205" s="293"/>
      <c r="BB205" s="394">
        <v>98</v>
      </c>
      <c r="BC205" s="379">
        <f t="shared" si="159"/>
        <v>0</v>
      </c>
      <c r="BD205" s="378">
        <f t="shared" si="160"/>
        <v>0</v>
      </c>
      <c r="BE205" s="381"/>
      <c r="BF205" s="393">
        <f t="shared" si="138"/>
        <v>98</v>
      </c>
    </row>
    <row r="206" spans="1:58" x14ac:dyDescent="0.35">
      <c r="A206" s="243">
        <v>26</v>
      </c>
      <c r="B206" s="35">
        <v>252611235</v>
      </c>
      <c r="C206" s="261" t="s">
        <v>1469</v>
      </c>
      <c r="D206" s="247" t="s">
        <v>8</v>
      </c>
      <c r="E206" s="215">
        <v>19</v>
      </c>
      <c r="F206" s="217"/>
      <c r="G206" s="250"/>
      <c r="H206" s="217"/>
      <c r="I206" s="326">
        <f t="shared" si="139"/>
        <v>0</v>
      </c>
      <c r="J206" s="326">
        <f t="shared" si="140"/>
        <v>19</v>
      </c>
      <c r="K206" s="327">
        <f t="shared" si="141"/>
        <v>1</v>
      </c>
      <c r="L206" s="221">
        <v>14</v>
      </c>
      <c r="M206" s="223"/>
      <c r="N206" s="222"/>
      <c r="O206" s="222"/>
      <c r="P206" s="328">
        <f t="shared" si="142"/>
        <v>0</v>
      </c>
      <c r="Q206" s="328">
        <f t="shared" si="143"/>
        <v>14</v>
      </c>
      <c r="R206" s="329">
        <f t="shared" si="144"/>
        <v>1</v>
      </c>
      <c r="S206" s="225">
        <v>12</v>
      </c>
      <c r="T206" s="226"/>
      <c r="U206" s="226"/>
      <c r="V206" s="226"/>
      <c r="W206" s="330">
        <f t="shared" si="145"/>
        <v>0</v>
      </c>
      <c r="X206" s="330">
        <f t="shared" si="146"/>
        <v>12</v>
      </c>
      <c r="Y206" s="331">
        <f t="shared" si="147"/>
        <v>1</v>
      </c>
      <c r="Z206" s="228">
        <v>21</v>
      </c>
      <c r="AA206" s="255"/>
      <c r="AB206" s="255"/>
      <c r="AC206" s="255"/>
      <c r="AD206" s="280">
        <f t="shared" si="148"/>
        <v>0</v>
      </c>
      <c r="AE206" s="280">
        <f t="shared" si="149"/>
        <v>21</v>
      </c>
      <c r="AF206" s="281">
        <f t="shared" si="150"/>
        <v>1</v>
      </c>
      <c r="AG206" s="229">
        <v>18</v>
      </c>
      <c r="AH206" s="257"/>
      <c r="AI206" s="257"/>
      <c r="AJ206" s="257"/>
      <c r="AK206" s="305">
        <f t="shared" si="151"/>
        <v>0</v>
      </c>
      <c r="AL206" s="305">
        <f t="shared" si="152"/>
        <v>18</v>
      </c>
      <c r="AM206" s="306">
        <f t="shared" si="153"/>
        <v>1</v>
      </c>
      <c r="AN206" s="230">
        <v>14</v>
      </c>
      <c r="AO206" s="259"/>
      <c r="AP206" s="259"/>
      <c r="AQ206" s="259"/>
      <c r="AR206" s="307">
        <f t="shared" si="154"/>
        <v>0</v>
      </c>
      <c r="AS206" s="307">
        <f t="shared" si="155"/>
        <v>14</v>
      </c>
      <c r="AT206" s="308">
        <f t="shared" si="156"/>
        <v>1</v>
      </c>
      <c r="AU206" s="289"/>
      <c r="AV206" s="289"/>
      <c r="AW206" s="289"/>
      <c r="AX206" s="290">
        <v>98</v>
      </c>
      <c r="AY206" s="289">
        <f t="shared" si="157"/>
        <v>98</v>
      </c>
      <c r="AZ206" s="291">
        <f t="shared" si="158"/>
        <v>1</v>
      </c>
      <c r="BA206" s="293"/>
      <c r="BB206" s="394">
        <v>94</v>
      </c>
      <c r="BC206" s="379">
        <f t="shared" si="159"/>
        <v>0</v>
      </c>
      <c r="BD206" s="378">
        <f t="shared" si="160"/>
        <v>0</v>
      </c>
      <c r="BE206" s="381"/>
      <c r="BF206" s="393">
        <f t="shared" si="138"/>
        <v>94</v>
      </c>
    </row>
    <row r="207" spans="1:58" x14ac:dyDescent="0.35">
      <c r="A207" s="243">
        <v>27</v>
      </c>
      <c r="B207" s="35">
        <v>242510167</v>
      </c>
      <c r="C207" s="261" t="s">
        <v>1470</v>
      </c>
      <c r="D207" s="247" t="s">
        <v>8</v>
      </c>
      <c r="E207" s="215">
        <v>19</v>
      </c>
      <c r="F207" s="217"/>
      <c r="G207" s="250"/>
      <c r="H207" s="217"/>
      <c r="I207" s="326">
        <f t="shared" si="139"/>
        <v>0</v>
      </c>
      <c r="J207" s="326">
        <f t="shared" si="140"/>
        <v>19</v>
      </c>
      <c r="K207" s="327">
        <f t="shared" si="141"/>
        <v>1</v>
      </c>
      <c r="L207" s="221">
        <v>14</v>
      </c>
      <c r="M207" s="223"/>
      <c r="N207" s="223"/>
      <c r="O207" s="222"/>
      <c r="P207" s="328">
        <f t="shared" si="142"/>
        <v>0</v>
      </c>
      <c r="Q207" s="328">
        <f t="shared" si="143"/>
        <v>14</v>
      </c>
      <c r="R207" s="329">
        <f t="shared" si="144"/>
        <v>1</v>
      </c>
      <c r="S207" s="225">
        <v>12</v>
      </c>
      <c r="T207" s="226"/>
      <c r="U207" s="226"/>
      <c r="V207" s="226"/>
      <c r="W207" s="330">
        <f t="shared" si="145"/>
        <v>0</v>
      </c>
      <c r="X207" s="330">
        <f t="shared" si="146"/>
        <v>12</v>
      </c>
      <c r="Y207" s="331">
        <f t="shared" si="147"/>
        <v>1</v>
      </c>
      <c r="Z207" s="228">
        <v>21</v>
      </c>
      <c r="AA207" s="255"/>
      <c r="AB207" s="255"/>
      <c r="AC207" s="255"/>
      <c r="AD207" s="280">
        <f t="shared" si="148"/>
        <v>0</v>
      </c>
      <c r="AE207" s="280">
        <f t="shared" si="149"/>
        <v>21</v>
      </c>
      <c r="AF207" s="281">
        <f t="shared" si="150"/>
        <v>1</v>
      </c>
      <c r="AG207" s="229">
        <v>18</v>
      </c>
      <c r="AH207" s="257"/>
      <c r="AI207" s="257"/>
      <c r="AJ207" s="257"/>
      <c r="AK207" s="305">
        <f t="shared" si="151"/>
        <v>0</v>
      </c>
      <c r="AL207" s="305">
        <f t="shared" si="152"/>
        <v>18</v>
      </c>
      <c r="AM207" s="306">
        <f t="shared" si="153"/>
        <v>1</v>
      </c>
      <c r="AN207" s="230">
        <v>14</v>
      </c>
      <c r="AO207" s="259"/>
      <c r="AP207" s="259"/>
      <c r="AQ207" s="259"/>
      <c r="AR207" s="307">
        <f t="shared" si="154"/>
        <v>0</v>
      </c>
      <c r="AS207" s="307">
        <f t="shared" si="155"/>
        <v>14</v>
      </c>
      <c r="AT207" s="308">
        <f t="shared" si="156"/>
        <v>1</v>
      </c>
      <c r="AU207" s="289"/>
      <c r="AV207" s="289"/>
      <c r="AW207" s="289"/>
      <c r="AX207" s="290">
        <v>98</v>
      </c>
      <c r="AY207" s="289">
        <f t="shared" si="157"/>
        <v>98</v>
      </c>
      <c r="AZ207" s="291">
        <f t="shared" si="158"/>
        <v>1</v>
      </c>
      <c r="BA207" s="293"/>
      <c r="BB207" s="394">
        <v>86</v>
      </c>
      <c r="BC207" s="379">
        <f t="shared" si="159"/>
        <v>0</v>
      </c>
      <c r="BD207" s="378">
        <f t="shared" si="160"/>
        <v>0</v>
      </c>
      <c r="BE207" s="381"/>
      <c r="BF207" s="393">
        <f t="shared" si="138"/>
        <v>86</v>
      </c>
    </row>
    <row r="208" spans="1:58" x14ac:dyDescent="0.35">
      <c r="A208" s="243">
        <v>28</v>
      </c>
      <c r="B208" s="35">
        <v>242510168</v>
      </c>
      <c r="C208" s="261" t="s">
        <v>1471</v>
      </c>
      <c r="D208" s="248" t="s">
        <v>8</v>
      </c>
      <c r="E208" s="215">
        <v>19</v>
      </c>
      <c r="F208" s="217"/>
      <c r="G208" s="250"/>
      <c r="H208" s="217"/>
      <c r="I208" s="326">
        <f t="shared" si="139"/>
        <v>0</v>
      </c>
      <c r="J208" s="326">
        <f t="shared" si="140"/>
        <v>19</v>
      </c>
      <c r="K208" s="327">
        <f t="shared" si="141"/>
        <v>1</v>
      </c>
      <c r="L208" s="221">
        <v>14</v>
      </c>
      <c r="M208" s="222"/>
      <c r="N208" s="222"/>
      <c r="O208" s="222"/>
      <c r="P208" s="328">
        <f t="shared" si="142"/>
        <v>0</v>
      </c>
      <c r="Q208" s="328">
        <f t="shared" si="143"/>
        <v>14</v>
      </c>
      <c r="R208" s="329">
        <f t="shared" si="144"/>
        <v>1</v>
      </c>
      <c r="S208" s="225">
        <v>12</v>
      </c>
      <c r="T208" s="226"/>
      <c r="U208" s="226"/>
      <c r="V208" s="226"/>
      <c r="W208" s="330">
        <f t="shared" si="145"/>
        <v>0</v>
      </c>
      <c r="X208" s="330">
        <f t="shared" si="146"/>
        <v>12</v>
      </c>
      <c r="Y208" s="331">
        <f t="shared" si="147"/>
        <v>1</v>
      </c>
      <c r="Z208" s="228">
        <v>21</v>
      </c>
      <c r="AA208" s="255"/>
      <c r="AB208" s="255"/>
      <c r="AC208" s="255"/>
      <c r="AD208" s="280">
        <f t="shared" si="148"/>
        <v>0</v>
      </c>
      <c r="AE208" s="280">
        <f t="shared" si="149"/>
        <v>21</v>
      </c>
      <c r="AF208" s="281">
        <f t="shared" si="150"/>
        <v>1</v>
      </c>
      <c r="AG208" s="229">
        <v>18</v>
      </c>
      <c r="AH208" s="257"/>
      <c r="AI208" s="257"/>
      <c r="AJ208" s="257"/>
      <c r="AK208" s="305">
        <f t="shared" si="151"/>
        <v>0</v>
      </c>
      <c r="AL208" s="305">
        <f t="shared" si="152"/>
        <v>18</v>
      </c>
      <c r="AM208" s="306">
        <f t="shared" si="153"/>
        <v>1</v>
      </c>
      <c r="AN208" s="230">
        <v>14</v>
      </c>
      <c r="AO208" s="259"/>
      <c r="AP208" s="259"/>
      <c r="AQ208" s="259"/>
      <c r="AR208" s="307">
        <f t="shared" si="154"/>
        <v>0</v>
      </c>
      <c r="AS208" s="307">
        <f t="shared" si="155"/>
        <v>14</v>
      </c>
      <c r="AT208" s="308">
        <f t="shared" si="156"/>
        <v>1</v>
      </c>
      <c r="AU208" s="289"/>
      <c r="AV208" s="289"/>
      <c r="AW208" s="289"/>
      <c r="AX208" s="290">
        <v>98</v>
      </c>
      <c r="AY208" s="289">
        <f t="shared" si="157"/>
        <v>98</v>
      </c>
      <c r="AZ208" s="291">
        <f t="shared" si="158"/>
        <v>1</v>
      </c>
      <c r="BA208" s="293"/>
      <c r="BB208" s="394">
        <v>90</v>
      </c>
      <c r="BC208" s="379">
        <f t="shared" si="159"/>
        <v>0</v>
      </c>
      <c r="BD208" s="378">
        <f t="shared" si="160"/>
        <v>0</v>
      </c>
      <c r="BE208" s="381"/>
      <c r="BF208" s="393">
        <f t="shared" si="138"/>
        <v>90</v>
      </c>
    </row>
    <row r="209" spans="1:58" x14ac:dyDescent="0.35">
      <c r="A209" s="243">
        <v>29</v>
      </c>
      <c r="B209" s="35">
        <v>242510169</v>
      </c>
      <c r="C209" s="261" t="s">
        <v>1472</v>
      </c>
      <c r="D209" s="247" t="s">
        <v>8</v>
      </c>
      <c r="E209" s="215">
        <v>19</v>
      </c>
      <c r="F209" s="217"/>
      <c r="G209" s="217"/>
      <c r="H209" s="217"/>
      <c r="I209" s="326">
        <f t="shared" si="139"/>
        <v>0</v>
      </c>
      <c r="J209" s="326">
        <f t="shared" si="140"/>
        <v>19</v>
      </c>
      <c r="K209" s="327">
        <f t="shared" si="141"/>
        <v>1</v>
      </c>
      <c r="L209" s="221">
        <v>14</v>
      </c>
      <c r="M209" s="222"/>
      <c r="N209" s="222"/>
      <c r="O209" s="222"/>
      <c r="P209" s="328">
        <f t="shared" si="142"/>
        <v>0</v>
      </c>
      <c r="Q209" s="328">
        <f t="shared" si="143"/>
        <v>14</v>
      </c>
      <c r="R209" s="329">
        <f t="shared" si="144"/>
        <v>1</v>
      </c>
      <c r="S209" s="225">
        <v>12</v>
      </c>
      <c r="T209" s="226"/>
      <c r="U209" s="226"/>
      <c r="V209" s="226"/>
      <c r="W209" s="330">
        <f t="shared" si="145"/>
        <v>0</v>
      </c>
      <c r="X209" s="330">
        <f t="shared" si="146"/>
        <v>12</v>
      </c>
      <c r="Y209" s="331">
        <f t="shared" si="147"/>
        <v>1</v>
      </c>
      <c r="Z209" s="228">
        <v>21</v>
      </c>
      <c r="AA209" s="255"/>
      <c r="AB209" s="255"/>
      <c r="AC209" s="255"/>
      <c r="AD209" s="280">
        <f t="shared" si="148"/>
        <v>0</v>
      </c>
      <c r="AE209" s="280">
        <f t="shared" si="149"/>
        <v>21</v>
      </c>
      <c r="AF209" s="281">
        <f t="shared" si="150"/>
        <v>1</v>
      </c>
      <c r="AG209" s="229">
        <v>18</v>
      </c>
      <c r="AH209" s="257"/>
      <c r="AI209" s="257"/>
      <c r="AJ209" s="257"/>
      <c r="AK209" s="305">
        <f t="shared" si="151"/>
        <v>0</v>
      </c>
      <c r="AL209" s="305">
        <f t="shared" si="152"/>
        <v>18</v>
      </c>
      <c r="AM209" s="306">
        <f t="shared" si="153"/>
        <v>1</v>
      </c>
      <c r="AN209" s="230">
        <v>14</v>
      </c>
      <c r="AO209" s="259"/>
      <c r="AP209" s="259"/>
      <c r="AQ209" s="259"/>
      <c r="AR209" s="307">
        <f t="shared" si="154"/>
        <v>0</v>
      </c>
      <c r="AS209" s="307">
        <f t="shared" si="155"/>
        <v>14</v>
      </c>
      <c r="AT209" s="308">
        <f t="shared" si="156"/>
        <v>1</v>
      </c>
      <c r="AU209" s="289"/>
      <c r="AV209" s="289"/>
      <c r="AW209" s="289"/>
      <c r="AX209" s="290">
        <v>98</v>
      </c>
      <c r="AY209" s="289">
        <f t="shared" si="157"/>
        <v>98</v>
      </c>
      <c r="AZ209" s="291">
        <f t="shared" si="158"/>
        <v>1</v>
      </c>
      <c r="BA209" s="298"/>
      <c r="BB209" s="394">
        <v>100</v>
      </c>
      <c r="BC209" s="379">
        <f t="shared" si="159"/>
        <v>0</v>
      </c>
      <c r="BD209" s="378">
        <f t="shared" si="160"/>
        <v>0</v>
      </c>
      <c r="BE209" s="381"/>
      <c r="BF209" s="393">
        <f t="shared" si="138"/>
        <v>100</v>
      </c>
    </row>
    <row r="210" spans="1:58" s="323" customFormat="1" x14ac:dyDescent="0.35"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86"/>
      <c r="AV210" s="286"/>
      <c r="AW210" s="286"/>
      <c r="AX210" s="286"/>
      <c r="AY210" s="286"/>
      <c r="AZ210" s="286"/>
      <c r="BA210" s="286"/>
      <c r="BB210" s="395"/>
      <c r="BC210" s="205"/>
      <c r="BD210" s="205"/>
      <c r="BE210" s="287"/>
      <c r="BF210" s="319"/>
    </row>
    <row r="211" spans="1:58" s="323" customFormat="1" x14ac:dyDescent="0.35"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86"/>
      <c r="AV211" s="286"/>
      <c r="AW211" s="286"/>
      <c r="AX211" s="286"/>
      <c r="AY211" s="286"/>
      <c r="AZ211" s="286"/>
      <c r="BA211" s="286"/>
      <c r="BB211" s="395"/>
      <c r="BC211" s="205"/>
      <c r="BD211" s="205"/>
      <c r="BE211" s="287"/>
      <c r="BF211" s="319"/>
    </row>
    <row r="212" spans="1:58" s="323" customFormat="1" x14ac:dyDescent="0.35"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86"/>
      <c r="AV212" s="286"/>
      <c r="AW212" s="286"/>
      <c r="AX212" s="286"/>
      <c r="AY212" s="286"/>
      <c r="AZ212" s="286"/>
      <c r="BA212" s="286"/>
      <c r="BB212" s="395"/>
      <c r="BC212" s="205"/>
      <c r="BD212" s="205"/>
      <c r="BE212" s="287"/>
      <c r="BF212" s="319"/>
    </row>
    <row r="213" spans="1:58" s="323" customFormat="1" x14ac:dyDescent="0.35"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86"/>
      <c r="AV213" s="286"/>
      <c r="AW213" s="286"/>
      <c r="AX213" s="286"/>
      <c r="AY213" s="286"/>
      <c r="AZ213" s="286"/>
      <c r="BA213" s="286"/>
      <c r="BB213" s="395"/>
      <c r="BC213" s="205"/>
      <c r="BD213" s="205"/>
      <c r="BE213" s="287"/>
      <c r="BF213" s="319"/>
    </row>
    <row r="214" spans="1:58" s="323" customFormat="1" x14ac:dyDescent="0.35"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86"/>
      <c r="AV214" s="286"/>
      <c r="AW214" s="286"/>
      <c r="AX214" s="286"/>
      <c r="AY214" s="286"/>
      <c r="AZ214" s="286"/>
      <c r="BA214" s="286"/>
      <c r="BB214" s="395"/>
      <c r="BC214" s="205"/>
      <c r="BD214" s="205"/>
      <c r="BE214" s="287"/>
      <c r="BF214" s="319"/>
    </row>
    <row r="215" spans="1:58" s="323" customFormat="1" x14ac:dyDescent="0.35"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86"/>
      <c r="AV215" s="286"/>
      <c r="AW215" s="286"/>
      <c r="AX215" s="286"/>
      <c r="AY215" s="286"/>
      <c r="AZ215" s="286"/>
      <c r="BA215" s="286"/>
      <c r="BB215" s="395"/>
      <c r="BC215" s="205"/>
      <c r="BD215" s="205"/>
      <c r="BE215" s="287"/>
      <c r="BF215" s="319"/>
    </row>
    <row r="216" spans="1:58" s="323" customFormat="1" x14ac:dyDescent="0.35"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86"/>
      <c r="AV216" s="286"/>
      <c r="AW216" s="286"/>
      <c r="AX216" s="286"/>
      <c r="AY216" s="286"/>
      <c r="AZ216" s="286"/>
      <c r="BA216" s="286"/>
      <c r="BB216" s="395"/>
      <c r="BC216" s="205"/>
      <c r="BD216" s="205"/>
      <c r="BE216" s="287"/>
      <c r="BF216" s="319"/>
    </row>
    <row r="217" spans="1:58" s="323" customFormat="1" x14ac:dyDescent="0.35"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86"/>
      <c r="AV217" s="286"/>
      <c r="AW217" s="286"/>
      <c r="AX217" s="286"/>
      <c r="AY217" s="286"/>
      <c r="AZ217" s="286"/>
      <c r="BA217" s="286"/>
      <c r="BB217" s="395"/>
      <c r="BC217" s="205"/>
      <c r="BD217" s="205"/>
      <c r="BE217" s="287"/>
      <c r="BF217" s="319"/>
    </row>
    <row r="218" spans="1:58" s="323" customFormat="1" x14ac:dyDescent="0.35"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86"/>
      <c r="AV218" s="286"/>
      <c r="AW218" s="286"/>
      <c r="AX218" s="286"/>
      <c r="AY218" s="286"/>
      <c r="AZ218" s="286"/>
      <c r="BA218" s="286"/>
      <c r="BB218" s="395"/>
      <c r="BC218" s="205"/>
      <c r="BD218" s="205"/>
      <c r="BE218" s="287"/>
      <c r="BF218" s="319"/>
    </row>
    <row r="219" spans="1:58" s="323" customFormat="1" x14ac:dyDescent="0.35"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86"/>
      <c r="AV219" s="286"/>
      <c r="AW219" s="286"/>
      <c r="AX219" s="286"/>
      <c r="AY219" s="286"/>
      <c r="AZ219" s="286"/>
      <c r="BA219" s="286"/>
      <c r="BB219" s="395"/>
      <c r="BC219" s="205"/>
      <c r="BD219" s="205"/>
      <c r="BE219" s="287"/>
      <c r="BF219" s="319"/>
    </row>
    <row r="220" spans="1:58" s="323" customFormat="1" x14ac:dyDescent="0.35"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86"/>
      <c r="AV220" s="286"/>
      <c r="AW220" s="286"/>
      <c r="AX220" s="286"/>
      <c r="AY220" s="286"/>
      <c r="AZ220" s="286"/>
      <c r="BA220" s="286"/>
      <c r="BB220" s="395"/>
      <c r="BC220" s="205"/>
      <c r="BD220" s="205"/>
      <c r="BE220" s="287"/>
      <c r="BF220" s="319"/>
    </row>
    <row r="221" spans="1:58" s="323" customFormat="1" x14ac:dyDescent="0.35"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86"/>
      <c r="AV221" s="286"/>
      <c r="AW221" s="286"/>
      <c r="AX221" s="286"/>
      <c r="AY221" s="286"/>
      <c r="AZ221" s="286"/>
      <c r="BA221" s="286"/>
      <c r="BB221" s="395"/>
      <c r="BC221" s="205"/>
      <c r="BD221" s="205"/>
      <c r="BE221" s="287"/>
      <c r="BF221" s="319"/>
    </row>
    <row r="222" spans="1:58" s="323" customFormat="1" x14ac:dyDescent="0.35"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86"/>
      <c r="AV222" s="286"/>
      <c r="AW222" s="286"/>
      <c r="AX222" s="286"/>
      <c r="AY222" s="286"/>
      <c r="AZ222" s="286"/>
      <c r="BA222" s="286"/>
      <c r="BB222" s="395"/>
      <c r="BC222" s="205"/>
      <c r="BD222" s="205"/>
      <c r="BE222" s="287"/>
      <c r="BF222" s="319"/>
    </row>
    <row r="223" spans="1:58" s="323" customFormat="1" x14ac:dyDescent="0.35"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86"/>
      <c r="AV223" s="286"/>
      <c r="AW223" s="286"/>
      <c r="AX223" s="286"/>
      <c r="AY223" s="286"/>
      <c r="AZ223" s="286"/>
      <c r="BA223" s="286"/>
      <c r="BB223" s="395"/>
      <c r="BC223" s="205"/>
      <c r="BD223" s="205"/>
      <c r="BE223" s="287"/>
      <c r="BF223" s="319"/>
    </row>
    <row r="224" spans="1:58" s="323" customFormat="1" x14ac:dyDescent="0.35"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86"/>
      <c r="AV224" s="286"/>
      <c r="AW224" s="286"/>
      <c r="AX224" s="286"/>
      <c r="AY224" s="286"/>
      <c r="AZ224" s="286"/>
      <c r="BA224" s="286"/>
      <c r="BB224" s="395"/>
      <c r="BC224" s="205"/>
      <c r="BD224" s="205"/>
      <c r="BE224" s="287"/>
      <c r="BF224" s="319"/>
    </row>
    <row r="225" spans="6:58" s="323" customFormat="1" x14ac:dyDescent="0.35"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86"/>
      <c r="AV225" s="286"/>
      <c r="AW225" s="286"/>
      <c r="AX225" s="286"/>
      <c r="AY225" s="286"/>
      <c r="AZ225" s="286"/>
      <c r="BA225" s="286"/>
      <c r="BB225" s="395"/>
      <c r="BC225" s="205"/>
      <c r="BD225" s="205"/>
      <c r="BE225" s="287"/>
      <c r="BF225" s="319"/>
    </row>
    <row r="226" spans="6:58" s="323" customFormat="1" x14ac:dyDescent="0.35"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86"/>
      <c r="AV226" s="286"/>
      <c r="AW226" s="286"/>
      <c r="AX226" s="286"/>
      <c r="AY226" s="286"/>
      <c r="AZ226" s="286"/>
      <c r="BA226" s="286"/>
      <c r="BB226" s="395"/>
      <c r="BC226" s="205"/>
      <c r="BD226" s="205"/>
      <c r="BE226" s="287"/>
      <c r="BF226" s="319"/>
    </row>
    <row r="227" spans="6:58" s="323" customFormat="1" x14ac:dyDescent="0.35"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86"/>
      <c r="AV227" s="286"/>
      <c r="AW227" s="286"/>
      <c r="AX227" s="286"/>
      <c r="AY227" s="286"/>
      <c r="AZ227" s="286"/>
      <c r="BA227" s="286"/>
      <c r="BB227" s="395"/>
      <c r="BC227" s="205"/>
      <c r="BD227" s="205"/>
      <c r="BE227" s="287"/>
      <c r="BF227" s="319"/>
    </row>
    <row r="228" spans="6:58" s="323" customFormat="1" x14ac:dyDescent="0.35"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86"/>
      <c r="AV228" s="286"/>
      <c r="AW228" s="286"/>
      <c r="AX228" s="286"/>
      <c r="AY228" s="286"/>
      <c r="AZ228" s="286"/>
      <c r="BA228" s="286"/>
      <c r="BB228" s="395"/>
      <c r="BC228" s="205"/>
      <c r="BD228" s="205"/>
      <c r="BE228" s="287"/>
      <c r="BF228" s="319"/>
    </row>
    <row r="229" spans="6:58" s="323" customFormat="1" x14ac:dyDescent="0.35"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86"/>
      <c r="AV229" s="286"/>
      <c r="AW229" s="286"/>
      <c r="AX229" s="286"/>
      <c r="AY229" s="286"/>
      <c r="AZ229" s="286"/>
      <c r="BA229" s="286"/>
      <c r="BB229" s="395"/>
      <c r="BC229" s="205"/>
      <c r="BD229" s="205"/>
      <c r="BE229" s="287"/>
      <c r="BF229" s="319"/>
    </row>
    <row r="230" spans="6:58" s="323" customFormat="1" x14ac:dyDescent="0.35"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86"/>
      <c r="AV230" s="286"/>
      <c r="AW230" s="286"/>
      <c r="AX230" s="286"/>
      <c r="AY230" s="286"/>
      <c r="AZ230" s="286"/>
      <c r="BA230" s="286"/>
      <c r="BB230" s="395"/>
      <c r="BC230" s="205"/>
      <c r="BD230" s="205"/>
      <c r="BE230" s="287"/>
      <c r="BF230" s="319"/>
    </row>
    <row r="231" spans="6:58" s="323" customFormat="1" x14ac:dyDescent="0.35"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86"/>
      <c r="AV231" s="286"/>
      <c r="AW231" s="286"/>
      <c r="AX231" s="286"/>
      <c r="AY231" s="286"/>
      <c r="AZ231" s="286"/>
      <c r="BA231" s="286"/>
      <c r="BB231" s="395"/>
      <c r="BC231" s="205"/>
      <c r="BD231" s="205"/>
      <c r="BE231" s="287"/>
      <c r="BF231" s="319"/>
    </row>
    <row r="232" spans="6:58" s="323" customFormat="1" x14ac:dyDescent="0.35"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86"/>
      <c r="AV232" s="286"/>
      <c r="AW232" s="286"/>
      <c r="AX232" s="286"/>
      <c r="AY232" s="286"/>
      <c r="AZ232" s="286"/>
      <c r="BA232" s="286"/>
      <c r="BB232" s="395"/>
      <c r="BC232" s="205"/>
      <c r="BD232" s="205"/>
      <c r="BE232" s="287"/>
      <c r="BF232" s="319"/>
    </row>
    <row r="233" spans="6:58" s="323" customFormat="1" x14ac:dyDescent="0.35"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86"/>
      <c r="AV233" s="286"/>
      <c r="AW233" s="286"/>
      <c r="AX233" s="286"/>
      <c r="AY233" s="286"/>
      <c r="AZ233" s="286"/>
      <c r="BA233" s="286"/>
      <c r="BB233" s="395"/>
      <c r="BC233" s="205"/>
      <c r="BD233" s="205"/>
      <c r="BE233" s="287"/>
      <c r="BF233" s="319"/>
    </row>
    <row r="234" spans="6:58" s="323" customFormat="1" x14ac:dyDescent="0.35"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86"/>
      <c r="AV234" s="286"/>
      <c r="AW234" s="286"/>
      <c r="AX234" s="286"/>
      <c r="AY234" s="286"/>
      <c r="AZ234" s="286"/>
      <c r="BA234" s="286"/>
      <c r="BB234" s="395"/>
      <c r="BC234" s="205"/>
      <c r="BD234" s="205"/>
      <c r="BE234" s="287"/>
      <c r="BF234" s="319"/>
    </row>
    <row r="235" spans="6:58" s="323" customFormat="1" x14ac:dyDescent="0.35"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86"/>
      <c r="AV235" s="286"/>
      <c r="AW235" s="286"/>
      <c r="AX235" s="286"/>
      <c r="AY235" s="286"/>
      <c r="AZ235" s="286"/>
      <c r="BA235" s="286"/>
      <c r="BB235" s="395"/>
      <c r="BC235" s="205"/>
      <c r="BD235" s="205"/>
      <c r="BE235" s="287"/>
      <c r="BF235" s="319"/>
    </row>
    <row r="236" spans="6:58" s="323" customFormat="1" x14ac:dyDescent="0.35"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86"/>
      <c r="AV236" s="286"/>
      <c r="AW236" s="286"/>
      <c r="AX236" s="286"/>
      <c r="AY236" s="286"/>
      <c r="AZ236" s="286"/>
      <c r="BA236" s="286"/>
      <c r="BB236" s="395"/>
      <c r="BC236" s="205"/>
      <c r="BD236" s="205"/>
      <c r="BE236" s="287"/>
      <c r="BF236" s="319"/>
    </row>
    <row r="237" spans="6:58" s="323" customFormat="1" x14ac:dyDescent="0.35"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86"/>
      <c r="AV237" s="286"/>
      <c r="AW237" s="286"/>
      <c r="AX237" s="286"/>
      <c r="AY237" s="286"/>
      <c r="AZ237" s="286"/>
      <c r="BA237" s="286"/>
      <c r="BB237" s="395"/>
      <c r="BC237" s="205"/>
      <c r="BD237" s="205"/>
      <c r="BE237" s="287"/>
      <c r="BF237" s="319"/>
    </row>
    <row r="238" spans="6:58" s="323" customFormat="1" x14ac:dyDescent="0.35"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86"/>
      <c r="AV238" s="286"/>
      <c r="AW238" s="286"/>
      <c r="AX238" s="286"/>
      <c r="AY238" s="286"/>
      <c r="AZ238" s="286"/>
      <c r="BA238" s="286"/>
      <c r="BB238" s="395"/>
      <c r="BC238" s="205"/>
      <c r="BD238" s="205"/>
      <c r="BE238" s="287"/>
      <c r="BF238" s="319"/>
    </row>
    <row r="239" spans="6:58" s="323" customFormat="1" x14ac:dyDescent="0.35"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86"/>
      <c r="AV239" s="286"/>
      <c r="AW239" s="286"/>
      <c r="AX239" s="286"/>
      <c r="AY239" s="286"/>
      <c r="AZ239" s="286"/>
      <c r="BA239" s="286"/>
      <c r="BB239" s="395"/>
      <c r="BC239" s="205"/>
      <c r="BD239" s="205"/>
      <c r="BE239" s="287"/>
      <c r="BF239" s="319"/>
    </row>
    <row r="240" spans="6:58" s="323" customFormat="1" x14ac:dyDescent="0.35"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86"/>
      <c r="AV240" s="286"/>
      <c r="AW240" s="286"/>
      <c r="AX240" s="286"/>
      <c r="AY240" s="286"/>
      <c r="AZ240" s="286"/>
      <c r="BA240" s="286"/>
      <c r="BB240" s="395"/>
      <c r="BC240" s="205"/>
      <c r="BD240" s="205"/>
      <c r="BE240" s="287"/>
      <c r="BF240" s="319"/>
    </row>
    <row r="241" spans="6:58" s="323" customFormat="1" x14ac:dyDescent="0.35"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86"/>
      <c r="AV241" s="286"/>
      <c r="AW241" s="286"/>
      <c r="AX241" s="286"/>
      <c r="AY241" s="286"/>
      <c r="AZ241" s="286"/>
      <c r="BA241" s="286"/>
      <c r="BB241" s="395"/>
      <c r="BC241" s="205"/>
      <c r="BD241" s="205"/>
      <c r="BE241" s="287"/>
      <c r="BF241" s="319"/>
    </row>
    <row r="242" spans="6:58" s="323" customFormat="1" x14ac:dyDescent="0.35"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86"/>
      <c r="AV242" s="286"/>
      <c r="AW242" s="286"/>
      <c r="AX242" s="286"/>
      <c r="AY242" s="286"/>
      <c r="AZ242" s="286"/>
      <c r="BA242" s="286"/>
      <c r="BB242" s="395"/>
      <c r="BC242" s="205"/>
      <c r="BD242" s="205"/>
      <c r="BE242" s="287"/>
      <c r="BF242" s="319"/>
    </row>
    <row r="243" spans="6:58" s="323" customFormat="1" x14ac:dyDescent="0.35"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86"/>
      <c r="AV243" s="286"/>
      <c r="AW243" s="286"/>
      <c r="AX243" s="286"/>
      <c r="AY243" s="286"/>
      <c r="AZ243" s="286"/>
      <c r="BA243" s="286"/>
      <c r="BB243" s="395"/>
      <c r="BC243" s="205"/>
      <c r="BD243" s="205"/>
      <c r="BE243" s="287"/>
      <c r="BF243" s="319"/>
    </row>
    <row r="244" spans="6:58" s="323" customFormat="1" x14ac:dyDescent="0.35"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86"/>
      <c r="AV244" s="286"/>
      <c r="AW244" s="286"/>
      <c r="AX244" s="286"/>
      <c r="AY244" s="286"/>
      <c r="AZ244" s="286"/>
      <c r="BA244" s="286"/>
      <c r="BB244" s="395"/>
      <c r="BC244" s="205"/>
      <c r="BD244" s="205"/>
      <c r="BE244" s="287"/>
      <c r="BF244" s="319"/>
    </row>
    <row r="245" spans="6:58" s="323" customFormat="1" x14ac:dyDescent="0.35"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86"/>
      <c r="AV245" s="286"/>
      <c r="AW245" s="286"/>
      <c r="AX245" s="286"/>
      <c r="AY245" s="286"/>
      <c r="AZ245" s="286"/>
      <c r="BA245" s="286"/>
      <c r="BB245" s="395"/>
      <c r="BC245" s="205"/>
      <c r="BD245" s="205"/>
      <c r="BE245" s="287"/>
      <c r="BF245" s="319"/>
    </row>
    <row r="246" spans="6:58" s="323" customFormat="1" x14ac:dyDescent="0.35"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86"/>
      <c r="AV246" s="286"/>
      <c r="AW246" s="286"/>
      <c r="AX246" s="286"/>
      <c r="AY246" s="286"/>
      <c r="AZ246" s="286"/>
      <c r="BA246" s="286"/>
      <c r="BB246" s="395"/>
      <c r="BC246" s="205"/>
      <c r="BD246" s="205"/>
      <c r="BE246" s="287"/>
      <c r="BF246" s="319"/>
    </row>
    <row r="247" spans="6:58" s="323" customFormat="1" x14ac:dyDescent="0.35"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86"/>
      <c r="AV247" s="286"/>
      <c r="AW247" s="286"/>
      <c r="AX247" s="286"/>
      <c r="AY247" s="286"/>
      <c r="AZ247" s="286"/>
      <c r="BA247" s="286"/>
      <c r="BB247" s="395"/>
      <c r="BC247" s="205"/>
      <c r="BD247" s="205"/>
      <c r="BE247" s="287"/>
      <c r="BF247" s="319"/>
    </row>
    <row r="248" spans="6:58" s="323" customFormat="1" x14ac:dyDescent="0.35"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86"/>
      <c r="AV248" s="286"/>
      <c r="AW248" s="286"/>
      <c r="AX248" s="286"/>
      <c r="AY248" s="286"/>
      <c r="AZ248" s="286"/>
      <c r="BA248" s="286"/>
      <c r="BB248" s="395"/>
      <c r="BC248" s="205"/>
      <c r="BD248" s="205"/>
      <c r="BE248" s="287"/>
      <c r="BF248" s="319"/>
    </row>
    <row r="249" spans="6:58" s="323" customFormat="1" x14ac:dyDescent="0.35"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86"/>
      <c r="AV249" s="286"/>
      <c r="AW249" s="286"/>
      <c r="AX249" s="286"/>
      <c r="AY249" s="286"/>
      <c r="AZ249" s="286"/>
      <c r="BA249" s="286"/>
      <c r="BB249" s="395"/>
      <c r="BC249" s="205"/>
      <c r="BD249" s="205"/>
      <c r="BE249" s="287"/>
      <c r="BF249" s="319"/>
    </row>
    <row r="250" spans="6:58" s="323" customFormat="1" x14ac:dyDescent="0.35"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86"/>
      <c r="AV250" s="286"/>
      <c r="AW250" s="286"/>
      <c r="AX250" s="286"/>
      <c r="AY250" s="286"/>
      <c r="AZ250" s="286"/>
      <c r="BA250" s="286"/>
      <c r="BB250" s="395"/>
      <c r="BC250" s="205"/>
      <c r="BD250" s="205"/>
      <c r="BE250" s="287"/>
      <c r="BF250" s="319"/>
    </row>
    <row r="251" spans="6:58" s="323" customFormat="1" x14ac:dyDescent="0.35"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86"/>
      <c r="AV251" s="286"/>
      <c r="AW251" s="286"/>
      <c r="AX251" s="286"/>
      <c r="AY251" s="286"/>
      <c r="AZ251" s="286"/>
      <c r="BA251" s="286"/>
      <c r="BB251" s="395"/>
      <c r="BC251" s="205"/>
      <c r="BD251" s="205"/>
      <c r="BE251" s="287"/>
      <c r="BF251" s="319"/>
    </row>
    <row r="252" spans="6:58" s="323" customFormat="1" x14ac:dyDescent="0.35"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86"/>
      <c r="AV252" s="286"/>
      <c r="AW252" s="286"/>
      <c r="AX252" s="286"/>
      <c r="AY252" s="286"/>
      <c r="AZ252" s="286"/>
      <c r="BA252" s="286"/>
      <c r="BB252" s="395"/>
      <c r="BC252" s="205"/>
      <c r="BD252" s="205"/>
      <c r="BE252" s="287"/>
      <c r="BF252" s="319"/>
    </row>
    <row r="253" spans="6:58" s="323" customFormat="1" x14ac:dyDescent="0.35"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86"/>
      <c r="AV253" s="286"/>
      <c r="AW253" s="286"/>
      <c r="AX253" s="286"/>
      <c r="AY253" s="286"/>
      <c r="AZ253" s="286"/>
      <c r="BA253" s="286"/>
      <c r="BB253" s="395"/>
      <c r="BC253" s="205"/>
      <c r="BD253" s="205"/>
      <c r="BE253" s="287"/>
      <c r="BF253" s="319"/>
    </row>
    <row r="254" spans="6:58" s="323" customFormat="1" x14ac:dyDescent="0.35"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86"/>
      <c r="AV254" s="286"/>
      <c r="AW254" s="286"/>
      <c r="AX254" s="286"/>
      <c r="AY254" s="286"/>
      <c r="AZ254" s="286"/>
      <c r="BA254" s="286"/>
      <c r="BB254" s="395"/>
      <c r="BC254" s="205"/>
      <c r="BD254" s="205"/>
      <c r="BE254" s="287"/>
      <c r="BF254" s="319"/>
    </row>
    <row r="255" spans="6:58" s="323" customFormat="1" x14ac:dyDescent="0.35"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86"/>
      <c r="AV255" s="286"/>
      <c r="AW255" s="286"/>
      <c r="AX255" s="286"/>
      <c r="AY255" s="286"/>
      <c r="AZ255" s="286"/>
      <c r="BA255" s="286"/>
      <c r="BB255" s="395"/>
      <c r="BC255" s="205"/>
      <c r="BD255" s="205"/>
      <c r="BE255" s="287"/>
      <c r="BF255" s="319"/>
    </row>
    <row r="256" spans="6:58" s="323" customFormat="1" x14ac:dyDescent="0.35"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86"/>
      <c r="AV256" s="286"/>
      <c r="AW256" s="286"/>
      <c r="AX256" s="286"/>
      <c r="AY256" s="286"/>
      <c r="AZ256" s="286"/>
      <c r="BA256" s="286"/>
      <c r="BB256" s="395"/>
      <c r="BC256" s="205"/>
      <c r="BD256" s="205"/>
      <c r="BE256" s="287"/>
      <c r="BF256" s="319"/>
    </row>
    <row r="257" spans="6:58" s="323" customFormat="1" x14ac:dyDescent="0.35"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86"/>
      <c r="AV257" s="286"/>
      <c r="AW257" s="286"/>
      <c r="AX257" s="286"/>
      <c r="AY257" s="286"/>
      <c r="AZ257" s="286"/>
      <c r="BA257" s="286"/>
      <c r="BB257" s="395"/>
      <c r="BC257" s="205"/>
      <c r="BD257" s="205"/>
      <c r="BE257" s="287"/>
      <c r="BF257" s="319"/>
    </row>
    <row r="258" spans="6:58" s="323" customFormat="1" x14ac:dyDescent="0.35"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86"/>
      <c r="AV258" s="286"/>
      <c r="AW258" s="286"/>
      <c r="AX258" s="286"/>
      <c r="AY258" s="286"/>
      <c r="AZ258" s="286"/>
      <c r="BA258" s="286"/>
      <c r="BB258" s="395"/>
      <c r="BC258" s="205"/>
      <c r="BD258" s="205"/>
      <c r="BE258" s="287"/>
      <c r="BF258" s="319"/>
    </row>
    <row r="259" spans="6:58" s="323" customFormat="1" x14ac:dyDescent="0.35"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86"/>
      <c r="AV259" s="286"/>
      <c r="AW259" s="286"/>
      <c r="AX259" s="286"/>
      <c r="AY259" s="286"/>
      <c r="AZ259" s="286"/>
      <c r="BA259" s="286"/>
      <c r="BB259" s="395"/>
      <c r="BC259" s="205"/>
      <c r="BD259" s="205"/>
      <c r="BE259" s="287"/>
      <c r="BF259" s="319"/>
    </row>
    <row r="260" spans="6:58" s="323" customFormat="1" x14ac:dyDescent="0.35"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86"/>
      <c r="AV260" s="286"/>
      <c r="AW260" s="286"/>
      <c r="AX260" s="286"/>
      <c r="AY260" s="286"/>
      <c r="AZ260" s="286"/>
      <c r="BA260" s="286"/>
      <c r="BB260" s="395"/>
      <c r="BC260" s="205"/>
      <c r="BD260" s="205"/>
      <c r="BE260" s="287"/>
      <c r="BF260" s="319"/>
    </row>
    <row r="261" spans="6:58" s="323" customFormat="1" x14ac:dyDescent="0.35"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86"/>
      <c r="AV261" s="286"/>
      <c r="AW261" s="286"/>
      <c r="AX261" s="286"/>
      <c r="AY261" s="286"/>
      <c r="AZ261" s="286"/>
      <c r="BA261" s="286"/>
      <c r="BB261" s="395"/>
      <c r="BC261" s="205"/>
      <c r="BD261" s="205"/>
      <c r="BE261" s="287"/>
      <c r="BF261" s="319"/>
    </row>
    <row r="262" spans="6:58" s="323" customFormat="1" x14ac:dyDescent="0.35"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86"/>
      <c r="AV262" s="286"/>
      <c r="AW262" s="286"/>
      <c r="AX262" s="286"/>
      <c r="AY262" s="286"/>
      <c r="AZ262" s="286"/>
      <c r="BA262" s="286"/>
      <c r="BB262" s="395"/>
      <c r="BC262" s="205"/>
      <c r="BD262" s="205"/>
      <c r="BE262" s="287"/>
      <c r="BF262" s="319"/>
    </row>
    <row r="263" spans="6:58" s="323" customFormat="1" x14ac:dyDescent="0.35"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86"/>
      <c r="AV263" s="286"/>
      <c r="AW263" s="286"/>
      <c r="AX263" s="286"/>
      <c r="AY263" s="286"/>
      <c r="AZ263" s="286"/>
      <c r="BA263" s="286"/>
      <c r="BB263" s="395"/>
      <c r="BC263" s="205"/>
      <c r="BD263" s="205"/>
      <c r="BE263" s="287"/>
      <c r="BF263" s="319"/>
    </row>
    <row r="264" spans="6:58" s="323" customFormat="1" x14ac:dyDescent="0.35"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86"/>
      <c r="AV264" s="286"/>
      <c r="AW264" s="286"/>
      <c r="AX264" s="286"/>
      <c r="AY264" s="286"/>
      <c r="AZ264" s="286"/>
      <c r="BA264" s="286"/>
      <c r="BB264" s="395"/>
      <c r="BC264" s="205"/>
      <c r="BD264" s="205"/>
      <c r="BE264" s="287"/>
      <c r="BF264" s="319"/>
    </row>
    <row r="265" spans="6:58" s="323" customFormat="1" x14ac:dyDescent="0.35"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86"/>
      <c r="AV265" s="286"/>
      <c r="AW265" s="286"/>
      <c r="AX265" s="286"/>
      <c r="AY265" s="286"/>
      <c r="AZ265" s="286"/>
      <c r="BA265" s="286"/>
      <c r="BB265" s="395"/>
      <c r="BC265" s="205"/>
      <c r="BD265" s="205"/>
      <c r="BE265" s="287"/>
      <c r="BF265" s="319"/>
    </row>
    <row r="266" spans="6:58" s="323" customFormat="1" x14ac:dyDescent="0.35"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86"/>
      <c r="AV266" s="286"/>
      <c r="AW266" s="286"/>
      <c r="AX266" s="286"/>
      <c r="AY266" s="286"/>
      <c r="AZ266" s="286"/>
      <c r="BA266" s="286"/>
      <c r="BB266" s="395"/>
      <c r="BC266" s="205"/>
      <c r="BD266" s="205"/>
      <c r="BE266" s="287"/>
      <c r="BF266" s="319"/>
    </row>
    <row r="267" spans="6:58" s="323" customFormat="1" x14ac:dyDescent="0.35"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86"/>
      <c r="AV267" s="286"/>
      <c r="AW267" s="286"/>
      <c r="AX267" s="286"/>
      <c r="AY267" s="286"/>
      <c r="AZ267" s="286"/>
      <c r="BA267" s="286"/>
      <c r="BB267" s="395"/>
      <c r="BC267" s="205"/>
      <c r="BD267" s="205"/>
      <c r="BE267" s="287"/>
      <c r="BF267" s="319"/>
    </row>
    <row r="268" spans="6:58" s="323" customFormat="1" x14ac:dyDescent="0.35"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86"/>
      <c r="AV268" s="286"/>
      <c r="AW268" s="286"/>
      <c r="AX268" s="286"/>
      <c r="AY268" s="286"/>
      <c r="AZ268" s="286"/>
      <c r="BA268" s="286"/>
      <c r="BB268" s="395"/>
      <c r="BC268" s="205"/>
      <c r="BD268" s="205"/>
      <c r="BE268" s="287"/>
      <c r="BF268" s="319"/>
    </row>
    <row r="269" spans="6:58" s="323" customFormat="1" x14ac:dyDescent="0.35"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86"/>
      <c r="AV269" s="286"/>
      <c r="AW269" s="286"/>
      <c r="AX269" s="286"/>
      <c r="AY269" s="286"/>
      <c r="AZ269" s="286"/>
      <c r="BA269" s="286"/>
      <c r="BB269" s="395"/>
      <c r="BC269" s="205"/>
      <c r="BD269" s="205"/>
      <c r="BE269" s="287"/>
      <c r="BF269" s="319"/>
    </row>
    <row r="270" spans="6:58" s="323" customFormat="1" x14ac:dyDescent="0.35"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86"/>
      <c r="AV270" s="286"/>
      <c r="AW270" s="286"/>
      <c r="AX270" s="286"/>
      <c r="AY270" s="286"/>
      <c r="AZ270" s="286"/>
      <c r="BA270" s="286"/>
      <c r="BB270" s="395"/>
      <c r="BC270" s="205"/>
      <c r="BD270" s="205"/>
      <c r="BE270" s="287"/>
      <c r="BF270" s="319"/>
    </row>
    <row r="271" spans="6:58" s="323" customFormat="1" x14ac:dyDescent="0.35"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86"/>
      <c r="AV271" s="286"/>
      <c r="AW271" s="286"/>
      <c r="AX271" s="286"/>
      <c r="AY271" s="286"/>
      <c r="AZ271" s="286"/>
      <c r="BA271" s="286"/>
      <c r="BB271" s="395"/>
      <c r="BC271" s="205"/>
      <c r="BD271" s="205"/>
      <c r="BE271" s="287"/>
      <c r="BF271" s="319"/>
    </row>
    <row r="272" spans="6:58" s="323" customFormat="1" x14ac:dyDescent="0.35"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86"/>
      <c r="AV272" s="286"/>
      <c r="AW272" s="286"/>
      <c r="AX272" s="286"/>
      <c r="AY272" s="286"/>
      <c r="AZ272" s="286"/>
      <c r="BA272" s="286"/>
      <c r="BB272" s="395"/>
      <c r="BC272" s="205"/>
      <c r="BD272" s="205"/>
      <c r="BE272" s="287"/>
      <c r="BF272" s="319"/>
    </row>
    <row r="273" spans="6:58" s="323" customFormat="1" x14ac:dyDescent="0.35"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86"/>
      <c r="AV273" s="286"/>
      <c r="AW273" s="286"/>
      <c r="AX273" s="286"/>
      <c r="AY273" s="286"/>
      <c r="AZ273" s="286"/>
      <c r="BA273" s="286"/>
      <c r="BB273" s="395"/>
      <c r="BC273" s="205"/>
      <c r="BD273" s="205"/>
      <c r="BE273" s="287"/>
      <c r="BF273" s="319"/>
    </row>
    <row r="274" spans="6:58" s="323" customFormat="1" x14ac:dyDescent="0.35"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86"/>
      <c r="AV274" s="286"/>
      <c r="AW274" s="286"/>
      <c r="AX274" s="286"/>
      <c r="AY274" s="286"/>
      <c r="AZ274" s="286"/>
      <c r="BA274" s="286"/>
      <c r="BB274" s="395"/>
      <c r="BC274" s="205"/>
      <c r="BD274" s="205"/>
      <c r="BE274" s="287"/>
      <c r="BF274" s="319"/>
    </row>
    <row r="275" spans="6:58" s="323" customFormat="1" x14ac:dyDescent="0.35"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86"/>
      <c r="AV275" s="286"/>
      <c r="AW275" s="286"/>
      <c r="AX275" s="286"/>
      <c r="AY275" s="286"/>
      <c r="AZ275" s="286"/>
      <c r="BA275" s="286"/>
      <c r="BB275" s="395"/>
      <c r="BC275" s="205"/>
      <c r="BD275" s="205"/>
      <c r="BE275" s="287"/>
      <c r="BF275" s="319"/>
    </row>
    <row r="276" spans="6:58" s="323" customFormat="1" x14ac:dyDescent="0.35"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86"/>
      <c r="AV276" s="286"/>
      <c r="AW276" s="286"/>
      <c r="AX276" s="286"/>
      <c r="AY276" s="286"/>
      <c r="AZ276" s="286"/>
      <c r="BA276" s="286"/>
      <c r="BB276" s="395"/>
      <c r="BC276" s="205"/>
      <c r="BD276" s="205"/>
      <c r="BE276" s="287"/>
      <c r="BF276" s="319"/>
    </row>
    <row r="277" spans="6:58" s="323" customFormat="1" x14ac:dyDescent="0.35"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86"/>
      <c r="AV277" s="286"/>
      <c r="AW277" s="286"/>
      <c r="AX277" s="286"/>
      <c r="AY277" s="286"/>
      <c r="AZ277" s="286"/>
      <c r="BA277" s="286"/>
      <c r="BB277" s="395"/>
      <c r="BC277" s="205"/>
      <c r="BD277" s="205"/>
      <c r="BE277" s="287"/>
      <c r="BF277" s="319"/>
    </row>
    <row r="278" spans="6:58" s="323" customFormat="1" x14ac:dyDescent="0.35"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86"/>
      <c r="AV278" s="286"/>
      <c r="AW278" s="286"/>
      <c r="AX278" s="286"/>
      <c r="AY278" s="286"/>
      <c r="AZ278" s="286"/>
      <c r="BA278" s="286"/>
      <c r="BB278" s="395"/>
      <c r="BC278" s="205"/>
      <c r="BD278" s="205"/>
      <c r="BE278" s="287"/>
      <c r="BF278" s="319"/>
    </row>
    <row r="279" spans="6:58" s="323" customFormat="1" x14ac:dyDescent="0.35"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86"/>
      <c r="AV279" s="286"/>
      <c r="AW279" s="286"/>
      <c r="AX279" s="286"/>
      <c r="AY279" s="286"/>
      <c r="AZ279" s="286"/>
      <c r="BA279" s="286"/>
      <c r="BB279" s="395"/>
      <c r="BC279" s="205"/>
      <c r="BD279" s="205"/>
      <c r="BE279" s="287"/>
      <c r="BF279" s="319"/>
    </row>
    <row r="280" spans="6:58" s="323" customFormat="1" x14ac:dyDescent="0.35"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86"/>
      <c r="AV280" s="286"/>
      <c r="AW280" s="286"/>
      <c r="AX280" s="286"/>
      <c r="AY280" s="286"/>
      <c r="AZ280" s="286"/>
      <c r="BA280" s="286"/>
      <c r="BB280" s="395"/>
      <c r="BC280" s="205"/>
      <c r="BD280" s="205"/>
      <c r="BE280" s="287"/>
      <c r="BF280" s="319"/>
    </row>
    <row r="281" spans="6:58" s="323" customFormat="1" x14ac:dyDescent="0.35"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86"/>
      <c r="AV281" s="286"/>
      <c r="AW281" s="286"/>
      <c r="AX281" s="286"/>
      <c r="AY281" s="286"/>
      <c r="AZ281" s="286"/>
      <c r="BA281" s="286"/>
      <c r="BB281" s="395"/>
      <c r="BC281" s="205"/>
      <c r="BD281" s="205"/>
      <c r="BE281" s="287"/>
      <c r="BF281" s="319"/>
    </row>
    <row r="282" spans="6:58" s="323" customFormat="1" x14ac:dyDescent="0.35"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86"/>
      <c r="AV282" s="286"/>
      <c r="AW282" s="286"/>
      <c r="AX282" s="286"/>
      <c r="AY282" s="286"/>
      <c r="AZ282" s="286"/>
      <c r="BA282" s="286"/>
      <c r="BB282" s="395"/>
      <c r="BC282" s="205"/>
      <c r="BD282" s="205"/>
      <c r="BE282" s="287"/>
      <c r="BF282" s="319"/>
    </row>
    <row r="283" spans="6:58" s="323" customFormat="1" x14ac:dyDescent="0.35"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86"/>
      <c r="AV283" s="286"/>
      <c r="AW283" s="286"/>
      <c r="AX283" s="286"/>
      <c r="AY283" s="286"/>
      <c r="AZ283" s="286"/>
      <c r="BA283" s="286"/>
      <c r="BB283" s="395"/>
      <c r="BC283" s="205"/>
      <c r="BD283" s="205"/>
      <c r="BE283" s="287"/>
      <c r="BF283" s="319"/>
    </row>
    <row r="284" spans="6:58" s="323" customFormat="1" x14ac:dyDescent="0.35"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86"/>
      <c r="AV284" s="286"/>
      <c r="AW284" s="286"/>
      <c r="AX284" s="286"/>
      <c r="AY284" s="286"/>
      <c r="AZ284" s="286"/>
      <c r="BA284" s="286"/>
      <c r="BB284" s="395"/>
      <c r="BC284" s="205"/>
      <c r="BD284" s="205"/>
      <c r="BE284" s="287"/>
      <c r="BF284" s="319"/>
    </row>
    <row r="285" spans="6:58" s="323" customFormat="1" x14ac:dyDescent="0.35"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86"/>
      <c r="AV285" s="286"/>
      <c r="AW285" s="286"/>
      <c r="AX285" s="286"/>
      <c r="AY285" s="286"/>
      <c r="AZ285" s="286"/>
      <c r="BA285" s="286"/>
      <c r="BB285" s="395"/>
      <c r="BC285" s="205"/>
      <c r="BD285" s="205"/>
      <c r="BE285" s="287"/>
      <c r="BF285" s="319"/>
    </row>
    <row r="286" spans="6:58" s="323" customFormat="1" x14ac:dyDescent="0.35"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86"/>
      <c r="AV286" s="286"/>
      <c r="AW286" s="286"/>
      <c r="AX286" s="286"/>
      <c r="AY286" s="286"/>
      <c r="AZ286" s="286"/>
      <c r="BA286" s="286"/>
      <c r="BB286" s="395"/>
      <c r="BC286" s="205"/>
      <c r="BD286" s="205"/>
      <c r="BE286" s="287"/>
      <c r="BF286" s="319"/>
    </row>
    <row r="287" spans="6:58" s="323" customFormat="1" x14ac:dyDescent="0.35"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86"/>
      <c r="AV287" s="286"/>
      <c r="AW287" s="286"/>
      <c r="AX287" s="286"/>
      <c r="AY287" s="286"/>
      <c r="AZ287" s="286"/>
      <c r="BA287" s="286"/>
      <c r="BB287" s="395"/>
      <c r="BC287" s="205"/>
      <c r="BD287" s="205"/>
      <c r="BE287" s="287"/>
      <c r="BF287" s="319"/>
    </row>
    <row r="288" spans="6:58" s="323" customFormat="1" x14ac:dyDescent="0.35"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86"/>
      <c r="AV288" s="286"/>
      <c r="AW288" s="286"/>
      <c r="AX288" s="286"/>
      <c r="AY288" s="286"/>
      <c r="AZ288" s="286"/>
      <c r="BA288" s="286"/>
      <c r="BB288" s="395"/>
      <c r="BC288" s="205"/>
      <c r="BD288" s="205"/>
      <c r="BE288" s="287"/>
      <c r="BF288" s="319"/>
    </row>
    <row r="289" spans="6:58" s="323" customFormat="1" x14ac:dyDescent="0.35"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86"/>
      <c r="AV289" s="286"/>
      <c r="AW289" s="286"/>
      <c r="AX289" s="286"/>
      <c r="AY289" s="286"/>
      <c r="AZ289" s="286"/>
      <c r="BA289" s="286"/>
      <c r="BB289" s="395"/>
      <c r="BC289" s="205"/>
      <c r="BD289" s="205"/>
      <c r="BE289" s="287"/>
      <c r="BF289" s="319"/>
    </row>
    <row r="290" spans="6:58" s="323" customFormat="1" x14ac:dyDescent="0.35"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86"/>
      <c r="AV290" s="286"/>
      <c r="AW290" s="286"/>
      <c r="AX290" s="286"/>
      <c r="AY290" s="286"/>
      <c r="AZ290" s="286"/>
      <c r="BA290" s="286"/>
      <c r="BB290" s="395"/>
      <c r="BC290" s="205"/>
      <c r="BD290" s="205"/>
      <c r="BE290" s="287"/>
      <c r="BF290" s="319"/>
    </row>
    <row r="291" spans="6:58" s="323" customFormat="1" x14ac:dyDescent="0.35"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86"/>
      <c r="AV291" s="286"/>
      <c r="AW291" s="286"/>
      <c r="AX291" s="286"/>
      <c r="AY291" s="286"/>
      <c r="AZ291" s="286"/>
      <c r="BA291" s="286"/>
      <c r="BB291" s="395"/>
      <c r="BC291" s="205"/>
      <c r="BD291" s="205"/>
      <c r="BE291" s="287"/>
      <c r="BF291" s="319"/>
    </row>
    <row r="292" spans="6:58" s="323" customFormat="1" x14ac:dyDescent="0.35"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86"/>
      <c r="AV292" s="286"/>
      <c r="AW292" s="286"/>
      <c r="AX292" s="286"/>
      <c r="AY292" s="286"/>
      <c r="AZ292" s="286"/>
      <c r="BA292" s="286"/>
      <c r="BB292" s="395"/>
      <c r="BC292" s="205"/>
      <c r="BD292" s="205"/>
      <c r="BE292" s="287"/>
      <c r="BF292" s="319"/>
    </row>
    <row r="293" spans="6:58" s="323" customFormat="1" x14ac:dyDescent="0.35"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86"/>
      <c r="AV293" s="286"/>
      <c r="AW293" s="286"/>
      <c r="AX293" s="286"/>
      <c r="AY293" s="286"/>
      <c r="AZ293" s="286"/>
      <c r="BA293" s="286"/>
      <c r="BB293" s="395"/>
      <c r="BC293" s="205"/>
      <c r="BD293" s="205"/>
      <c r="BE293" s="287"/>
      <c r="BF293" s="319"/>
    </row>
    <row r="294" spans="6:58" s="323" customFormat="1" x14ac:dyDescent="0.35"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86"/>
      <c r="AV294" s="286"/>
      <c r="AW294" s="286"/>
      <c r="AX294" s="286"/>
      <c r="AY294" s="286"/>
      <c r="AZ294" s="286"/>
      <c r="BA294" s="286"/>
      <c r="BB294" s="395"/>
      <c r="BC294" s="205"/>
      <c r="BD294" s="205"/>
      <c r="BE294" s="287"/>
      <c r="BF294" s="319"/>
    </row>
    <row r="295" spans="6:58" s="323" customFormat="1" x14ac:dyDescent="0.35"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86"/>
      <c r="AV295" s="286"/>
      <c r="AW295" s="286"/>
      <c r="AX295" s="286"/>
      <c r="AY295" s="286"/>
      <c r="AZ295" s="286"/>
      <c r="BA295" s="286"/>
      <c r="BB295" s="395"/>
      <c r="BC295" s="205"/>
      <c r="BD295" s="205"/>
      <c r="BE295" s="287"/>
      <c r="BF295" s="319"/>
    </row>
    <row r="296" spans="6:58" s="323" customFormat="1" x14ac:dyDescent="0.35"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86"/>
      <c r="AV296" s="286"/>
      <c r="AW296" s="286"/>
      <c r="AX296" s="286"/>
      <c r="AY296" s="286"/>
      <c r="AZ296" s="286"/>
      <c r="BA296" s="286"/>
      <c r="BB296" s="395"/>
      <c r="BC296" s="205"/>
      <c r="BD296" s="205"/>
      <c r="BE296" s="287"/>
      <c r="BF296" s="319"/>
    </row>
    <row r="297" spans="6:58" s="323" customFormat="1" x14ac:dyDescent="0.35"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86"/>
      <c r="AV297" s="286"/>
      <c r="AW297" s="286"/>
      <c r="AX297" s="286"/>
      <c r="AY297" s="286"/>
      <c r="AZ297" s="286"/>
      <c r="BA297" s="286"/>
      <c r="BB297" s="395"/>
      <c r="BC297" s="205"/>
      <c r="BD297" s="205"/>
      <c r="BE297" s="287"/>
      <c r="BF297" s="319"/>
    </row>
    <row r="298" spans="6:58" s="323" customFormat="1" x14ac:dyDescent="0.35"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86"/>
      <c r="AV298" s="286"/>
      <c r="AW298" s="286"/>
      <c r="AX298" s="286"/>
      <c r="AY298" s="286"/>
      <c r="AZ298" s="286"/>
      <c r="BA298" s="286"/>
      <c r="BB298" s="395"/>
      <c r="BC298" s="205"/>
      <c r="BD298" s="205"/>
      <c r="BE298" s="287"/>
      <c r="BF298" s="319"/>
    </row>
    <row r="299" spans="6:58" s="323" customFormat="1" x14ac:dyDescent="0.35"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86"/>
      <c r="AV299" s="286"/>
      <c r="AW299" s="286"/>
      <c r="AX299" s="286"/>
      <c r="AY299" s="286"/>
      <c r="AZ299" s="286"/>
      <c r="BA299" s="286"/>
      <c r="BB299" s="395"/>
      <c r="BC299" s="205"/>
      <c r="BD299" s="205"/>
      <c r="BE299" s="287"/>
      <c r="BF299" s="319"/>
    </row>
    <row r="300" spans="6:58" s="323" customFormat="1" x14ac:dyDescent="0.35"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86"/>
      <c r="AV300" s="286"/>
      <c r="AW300" s="286"/>
      <c r="AX300" s="286"/>
      <c r="AY300" s="286"/>
      <c r="AZ300" s="286"/>
      <c r="BA300" s="286"/>
      <c r="BB300" s="395"/>
      <c r="BC300" s="205"/>
      <c r="BD300" s="205"/>
      <c r="BE300" s="287"/>
      <c r="BF300" s="319"/>
    </row>
    <row r="301" spans="6:58" s="323" customFormat="1" x14ac:dyDescent="0.35"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86"/>
      <c r="AV301" s="286"/>
      <c r="AW301" s="286"/>
      <c r="AX301" s="286"/>
      <c r="AY301" s="286"/>
      <c r="AZ301" s="286"/>
      <c r="BA301" s="286"/>
      <c r="BB301" s="395"/>
      <c r="BC301" s="205"/>
      <c r="BD301" s="205"/>
      <c r="BE301" s="287"/>
      <c r="BF301" s="319"/>
    </row>
    <row r="302" spans="6:58" s="323" customFormat="1" x14ac:dyDescent="0.35"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86"/>
      <c r="AV302" s="286"/>
      <c r="AW302" s="286"/>
      <c r="AX302" s="286"/>
      <c r="AY302" s="286"/>
      <c r="AZ302" s="286"/>
      <c r="BA302" s="286"/>
      <c r="BB302" s="395"/>
      <c r="BC302" s="205"/>
      <c r="BD302" s="205"/>
      <c r="BE302" s="287"/>
      <c r="BF302" s="319"/>
    </row>
    <row r="303" spans="6:58" s="323" customFormat="1" x14ac:dyDescent="0.35"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86"/>
      <c r="AV303" s="286"/>
      <c r="AW303" s="286"/>
      <c r="AX303" s="286"/>
      <c r="AY303" s="286"/>
      <c r="AZ303" s="286"/>
      <c r="BA303" s="286"/>
      <c r="BB303" s="395"/>
      <c r="BC303" s="205"/>
      <c r="BD303" s="205"/>
      <c r="BE303" s="287"/>
      <c r="BF303" s="319"/>
    </row>
    <row r="304" spans="6:58" s="323" customFormat="1" x14ac:dyDescent="0.35"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86"/>
      <c r="AV304" s="286"/>
      <c r="AW304" s="286"/>
      <c r="AX304" s="286"/>
      <c r="AY304" s="286"/>
      <c r="AZ304" s="286"/>
      <c r="BA304" s="286"/>
      <c r="BB304" s="395"/>
      <c r="BC304" s="205"/>
      <c r="BD304" s="205"/>
      <c r="BE304" s="287"/>
      <c r="BF304" s="319"/>
    </row>
  </sheetData>
  <mergeCells count="118">
    <mergeCell ref="BF137:BF138"/>
    <mergeCell ref="BB179:BB180"/>
    <mergeCell ref="BC179:BE179"/>
    <mergeCell ref="BF179:BF180"/>
    <mergeCell ref="AU57:AW57"/>
    <mergeCell ref="BA57:BA58"/>
    <mergeCell ref="BB57:BB58"/>
    <mergeCell ref="BC57:BE57"/>
    <mergeCell ref="BF57:BF58"/>
    <mergeCell ref="AU91:AW91"/>
    <mergeCell ref="BA91:BA92"/>
    <mergeCell ref="BB91:BB92"/>
    <mergeCell ref="BC91:BE91"/>
    <mergeCell ref="BF91:BF92"/>
    <mergeCell ref="AU179:AW179"/>
    <mergeCell ref="BB137:BB138"/>
    <mergeCell ref="BC137:BE137"/>
    <mergeCell ref="BA179:BA180"/>
    <mergeCell ref="AX57:AX58"/>
    <mergeCell ref="AY57:AY58"/>
    <mergeCell ref="AZ57:AZ58"/>
    <mergeCell ref="AY137:AY138"/>
    <mergeCell ref="AZ137:AZ138"/>
    <mergeCell ref="BA137:BA138"/>
    <mergeCell ref="BB1:BD1"/>
    <mergeCell ref="BB2:BC2"/>
    <mergeCell ref="BB3:BC3"/>
    <mergeCell ref="BB7:BC7"/>
    <mergeCell ref="BB8:BB9"/>
    <mergeCell ref="BC8:BE8"/>
    <mergeCell ref="A1:AW1"/>
    <mergeCell ref="A2:AW2"/>
    <mergeCell ref="A3:AW3"/>
    <mergeCell ref="A8:A9"/>
    <mergeCell ref="C8:C9"/>
    <mergeCell ref="D8:D9"/>
    <mergeCell ref="AN8:AT8"/>
    <mergeCell ref="AX8:AX9"/>
    <mergeCell ref="AY8:AY9"/>
    <mergeCell ref="BB4:BC5"/>
    <mergeCell ref="BD4:BD5"/>
    <mergeCell ref="BB6:BC6"/>
    <mergeCell ref="A57:A58"/>
    <mergeCell ref="B57:B58"/>
    <mergeCell ref="C57:C58"/>
    <mergeCell ref="D57:D58"/>
    <mergeCell ref="E57:K57"/>
    <mergeCell ref="A91:A92"/>
    <mergeCell ref="BA8:BA9"/>
    <mergeCell ref="B8:B9"/>
    <mergeCell ref="AY24:AY25"/>
    <mergeCell ref="AZ24:AZ25"/>
    <mergeCell ref="L57:R57"/>
    <mergeCell ref="S57:Y57"/>
    <mergeCell ref="Z57:AF57"/>
    <mergeCell ref="AG57:AM57"/>
    <mergeCell ref="AN57:AT57"/>
    <mergeCell ref="B91:B92"/>
    <mergeCell ref="C91:C92"/>
    <mergeCell ref="D91:D92"/>
    <mergeCell ref="E91:K91"/>
    <mergeCell ref="L91:R91"/>
    <mergeCell ref="S91:Y91"/>
    <mergeCell ref="Z91:AF91"/>
    <mergeCell ref="AG91:AM91"/>
    <mergeCell ref="AN91:AT91"/>
    <mergeCell ref="BF8:BF9"/>
    <mergeCell ref="A24:A25"/>
    <mergeCell ref="B24:B25"/>
    <mergeCell ref="C24:C25"/>
    <mergeCell ref="D24:D25"/>
    <mergeCell ref="AU24:AW24"/>
    <mergeCell ref="BA24:BA25"/>
    <mergeCell ref="BB24:BB25"/>
    <mergeCell ref="BC24:BE24"/>
    <mergeCell ref="BF24:BF25"/>
    <mergeCell ref="AZ8:AZ9"/>
    <mergeCell ref="E8:K8"/>
    <mergeCell ref="L8:R8"/>
    <mergeCell ref="S8:Y8"/>
    <mergeCell ref="Z8:AF8"/>
    <mergeCell ref="AG8:AM8"/>
    <mergeCell ref="AU8:AW8"/>
    <mergeCell ref="E24:K24"/>
    <mergeCell ref="L24:R24"/>
    <mergeCell ref="S24:Y24"/>
    <mergeCell ref="Z24:AF24"/>
    <mergeCell ref="AG24:AM24"/>
    <mergeCell ref="AN24:AT24"/>
    <mergeCell ref="AX24:AX25"/>
    <mergeCell ref="AX91:AX92"/>
    <mergeCell ref="AY91:AY92"/>
    <mergeCell ref="AZ91:AZ92"/>
    <mergeCell ref="B137:B138"/>
    <mergeCell ref="C137:C138"/>
    <mergeCell ref="D137:D138"/>
    <mergeCell ref="E137:K137"/>
    <mergeCell ref="L137:R137"/>
    <mergeCell ref="AX179:AX180"/>
    <mergeCell ref="AY179:AY180"/>
    <mergeCell ref="AZ179:AZ180"/>
    <mergeCell ref="AN137:AT137"/>
    <mergeCell ref="AX137:AX138"/>
    <mergeCell ref="A179:A180"/>
    <mergeCell ref="B179:B180"/>
    <mergeCell ref="C179:C180"/>
    <mergeCell ref="D179:D180"/>
    <mergeCell ref="AU137:AW137"/>
    <mergeCell ref="A137:A138"/>
    <mergeCell ref="S137:Y137"/>
    <mergeCell ref="Z137:AF137"/>
    <mergeCell ref="AG137:AM137"/>
    <mergeCell ref="E179:K179"/>
    <mergeCell ref="L179:R179"/>
    <mergeCell ref="S179:Y179"/>
    <mergeCell ref="Z179:AF179"/>
    <mergeCell ref="AG179:AM179"/>
    <mergeCell ref="AN179:AT179"/>
  </mergeCells>
  <phoneticPr fontId="12" type="noConversion"/>
  <conditionalFormatting sqref="C41">
    <cfRule type="duplicateValues" dxfId="85" priority="5"/>
    <cfRule type="duplicateValues" dxfId="84" priority="6"/>
  </conditionalFormatting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2815-4CAE-4D1F-A669-081EC8B70F62}">
  <dimension ref="A1:CB219"/>
  <sheetViews>
    <sheetView topLeftCell="A188" zoomScale="50" zoomScaleNormal="50" workbookViewId="0">
      <selection activeCell="B178" sqref="B178:H188"/>
    </sheetView>
  </sheetViews>
  <sheetFormatPr defaultRowHeight="14.5" x14ac:dyDescent="0.35"/>
  <cols>
    <col min="1" max="1" width="5.6328125" customWidth="1"/>
    <col min="2" max="2" width="9.6328125" customWidth="1"/>
    <col min="3" max="3" width="36.54296875" customWidth="1"/>
    <col min="4" max="4" width="16" style="17" customWidth="1"/>
    <col min="6" max="11" width="5.6328125" style="22" customWidth="1"/>
    <col min="12" max="23" width="6.08984375" style="22" customWidth="1"/>
    <col min="24" max="26" width="8.81640625" style="105"/>
    <col min="28" max="28" width="5.6328125" customWidth="1"/>
    <col min="29" max="29" width="9.6328125" customWidth="1"/>
    <col min="30" max="30" width="36.54296875" customWidth="1"/>
    <col min="31" max="31" width="16" style="17" customWidth="1"/>
    <col min="33" max="38" width="5.6328125" style="22" customWidth="1"/>
    <col min="39" max="50" width="6.08984375" style="22" customWidth="1"/>
    <col min="51" max="53" width="8.81640625" style="105"/>
    <col min="55" max="55" width="5.6328125" customWidth="1"/>
    <col min="56" max="56" width="9.6328125" customWidth="1"/>
    <col min="57" max="57" width="36.54296875" customWidth="1"/>
    <col min="58" max="58" width="16" style="17" customWidth="1"/>
    <col min="60" max="65" width="5.6328125" style="22" customWidth="1"/>
    <col min="66" max="77" width="6.08984375" style="22" customWidth="1"/>
    <col min="78" max="80" width="8.81640625" style="105"/>
  </cols>
  <sheetData>
    <row r="1" spans="1:80" ht="70" customHeight="1" thickBot="1" x14ac:dyDescent="0.5">
      <c r="A1" s="7" t="s">
        <v>1031</v>
      </c>
      <c r="AB1" s="7" t="s">
        <v>1032</v>
      </c>
      <c r="BC1" s="7" t="s">
        <v>1033</v>
      </c>
    </row>
    <row r="2" spans="1:80" s="106" customFormat="1" ht="14.5" customHeight="1" thickBot="1" x14ac:dyDescent="0.4">
      <c r="A2" s="466" t="s">
        <v>1</v>
      </c>
      <c r="B2" s="466" t="s">
        <v>2</v>
      </c>
      <c r="C2" s="461" t="s">
        <v>3</v>
      </c>
      <c r="D2" s="459" t="s">
        <v>897</v>
      </c>
      <c r="E2" s="462" t="s">
        <v>4</v>
      </c>
      <c r="F2" s="458" t="s">
        <v>221</v>
      </c>
      <c r="G2" s="458"/>
      <c r="H2" s="458"/>
      <c r="I2" s="458" t="s">
        <v>222</v>
      </c>
      <c r="J2" s="458"/>
      <c r="K2" s="458"/>
      <c r="L2" s="458" t="s">
        <v>223</v>
      </c>
      <c r="M2" s="458"/>
      <c r="N2" s="458"/>
      <c r="O2" s="458" t="s">
        <v>233</v>
      </c>
      <c r="P2" s="458"/>
      <c r="Q2" s="458"/>
      <c r="R2" s="458" t="s">
        <v>234</v>
      </c>
      <c r="S2" s="458"/>
      <c r="T2" s="458"/>
      <c r="U2" s="458" t="s">
        <v>235</v>
      </c>
      <c r="V2" s="458"/>
      <c r="W2" s="458"/>
      <c r="X2" s="458" t="s">
        <v>224</v>
      </c>
      <c r="Y2" s="458"/>
      <c r="Z2" s="458"/>
      <c r="AB2" s="466" t="s">
        <v>1</v>
      </c>
      <c r="AC2" s="466" t="s">
        <v>2</v>
      </c>
      <c r="AD2" s="461" t="s">
        <v>3</v>
      </c>
      <c r="AE2" s="459" t="s">
        <v>897</v>
      </c>
      <c r="AF2" s="462" t="s">
        <v>4</v>
      </c>
      <c r="AG2" s="458" t="s">
        <v>221</v>
      </c>
      <c r="AH2" s="458"/>
      <c r="AI2" s="458"/>
      <c r="AJ2" s="458" t="s">
        <v>222</v>
      </c>
      <c r="AK2" s="458"/>
      <c r="AL2" s="458"/>
      <c r="AM2" s="458" t="s">
        <v>223</v>
      </c>
      <c r="AN2" s="458"/>
      <c r="AO2" s="458"/>
      <c r="AP2" s="458" t="s">
        <v>233</v>
      </c>
      <c r="AQ2" s="458"/>
      <c r="AR2" s="458"/>
      <c r="AS2" s="458" t="s">
        <v>234</v>
      </c>
      <c r="AT2" s="458"/>
      <c r="AU2" s="458"/>
      <c r="AV2" s="458" t="s">
        <v>235</v>
      </c>
      <c r="AW2" s="458"/>
      <c r="AX2" s="458"/>
      <c r="AY2" s="458" t="s">
        <v>224</v>
      </c>
      <c r="AZ2" s="458"/>
      <c r="BA2" s="458"/>
      <c r="BC2" s="466" t="s">
        <v>1</v>
      </c>
      <c r="BD2" s="466" t="s">
        <v>2</v>
      </c>
      <c r="BE2" s="461" t="s">
        <v>3</v>
      </c>
      <c r="BF2" s="459" t="s">
        <v>897</v>
      </c>
      <c r="BG2" s="462" t="s">
        <v>4</v>
      </c>
      <c r="BH2" s="458" t="s">
        <v>221</v>
      </c>
      <c r="BI2" s="458"/>
      <c r="BJ2" s="458"/>
      <c r="BK2" s="458" t="s">
        <v>222</v>
      </c>
      <c r="BL2" s="458"/>
      <c r="BM2" s="458"/>
      <c r="BN2" s="458" t="s">
        <v>223</v>
      </c>
      <c r="BO2" s="458"/>
      <c r="BP2" s="458"/>
      <c r="BQ2" s="458" t="s">
        <v>233</v>
      </c>
      <c r="BR2" s="458"/>
      <c r="BS2" s="458"/>
      <c r="BT2" s="458" t="s">
        <v>234</v>
      </c>
      <c r="BU2" s="458"/>
      <c r="BV2" s="458"/>
      <c r="BW2" s="458" t="s">
        <v>235</v>
      </c>
      <c r="BX2" s="458"/>
      <c r="BY2" s="458"/>
      <c r="BZ2" s="458" t="s">
        <v>224</v>
      </c>
      <c r="CA2" s="458"/>
      <c r="CB2" s="458"/>
    </row>
    <row r="3" spans="1:80" s="106" customFormat="1" ht="15" thickBot="1" x14ac:dyDescent="0.4">
      <c r="A3" s="466"/>
      <c r="B3" s="466"/>
      <c r="C3" s="461"/>
      <c r="D3" s="460"/>
      <c r="E3" s="462"/>
      <c r="F3" s="118" t="s">
        <v>20</v>
      </c>
      <c r="G3" s="118" t="s">
        <v>19</v>
      </c>
      <c r="H3" s="118" t="s">
        <v>52</v>
      </c>
      <c r="I3" s="118" t="s">
        <v>20</v>
      </c>
      <c r="J3" s="118" t="s">
        <v>19</v>
      </c>
      <c r="K3" s="118" t="s">
        <v>52</v>
      </c>
      <c r="L3" s="118" t="s">
        <v>20</v>
      </c>
      <c r="M3" s="118" t="s">
        <v>19</v>
      </c>
      <c r="N3" s="118" t="s">
        <v>52</v>
      </c>
      <c r="O3" s="118" t="s">
        <v>20</v>
      </c>
      <c r="P3" s="118" t="s">
        <v>19</v>
      </c>
      <c r="Q3" s="118" t="s">
        <v>52</v>
      </c>
      <c r="R3" s="118" t="s">
        <v>20</v>
      </c>
      <c r="S3" s="118" t="s">
        <v>19</v>
      </c>
      <c r="T3" s="118" t="s">
        <v>52</v>
      </c>
      <c r="U3" s="118" t="s">
        <v>20</v>
      </c>
      <c r="V3" s="118" t="s">
        <v>19</v>
      </c>
      <c r="W3" s="118" t="s">
        <v>52</v>
      </c>
      <c r="X3" s="116" t="s">
        <v>20</v>
      </c>
      <c r="Y3" s="118" t="s">
        <v>19</v>
      </c>
      <c r="Z3" s="118" t="s">
        <v>52</v>
      </c>
      <c r="AB3" s="466"/>
      <c r="AC3" s="466"/>
      <c r="AD3" s="461"/>
      <c r="AE3" s="460"/>
      <c r="AF3" s="462"/>
      <c r="AG3" s="118" t="s">
        <v>20</v>
      </c>
      <c r="AH3" s="118" t="s">
        <v>19</v>
      </c>
      <c r="AI3" s="118" t="s">
        <v>52</v>
      </c>
      <c r="AJ3" s="118" t="s">
        <v>20</v>
      </c>
      <c r="AK3" s="118" t="s">
        <v>19</v>
      </c>
      <c r="AL3" s="118" t="s">
        <v>52</v>
      </c>
      <c r="AM3" s="118" t="s">
        <v>20</v>
      </c>
      <c r="AN3" s="118" t="s">
        <v>19</v>
      </c>
      <c r="AO3" s="118" t="s">
        <v>52</v>
      </c>
      <c r="AP3" s="118" t="s">
        <v>20</v>
      </c>
      <c r="AQ3" s="118" t="s">
        <v>19</v>
      </c>
      <c r="AR3" s="118" t="s">
        <v>52</v>
      </c>
      <c r="AS3" s="118" t="s">
        <v>20</v>
      </c>
      <c r="AT3" s="118" t="s">
        <v>19</v>
      </c>
      <c r="AU3" s="118" t="s">
        <v>52</v>
      </c>
      <c r="AV3" s="118" t="s">
        <v>20</v>
      </c>
      <c r="AW3" s="118" t="s">
        <v>19</v>
      </c>
      <c r="AX3" s="118" t="s">
        <v>52</v>
      </c>
      <c r="AY3" s="116" t="s">
        <v>20</v>
      </c>
      <c r="AZ3" s="118" t="s">
        <v>19</v>
      </c>
      <c r="BA3" s="118" t="s">
        <v>52</v>
      </c>
      <c r="BC3" s="466"/>
      <c r="BD3" s="466"/>
      <c r="BE3" s="461"/>
      <c r="BF3" s="460"/>
      <c r="BG3" s="462"/>
      <c r="BH3" s="118" t="s">
        <v>20</v>
      </c>
      <c r="BI3" s="118" t="s">
        <v>19</v>
      </c>
      <c r="BJ3" s="118" t="s">
        <v>52</v>
      </c>
      <c r="BK3" s="118" t="s">
        <v>20</v>
      </c>
      <c r="BL3" s="118" t="s">
        <v>19</v>
      </c>
      <c r="BM3" s="118" t="s">
        <v>52</v>
      </c>
      <c r="BN3" s="118" t="s">
        <v>20</v>
      </c>
      <c r="BO3" s="118" t="s">
        <v>19</v>
      </c>
      <c r="BP3" s="118" t="s">
        <v>52</v>
      </c>
      <c r="BQ3" s="118" t="s">
        <v>20</v>
      </c>
      <c r="BR3" s="118" t="s">
        <v>19</v>
      </c>
      <c r="BS3" s="118" t="s">
        <v>52</v>
      </c>
      <c r="BT3" s="118" t="s">
        <v>20</v>
      </c>
      <c r="BU3" s="118" t="s">
        <v>19</v>
      </c>
      <c r="BV3" s="118" t="s">
        <v>52</v>
      </c>
      <c r="BW3" s="118" t="s">
        <v>20</v>
      </c>
      <c r="BX3" s="118" t="s">
        <v>19</v>
      </c>
      <c r="BY3" s="118" t="s">
        <v>52</v>
      </c>
      <c r="BZ3" s="116" t="s">
        <v>20</v>
      </c>
      <c r="CA3" s="118" t="s">
        <v>19</v>
      </c>
      <c r="CB3" s="118" t="s">
        <v>52</v>
      </c>
    </row>
    <row r="4" spans="1:80" ht="15.5" x14ac:dyDescent="0.35">
      <c r="A4" s="31" t="s">
        <v>25</v>
      </c>
      <c r="B4" s="119" t="s">
        <v>634</v>
      </c>
      <c r="C4" s="129" t="s">
        <v>295</v>
      </c>
      <c r="D4" s="127" t="s">
        <v>231</v>
      </c>
      <c r="E4" s="127" t="s">
        <v>6</v>
      </c>
      <c r="F4" s="130"/>
      <c r="G4" s="130"/>
      <c r="H4" s="130"/>
      <c r="I4" s="108"/>
      <c r="J4" s="113"/>
      <c r="K4" s="108"/>
      <c r="L4" s="108"/>
      <c r="M4" s="113"/>
      <c r="N4" s="108"/>
      <c r="O4" s="122"/>
      <c r="P4" s="113"/>
      <c r="Q4" s="108"/>
      <c r="R4" s="108"/>
      <c r="S4" s="113"/>
      <c r="T4" s="108"/>
      <c r="U4" s="108"/>
      <c r="V4" s="113"/>
      <c r="W4" s="108"/>
      <c r="X4" s="109">
        <f t="shared" ref="X4:X67" si="0">SUM(F4,I4,L4,O4,R4,U4)</f>
        <v>0</v>
      </c>
      <c r="Y4" s="109">
        <f t="shared" ref="Y4:Y67" si="1">SUM(G4,J4,M4,P4,S4,V4)</f>
        <v>0</v>
      </c>
      <c r="Z4" s="109">
        <f t="shared" ref="Z4:Z67" si="2">SUM(H4,K4,N4,Q4,T4,W4)</f>
        <v>0</v>
      </c>
      <c r="AB4" s="31" t="s">
        <v>25</v>
      </c>
      <c r="AC4" s="119" t="s">
        <v>634</v>
      </c>
      <c r="AD4" s="129" t="s">
        <v>295</v>
      </c>
      <c r="AE4" s="127" t="s">
        <v>231</v>
      </c>
      <c r="AF4" s="127" t="s">
        <v>6</v>
      </c>
      <c r="AG4" s="130"/>
      <c r="AH4" s="130"/>
      <c r="AI4" s="130"/>
      <c r="AJ4" s="108"/>
      <c r="AK4" s="113"/>
      <c r="AL4" s="108"/>
      <c r="AM4" s="108"/>
      <c r="AN4" s="113"/>
      <c r="AO4" s="108"/>
      <c r="AP4" s="122"/>
      <c r="AQ4" s="113"/>
      <c r="AR4" s="108"/>
      <c r="AS4" s="108"/>
      <c r="AT4" s="113"/>
      <c r="AU4" s="108"/>
      <c r="AV4" s="108"/>
      <c r="AW4" s="113"/>
      <c r="AX4" s="108"/>
      <c r="AY4" s="109">
        <f t="shared" ref="AY4:AY67" si="3">SUM(AG4,AJ4,AM4,AP4,AS4,AV4)</f>
        <v>0</v>
      </c>
      <c r="AZ4" s="109">
        <f t="shared" ref="AZ4:AZ67" si="4">SUM(AH4,AK4,AN4,AQ4,AT4,AW4)</f>
        <v>0</v>
      </c>
      <c r="BA4" s="109">
        <f t="shared" ref="BA4:BA67" si="5">SUM(AI4,AL4,AO4,AR4,AU4,AX4)</f>
        <v>0</v>
      </c>
      <c r="BC4" s="31" t="s">
        <v>22</v>
      </c>
      <c r="BD4" s="119" t="s">
        <v>631</v>
      </c>
      <c r="BE4" s="129" t="s">
        <v>247</v>
      </c>
      <c r="BF4" s="127" t="s">
        <v>231</v>
      </c>
      <c r="BG4" s="127" t="s">
        <v>6</v>
      </c>
      <c r="BH4" s="130"/>
      <c r="BI4" s="130"/>
      <c r="BJ4" s="130"/>
      <c r="BK4" s="108"/>
      <c r="BL4" s="108">
        <v>4</v>
      </c>
      <c r="BM4" s="108"/>
      <c r="BN4" s="108"/>
      <c r="BO4" s="108"/>
      <c r="BP4" s="108"/>
      <c r="BQ4" s="122">
        <v>1</v>
      </c>
      <c r="BR4" s="108"/>
      <c r="BS4" s="108"/>
      <c r="BT4" s="108"/>
      <c r="BU4" s="108">
        <v>2</v>
      </c>
      <c r="BV4" s="108"/>
      <c r="BW4" s="108"/>
      <c r="BX4" s="108"/>
      <c r="BY4" s="108"/>
      <c r="BZ4" s="109">
        <f t="shared" ref="BZ4:BZ67" si="6">SUM(BH4,BK4,BN4,BQ4,BT4,BW4)</f>
        <v>1</v>
      </c>
      <c r="CA4" s="109">
        <f t="shared" ref="CA4:CA67" si="7">SUM(BI4,BL4,BO4,BR4,BU4,BX4)</f>
        <v>6</v>
      </c>
      <c r="CB4" s="109">
        <f t="shared" ref="CB4:CB67" si="8">SUM(BJ4,BM4,BP4,BS4,BV4,BY4)</f>
        <v>0</v>
      </c>
    </row>
    <row r="5" spans="1:80" ht="15.5" x14ac:dyDescent="0.35">
      <c r="A5" s="31" t="s">
        <v>28</v>
      </c>
      <c r="B5" s="56" t="s">
        <v>637</v>
      </c>
      <c r="C5" s="36" t="s">
        <v>252</v>
      </c>
      <c r="D5" s="127" t="s">
        <v>231</v>
      </c>
      <c r="E5" s="35" t="s">
        <v>6</v>
      </c>
      <c r="F5" s="3"/>
      <c r="G5" s="3"/>
      <c r="H5" s="3"/>
      <c r="I5" s="4"/>
      <c r="J5" s="5"/>
      <c r="K5" s="5"/>
      <c r="L5" s="4"/>
      <c r="M5" s="4"/>
      <c r="N5" s="4">
        <v>1</v>
      </c>
      <c r="O5" s="13"/>
      <c r="P5" s="4"/>
      <c r="Q5" s="4">
        <v>1</v>
      </c>
      <c r="R5" s="4"/>
      <c r="S5" s="4"/>
      <c r="T5" s="4">
        <v>1</v>
      </c>
      <c r="U5" s="4"/>
      <c r="V5" s="4"/>
      <c r="W5" s="4"/>
      <c r="X5" s="30">
        <f t="shared" si="0"/>
        <v>0</v>
      </c>
      <c r="Y5" s="30">
        <f t="shared" si="1"/>
        <v>0</v>
      </c>
      <c r="Z5" s="30">
        <f t="shared" si="2"/>
        <v>3</v>
      </c>
      <c r="AB5" s="31" t="s">
        <v>27</v>
      </c>
      <c r="AC5" s="56" t="s">
        <v>636</v>
      </c>
      <c r="AD5" s="36" t="s">
        <v>251</v>
      </c>
      <c r="AE5" s="127" t="s">
        <v>231</v>
      </c>
      <c r="AF5" s="35" t="s">
        <v>8</v>
      </c>
      <c r="AG5" s="3"/>
      <c r="AH5" s="3"/>
      <c r="AI5" s="4"/>
      <c r="AJ5" s="4"/>
      <c r="AK5" s="4"/>
      <c r="AL5" s="5">
        <v>1</v>
      </c>
      <c r="AM5" s="4">
        <v>1</v>
      </c>
      <c r="AN5" s="5"/>
      <c r="AO5" s="5">
        <v>2</v>
      </c>
      <c r="AP5" s="13">
        <v>1</v>
      </c>
      <c r="AQ5" s="5"/>
      <c r="AR5" s="5">
        <v>1</v>
      </c>
      <c r="AS5" s="4"/>
      <c r="AT5" s="5"/>
      <c r="AU5" s="5">
        <v>2</v>
      </c>
      <c r="AV5" s="4"/>
      <c r="AW5" s="5"/>
      <c r="AX5" s="5"/>
      <c r="AY5" s="30">
        <f t="shared" si="3"/>
        <v>2</v>
      </c>
      <c r="AZ5" s="30">
        <f t="shared" si="4"/>
        <v>0</v>
      </c>
      <c r="BA5" s="30">
        <f t="shared" si="5"/>
        <v>6</v>
      </c>
      <c r="BC5" s="31" t="s">
        <v>25</v>
      </c>
      <c r="BD5" s="56" t="s">
        <v>634</v>
      </c>
      <c r="BE5" s="36" t="s">
        <v>295</v>
      </c>
      <c r="BF5" s="127" t="s">
        <v>231</v>
      </c>
      <c r="BG5" s="35" t="s">
        <v>6</v>
      </c>
      <c r="BH5" s="3"/>
      <c r="BI5" s="3"/>
      <c r="BJ5" s="3"/>
      <c r="BK5" s="4"/>
      <c r="BL5" s="5"/>
      <c r="BM5" s="4"/>
      <c r="BN5" s="4"/>
      <c r="BO5" s="5"/>
      <c r="BP5" s="4"/>
      <c r="BQ5" s="13"/>
      <c r="BR5" s="5"/>
      <c r="BS5" s="4"/>
      <c r="BT5" s="4"/>
      <c r="BU5" s="5"/>
      <c r="BV5" s="4"/>
      <c r="BW5" s="4"/>
      <c r="BX5" s="5"/>
      <c r="BY5" s="4"/>
      <c r="BZ5" s="30">
        <f t="shared" si="6"/>
        <v>0</v>
      </c>
      <c r="CA5" s="30">
        <f t="shared" si="7"/>
        <v>0</v>
      </c>
      <c r="CB5" s="30">
        <f t="shared" si="8"/>
        <v>0</v>
      </c>
    </row>
    <row r="6" spans="1:80" ht="15.5" x14ac:dyDescent="0.35">
      <c r="A6" s="31" t="s">
        <v>35</v>
      </c>
      <c r="B6" s="56" t="s">
        <v>645</v>
      </c>
      <c r="C6" s="36" t="s">
        <v>258</v>
      </c>
      <c r="D6" s="127" t="s">
        <v>236</v>
      </c>
      <c r="E6" s="35" t="s">
        <v>6</v>
      </c>
      <c r="F6" s="3"/>
      <c r="G6" s="3"/>
      <c r="H6" s="3"/>
      <c r="I6" s="4"/>
      <c r="J6" s="5">
        <v>1</v>
      </c>
      <c r="K6" s="5"/>
      <c r="L6" s="4"/>
      <c r="M6" s="5">
        <v>2</v>
      </c>
      <c r="N6" s="4"/>
      <c r="O6" s="13"/>
      <c r="P6" s="14">
        <v>1</v>
      </c>
      <c r="Q6" s="13"/>
      <c r="R6" s="13"/>
      <c r="S6" s="14">
        <v>1</v>
      </c>
      <c r="T6" s="13"/>
      <c r="U6" s="4"/>
      <c r="V6" s="5"/>
      <c r="W6" s="4"/>
      <c r="X6" s="30">
        <f t="shared" si="0"/>
        <v>0</v>
      </c>
      <c r="Y6" s="30">
        <f t="shared" si="1"/>
        <v>5</v>
      </c>
      <c r="Z6" s="30">
        <f t="shared" si="2"/>
        <v>0</v>
      </c>
      <c r="AB6" s="31" t="s">
        <v>28</v>
      </c>
      <c r="AC6" s="56" t="s">
        <v>637</v>
      </c>
      <c r="AD6" s="36" t="s">
        <v>252</v>
      </c>
      <c r="AE6" s="127" t="s">
        <v>231</v>
      </c>
      <c r="AF6" s="35" t="s">
        <v>6</v>
      </c>
      <c r="AG6" s="3"/>
      <c r="AH6" s="3"/>
      <c r="AI6" s="3"/>
      <c r="AJ6" s="4"/>
      <c r="AK6" s="5"/>
      <c r="AL6" s="5"/>
      <c r="AM6" s="4"/>
      <c r="AN6" s="4"/>
      <c r="AO6" s="4">
        <v>1</v>
      </c>
      <c r="AP6" s="13"/>
      <c r="AQ6" s="4"/>
      <c r="AR6" s="4">
        <v>1</v>
      </c>
      <c r="AS6" s="4"/>
      <c r="AT6" s="4"/>
      <c r="AU6" s="4">
        <v>1</v>
      </c>
      <c r="AV6" s="4"/>
      <c r="AW6" s="4"/>
      <c r="AX6" s="4"/>
      <c r="AY6" s="30">
        <f t="shared" si="3"/>
        <v>0</v>
      </c>
      <c r="AZ6" s="30">
        <f t="shared" si="4"/>
        <v>0</v>
      </c>
      <c r="BA6" s="30">
        <f t="shared" si="5"/>
        <v>3</v>
      </c>
      <c r="BC6" s="31" t="s">
        <v>29</v>
      </c>
      <c r="BD6" s="56" t="s">
        <v>638</v>
      </c>
      <c r="BE6" s="66" t="s">
        <v>253</v>
      </c>
      <c r="BF6" s="127" t="s">
        <v>231</v>
      </c>
      <c r="BG6" s="35" t="s">
        <v>6</v>
      </c>
      <c r="BH6" s="3"/>
      <c r="BI6" s="3"/>
      <c r="BJ6" s="3"/>
      <c r="BK6" s="4"/>
      <c r="BL6" s="4"/>
      <c r="BM6" s="5"/>
      <c r="BN6" s="4"/>
      <c r="BO6" s="4"/>
      <c r="BP6" s="4"/>
      <c r="BQ6" s="13"/>
      <c r="BR6" s="4"/>
      <c r="BS6" s="4"/>
      <c r="BT6" s="4">
        <v>1</v>
      </c>
      <c r="BU6" s="4"/>
      <c r="BV6" s="4"/>
      <c r="BW6" s="4"/>
      <c r="BX6" s="4"/>
      <c r="BY6" s="4"/>
      <c r="BZ6" s="30">
        <f t="shared" si="6"/>
        <v>1</v>
      </c>
      <c r="CA6" s="30">
        <f t="shared" si="7"/>
        <v>0</v>
      </c>
      <c r="CB6" s="30">
        <f t="shared" si="8"/>
        <v>0</v>
      </c>
    </row>
    <row r="7" spans="1:80" ht="15.5" x14ac:dyDescent="0.35">
      <c r="A7" s="31" t="s">
        <v>36</v>
      </c>
      <c r="B7" s="56" t="s">
        <v>646</v>
      </c>
      <c r="C7" s="36" t="s">
        <v>259</v>
      </c>
      <c r="D7" s="127" t="s">
        <v>236</v>
      </c>
      <c r="E7" s="35" t="s">
        <v>6</v>
      </c>
      <c r="F7" s="3"/>
      <c r="G7" s="3">
        <v>2</v>
      </c>
      <c r="H7" s="3"/>
      <c r="I7" s="4"/>
      <c r="J7" s="5"/>
      <c r="K7" s="4"/>
      <c r="L7" s="5"/>
      <c r="M7" s="4"/>
      <c r="N7" s="5"/>
      <c r="O7" s="13"/>
      <c r="P7" s="13"/>
      <c r="Q7" s="14"/>
      <c r="R7" s="13"/>
      <c r="S7" s="13"/>
      <c r="T7" s="14"/>
      <c r="U7" s="4"/>
      <c r="V7" s="4">
        <v>1</v>
      </c>
      <c r="W7" s="5"/>
      <c r="X7" s="30">
        <f t="shared" si="0"/>
        <v>0</v>
      </c>
      <c r="Y7" s="30">
        <f t="shared" si="1"/>
        <v>3</v>
      </c>
      <c r="Z7" s="30">
        <f t="shared" si="2"/>
        <v>0</v>
      </c>
      <c r="AB7" s="31" t="s">
        <v>29</v>
      </c>
      <c r="AC7" s="56" t="s">
        <v>638</v>
      </c>
      <c r="AD7" s="66" t="s">
        <v>253</v>
      </c>
      <c r="AE7" s="127" t="s">
        <v>231</v>
      </c>
      <c r="AF7" s="35" t="s">
        <v>6</v>
      </c>
      <c r="AG7" s="3"/>
      <c r="AH7" s="3"/>
      <c r="AI7" s="3"/>
      <c r="AJ7" s="4"/>
      <c r="AK7" s="4"/>
      <c r="AL7" s="5"/>
      <c r="AM7" s="4"/>
      <c r="AN7" s="4"/>
      <c r="AO7" s="4"/>
      <c r="AP7" s="13"/>
      <c r="AQ7" s="4"/>
      <c r="AR7" s="4"/>
      <c r="AS7" s="4">
        <v>1</v>
      </c>
      <c r="AT7" s="4"/>
      <c r="AU7" s="4"/>
      <c r="AV7" s="4"/>
      <c r="AW7" s="4"/>
      <c r="AX7" s="4"/>
      <c r="AY7" s="30">
        <f t="shared" si="3"/>
        <v>1</v>
      </c>
      <c r="AZ7" s="30">
        <f t="shared" si="4"/>
        <v>0</v>
      </c>
      <c r="BA7" s="30">
        <f t="shared" si="5"/>
        <v>0</v>
      </c>
      <c r="BC7" s="31" t="s">
        <v>35</v>
      </c>
      <c r="BD7" s="56" t="s">
        <v>645</v>
      </c>
      <c r="BE7" s="36" t="s">
        <v>258</v>
      </c>
      <c r="BF7" s="127" t="s">
        <v>236</v>
      </c>
      <c r="BG7" s="35" t="s">
        <v>6</v>
      </c>
      <c r="BH7" s="3"/>
      <c r="BI7" s="3"/>
      <c r="BJ7" s="3"/>
      <c r="BK7" s="4"/>
      <c r="BL7" s="5">
        <v>1</v>
      </c>
      <c r="BM7" s="5"/>
      <c r="BN7" s="4"/>
      <c r="BO7" s="5">
        <v>2</v>
      </c>
      <c r="BP7" s="4"/>
      <c r="BQ7" s="13"/>
      <c r="BR7" s="14">
        <v>1</v>
      </c>
      <c r="BS7" s="13"/>
      <c r="BT7" s="13"/>
      <c r="BU7" s="14">
        <v>1</v>
      </c>
      <c r="BV7" s="13"/>
      <c r="BW7" s="4"/>
      <c r="BX7" s="5"/>
      <c r="BY7" s="4"/>
      <c r="BZ7" s="30">
        <f t="shared" si="6"/>
        <v>0</v>
      </c>
      <c r="CA7" s="30">
        <f t="shared" si="7"/>
        <v>5</v>
      </c>
      <c r="CB7" s="30">
        <f t="shared" si="8"/>
        <v>0</v>
      </c>
    </row>
    <row r="8" spans="1:80" ht="15.5" x14ac:dyDescent="0.35">
      <c r="A8" s="31" t="s">
        <v>37</v>
      </c>
      <c r="B8" s="56" t="s">
        <v>647</v>
      </c>
      <c r="C8" s="43" t="s">
        <v>260</v>
      </c>
      <c r="D8" s="127" t="s">
        <v>236</v>
      </c>
      <c r="E8" s="35" t="s">
        <v>6</v>
      </c>
      <c r="F8" s="3"/>
      <c r="G8" s="3"/>
      <c r="H8" s="3"/>
      <c r="I8" s="4"/>
      <c r="J8" s="5">
        <v>4</v>
      </c>
      <c r="K8" s="5"/>
      <c r="L8" s="4"/>
      <c r="M8" s="4">
        <v>2</v>
      </c>
      <c r="N8" s="5"/>
      <c r="O8" s="13"/>
      <c r="P8" s="13"/>
      <c r="Q8" s="13"/>
      <c r="R8" s="13"/>
      <c r="S8" s="13">
        <v>1</v>
      </c>
      <c r="T8" s="13"/>
      <c r="U8" s="4"/>
      <c r="V8" s="4"/>
      <c r="W8" s="4"/>
      <c r="X8" s="30">
        <f t="shared" si="0"/>
        <v>0</v>
      </c>
      <c r="Y8" s="30">
        <f t="shared" si="1"/>
        <v>7</v>
      </c>
      <c r="Z8" s="30">
        <f t="shared" si="2"/>
        <v>0</v>
      </c>
      <c r="AB8" s="31" t="s">
        <v>31</v>
      </c>
      <c r="AC8" s="56" t="s">
        <v>640</v>
      </c>
      <c r="AD8" s="36" t="s">
        <v>255</v>
      </c>
      <c r="AE8" s="127" t="s">
        <v>231</v>
      </c>
      <c r="AF8" s="35" t="s">
        <v>8</v>
      </c>
      <c r="AG8" s="3"/>
      <c r="AH8" s="3"/>
      <c r="AI8" s="3"/>
      <c r="AJ8" s="4">
        <v>1</v>
      </c>
      <c r="AK8" s="5"/>
      <c r="AL8" s="4">
        <v>1</v>
      </c>
      <c r="AM8" s="4"/>
      <c r="AN8" s="4"/>
      <c r="AO8" s="5">
        <v>2</v>
      </c>
      <c r="AP8" s="13"/>
      <c r="AQ8" s="4"/>
      <c r="AR8" s="5">
        <v>1</v>
      </c>
      <c r="AS8" s="4"/>
      <c r="AT8" s="4"/>
      <c r="AU8" s="5">
        <v>3</v>
      </c>
      <c r="AV8" s="4"/>
      <c r="AW8" s="4"/>
      <c r="AX8" s="5"/>
      <c r="AY8" s="30">
        <f t="shared" si="3"/>
        <v>1</v>
      </c>
      <c r="AZ8" s="30">
        <f t="shared" si="4"/>
        <v>0</v>
      </c>
      <c r="BA8" s="30">
        <f t="shared" si="5"/>
        <v>7</v>
      </c>
      <c r="BC8" s="31" t="s">
        <v>36</v>
      </c>
      <c r="BD8" s="56" t="s">
        <v>646</v>
      </c>
      <c r="BE8" s="36" t="s">
        <v>259</v>
      </c>
      <c r="BF8" s="127" t="s">
        <v>236</v>
      </c>
      <c r="BG8" s="35" t="s">
        <v>6</v>
      </c>
      <c r="BH8" s="3"/>
      <c r="BI8" s="3">
        <v>2</v>
      </c>
      <c r="BJ8" s="3"/>
      <c r="BK8" s="4"/>
      <c r="BL8" s="5"/>
      <c r="BM8" s="4"/>
      <c r="BN8" s="5"/>
      <c r="BO8" s="4"/>
      <c r="BP8" s="5"/>
      <c r="BQ8" s="13"/>
      <c r="BR8" s="13"/>
      <c r="BS8" s="14"/>
      <c r="BT8" s="13"/>
      <c r="BU8" s="13"/>
      <c r="BV8" s="14"/>
      <c r="BW8" s="4"/>
      <c r="BX8" s="4">
        <v>1</v>
      </c>
      <c r="BY8" s="5"/>
      <c r="BZ8" s="30">
        <f t="shared" si="6"/>
        <v>0</v>
      </c>
      <c r="CA8" s="30">
        <f t="shared" si="7"/>
        <v>3</v>
      </c>
      <c r="CB8" s="30">
        <f t="shared" si="8"/>
        <v>0</v>
      </c>
    </row>
    <row r="9" spans="1:80" ht="15.5" x14ac:dyDescent="0.35">
      <c r="A9" s="31" t="s">
        <v>38</v>
      </c>
      <c r="B9" s="56" t="s">
        <v>648</v>
      </c>
      <c r="C9" s="43" t="s">
        <v>261</v>
      </c>
      <c r="D9" s="127" t="s">
        <v>236</v>
      </c>
      <c r="E9" s="35" t="s">
        <v>6</v>
      </c>
      <c r="F9" s="3"/>
      <c r="G9" s="3"/>
      <c r="H9" s="3"/>
      <c r="I9" s="4"/>
      <c r="J9" s="5">
        <v>1</v>
      </c>
      <c r="K9" s="4"/>
      <c r="L9" s="4"/>
      <c r="M9" s="4">
        <v>1</v>
      </c>
      <c r="N9" s="4"/>
      <c r="O9" s="13"/>
      <c r="P9" s="14"/>
      <c r="Q9" s="13"/>
      <c r="R9" s="13"/>
      <c r="S9" s="14"/>
      <c r="T9" s="13"/>
      <c r="U9" s="4"/>
      <c r="V9" s="5"/>
      <c r="W9" s="4"/>
      <c r="X9" s="30">
        <f t="shared" si="0"/>
        <v>0</v>
      </c>
      <c r="Y9" s="30">
        <f t="shared" si="1"/>
        <v>2</v>
      </c>
      <c r="Z9" s="30">
        <f t="shared" si="2"/>
        <v>0</v>
      </c>
      <c r="AB9" s="31" t="s">
        <v>33</v>
      </c>
      <c r="AC9" s="56" t="s">
        <v>642</v>
      </c>
      <c r="AD9" s="36" t="s">
        <v>257</v>
      </c>
      <c r="AE9" s="127" t="s">
        <v>231</v>
      </c>
      <c r="AF9" s="35" t="s">
        <v>8</v>
      </c>
      <c r="AG9" s="3"/>
      <c r="AH9" s="3"/>
      <c r="AI9" s="3"/>
      <c r="AJ9" s="4">
        <v>1</v>
      </c>
      <c r="AK9" s="4"/>
      <c r="AL9" s="4"/>
      <c r="AM9" s="4"/>
      <c r="AN9" s="4"/>
      <c r="AO9" s="4">
        <v>1</v>
      </c>
      <c r="AP9" s="13"/>
      <c r="AQ9" s="4"/>
      <c r="AR9" s="4">
        <v>1</v>
      </c>
      <c r="AS9" s="4">
        <v>1</v>
      </c>
      <c r="AT9" s="4"/>
      <c r="AU9" s="4">
        <v>1</v>
      </c>
      <c r="AV9" s="4"/>
      <c r="AW9" s="4"/>
      <c r="AX9" s="4"/>
      <c r="AY9" s="30">
        <f t="shared" si="3"/>
        <v>2</v>
      </c>
      <c r="AZ9" s="30">
        <f t="shared" si="4"/>
        <v>0</v>
      </c>
      <c r="BA9" s="30">
        <f t="shared" si="5"/>
        <v>3</v>
      </c>
      <c r="BC9" s="31" t="s">
        <v>37</v>
      </c>
      <c r="BD9" s="56" t="s">
        <v>647</v>
      </c>
      <c r="BE9" s="43" t="s">
        <v>260</v>
      </c>
      <c r="BF9" s="127" t="s">
        <v>236</v>
      </c>
      <c r="BG9" s="35" t="s">
        <v>6</v>
      </c>
      <c r="BH9" s="3"/>
      <c r="BI9" s="3"/>
      <c r="BJ9" s="3"/>
      <c r="BK9" s="4"/>
      <c r="BL9" s="5">
        <v>4</v>
      </c>
      <c r="BM9" s="5"/>
      <c r="BN9" s="4"/>
      <c r="BO9" s="4">
        <v>2</v>
      </c>
      <c r="BP9" s="5"/>
      <c r="BQ9" s="13"/>
      <c r="BR9" s="13"/>
      <c r="BS9" s="13"/>
      <c r="BT9" s="13"/>
      <c r="BU9" s="13">
        <v>1</v>
      </c>
      <c r="BV9" s="13"/>
      <c r="BW9" s="4"/>
      <c r="BX9" s="4"/>
      <c r="BY9" s="4"/>
      <c r="BZ9" s="30">
        <f t="shared" si="6"/>
        <v>0</v>
      </c>
      <c r="CA9" s="30">
        <f t="shared" si="7"/>
        <v>7</v>
      </c>
      <c r="CB9" s="30">
        <f t="shared" si="8"/>
        <v>0</v>
      </c>
    </row>
    <row r="10" spans="1:80" ht="15.5" x14ac:dyDescent="0.35">
      <c r="A10" s="31" t="s">
        <v>41</v>
      </c>
      <c r="B10" s="56" t="s">
        <v>651</v>
      </c>
      <c r="C10" s="43" t="s">
        <v>264</v>
      </c>
      <c r="D10" s="127" t="s">
        <v>236</v>
      </c>
      <c r="E10" s="35" t="s">
        <v>6</v>
      </c>
      <c r="F10" s="3"/>
      <c r="G10" s="3"/>
      <c r="H10" s="3"/>
      <c r="I10" s="4"/>
      <c r="J10" s="5">
        <v>1</v>
      </c>
      <c r="K10" s="5">
        <v>2</v>
      </c>
      <c r="L10" s="4"/>
      <c r="M10" s="4"/>
      <c r="N10" s="4"/>
      <c r="O10" s="13"/>
      <c r="P10" s="14"/>
      <c r="Q10" s="14"/>
      <c r="R10" s="13"/>
      <c r="S10" s="14"/>
      <c r="T10" s="14"/>
      <c r="U10" s="4"/>
      <c r="V10" s="5"/>
      <c r="W10" s="5"/>
      <c r="X10" s="30">
        <f t="shared" si="0"/>
        <v>0</v>
      </c>
      <c r="Y10" s="30">
        <f t="shared" si="1"/>
        <v>1</v>
      </c>
      <c r="Z10" s="30">
        <f t="shared" si="2"/>
        <v>2</v>
      </c>
      <c r="AB10" s="31" t="s">
        <v>42</v>
      </c>
      <c r="AC10" s="56" t="s">
        <v>652</v>
      </c>
      <c r="AD10" s="36" t="s">
        <v>653</v>
      </c>
      <c r="AE10" s="127" t="s">
        <v>236</v>
      </c>
      <c r="AF10" s="35" t="s">
        <v>6</v>
      </c>
      <c r="AG10" s="3"/>
      <c r="AH10" s="3"/>
      <c r="AI10" s="3"/>
      <c r="AJ10" s="4"/>
      <c r="AK10" s="5"/>
      <c r="AL10" s="5"/>
      <c r="AM10" s="4"/>
      <c r="AN10" s="4"/>
      <c r="AO10" s="4"/>
      <c r="AP10" s="13"/>
      <c r="AQ10" s="14"/>
      <c r="AR10" s="14"/>
      <c r="AS10" s="13"/>
      <c r="AT10" s="14"/>
      <c r="AU10" s="14"/>
      <c r="AV10" s="4"/>
      <c r="AW10" s="5"/>
      <c r="AX10" s="5"/>
      <c r="AY10" s="30">
        <f t="shared" si="3"/>
        <v>0</v>
      </c>
      <c r="AZ10" s="30">
        <f t="shared" si="4"/>
        <v>0</v>
      </c>
      <c r="BA10" s="30">
        <f t="shared" si="5"/>
        <v>0</v>
      </c>
      <c r="BC10" s="31" t="s">
        <v>38</v>
      </c>
      <c r="BD10" s="56" t="s">
        <v>648</v>
      </c>
      <c r="BE10" s="43" t="s">
        <v>261</v>
      </c>
      <c r="BF10" s="127" t="s">
        <v>236</v>
      </c>
      <c r="BG10" s="35" t="s">
        <v>6</v>
      </c>
      <c r="BH10" s="3"/>
      <c r="BI10" s="3"/>
      <c r="BJ10" s="3"/>
      <c r="BK10" s="4"/>
      <c r="BL10" s="5">
        <v>1</v>
      </c>
      <c r="BM10" s="4"/>
      <c r="BN10" s="4"/>
      <c r="BO10" s="4">
        <v>1</v>
      </c>
      <c r="BP10" s="4"/>
      <c r="BQ10" s="13"/>
      <c r="BR10" s="14"/>
      <c r="BS10" s="13"/>
      <c r="BT10" s="13"/>
      <c r="BU10" s="14"/>
      <c r="BV10" s="13"/>
      <c r="BW10" s="4"/>
      <c r="BX10" s="5"/>
      <c r="BY10" s="4"/>
      <c r="BZ10" s="30">
        <f t="shared" si="6"/>
        <v>0</v>
      </c>
      <c r="CA10" s="30">
        <f t="shared" si="7"/>
        <v>2</v>
      </c>
      <c r="CB10" s="30">
        <f t="shared" si="8"/>
        <v>0</v>
      </c>
    </row>
    <row r="11" spans="1:80" ht="15.5" x14ac:dyDescent="0.35">
      <c r="A11" s="31" t="s">
        <v>42</v>
      </c>
      <c r="B11" s="56" t="s">
        <v>652</v>
      </c>
      <c r="C11" s="36" t="s">
        <v>653</v>
      </c>
      <c r="D11" s="127" t="s">
        <v>236</v>
      </c>
      <c r="E11" s="35" t="s">
        <v>6</v>
      </c>
      <c r="F11" s="3"/>
      <c r="G11" s="3"/>
      <c r="H11" s="3"/>
      <c r="I11" s="4"/>
      <c r="J11" s="5"/>
      <c r="K11" s="5"/>
      <c r="L11" s="4"/>
      <c r="M11" s="4"/>
      <c r="N11" s="4"/>
      <c r="O11" s="13"/>
      <c r="P11" s="14"/>
      <c r="Q11" s="14"/>
      <c r="R11" s="13"/>
      <c r="S11" s="14"/>
      <c r="T11" s="14"/>
      <c r="U11" s="4"/>
      <c r="V11" s="5"/>
      <c r="W11" s="5"/>
      <c r="X11" s="30">
        <f t="shared" si="0"/>
        <v>0</v>
      </c>
      <c r="Y11" s="30">
        <f t="shared" si="1"/>
        <v>0</v>
      </c>
      <c r="Z11" s="30">
        <f t="shared" si="2"/>
        <v>0</v>
      </c>
      <c r="AB11" s="31" t="s">
        <v>46</v>
      </c>
      <c r="AC11" s="56" t="s">
        <v>658</v>
      </c>
      <c r="AD11" s="43" t="s">
        <v>267</v>
      </c>
      <c r="AE11" s="127" t="s">
        <v>236</v>
      </c>
      <c r="AF11" s="35" t="s">
        <v>6</v>
      </c>
      <c r="AG11" s="3"/>
      <c r="AH11" s="4"/>
      <c r="AI11" s="3"/>
      <c r="AJ11" s="5"/>
      <c r="AK11" s="4"/>
      <c r="AL11" s="5"/>
      <c r="AM11" s="4"/>
      <c r="AN11" s="4"/>
      <c r="AO11" s="4"/>
      <c r="AP11" s="13"/>
      <c r="AQ11" s="14"/>
      <c r="AR11" s="13"/>
      <c r="AS11" s="13"/>
      <c r="AT11" s="14"/>
      <c r="AU11" s="13"/>
      <c r="AV11" s="4"/>
      <c r="AW11" s="5"/>
      <c r="AX11" s="4"/>
      <c r="AY11" s="30">
        <f t="shared" si="3"/>
        <v>0</v>
      </c>
      <c r="AZ11" s="30">
        <f t="shared" si="4"/>
        <v>0</v>
      </c>
      <c r="BA11" s="30">
        <f t="shared" si="5"/>
        <v>0</v>
      </c>
      <c r="BC11" s="31" t="s">
        <v>40</v>
      </c>
      <c r="BD11" s="56" t="s">
        <v>650</v>
      </c>
      <c r="BE11" s="43" t="s">
        <v>263</v>
      </c>
      <c r="BF11" s="127" t="s">
        <v>236</v>
      </c>
      <c r="BG11" s="35" t="s">
        <v>6</v>
      </c>
      <c r="BH11" s="3"/>
      <c r="BI11" s="3"/>
      <c r="BJ11" s="3"/>
      <c r="BK11" s="4">
        <v>1</v>
      </c>
      <c r="BL11" s="5"/>
      <c r="BM11" s="5"/>
      <c r="BN11" s="4"/>
      <c r="BO11" s="5">
        <v>1</v>
      </c>
      <c r="BP11" s="5"/>
      <c r="BQ11" s="13"/>
      <c r="BR11" s="14"/>
      <c r="BS11" s="14"/>
      <c r="BT11" s="13">
        <v>1</v>
      </c>
      <c r="BU11" s="14">
        <v>1</v>
      </c>
      <c r="BV11" s="14"/>
      <c r="BW11" s="4"/>
      <c r="BX11" s="5">
        <v>1</v>
      </c>
      <c r="BY11" s="5"/>
      <c r="BZ11" s="30">
        <f t="shared" si="6"/>
        <v>2</v>
      </c>
      <c r="CA11" s="30">
        <f t="shared" si="7"/>
        <v>3</v>
      </c>
      <c r="CB11" s="30">
        <f t="shared" si="8"/>
        <v>0</v>
      </c>
    </row>
    <row r="12" spans="1:80" ht="15.5" x14ac:dyDescent="0.35">
      <c r="A12" s="31" t="s">
        <v>43</v>
      </c>
      <c r="B12" s="56" t="s">
        <v>654</v>
      </c>
      <c r="C12" s="43" t="s">
        <v>265</v>
      </c>
      <c r="D12" s="127" t="s">
        <v>236</v>
      </c>
      <c r="E12" s="35" t="s">
        <v>6</v>
      </c>
      <c r="F12" s="3"/>
      <c r="G12" s="3"/>
      <c r="H12" s="6"/>
      <c r="I12" s="4"/>
      <c r="J12" s="4"/>
      <c r="K12" s="5"/>
      <c r="L12" s="4"/>
      <c r="M12" s="4">
        <v>1</v>
      </c>
      <c r="N12" s="4">
        <v>1</v>
      </c>
      <c r="O12" s="13"/>
      <c r="P12" s="14"/>
      <c r="Q12" s="13"/>
      <c r="R12" s="13"/>
      <c r="S12" s="14">
        <v>1</v>
      </c>
      <c r="T12" s="13"/>
      <c r="U12" s="4"/>
      <c r="V12" s="5"/>
      <c r="W12" s="4">
        <v>1</v>
      </c>
      <c r="X12" s="30">
        <f t="shared" si="0"/>
        <v>0</v>
      </c>
      <c r="Y12" s="30">
        <f t="shared" si="1"/>
        <v>2</v>
      </c>
      <c r="Z12" s="30">
        <f t="shared" si="2"/>
        <v>2</v>
      </c>
      <c r="AB12" s="31" t="s">
        <v>47</v>
      </c>
      <c r="AC12" s="56" t="s">
        <v>659</v>
      </c>
      <c r="AD12" s="43" t="s">
        <v>268</v>
      </c>
      <c r="AE12" s="127" t="s">
        <v>236</v>
      </c>
      <c r="AF12" s="35" t="s">
        <v>6</v>
      </c>
      <c r="AG12" s="3"/>
      <c r="AH12" s="4"/>
      <c r="AI12" s="3"/>
      <c r="AJ12" s="5"/>
      <c r="AK12" s="4"/>
      <c r="AL12" s="5"/>
      <c r="AM12" s="4"/>
      <c r="AN12" s="4"/>
      <c r="AO12" s="4"/>
      <c r="AP12" s="13"/>
      <c r="AQ12" s="14"/>
      <c r="AR12" s="13"/>
      <c r="AS12" s="13"/>
      <c r="AT12" s="14"/>
      <c r="AU12" s="13"/>
      <c r="AV12" s="4"/>
      <c r="AW12" s="5"/>
      <c r="AX12" s="4"/>
      <c r="AY12" s="30">
        <f t="shared" si="3"/>
        <v>0</v>
      </c>
      <c r="AZ12" s="30">
        <f t="shared" si="4"/>
        <v>0</v>
      </c>
      <c r="BA12" s="30">
        <f t="shared" si="5"/>
        <v>0</v>
      </c>
      <c r="BC12" s="31" t="s">
        <v>42</v>
      </c>
      <c r="BD12" s="56" t="s">
        <v>652</v>
      </c>
      <c r="BE12" s="36" t="s">
        <v>653</v>
      </c>
      <c r="BF12" s="127" t="s">
        <v>236</v>
      </c>
      <c r="BG12" s="35" t="s">
        <v>6</v>
      </c>
      <c r="BH12" s="3"/>
      <c r="BI12" s="3"/>
      <c r="BJ12" s="3"/>
      <c r="BK12" s="4"/>
      <c r="BL12" s="5"/>
      <c r="BM12" s="5"/>
      <c r="BN12" s="4"/>
      <c r="BO12" s="4"/>
      <c r="BP12" s="4"/>
      <c r="BQ12" s="13"/>
      <c r="BR12" s="14"/>
      <c r="BS12" s="14"/>
      <c r="BT12" s="13"/>
      <c r="BU12" s="14"/>
      <c r="BV12" s="14"/>
      <c r="BW12" s="4"/>
      <c r="BX12" s="5"/>
      <c r="BY12" s="5"/>
      <c r="BZ12" s="30">
        <f t="shared" si="6"/>
        <v>0</v>
      </c>
      <c r="CA12" s="30">
        <f t="shared" si="7"/>
        <v>0</v>
      </c>
      <c r="CB12" s="30">
        <f t="shared" si="8"/>
        <v>0</v>
      </c>
    </row>
    <row r="13" spans="1:80" ht="15.5" x14ac:dyDescent="0.35">
      <c r="A13" s="31" t="s">
        <v>44</v>
      </c>
      <c r="B13" s="56" t="s">
        <v>655</v>
      </c>
      <c r="C13" s="43" t="s">
        <v>656</v>
      </c>
      <c r="D13" s="127" t="s">
        <v>236</v>
      </c>
      <c r="E13" s="35" t="s">
        <v>6</v>
      </c>
      <c r="F13" s="3"/>
      <c r="G13" s="3"/>
      <c r="H13" s="3"/>
      <c r="I13" s="4"/>
      <c r="J13" s="5"/>
      <c r="K13" s="4"/>
      <c r="L13" s="4"/>
      <c r="M13" s="4">
        <v>1</v>
      </c>
      <c r="N13" s="4"/>
      <c r="O13" s="13"/>
      <c r="P13" s="13"/>
      <c r="Q13" s="13">
        <v>1</v>
      </c>
      <c r="R13" s="13"/>
      <c r="S13" s="13"/>
      <c r="T13" s="13"/>
      <c r="U13" s="4"/>
      <c r="V13" s="4"/>
      <c r="W13" s="4"/>
      <c r="X13" s="30">
        <f t="shared" si="0"/>
        <v>0</v>
      </c>
      <c r="Y13" s="30">
        <f t="shared" si="1"/>
        <v>1</v>
      </c>
      <c r="Z13" s="30">
        <f t="shared" si="2"/>
        <v>1</v>
      </c>
      <c r="AB13" s="31" t="s">
        <v>51</v>
      </c>
      <c r="AC13" s="56" t="s">
        <v>664</v>
      </c>
      <c r="AD13" s="43" t="s">
        <v>271</v>
      </c>
      <c r="AE13" s="127" t="s">
        <v>236</v>
      </c>
      <c r="AF13" s="35" t="s">
        <v>6</v>
      </c>
      <c r="AG13" s="3"/>
      <c r="AH13" s="4"/>
      <c r="AI13" s="3"/>
      <c r="AJ13" s="5"/>
      <c r="AK13" s="4"/>
      <c r="AL13" s="5"/>
      <c r="AM13" s="4"/>
      <c r="AN13" s="4"/>
      <c r="AO13" s="4"/>
      <c r="AP13" s="13"/>
      <c r="AQ13" s="14"/>
      <c r="AR13" s="13"/>
      <c r="AS13" s="13"/>
      <c r="AT13" s="14"/>
      <c r="AU13" s="13"/>
      <c r="AV13" s="4"/>
      <c r="AW13" s="5"/>
      <c r="AX13" s="4"/>
      <c r="AY13" s="30">
        <f t="shared" si="3"/>
        <v>0</v>
      </c>
      <c r="AZ13" s="30">
        <f t="shared" si="4"/>
        <v>0</v>
      </c>
      <c r="BA13" s="30">
        <f t="shared" si="5"/>
        <v>0</v>
      </c>
      <c r="BC13" s="31" t="s">
        <v>46</v>
      </c>
      <c r="BD13" s="56" t="s">
        <v>658</v>
      </c>
      <c r="BE13" s="43" t="s">
        <v>267</v>
      </c>
      <c r="BF13" s="127" t="s">
        <v>236</v>
      </c>
      <c r="BG13" s="35" t="s">
        <v>6</v>
      </c>
      <c r="BH13" s="3"/>
      <c r="BI13" s="4"/>
      <c r="BJ13" s="3"/>
      <c r="BK13" s="5"/>
      <c r="BL13" s="4"/>
      <c r="BM13" s="5"/>
      <c r="BN13" s="4"/>
      <c r="BO13" s="4"/>
      <c r="BP13" s="4"/>
      <c r="BQ13" s="13"/>
      <c r="BR13" s="14"/>
      <c r="BS13" s="13"/>
      <c r="BT13" s="13"/>
      <c r="BU13" s="14"/>
      <c r="BV13" s="13"/>
      <c r="BW13" s="4"/>
      <c r="BX13" s="5"/>
      <c r="BY13" s="4"/>
      <c r="BZ13" s="30">
        <f t="shared" si="6"/>
        <v>0</v>
      </c>
      <c r="CA13" s="30">
        <f t="shared" si="7"/>
        <v>0</v>
      </c>
      <c r="CB13" s="30">
        <f t="shared" si="8"/>
        <v>0</v>
      </c>
    </row>
    <row r="14" spans="1:80" ht="15.5" x14ac:dyDescent="0.35">
      <c r="A14" s="31" t="s">
        <v>45</v>
      </c>
      <c r="B14" s="56" t="s">
        <v>657</v>
      </c>
      <c r="C14" s="43" t="s">
        <v>266</v>
      </c>
      <c r="D14" s="127" t="s">
        <v>236</v>
      </c>
      <c r="E14" s="35" t="s">
        <v>6</v>
      </c>
      <c r="F14" s="3"/>
      <c r="G14" s="4"/>
      <c r="H14" s="3"/>
      <c r="I14" s="5"/>
      <c r="J14" s="4"/>
      <c r="K14" s="5"/>
      <c r="L14" s="4"/>
      <c r="M14" s="4"/>
      <c r="N14" s="4"/>
      <c r="O14" s="13"/>
      <c r="P14" s="14"/>
      <c r="Q14" s="13"/>
      <c r="R14" s="13"/>
      <c r="S14" s="14">
        <v>1</v>
      </c>
      <c r="T14" s="13">
        <v>1</v>
      </c>
      <c r="U14" s="4"/>
      <c r="V14" s="5"/>
      <c r="W14" s="4"/>
      <c r="X14" s="30">
        <f t="shared" si="0"/>
        <v>0</v>
      </c>
      <c r="Y14" s="30">
        <f t="shared" si="1"/>
        <v>1</v>
      </c>
      <c r="Z14" s="30">
        <f t="shared" si="2"/>
        <v>1</v>
      </c>
      <c r="AB14" s="31" t="s">
        <v>125</v>
      </c>
      <c r="AC14" s="56" t="s">
        <v>668</v>
      </c>
      <c r="AD14" s="36" t="s">
        <v>275</v>
      </c>
      <c r="AE14" s="127" t="s">
        <v>236</v>
      </c>
      <c r="AF14" s="35" t="s">
        <v>6</v>
      </c>
      <c r="AG14" s="3"/>
      <c r="AH14" s="4"/>
      <c r="AI14" s="3"/>
      <c r="AJ14" s="5"/>
      <c r="AK14" s="4"/>
      <c r="AL14" s="5"/>
      <c r="AM14" s="4"/>
      <c r="AN14" s="4"/>
      <c r="AO14" s="4"/>
      <c r="AP14" s="13"/>
      <c r="AQ14" s="14"/>
      <c r="AR14" s="13"/>
      <c r="AS14" s="13"/>
      <c r="AT14" s="14"/>
      <c r="AU14" s="13"/>
      <c r="AV14" s="4"/>
      <c r="AW14" s="5"/>
      <c r="AX14" s="4">
        <v>1</v>
      </c>
      <c r="AY14" s="30">
        <f t="shared" si="3"/>
        <v>0</v>
      </c>
      <c r="AZ14" s="30">
        <f t="shared" si="4"/>
        <v>0</v>
      </c>
      <c r="BA14" s="30">
        <f t="shared" si="5"/>
        <v>1</v>
      </c>
      <c r="BC14" s="31" t="s">
        <v>47</v>
      </c>
      <c r="BD14" s="56" t="s">
        <v>659</v>
      </c>
      <c r="BE14" s="43" t="s">
        <v>268</v>
      </c>
      <c r="BF14" s="127" t="s">
        <v>236</v>
      </c>
      <c r="BG14" s="35" t="s">
        <v>6</v>
      </c>
      <c r="BH14" s="3"/>
      <c r="BI14" s="4"/>
      <c r="BJ14" s="3"/>
      <c r="BK14" s="5"/>
      <c r="BL14" s="4"/>
      <c r="BM14" s="5"/>
      <c r="BN14" s="4"/>
      <c r="BO14" s="4"/>
      <c r="BP14" s="4"/>
      <c r="BQ14" s="13"/>
      <c r="BR14" s="14"/>
      <c r="BS14" s="13"/>
      <c r="BT14" s="13"/>
      <c r="BU14" s="14"/>
      <c r="BV14" s="13"/>
      <c r="BW14" s="4"/>
      <c r="BX14" s="5"/>
      <c r="BY14" s="4"/>
      <c r="BZ14" s="30">
        <f t="shared" si="6"/>
        <v>0</v>
      </c>
      <c r="CA14" s="30">
        <f t="shared" si="7"/>
        <v>0</v>
      </c>
      <c r="CB14" s="30">
        <f t="shared" si="8"/>
        <v>0</v>
      </c>
    </row>
    <row r="15" spans="1:80" ht="15.5" x14ac:dyDescent="0.35">
      <c r="A15" s="31" t="s">
        <v>46</v>
      </c>
      <c r="B15" s="56" t="s">
        <v>658</v>
      </c>
      <c r="C15" s="43" t="s">
        <v>267</v>
      </c>
      <c r="D15" s="127" t="s">
        <v>236</v>
      </c>
      <c r="E15" s="35" t="s">
        <v>6</v>
      </c>
      <c r="F15" s="3"/>
      <c r="G15" s="4"/>
      <c r="H15" s="3"/>
      <c r="I15" s="5"/>
      <c r="J15" s="4"/>
      <c r="K15" s="5"/>
      <c r="L15" s="4"/>
      <c r="M15" s="4"/>
      <c r="N15" s="4"/>
      <c r="O15" s="13"/>
      <c r="P15" s="14"/>
      <c r="Q15" s="13"/>
      <c r="R15" s="13"/>
      <c r="S15" s="14"/>
      <c r="T15" s="13"/>
      <c r="U15" s="4"/>
      <c r="V15" s="5"/>
      <c r="W15" s="4"/>
      <c r="X15" s="30">
        <f t="shared" si="0"/>
        <v>0</v>
      </c>
      <c r="Y15" s="30">
        <f t="shared" si="1"/>
        <v>0</v>
      </c>
      <c r="Z15" s="30">
        <f t="shared" si="2"/>
        <v>0</v>
      </c>
      <c r="AB15" s="31" t="s">
        <v>894</v>
      </c>
      <c r="AC15" s="56" t="s">
        <v>673</v>
      </c>
      <c r="AD15" s="36" t="s">
        <v>280</v>
      </c>
      <c r="AE15" s="127" t="s">
        <v>236</v>
      </c>
      <c r="AF15" s="35" t="s">
        <v>6</v>
      </c>
      <c r="AG15" s="3"/>
      <c r="AH15" s="4"/>
      <c r="AI15" s="3"/>
      <c r="AJ15" s="5"/>
      <c r="AK15" s="4"/>
      <c r="AL15" s="5"/>
      <c r="AM15" s="4"/>
      <c r="AN15" s="4"/>
      <c r="AO15" s="4"/>
      <c r="AP15" s="13"/>
      <c r="AQ15" s="14"/>
      <c r="AR15" s="13"/>
      <c r="AS15" s="13"/>
      <c r="AT15" s="14"/>
      <c r="AU15" s="13"/>
      <c r="AV15" s="4"/>
      <c r="AW15" s="5"/>
      <c r="AX15" s="4"/>
      <c r="AY15" s="30">
        <f t="shared" si="3"/>
        <v>0</v>
      </c>
      <c r="AZ15" s="30">
        <f t="shared" si="4"/>
        <v>0</v>
      </c>
      <c r="BA15" s="30">
        <f t="shared" si="5"/>
        <v>0</v>
      </c>
      <c r="BC15" s="31" t="s">
        <v>48</v>
      </c>
      <c r="BD15" s="56" t="s">
        <v>660</v>
      </c>
      <c r="BE15" s="36" t="s">
        <v>661</v>
      </c>
      <c r="BF15" s="127" t="s">
        <v>236</v>
      </c>
      <c r="BG15" s="35" t="s">
        <v>6</v>
      </c>
      <c r="BH15" s="3"/>
      <c r="BI15" s="4"/>
      <c r="BJ15" s="3"/>
      <c r="BK15" s="5"/>
      <c r="BL15" s="4"/>
      <c r="BM15" s="5"/>
      <c r="BN15" s="4"/>
      <c r="BO15" s="4">
        <v>2</v>
      </c>
      <c r="BP15" s="4"/>
      <c r="BQ15" s="13"/>
      <c r="BR15" s="14"/>
      <c r="BS15" s="13"/>
      <c r="BT15" s="13"/>
      <c r="BU15" s="14"/>
      <c r="BV15" s="13"/>
      <c r="BW15" s="4"/>
      <c r="BX15" s="5"/>
      <c r="BY15" s="4"/>
      <c r="BZ15" s="30">
        <f t="shared" si="6"/>
        <v>0</v>
      </c>
      <c r="CA15" s="30">
        <f t="shared" si="7"/>
        <v>2</v>
      </c>
      <c r="CB15" s="30">
        <f t="shared" si="8"/>
        <v>0</v>
      </c>
    </row>
    <row r="16" spans="1:80" ht="15.5" x14ac:dyDescent="0.35">
      <c r="A16" s="31" t="s">
        <v>47</v>
      </c>
      <c r="B16" s="56" t="s">
        <v>659</v>
      </c>
      <c r="C16" s="43" t="s">
        <v>268</v>
      </c>
      <c r="D16" s="127" t="s">
        <v>236</v>
      </c>
      <c r="E16" s="35" t="s">
        <v>6</v>
      </c>
      <c r="F16" s="3"/>
      <c r="G16" s="4"/>
      <c r="H16" s="3"/>
      <c r="I16" s="5"/>
      <c r="J16" s="4"/>
      <c r="K16" s="5"/>
      <c r="L16" s="4"/>
      <c r="M16" s="4"/>
      <c r="N16" s="4"/>
      <c r="O16" s="13"/>
      <c r="P16" s="14"/>
      <c r="Q16" s="13"/>
      <c r="R16" s="13"/>
      <c r="S16" s="14"/>
      <c r="T16" s="13"/>
      <c r="U16" s="4"/>
      <c r="V16" s="5"/>
      <c r="W16" s="4"/>
      <c r="X16" s="30">
        <f t="shared" si="0"/>
        <v>0</v>
      </c>
      <c r="Y16" s="30">
        <f t="shared" si="1"/>
        <v>0</v>
      </c>
      <c r="Z16" s="30">
        <f t="shared" si="2"/>
        <v>0</v>
      </c>
      <c r="AB16" s="31" t="s">
        <v>904</v>
      </c>
      <c r="AC16" s="56" t="s">
        <v>681</v>
      </c>
      <c r="AD16" s="36" t="s">
        <v>285</v>
      </c>
      <c r="AE16" s="127" t="s">
        <v>237</v>
      </c>
      <c r="AF16" s="35" t="s">
        <v>6</v>
      </c>
      <c r="AG16" s="3"/>
      <c r="AH16" s="3"/>
      <c r="AI16" s="3"/>
      <c r="AJ16" s="5"/>
      <c r="AK16" s="5"/>
      <c r="AL16" s="4"/>
      <c r="AM16" s="4"/>
      <c r="AN16" s="5"/>
      <c r="AO16" s="4"/>
      <c r="AP16" s="13"/>
      <c r="AQ16" s="5"/>
      <c r="AR16" s="4"/>
      <c r="AS16" s="13"/>
      <c r="AT16" s="14"/>
      <c r="AU16" s="13"/>
      <c r="AV16" s="4"/>
      <c r="AW16" s="5"/>
      <c r="AX16" s="4"/>
      <c r="AY16" s="30">
        <f t="shared" si="3"/>
        <v>0</v>
      </c>
      <c r="AZ16" s="30">
        <f t="shared" si="4"/>
        <v>0</v>
      </c>
      <c r="BA16" s="30">
        <f t="shared" si="5"/>
        <v>0</v>
      </c>
      <c r="BC16" s="31" t="s">
        <v>49</v>
      </c>
      <c r="BD16" s="56" t="s">
        <v>662</v>
      </c>
      <c r="BE16" s="45" t="s">
        <v>269</v>
      </c>
      <c r="BF16" s="127" t="s">
        <v>236</v>
      </c>
      <c r="BG16" s="35" t="s">
        <v>6</v>
      </c>
      <c r="BH16" s="3"/>
      <c r="BI16" s="4"/>
      <c r="BJ16" s="3"/>
      <c r="BK16" s="5"/>
      <c r="BL16" s="4">
        <v>2</v>
      </c>
      <c r="BM16" s="5"/>
      <c r="BN16" s="4"/>
      <c r="BO16" s="4">
        <v>2</v>
      </c>
      <c r="BP16" s="4"/>
      <c r="BQ16" s="13"/>
      <c r="BR16" s="14"/>
      <c r="BS16" s="13"/>
      <c r="BT16" s="13"/>
      <c r="BU16" s="14">
        <v>1</v>
      </c>
      <c r="BV16" s="13"/>
      <c r="BW16" s="4"/>
      <c r="BX16" s="5"/>
      <c r="BY16" s="4"/>
      <c r="BZ16" s="30">
        <f t="shared" si="6"/>
        <v>0</v>
      </c>
      <c r="CA16" s="30">
        <f t="shared" si="7"/>
        <v>5</v>
      </c>
      <c r="CB16" s="30">
        <f t="shared" si="8"/>
        <v>0</v>
      </c>
    </row>
    <row r="17" spans="1:80" ht="15.5" x14ac:dyDescent="0.35">
      <c r="A17" s="31" t="s">
        <v>48</v>
      </c>
      <c r="B17" s="56" t="s">
        <v>660</v>
      </c>
      <c r="C17" s="36" t="s">
        <v>661</v>
      </c>
      <c r="D17" s="127" t="s">
        <v>236</v>
      </c>
      <c r="E17" s="35" t="s">
        <v>6</v>
      </c>
      <c r="F17" s="3"/>
      <c r="G17" s="4"/>
      <c r="H17" s="3"/>
      <c r="I17" s="5"/>
      <c r="J17" s="4"/>
      <c r="K17" s="5"/>
      <c r="L17" s="4"/>
      <c r="M17" s="4">
        <v>2</v>
      </c>
      <c r="N17" s="4"/>
      <c r="O17" s="13"/>
      <c r="P17" s="14"/>
      <c r="Q17" s="13"/>
      <c r="R17" s="13"/>
      <c r="S17" s="14"/>
      <c r="T17" s="13"/>
      <c r="U17" s="4"/>
      <c r="V17" s="5"/>
      <c r="W17" s="4"/>
      <c r="X17" s="30">
        <f t="shared" si="0"/>
        <v>0</v>
      </c>
      <c r="Y17" s="30">
        <f t="shared" si="1"/>
        <v>2</v>
      </c>
      <c r="Z17" s="30">
        <f t="shared" si="2"/>
        <v>0</v>
      </c>
      <c r="AB17" s="31" t="s">
        <v>923</v>
      </c>
      <c r="AC17" s="56" t="s">
        <v>702</v>
      </c>
      <c r="AD17" s="36" t="s">
        <v>303</v>
      </c>
      <c r="AE17" s="127" t="s">
        <v>237</v>
      </c>
      <c r="AF17" s="35" t="s">
        <v>6</v>
      </c>
      <c r="AG17" s="3"/>
      <c r="AH17" s="3"/>
      <c r="AI17" s="3"/>
      <c r="AJ17" s="5"/>
      <c r="AK17" s="5"/>
      <c r="AL17" s="4"/>
      <c r="AM17" s="4"/>
      <c r="AN17" s="5"/>
      <c r="AO17" s="4"/>
      <c r="AP17" s="13"/>
      <c r="AQ17" s="5"/>
      <c r="AR17" s="4"/>
      <c r="AS17" s="13"/>
      <c r="AT17" s="14"/>
      <c r="AU17" s="13"/>
      <c r="AV17" s="4"/>
      <c r="AW17" s="5"/>
      <c r="AX17" s="4"/>
      <c r="AY17" s="30">
        <f t="shared" si="3"/>
        <v>0</v>
      </c>
      <c r="AZ17" s="30">
        <f t="shared" si="4"/>
        <v>0</v>
      </c>
      <c r="BA17" s="30">
        <f t="shared" si="5"/>
        <v>0</v>
      </c>
      <c r="BC17" s="31" t="s">
        <v>50</v>
      </c>
      <c r="BD17" s="56" t="s">
        <v>663</v>
      </c>
      <c r="BE17" s="43" t="s">
        <v>270</v>
      </c>
      <c r="BF17" s="127" t="s">
        <v>236</v>
      </c>
      <c r="BG17" s="35" t="s">
        <v>6</v>
      </c>
      <c r="BH17" s="3"/>
      <c r="BI17" s="4"/>
      <c r="BJ17" s="3"/>
      <c r="BK17" s="5"/>
      <c r="BL17" s="4">
        <v>1</v>
      </c>
      <c r="BM17" s="5"/>
      <c r="BN17" s="4"/>
      <c r="BO17" s="4"/>
      <c r="BP17" s="4"/>
      <c r="BQ17" s="13"/>
      <c r="BR17" s="14"/>
      <c r="BS17" s="13"/>
      <c r="BT17" s="13"/>
      <c r="BU17" s="14"/>
      <c r="BV17" s="13"/>
      <c r="BW17" s="4"/>
      <c r="BX17" s="5"/>
      <c r="BY17" s="4"/>
      <c r="BZ17" s="30">
        <f t="shared" si="6"/>
        <v>0</v>
      </c>
      <c r="CA17" s="30">
        <f t="shared" si="7"/>
        <v>1</v>
      </c>
      <c r="CB17" s="30">
        <f t="shared" si="8"/>
        <v>0</v>
      </c>
    </row>
    <row r="18" spans="1:80" ht="15.5" x14ac:dyDescent="0.35">
      <c r="A18" s="31" t="s">
        <v>49</v>
      </c>
      <c r="B18" s="119" t="s">
        <v>662</v>
      </c>
      <c r="C18" s="149" t="s">
        <v>269</v>
      </c>
      <c r="D18" s="127" t="s">
        <v>236</v>
      </c>
      <c r="E18" s="127" t="s">
        <v>6</v>
      </c>
      <c r="F18" s="130"/>
      <c r="G18" s="108"/>
      <c r="H18" s="130"/>
      <c r="I18" s="113"/>
      <c r="J18" s="108">
        <v>2</v>
      </c>
      <c r="K18" s="113"/>
      <c r="L18" s="108"/>
      <c r="M18" s="108">
        <v>2</v>
      </c>
      <c r="N18" s="108"/>
      <c r="O18" s="122"/>
      <c r="P18" s="128"/>
      <c r="Q18" s="122"/>
      <c r="R18" s="122"/>
      <c r="S18" s="128">
        <v>1</v>
      </c>
      <c r="T18" s="122"/>
      <c r="U18" s="108"/>
      <c r="V18" s="113"/>
      <c r="W18" s="108"/>
      <c r="X18" s="109">
        <f t="shared" si="0"/>
        <v>0</v>
      </c>
      <c r="Y18" s="109">
        <f t="shared" si="1"/>
        <v>5</v>
      </c>
      <c r="Z18" s="109">
        <f t="shared" si="2"/>
        <v>0</v>
      </c>
      <c r="AB18" s="31" t="s">
        <v>930</v>
      </c>
      <c r="AC18" s="119" t="s">
        <v>709</v>
      </c>
      <c r="AD18" s="129" t="s">
        <v>311</v>
      </c>
      <c r="AE18" s="127" t="s">
        <v>237</v>
      </c>
      <c r="AF18" s="127" t="s">
        <v>6</v>
      </c>
      <c r="AG18" s="130"/>
      <c r="AH18" s="130"/>
      <c r="AI18" s="130"/>
      <c r="AJ18" s="108"/>
      <c r="AK18" s="113"/>
      <c r="AL18" s="113"/>
      <c r="AM18" s="108"/>
      <c r="AN18" s="113"/>
      <c r="AO18" s="113"/>
      <c r="AP18" s="122"/>
      <c r="AQ18" s="113"/>
      <c r="AR18" s="113"/>
      <c r="AS18" s="122"/>
      <c r="AT18" s="128"/>
      <c r="AU18" s="128"/>
      <c r="AV18" s="108"/>
      <c r="AW18" s="113"/>
      <c r="AX18" s="113"/>
      <c r="AY18" s="109">
        <f t="shared" si="3"/>
        <v>0</v>
      </c>
      <c r="AZ18" s="109">
        <f t="shared" si="4"/>
        <v>0</v>
      </c>
      <c r="BA18" s="109">
        <f t="shared" si="5"/>
        <v>0</v>
      </c>
      <c r="BC18" s="31" t="s">
        <v>51</v>
      </c>
      <c r="BD18" s="119" t="s">
        <v>664</v>
      </c>
      <c r="BE18" s="126" t="s">
        <v>271</v>
      </c>
      <c r="BF18" s="127" t="s">
        <v>236</v>
      </c>
      <c r="BG18" s="127" t="s">
        <v>6</v>
      </c>
      <c r="BH18" s="130"/>
      <c r="BI18" s="108"/>
      <c r="BJ18" s="130"/>
      <c r="BK18" s="113"/>
      <c r="BL18" s="108"/>
      <c r="BM18" s="113"/>
      <c r="BN18" s="108"/>
      <c r="BO18" s="108"/>
      <c r="BP18" s="108"/>
      <c r="BQ18" s="122"/>
      <c r="BR18" s="128"/>
      <c r="BS18" s="122"/>
      <c r="BT18" s="122"/>
      <c r="BU18" s="128"/>
      <c r="BV18" s="122"/>
      <c r="BW18" s="108"/>
      <c r="BX18" s="113"/>
      <c r="BY18" s="108"/>
      <c r="BZ18" s="109">
        <f t="shared" si="6"/>
        <v>0</v>
      </c>
      <c r="CA18" s="109">
        <f t="shared" si="7"/>
        <v>0</v>
      </c>
      <c r="CB18" s="109">
        <f t="shared" si="8"/>
        <v>0</v>
      </c>
    </row>
    <row r="19" spans="1:80" ht="15.5" x14ac:dyDescent="0.35">
      <c r="A19" s="31" t="s">
        <v>50</v>
      </c>
      <c r="B19" s="56" t="s">
        <v>663</v>
      </c>
      <c r="C19" s="43" t="s">
        <v>270</v>
      </c>
      <c r="D19" s="127" t="s">
        <v>236</v>
      </c>
      <c r="E19" s="35" t="s">
        <v>6</v>
      </c>
      <c r="F19" s="3"/>
      <c r="G19" s="4"/>
      <c r="H19" s="3"/>
      <c r="I19" s="5"/>
      <c r="J19" s="4">
        <v>1</v>
      </c>
      <c r="K19" s="5"/>
      <c r="L19" s="4"/>
      <c r="M19" s="4"/>
      <c r="N19" s="4"/>
      <c r="O19" s="13"/>
      <c r="P19" s="14"/>
      <c r="Q19" s="13"/>
      <c r="R19" s="13"/>
      <c r="S19" s="14"/>
      <c r="T19" s="13"/>
      <c r="U19" s="4"/>
      <c r="V19" s="5"/>
      <c r="W19" s="4"/>
      <c r="X19" s="30">
        <f t="shared" si="0"/>
        <v>0</v>
      </c>
      <c r="Y19" s="30">
        <f t="shared" si="1"/>
        <v>1</v>
      </c>
      <c r="Z19" s="30">
        <f t="shared" si="2"/>
        <v>0</v>
      </c>
      <c r="AB19" s="31" t="s">
        <v>938</v>
      </c>
      <c r="AC19" s="56" t="s">
        <v>718</v>
      </c>
      <c r="AD19" s="43" t="s">
        <v>318</v>
      </c>
      <c r="AE19" s="121" t="s">
        <v>238</v>
      </c>
      <c r="AF19" s="35" t="s">
        <v>6</v>
      </c>
      <c r="AG19" s="19"/>
      <c r="AH19" s="19"/>
      <c r="AI19" s="19"/>
      <c r="AJ19" s="13"/>
      <c r="AK19" s="14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30">
        <f t="shared" si="3"/>
        <v>0</v>
      </c>
      <c r="AZ19" s="30">
        <f t="shared" si="4"/>
        <v>0</v>
      </c>
      <c r="BA19" s="30">
        <f t="shared" si="5"/>
        <v>0</v>
      </c>
      <c r="BC19" s="31" t="s">
        <v>122</v>
      </c>
      <c r="BD19" s="56" t="s">
        <v>665</v>
      </c>
      <c r="BE19" s="43" t="s">
        <v>272</v>
      </c>
      <c r="BF19" s="127" t="s">
        <v>236</v>
      </c>
      <c r="BG19" s="35" t="s">
        <v>6</v>
      </c>
      <c r="BH19" s="3"/>
      <c r="BI19" s="4"/>
      <c r="BJ19" s="3"/>
      <c r="BK19" s="5"/>
      <c r="BL19" s="4"/>
      <c r="BM19" s="5"/>
      <c r="BN19" s="4"/>
      <c r="BO19" s="4"/>
      <c r="BP19" s="4"/>
      <c r="BQ19" s="13"/>
      <c r="BR19" s="14"/>
      <c r="BS19" s="13"/>
      <c r="BT19" s="13"/>
      <c r="BU19" s="14">
        <v>1</v>
      </c>
      <c r="BV19" s="13"/>
      <c r="BW19" s="4"/>
      <c r="BX19" s="5"/>
      <c r="BY19" s="4"/>
      <c r="BZ19" s="30">
        <f t="shared" si="6"/>
        <v>0</v>
      </c>
      <c r="CA19" s="30">
        <f t="shared" si="7"/>
        <v>1</v>
      </c>
      <c r="CB19" s="30">
        <f t="shared" si="8"/>
        <v>0</v>
      </c>
    </row>
    <row r="20" spans="1:80" ht="15.5" x14ac:dyDescent="0.35">
      <c r="A20" s="31" t="s">
        <v>51</v>
      </c>
      <c r="B20" s="56" t="s">
        <v>664</v>
      </c>
      <c r="C20" s="43" t="s">
        <v>271</v>
      </c>
      <c r="D20" s="127" t="s">
        <v>236</v>
      </c>
      <c r="E20" s="35" t="s">
        <v>6</v>
      </c>
      <c r="F20" s="3"/>
      <c r="G20" s="4"/>
      <c r="H20" s="3"/>
      <c r="I20" s="5"/>
      <c r="J20" s="4"/>
      <c r="K20" s="5"/>
      <c r="L20" s="4"/>
      <c r="M20" s="4"/>
      <c r="N20" s="4"/>
      <c r="O20" s="13"/>
      <c r="P20" s="14"/>
      <c r="Q20" s="13"/>
      <c r="R20" s="13"/>
      <c r="S20" s="14"/>
      <c r="T20" s="13"/>
      <c r="U20" s="4"/>
      <c r="V20" s="5"/>
      <c r="W20" s="4"/>
      <c r="X20" s="30">
        <f t="shared" si="0"/>
        <v>0</v>
      </c>
      <c r="Y20" s="30">
        <f t="shared" si="1"/>
        <v>0</v>
      </c>
      <c r="Z20" s="30">
        <f t="shared" si="2"/>
        <v>0</v>
      </c>
      <c r="AB20" s="31" t="s">
        <v>943</v>
      </c>
      <c r="AC20" s="56" t="s">
        <v>723</v>
      </c>
      <c r="AD20" s="51" t="s">
        <v>323</v>
      </c>
      <c r="AE20" s="121" t="s">
        <v>238</v>
      </c>
      <c r="AF20" s="42" t="s">
        <v>6</v>
      </c>
      <c r="AG20" s="19"/>
      <c r="AH20" s="19"/>
      <c r="AI20" s="20"/>
      <c r="AJ20" s="13"/>
      <c r="AK20" s="14"/>
      <c r="AL20" s="14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30">
        <f t="shared" si="3"/>
        <v>0</v>
      </c>
      <c r="AZ20" s="30">
        <f t="shared" si="4"/>
        <v>0</v>
      </c>
      <c r="BA20" s="30">
        <f t="shared" si="5"/>
        <v>0</v>
      </c>
      <c r="BC20" s="31" t="s">
        <v>123</v>
      </c>
      <c r="BD20" s="56" t="s">
        <v>666</v>
      </c>
      <c r="BE20" s="36" t="s">
        <v>273</v>
      </c>
      <c r="BF20" s="127" t="s">
        <v>236</v>
      </c>
      <c r="BG20" s="35" t="s">
        <v>6</v>
      </c>
      <c r="BH20" s="3"/>
      <c r="BI20" s="4"/>
      <c r="BJ20" s="3"/>
      <c r="BK20" s="5"/>
      <c r="BL20" s="4"/>
      <c r="BM20" s="5"/>
      <c r="BN20" s="4"/>
      <c r="BO20" s="4">
        <v>1</v>
      </c>
      <c r="BP20" s="4"/>
      <c r="BQ20" s="13"/>
      <c r="BR20" s="14"/>
      <c r="BS20" s="13"/>
      <c r="BT20" s="13"/>
      <c r="BU20" s="14"/>
      <c r="BV20" s="13"/>
      <c r="BW20" s="4"/>
      <c r="BX20" s="5"/>
      <c r="BY20" s="4"/>
      <c r="BZ20" s="30">
        <f t="shared" si="6"/>
        <v>0</v>
      </c>
      <c r="CA20" s="30">
        <f t="shared" si="7"/>
        <v>1</v>
      </c>
      <c r="CB20" s="30">
        <f t="shared" si="8"/>
        <v>0</v>
      </c>
    </row>
    <row r="21" spans="1:80" ht="15.5" x14ac:dyDescent="0.35">
      <c r="A21" s="31" t="s">
        <v>122</v>
      </c>
      <c r="B21" s="56" t="s">
        <v>665</v>
      </c>
      <c r="C21" s="43" t="s">
        <v>272</v>
      </c>
      <c r="D21" s="127" t="s">
        <v>236</v>
      </c>
      <c r="E21" s="35" t="s">
        <v>6</v>
      </c>
      <c r="F21" s="3"/>
      <c r="G21" s="4"/>
      <c r="H21" s="3"/>
      <c r="I21" s="5"/>
      <c r="J21" s="4"/>
      <c r="K21" s="5"/>
      <c r="L21" s="4"/>
      <c r="M21" s="4"/>
      <c r="N21" s="4"/>
      <c r="O21" s="13"/>
      <c r="P21" s="14"/>
      <c r="Q21" s="13"/>
      <c r="R21" s="13"/>
      <c r="S21" s="14">
        <v>1</v>
      </c>
      <c r="T21" s="13"/>
      <c r="U21" s="4"/>
      <c r="V21" s="5"/>
      <c r="W21" s="4"/>
      <c r="X21" s="30">
        <f t="shared" si="0"/>
        <v>0</v>
      </c>
      <c r="Y21" s="30">
        <f t="shared" si="1"/>
        <v>1</v>
      </c>
      <c r="Z21" s="30">
        <f t="shared" si="2"/>
        <v>0</v>
      </c>
      <c r="AB21" s="31" t="s">
        <v>947</v>
      </c>
      <c r="AC21" s="56" t="s">
        <v>727</v>
      </c>
      <c r="AD21" s="41" t="s">
        <v>327</v>
      </c>
      <c r="AE21" s="121" t="s">
        <v>238</v>
      </c>
      <c r="AF21" s="42" t="s">
        <v>6</v>
      </c>
      <c r="AG21" s="27">
        <v>1</v>
      </c>
      <c r="AH21" s="27"/>
      <c r="AI21" s="27"/>
      <c r="AJ21" s="15"/>
      <c r="AK21" s="21"/>
      <c r="AL21" s="21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30">
        <f t="shared" si="3"/>
        <v>1</v>
      </c>
      <c r="AZ21" s="30">
        <f t="shared" si="4"/>
        <v>0</v>
      </c>
      <c r="BA21" s="30">
        <f t="shared" si="5"/>
        <v>0</v>
      </c>
      <c r="BC21" s="31" t="s">
        <v>893</v>
      </c>
      <c r="BD21" s="56" t="s">
        <v>671</v>
      </c>
      <c r="BE21" s="36" t="s">
        <v>278</v>
      </c>
      <c r="BF21" s="127" t="s">
        <v>236</v>
      </c>
      <c r="BG21" s="35" t="s">
        <v>6</v>
      </c>
      <c r="BH21" s="3"/>
      <c r="BI21" s="4"/>
      <c r="BJ21" s="3"/>
      <c r="BK21" s="5">
        <v>1</v>
      </c>
      <c r="BL21" s="4"/>
      <c r="BM21" s="5"/>
      <c r="BN21" s="4"/>
      <c r="BO21" s="4"/>
      <c r="BP21" s="4"/>
      <c r="BQ21" s="13"/>
      <c r="BR21" s="14"/>
      <c r="BS21" s="13"/>
      <c r="BT21" s="13"/>
      <c r="BU21" s="14">
        <v>1</v>
      </c>
      <c r="BV21" s="13"/>
      <c r="BW21" s="4"/>
      <c r="BX21" s="5"/>
      <c r="BY21" s="4"/>
      <c r="BZ21" s="30">
        <f t="shared" si="6"/>
        <v>1</v>
      </c>
      <c r="CA21" s="30">
        <f t="shared" si="7"/>
        <v>1</v>
      </c>
      <c r="CB21" s="30">
        <f t="shared" si="8"/>
        <v>0</v>
      </c>
    </row>
    <row r="22" spans="1:80" ht="15.5" x14ac:dyDescent="0.35">
      <c r="A22" s="31" t="s">
        <v>123</v>
      </c>
      <c r="B22" s="56" t="s">
        <v>666</v>
      </c>
      <c r="C22" s="36" t="s">
        <v>273</v>
      </c>
      <c r="D22" s="127" t="s">
        <v>236</v>
      </c>
      <c r="E22" s="35" t="s">
        <v>6</v>
      </c>
      <c r="F22" s="3"/>
      <c r="G22" s="4"/>
      <c r="H22" s="3"/>
      <c r="I22" s="5"/>
      <c r="J22" s="4"/>
      <c r="K22" s="5"/>
      <c r="L22" s="4"/>
      <c r="M22" s="4">
        <v>1</v>
      </c>
      <c r="N22" s="4"/>
      <c r="O22" s="13"/>
      <c r="P22" s="14"/>
      <c r="Q22" s="13"/>
      <c r="R22" s="13"/>
      <c r="S22" s="14"/>
      <c r="T22" s="13"/>
      <c r="U22" s="4"/>
      <c r="V22" s="5"/>
      <c r="W22" s="4"/>
      <c r="X22" s="30">
        <f t="shared" si="0"/>
        <v>0</v>
      </c>
      <c r="Y22" s="30">
        <f t="shared" si="1"/>
        <v>1</v>
      </c>
      <c r="Z22" s="30">
        <f t="shared" si="2"/>
        <v>0</v>
      </c>
      <c r="AB22" s="31" t="s">
        <v>948</v>
      </c>
      <c r="AC22" s="56" t="s">
        <v>728</v>
      </c>
      <c r="AD22" s="41" t="s">
        <v>729</v>
      </c>
      <c r="AE22" s="121" t="s">
        <v>238</v>
      </c>
      <c r="AF22" s="42" t="s">
        <v>8</v>
      </c>
      <c r="AG22" s="19"/>
      <c r="AH22" s="19"/>
      <c r="AI22" s="19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30">
        <f t="shared" si="3"/>
        <v>0</v>
      </c>
      <c r="AZ22" s="30">
        <f t="shared" si="4"/>
        <v>0</v>
      </c>
      <c r="BA22" s="30">
        <f t="shared" si="5"/>
        <v>0</v>
      </c>
      <c r="BC22" s="31" t="s">
        <v>894</v>
      </c>
      <c r="BD22" s="56" t="s">
        <v>673</v>
      </c>
      <c r="BE22" s="36" t="s">
        <v>280</v>
      </c>
      <c r="BF22" s="127" t="s">
        <v>236</v>
      </c>
      <c r="BG22" s="35" t="s">
        <v>6</v>
      </c>
      <c r="BH22" s="3"/>
      <c r="BI22" s="4"/>
      <c r="BJ22" s="3"/>
      <c r="BK22" s="5"/>
      <c r="BL22" s="4"/>
      <c r="BM22" s="5"/>
      <c r="BN22" s="4"/>
      <c r="BO22" s="4"/>
      <c r="BP22" s="4"/>
      <c r="BQ22" s="13"/>
      <c r="BR22" s="14"/>
      <c r="BS22" s="13"/>
      <c r="BT22" s="13"/>
      <c r="BU22" s="14"/>
      <c r="BV22" s="13"/>
      <c r="BW22" s="4"/>
      <c r="BX22" s="5"/>
      <c r="BY22" s="4"/>
      <c r="BZ22" s="30">
        <f t="shared" si="6"/>
        <v>0</v>
      </c>
      <c r="CA22" s="30">
        <f t="shared" si="7"/>
        <v>0</v>
      </c>
      <c r="CB22" s="30">
        <f t="shared" si="8"/>
        <v>0</v>
      </c>
    </row>
    <row r="23" spans="1:80" ht="15.5" x14ac:dyDescent="0.35">
      <c r="A23" s="31" t="s">
        <v>125</v>
      </c>
      <c r="B23" s="56" t="s">
        <v>668</v>
      </c>
      <c r="C23" s="36" t="s">
        <v>275</v>
      </c>
      <c r="D23" s="127" t="s">
        <v>236</v>
      </c>
      <c r="E23" s="35" t="s">
        <v>6</v>
      </c>
      <c r="F23" s="3"/>
      <c r="G23" s="4"/>
      <c r="H23" s="3"/>
      <c r="I23" s="5"/>
      <c r="J23" s="4"/>
      <c r="K23" s="5"/>
      <c r="L23" s="4"/>
      <c r="M23" s="4"/>
      <c r="N23" s="4"/>
      <c r="O23" s="13"/>
      <c r="P23" s="14"/>
      <c r="Q23" s="13"/>
      <c r="R23" s="13"/>
      <c r="S23" s="14"/>
      <c r="T23" s="13"/>
      <c r="U23" s="4"/>
      <c r="V23" s="5"/>
      <c r="W23" s="4">
        <v>1</v>
      </c>
      <c r="X23" s="30">
        <f t="shared" si="0"/>
        <v>0</v>
      </c>
      <c r="Y23" s="30">
        <f t="shared" si="1"/>
        <v>0</v>
      </c>
      <c r="Z23" s="30">
        <f t="shared" si="2"/>
        <v>1</v>
      </c>
      <c r="AB23" s="31" t="s">
        <v>950</v>
      </c>
      <c r="AC23" s="56" t="s">
        <v>731</v>
      </c>
      <c r="AD23" s="41" t="s">
        <v>329</v>
      </c>
      <c r="AE23" s="121" t="s">
        <v>238</v>
      </c>
      <c r="AF23" s="42" t="s">
        <v>8</v>
      </c>
      <c r="AG23" s="19"/>
      <c r="AH23" s="19"/>
      <c r="AI23" s="19"/>
      <c r="AJ23" s="13">
        <v>1</v>
      </c>
      <c r="AK23" s="14"/>
      <c r="AL23" s="14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30">
        <f t="shared" si="3"/>
        <v>1</v>
      </c>
      <c r="AZ23" s="30">
        <f t="shared" si="4"/>
        <v>0</v>
      </c>
      <c r="BA23" s="30">
        <f t="shared" si="5"/>
        <v>0</v>
      </c>
      <c r="BC23" s="31" t="s">
        <v>898</v>
      </c>
      <c r="BD23" s="56" t="s">
        <v>674</v>
      </c>
      <c r="BE23" s="43" t="s">
        <v>281</v>
      </c>
      <c r="BF23" s="127" t="s">
        <v>236</v>
      </c>
      <c r="BG23" s="35" t="s">
        <v>6</v>
      </c>
      <c r="BH23" s="3"/>
      <c r="BI23" s="4">
        <v>1</v>
      </c>
      <c r="BJ23" s="3"/>
      <c r="BK23" s="5"/>
      <c r="BL23" s="4">
        <v>1</v>
      </c>
      <c r="BM23" s="5"/>
      <c r="BN23" s="4"/>
      <c r="BO23" s="4"/>
      <c r="BP23" s="4"/>
      <c r="BQ23" s="13"/>
      <c r="BR23" s="14"/>
      <c r="BS23" s="13"/>
      <c r="BT23" s="13"/>
      <c r="BU23" s="14">
        <v>1</v>
      </c>
      <c r="BV23" s="13"/>
      <c r="BW23" s="4"/>
      <c r="BX23" s="5">
        <v>1</v>
      </c>
      <c r="BY23" s="4"/>
      <c r="BZ23" s="30">
        <f t="shared" si="6"/>
        <v>0</v>
      </c>
      <c r="CA23" s="30">
        <f t="shared" si="7"/>
        <v>4</v>
      </c>
      <c r="CB23" s="30">
        <f t="shared" si="8"/>
        <v>0</v>
      </c>
    </row>
    <row r="24" spans="1:80" ht="15.5" x14ac:dyDescent="0.35">
      <c r="A24" s="31" t="s">
        <v>127</v>
      </c>
      <c r="B24" s="56" t="s">
        <v>670</v>
      </c>
      <c r="C24" s="36" t="s">
        <v>277</v>
      </c>
      <c r="D24" s="127" t="s">
        <v>236</v>
      </c>
      <c r="E24" s="35" t="s">
        <v>6</v>
      </c>
      <c r="F24" s="3"/>
      <c r="G24" s="4"/>
      <c r="H24" s="3"/>
      <c r="I24" s="5"/>
      <c r="J24" s="4">
        <v>2</v>
      </c>
      <c r="K24" s="5"/>
      <c r="L24" s="4"/>
      <c r="M24" s="4"/>
      <c r="N24" s="4"/>
      <c r="O24" s="13"/>
      <c r="P24" s="14"/>
      <c r="Q24" s="13"/>
      <c r="R24" s="13"/>
      <c r="S24" s="14">
        <v>2</v>
      </c>
      <c r="T24" s="13"/>
      <c r="U24" s="4"/>
      <c r="V24" s="5"/>
      <c r="W24" s="4">
        <v>1</v>
      </c>
      <c r="X24" s="30">
        <f t="shared" si="0"/>
        <v>0</v>
      </c>
      <c r="Y24" s="30">
        <f t="shared" si="1"/>
        <v>4</v>
      </c>
      <c r="Z24" s="30">
        <f t="shared" si="2"/>
        <v>1</v>
      </c>
      <c r="AB24" s="31" t="s">
        <v>953</v>
      </c>
      <c r="AC24" s="56" t="s">
        <v>735</v>
      </c>
      <c r="AD24" s="41" t="s">
        <v>331</v>
      </c>
      <c r="AE24" s="121" t="s">
        <v>238</v>
      </c>
      <c r="AF24" s="42" t="s">
        <v>6</v>
      </c>
      <c r="AG24" s="19"/>
      <c r="AH24" s="19"/>
      <c r="AI24" s="19"/>
      <c r="AJ24" s="13"/>
      <c r="AK24" s="14"/>
      <c r="AL24" s="13"/>
      <c r="AM24" s="13"/>
      <c r="AN24" s="13"/>
      <c r="AO24" s="13"/>
      <c r="AP24" s="13">
        <v>1</v>
      </c>
      <c r="AQ24" s="13"/>
      <c r="AR24" s="13"/>
      <c r="AS24" s="13"/>
      <c r="AT24" s="13"/>
      <c r="AU24" s="13"/>
      <c r="AV24" s="13"/>
      <c r="AW24" s="13"/>
      <c r="AX24" s="13"/>
      <c r="AY24" s="30">
        <f t="shared" si="3"/>
        <v>1</v>
      </c>
      <c r="AZ24" s="30">
        <f t="shared" si="4"/>
        <v>0</v>
      </c>
      <c r="BA24" s="30">
        <f t="shared" si="5"/>
        <v>0</v>
      </c>
      <c r="BC24" s="31" t="s">
        <v>899</v>
      </c>
      <c r="BD24" s="56" t="s">
        <v>675</v>
      </c>
      <c r="BE24" s="43" t="s">
        <v>282</v>
      </c>
      <c r="BF24" s="127" t="s">
        <v>236</v>
      </c>
      <c r="BG24" s="35" t="s">
        <v>6</v>
      </c>
      <c r="BH24" s="3"/>
      <c r="BI24" s="4"/>
      <c r="BJ24" s="3"/>
      <c r="BK24" s="5"/>
      <c r="BL24" s="4">
        <v>3</v>
      </c>
      <c r="BM24" s="5"/>
      <c r="BN24" s="4"/>
      <c r="BO24" s="4">
        <v>1</v>
      </c>
      <c r="BP24" s="4"/>
      <c r="BQ24" s="13"/>
      <c r="BR24" s="14">
        <v>1</v>
      </c>
      <c r="BS24" s="13"/>
      <c r="BT24" s="13"/>
      <c r="BU24" s="14">
        <v>1</v>
      </c>
      <c r="BV24" s="13"/>
      <c r="BW24" s="4"/>
      <c r="BX24" s="5"/>
      <c r="BY24" s="4"/>
      <c r="BZ24" s="30">
        <f t="shared" si="6"/>
        <v>0</v>
      </c>
      <c r="CA24" s="30">
        <f t="shared" si="7"/>
        <v>6</v>
      </c>
      <c r="CB24" s="30">
        <f t="shared" si="8"/>
        <v>0</v>
      </c>
    </row>
    <row r="25" spans="1:80" ht="15.5" x14ac:dyDescent="0.35">
      <c r="A25" s="31" t="s">
        <v>894</v>
      </c>
      <c r="B25" s="56" t="s">
        <v>673</v>
      </c>
      <c r="C25" s="36" t="s">
        <v>280</v>
      </c>
      <c r="D25" s="127" t="s">
        <v>236</v>
      </c>
      <c r="E25" s="35" t="s">
        <v>6</v>
      </c>
      <c r="F25" s="3"/>
      <c r="G25" s="4"/>
      <c r="H25" s="3"/>
      <c r="I25" s="5"/>
      <c r="J25" s="4"/>
      <c r="K25" s="5"/>
      <c r="L25" s="4"/>
      <c r="M25" s="4"/>
      <c r="N25" s="4"/>
      <c r="O25" s="13"/>
      <c r="P25" s="14"/>
      <c r="Q25" s="13"/>
      <c r="R25" s="13"/>
      <c r="S25" s="14"/>
      <c r="T25" s="13"/>
      <c r="U25" s="4"/>
      <c r="V25" s="5"/>
      <c r="W25" s="4"/>
      <c r="X25" s="30">
        <f t="shared" si="0"/>
        <v>0</v>
      </c>
      <c r="Y25" s="30">
        <f t="shared" si="1"/>
        <v>0</v>
      </c>
      <c r="Z25" s="30">
        <f t="shared" si="2"/>
        <v>0</v>
      </c>
      <c r="AB25" s="31" t="s">
        <v>961</v>
      </c>
      <c r="AC25" s="56" t="s">
        <v>744</v>
      </c>
      <c r="AD25" s="41" t="s">
        <v>745</v>
      </c>
      <c r="AE25" s="121" t="s">
        <v>238</v>
      </c>
      <c r="AF25" s="42" t="s">
        <v>8</v>
      </c>
      <c r="AG25" s="19"/>
      <c r="AH25" s="19"/>
      <c r="AI25" s="19"/>
      <c r="AJ25" s="14">
        <v>1</v>
      </c>
      <c r="AK25" s="14"/>
      <c r="AL25" s="14"/>
      <c r="AM25" s="13"/>
      <c r="AN25" s="13"/>
      <c r="AO25" s="13"/>
      <c r="AP25" s="13">
        <v>2</v>
      </c>
      <c r="AQ25" s="13"/>
      <c r="AR25" s="13"/>
      <c r="AS25" s="13"/>
      <c r="AT25" s="13"/>
      <c r="AU25" s="13"/>
      <c r="AV25" s="13"/>
      <c r="AW25" s="13"/>
      <c r="AX25" s="13"/>
      <c r="AY25" s="30">
        <f t="shared" si="3"/>
        <v>3</v>
      </c>
      <c r="AZ25" s="30">
        <f t="shared" si="4"/>
        <v>0</v>
      </c>
      <c r="BA25" s="30">
        <f t="shared" si="5"/>
        <v>0</v>
      </c>
      <c r="BC25" s="31" t="s">
        <v>900</v>
      </c>
      <c r="BD25" s="56" t="s">
        <v>676</v>
      </c>
      <c r="BE25" s="45" t="s">
        <v>283</v>
      </c>
      <c r="BF25" s="127" t="s">
        <v>236</v>
      </c>
      <c r="BG25" s="35" t="s">
        <v>6</v>
      </c>
      <c r="BH25" s="3"/>
      <c r="BI25" s="4">
        <v>1</v>
      </c>
      <c r="BJ25" s="3"/>
      <c r="BK25" s="5"/>
      <c r="BL25" s="4">
        <v>2</v>
      </c>
      <c r="BM25" s="5"/>
      <c r="BN25" s="4">
        <v>1</v>
      </c>
      <c r="BO25" s="4">
        <v>2</v>
      </c>
      <c r="BP25" s="4"/>
      <c r="BQ25" s="13"/>
      <c r="BR25" s="14">
        <v>1</v>
      </c>
      <c r="BS25" s="13"/>
      <c r="BT25" s="13"/>
      <c r="BU25" s="14"/>
      <c r="BV25" s="13"/>
      <c r="BW25" s="4"/>
      <c r="BX25" s="5"/>
      <c r="BY25" s="4"/>
      <c r="BZ25" s="30">
        <f t="shared" si="6"/>
        <v>1</v>
      </c>
      <c r="CA25" s="30">
        <f t="shared" si="7"/>
        <v>6</v>
      </c>
      <c r="CB25" s="30">
        <f t="shared" si="8"/>
        <v>0</v>
      </c>
    </row>
    <row r="26" spans="1:80" ht="15.5" x14ac:dyDescent="0.35">
      <c r="A26" s="31" t="s">
        <v>898</v>
      </c>
      <c r="B26" s="56" t="s">
        <v>674</v>
      </c>
      <c r="C26" s="43" t="s">
        <v>281</v>
      </c>
      <c r="D26" s="127" t="s">
        <v>236</v>
      </c>
      <c r="E26" s="35" t="s">
        <v>6</v>
      </c>
      <c r="F26" s="3"/>
      <c r="G26" s="4">
        <v>1</v>
      </c>
      <c r="H26" s="3"/>
      <c r="I26" s="5"/>
      <c r="J26" s="4">
        <v>1</v>
      </c>
      <c r="K26" s="5"/>
      <c r="L26" s="4"/>
      <c r="M26" s="4"/>
      <c r="N26" s="4"/>
      <c r="O26" s="13"/>
      <c r="P26" s="14"/>
      <c r="Q26" s="13"/>
      <c r="R26" s="13"/>
      <c r="S26" s="14">
        <v>1</v>
      </c>
      <c r="T26" s="13"/>
      <c r="U26" s="4"/>
      <c r="V26" s="5">
        <v>1</v>
      </c>
      <c r="W26" s="4"/>
      <c r="X26" s="30">
        <f t="shared" si="0"/>
        <v>0</v>
      </c>
      <c r="Y26" s="30">
        <f t="shared" si="1"/>
        <v>4</v>
      </c>
      <c r="Z26" s="30">
        <f t="shared" si="2"/>
        <v>0</v>
      </c>
      <c r="AB26" s="31" t="s">
        <v>963</v>
      </c>
      <c r="AC26" s="56" t="s">
        <v>747</v>
      </c>
      <c r="AD26" s="41" t="s">
        <v>748</v>
      </c>
      <c r="AE26" s="121" t="s">
        <v>238</v>
      </c>
      <c r="AF26" s="42" t="s">
        <v>8</v>
      </c>
      <c r="AG26" s="19"/>
      <c r="AH26" s="19"/>
      <c r="AI26" s="19"/>
      <c r="AJ26" s="13"/>
      <c r="AK26" s="14"/>
      <c r="AL26" s="13"/>
      <c r="AM26" s="13"/>
      <c r="AN26" s="13"/>
      <c r="AO26" s="13">
        <v>1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30">
        <f t="shared" si="3"/>
        <v>0</v>
      </c>
      <c r="AZ26" s="30">
        <f t="shared" si="4"/>
        <v>0</v>
      </c>
      <c r="BA26" s="30">
        <f t="shared" si="5"/>
        <v>1</v>
      </c>
      <c r="BC26" s="31" t="s">
        <v>901</v>
      </c>
      <c r="BD26" s="56" t="s">
        <v>677</v>
      </c>
      <c r="BE26" s="43" t="s">
        <v>284</v>
      </c>
      <c r="BF26" s="127" t="s">
        <v>236</v>
      </c>
      <c r="BG26" s="35" t="s">
        <v>6</v>
      </c>
      <c r="BH26" s="3"/>
      <c r="BI26" s="4"/>
      <c r="BJ26" s="3"/>
      <c r="BK26" s="5"/>
      <c r="BL26" s="4">
        <v>1</v>
      </c>
      <c r="BM26" s="5"/>
      <c r="BN26" s="4"/>
      <c r="BO26" s="4">
        <v>1</v>
      </c>
      <c r="BP26" s="4"/>
      <c r="BQ26" s="13"/>
      <c r="BR26" s="14"/>
      <c r="BS26" s="13"/>
      <c r="BT26" s="13">
        <v>2</v>
      </c>
      <c r="BU26" s="14">
        <v>2</v>
      </c>
      <c r="BV26" s="13"/>
      <c r="BW26" s="4"/>
      <c r="BX26" s="5"/>
      <c r="BY26" s="4"/>
      <c r="BZ26" s="30">
        <f t="shared" si="6"/>
        <v>2</v>
      </c>
      <c r="CA26" s="30">
        <f t="shared" si="7"/>
        <v>4</v>
      </c>
      <c r="CB26" s="30">
        <f t="shared" si="8"/>
        <v>0</v>
      </c>
    </row>
    <row r="27" spans="1:80" ht="15.5" x14ac:dyDescent="0.35">
      <c r="A27" s="31" t="s">
        <v>899</v>
      </c>
      <c r="B27" s="56" t="s">
        <v>675</v>
      </c>
      <c r="C27" s="43" t="s">
        <v>282</v>
      </c>
      <c r="D27" s="127" t="s">
        <v>236</v>
      </c>
      <c r="E27" s="35" t="s">
        <v>6</v>
      </c>
      <c r="F27" s="3"/>
      <c r="G27" s="4"/>
      <c r="H27" s="3"/>
      <c r="I27" s="5"/>
      <c r="J27" s="4">
        <v>3</v>
      </c>
      <c r="K27" s="5"/>
      <c r="L27" s="4"/>
      <c r="M27" s="4">
        <v>1</v>
      </c>
      <c r="N27" s="4"/>
      <c r="O27" s="13"/>
      <c r="P27" s="14">
        <v>1</v>
      </c>
      <c r="Q27" s="13"/>
      <c r="R27" s="13"/>
      <c r="S27" s="14">
        <v>1</v>
      </c>
      <c r="T27" s="13"/>
      <c r="U27" s="4"/>
      <c r="V27" s="5"/>
      <c r="W27" s="4"/>
      <c r="X27" s="30">
        <f t="shared" si="0"/>
        <v>0</v>
      </c>
      <c r="Y27" s="30">
        <f t="shared" si="1"/>
        <v>6</v>
      </c>
      <c r="Z27" s="30">
        <f t="shared" si="2"/>
        <v>0</v>
      </c>
      <c r="AB27" s="31" t="s">
        <v>965</v>
      </c>
      <c r="AC27" s="56" t="s">
        <v>751</v>
      </c>
      <c r="AD27" s="41" t="s">
        <v>341</v>
      </c>
      <c r="AE27" s="141" t="s">
        <v>239</v>
      </c>
      <c r="AF27" s="42" t="s">
        <v>6</v>
      </c>
      <c r="AG27" s="19"/>
      <c r="AH27" s="19"/>
      <c r="AI27" s="19"/>
      <c r="AJ27" s="13"/>
      <c r="AK27" s="13"/>
      <c r="AL27" s="13"/>
      <c r="AM27" s="13">
        <v>1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30">
        <f t="shared" si="3"/>
        <v>1</v>
      </c>
      <c r="AZ27" s="30">
        <f t="shared" si="4"/>
        <v>0</v>
      </c>
      <c r="BA27" s="30">
        <f t="shared" si="5"/>
        <v>0</v>
      </c>
      <c r="BC27" s="31" t="s">
        <v>904</v>
      </c>
      <c r="BD27" s="56" t="s">
        <v>681</v>
      </c>
      <c r="BE27" s="36" t="s">
        <v>285</v>
      </c>
      <c r="BF27" s="127" t="s">
        <v>237</v>
      </c>
      <c r="BG27" s="35" t="s">
        <v>6</v>
      </c>
      <c r="BH27" s="3"/>
      <c r="BI27" s="3"/>
      <c r="BJ27" s="3"/>
      <c r="BK27" s="5"/>
      <c r="BL27" s="5"/>
      <c r="BM27" s="4"/>
      <c r="BN27" s="4"/>
      <c r="BO27" s="5"/>
      <c r="BP27" s="4"/>
      <c r="BQ27" s="13"/>
      <c r="BR27" s="5"/>
      <c r="BS27" s="4"/>
      <c r="BT27" s="13"/>
      <c r="BU27" s="14"/>
      <c r="BV27" s="13"/>
      <c r="BW27" s="4"/>
      <c r="BX27" s="5"/>
      <c r="BY27" s="4"/>
      <c r="BZ27" s="30">
        <f t="shared" si="6"/>
        <v>0</v>
      </c>
      <c r="CA27" s="30">
        <f t="shared" si="7"/>
        <v>0</v>
      </c>
      <c r="CB27" s="30">
        <f t="shared" si="8"/>
        <v>0</v>
      </c>
    </row>
    <row r="28" spans="1:80" ht="15.5" x14ac:dyDescent="0.35">
      <c r="A28" s="31" t="s">
        <v>902</v>
      </c>
      <c r="B28" s="56" t="s">
        <v>678</v>
      </c>
      <c r="C28" s="43" t="s">
        <v>313</v>
      </c>
      <c r="D28" s="127" t="s">
        <v>236</v>
      </c>
      <c r="E28" s="35" t="s">
        <v>6</v>
      </c>
      <c r="F28" s="3"/>
      <c r="G28" s="4"/>
      <c r="H28" s="3">
        <v>1</v>
      </c>
      <c r="I28" s="5"/>
      <c r="J28" s="4"/>
      <c r="K28" s="5">
        <v>7</v>
      </c>
      <c r="L28" s="4"/>
      <c r="M28" s="4">
        <v>1</v>
      </c>
      <c r="N28" s="4">
        <v>9</v>
      </c>
      <c r="O28" s="13"/>
      <c r="P28" s="14"/>
      <c r="Q28" s="13">
        <v>31</v>
      </c>
      <c r="R28" s="13"/>
      <c r="S28" s="14"/>
      <c r="T28" s="13">
        <v>30</v>
      </c>
      <c r="U28" s="4"/>
      <c r="V28" s="5"/>
      <c r="W28" s="4"/>
      <c r="X28" s="30">
        <f t="shared" si="0"/>
        <v>0</v>
      </c>
      <c r="Y28" s="30">
        <f t="shared" si="1"/>
        <v>1</v>
      </c>
      <c r="Z28" s="30">
        <f t="shared" si="2"/>
        <v>78</v>
      </c>
      <c r="AB28" s="31" t="s">
        <v>977</v>
      </c>
      <c r="AC28" s="56" t="s">
        <v>765</v>
      </c>
      <c r="AD28" s="47" t="s">
        <v>351</v>
      </c>
      <c r="AE28" s="141" t="s">
        <v>239</v>
      </c>
      <c r="AF28" s="42" t="s">
        <v>8</v>
      </c>
      <c r="AG28" s="19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30">
        <f t="shared" si="3"/>
        <v>0</v>
      </c>
      <c r="AZ28" s="30">
        <f t="shared" si="4"/>
        <v>0</v>
      </c>
      <c r="BA28" s="30">
        <f t="shared" si="5"/>
        <v>0</v>
      </c>
      <c r="BC28" s="31" t="s">
        <v>905</v>
      </c>
      <c r="BD28" s="56" t="s">
        <v>682</v>
      </c>
      <c r="BE28" s="43" t="s">
        <v>286</v>
      </c>
      <c r="BF28" s="127" t="s">
        <v>237</v>
      </c>
      <c r="BG28" s="35" t="s">
        <v>6</v>
      </c>
      <c r="BH28" s="3"/>
      <c r="BI28" s="3">
        <v>1</v>
      </c>
      <c r="BJ28" s="3"/>
      <c r="BK28" s="5"/>
      <c r="BL28" s="5">
        <v>2</v>
      </c>
      <c r="BM28" s="4"/>
      <c r="BN28" s="4"/>
      <c r="BO28" s="5">
        <v>2</v>
      </c>
      <c r="BP28" s="4"/>
      <c r="BQ28" s="13"/>
      <c r="BR28" s="5">
        <v>3</v>
      </c>
      <c r="BS28" s="4"/>
      <c r="BT28" s="13"/>
      <c r="BU28" s="14">
        <v>4</v>
      </c>
      <c r="BV28" s="13"/>
      <c r="BW28" s="4"/>
      <c r="BX28" s="5"/>
      <c r="BY28" s="4"/>
      <c r="BZ28" s="30">
        <f t="shared" si="6"/>
        <v>0</v>
      </c>
      <c r="CA28" s="30">
        <f t="shared" si="7"/>
        <v>12</v>
      </c>
      <c r="CB28" s="30">
        <f t="shared" si="8"/>
        <v>0</v>
      </c>
    </row>
    <row r="29" spans="1:80" ht="15.5" x14ac:dyDescent="0.35">
      <c r="A29" s="31" t="s">
        <v>904</v>
      </c>
      <c r="B29" s="56" t="s">
        <v>681</v>
      </c>
      <c r="C29" s="36" t="s">
        <v>285</v>
      </c>
      <c r="D29" s="127" t="s">
        <v>237</v>
      </c>
      <c r="E29" s="35" t="s">
        <v>6</v>
      </c>
      <c r="F29" s="3"/>
      <c r="G29" s="3"/>
      <c r="H29" s="3"/>
      <c r="I29" s="5"/>
      <c r="J29" s="5"/>
      <c r="K29" s="4"/>
      <c r="L29" s="4"/>
      <c r="M29" s="5"/>
      <c r="N29" s="4"/>
      <c r="O29" s="13"/>
      <c r="P29" s="5"/>
      <c r="Q29" s="4"/>
      <c r="R29" s="13"/>
      <c r="S29" s="14"/>
      <c r="T29" s="13"/>
      <c r="U29" s="4"/>
      <c r="V29" s="5"/>
      <c r="W29" s="4"/>
      <c r="X29" s="30">
        <f t="shared" si="0"/>
        <v>0</v>
      </c>
      <c r="Y29" s="30">
        <f t="shared" si="1"/>
        <v>0</v>
      </c>
      <c r="Z29" s="30">
        <f t="shared" si="2"/>
        <v>0</v>
      </c>
      <c r="AB29" s="31" t="s">
        <v>1008</v>
      </c>
      <c r="AC29" s="56" t="s">
        <v>796</v>
      </c>
      <c r="AD29" s="47" t="s">
        <v>381</v>
      </c>
      <c r="AE29" s="161" t="s">
        <v>240</v>
      </c>
      <c r="AF29" s="42" t="s">
        <v>6</v>
      </c>
      <c r="AG29" s="4"/>
      <c r="AH29" s="4"/>
      <c r="AI29" s="4"/>
      <c r="AJ29" s="4"/>
      <c r="AK29" s="5"/>
      <c r="AL29" s="4"/>
      <c r="AM29" s="4"/>
      <c r="AN29" s="4"/>
      <c r="AO29" s="4"/>
      <c r="AP29" s="13"/>
      <c r="AQ29" s="13"/>
      <c r="AR29" s="13"/>
      <c r="AS29" s="13"/>
      <c r="AT29" s="13"/>
      <c r="AU29" s="13"/>
      <c r="AV29" s="4"/>
      <c r="AW29" s="4"/>
      <c r="AX29" s="4"/>
      <c r="AY29" s="30">
        <f t="shared" si="3"/>
        <v>0</v>
      </c>
      <c r="AZ29" s="30">
        <f t="shared" si="4"/>
        <v>0</v>
      </c>
      <c r="BA29" s="30">
        <f t="shared" si="5"/>
        <v>0</v>
      </c>
      <c r="BC29" s="31" t="s">
        <v>906</v>
      </c>
      <c r="BD29" s="56" t="s">
        <v>683</v>
      </c>
      <c r="BE29" s="43" t="s">
        <v>287</v>
      </c>
      <c r="BF29" s="127" t="s">
        <v>237</v>
      </c>
      <c r="BG29" s="35" t="s">
        <v>6</v>
      </c>
      <c r="BH29" s="3"/>
      <c r="BI29" s="3"/>
      <c r="BJ29" s="3"/>
      <c r="BK29" s="5"/>
      <c r="BL29" s="5">
        <v>2</v>
      </c>
      <c r="BM29" s="4"/>
      <c r="BN29" s="4"/>
      <c r="BO29" s="5">
        <v>2</v>
      </c>
      <c r="BP29" s="4"/>
      <c r="BQ29" s="13"/>
      <c r="BR29" s="5">
        <v>3</v>
      </c>
      <c r="BS29" s="4"/>
      <c r="BT29" s="13"/>
      <c r="BU29" s="14"/>
      <c r="BV29" s="13"/>
      <c r="BW29" s="4"/>
      <c r="BX29" s="5"/>
      <c r="BY29" s="4"/>
      <c r="BZ29" s="30">
        <f t="shared" si="6"/>
        <v>0</v>
      </c>
      <c r="CA29" s="30">
        <f t="shared" si="7"/>
        <v>7</v>
      </c>
      <c r="CB29" s="30">
        <f t="shared" si="8"/>
        <v>0</v>
      </c>
    </row>
    <row r="30" spans="1:80" ht="15.5" x14ac:dyDescent="0.35">
      <c r="A30" s="31" t="s">
        <v>905</v>
      </c>
      <c r="B30" s="56" t="s">
        <v>682</v>
      </c>
      <c r="C30" s="43" t="s">
        <v>286</v>
      </c>
      <c r="D30" s="127" t="s">
        <v>237</v>
      </c>
      <c r="E30" s="35" t="s">
        <v>6</v>
      </c>
      <c r="F30" s="3"/>
      <c r="G30" s="3">
        <v>1</v>
      </c>
      <c r="H30" s="3"/>
      <c r="I30" s="5"/>
      <c r="J30" s="5">
        <v>2</v>
      </c>
      <c r="K30" s="4"/>
      <c r="L30" s="4"/>
      <c r="M30" s="5">
        <v>2</v>
      </c>
      <c r="N30" s="4"/>
      <c r="O30" s="13"/>
      <c r="P30" s="5">
        <v>3</v>
      </c>
      <c r="Q30" s="4"/>
      <c r="R30" s="13"/>
      <c r="S30" s="14">
        <v>4</v>
      </c>
      <c r="T30" s="13"/>
      <c r="U30" s="4"/>
      <c r="V30" s="5"/>
      <c r="W30" s="4"/>
      <c r="X30" s="30">
        <f t="shared" si="0"/>
        <v>0</v>
      </c>
      <c r="Y30" s="30">
        <f t="shared" si="1"/>
        <v>12</v>
      </c>
      <c r="Z30" s="30">
        <f t="shared" si="2"/>
        <v>0</v>
      </c>
      <c r="AB30" s="31" t="s">
        <v>1014</v>
      </c>
      <c r="AC30" s="56" t="s">
        <v>802</v>
      </c>
      <c r="AD30" s="47" t="s">
        <v>387</v>
      </c>
      <c r="AE30" s="161" t="s">
        <v>240</v>
      </c>
      <c r="AF30" s="42" t="s">
        <v>6</v>
      </c>
      <c r="AG30" s="4">
        <v>1</v>
      </c>
      <c r="AH30" s="5"/>
      <c r="AI30" s="4"/>
      <c r="AJ30" s="4"/>
      <c r="AK30" s="4"/>
      <c r="AL30" s="4"/>
      <c r="AM30" s="4"/>
      <c r="AN30" s="4"/>
      <c r="AO30" s="4"/>
      <c r="AP30" s="13"/>
      <c r="AQ30" s="13"/>
      <c r="AR30" s="13"/>
      <c r="AS30" s="13"/>
      <c r="AT30" s="13"/>
      <c r="AU30" s="13"/>
      <c r="AV30" s="4"/>
      <c r="AW30" s="4"/>
      <c r="AX30" s="4"/>
      <c r="AY30" s="30">
        <f t="shared" si="3"/>
        <v>1</v>
      </c>
      <c r="AZ30" s="30">
        <f t="shared" si="4"/>
        <v>0</v>
      </c>
      <c r="BA30" s="30">
        <f t="shared" si="5"/>
        <v>0</v>
      </c>
      <c r="BC30" s="31" t="s">
        <v>907</v>
      </c>
      <c r="BD30" s="56" t="s">
        <v>684</v>
      </c>
      <c r="BE30" s="45" t="s">
        <v>685</v>
      </c>
      <c r="BF30" s="127" t="s">
        <v>237</v>
      </c>
      <c r="BG30" s="35" t="s">
        <v>6</v>
      </c>
      <c r="BH30" s="3"/>
      <c r="BI30" s="3"/>
      <c r="BJ30" s="3"/>
      <c r="BK30" s="5"/>
      <c r="BL30" s="5">
        <v>1</v>
      </c>
      <c r="BM30" s="4"/>
      <c r="BN30" s="4"/>
      <c r="BO30" s="5"/>
      <c r="BP30" s="4"/>
      <c r="BQ30" s="13">
        <v>1</v>
      </c>
      <c r="BR30" s="5">
        <v>1</v>
      </c>
      <c r="BS30" s="4"/>
      <c r="BT30" s="13"/>
      <c r="BU30" s="14">
        <v>1</v>
      </c>
      <c r="BV30" s="13"/>
      <c r="BW30" s="4"/>
      <c r="BX30" s="5">
        <v>1</v>
      </c>
      <c r="BY30" s="4"/>
      <c r="BZ30" s="30">
        <f t="shared" si="6"/>
        <v>1</v>
      </c>
      <c r="CA30" s="30">
        <f t="shared" si="7"/>
        <v>4</v>
      </c>
      <c r="CB30" s="30">
        <f t="shared" si="8"/>
        <v>0</v>
      </c>
    </row>
    <row r="31" spans="1:80" ht="15.5" x14ac:dyDescent="0.35">
      <c r="A31" s="31" t="s">
        <v>906</v>
      </c>
      <c r="B31" s="56" t="s">
        <v>683</v>
      </c>
      <c r="C31" s="43" t="s">
        <v>287</v>
      </c>
      <c r="D31" s="127" t="s">
        <v>237</v>
      </c>
      <c r="E31" s="35" t="s">
        <v>6</v>
      </c>
      <c r="F31" s="3"/>
      <c r="G31" s="3"/>
      <c r="H31" s="3"/>
      <c r="I31" s="5"/>
      <c r="J31" s="5">
        <v>2</v>
      </c>
      <c r="K31" s="4"/>
      <c r="L31" s="4"/>
      <c r="M31" s="5">
        <v>2</v>
      </c>
      <c r="N31" s="4"/>
      <c r="O31" s="13"/>
      <c r="P31" s="5">
        <v>3</v>
      </c>
      <c r="Q31" s="4"/>
      <c r="R31" s="13"/>
      <c r="S31" s="14"/>
      <c r="T31" s="13"/>
      <c r="U31" s="4"/>
      <c r="V31" s="5"/>
      <c r="W31" s="4"/>
      <c r="X31" s="30">
        <f t="shared" si="0"/>
        <v>0</v>
      </c>
      <c r="Y31" s="30">
        <f t="shared" si="1"/>
        <v>7</v>
      </c>
      <c r="Z31" s="30">
        <f t="shared" si="2"/>
        <v>0</v>
      </c>
      <c r="AB31" s="31" t="s">
        <v>1017</v>
      </c>
      <c r="AC31" s="56" t="s">
        <v>805</v>
      </c>
      <c r="AD31" s="47" t="s">
        <v>806</v>
      </c>
      <c r="AE31" s="161" t="s">
        <v>240</v>
      </c>
      <c r="AF31" s="42" t="s">
        <v>6</v>
      </c>
      <c r="AG31" s="4"/>
      <c r="AH31" s="4"/>
      <c r="AI31" s="4"/>
      <c r="AJ31" s="4"/>
      <c r="AK31" s="5"/>
      <c r="AL31" s="4"/>
      <c r="AM31" s="4"/>
      <c r="AN31" s="4"/>
      <c r="AO31" s="4"/>
      <c r="AP31" s="13"/>
      <c r="AQ31" s="13"/>
      <c r="AR31" s="13"/>
      <c r="AS31" s="13"/>
      <c r="AT31" s="13"/>
      <c r="AU31" s="13"/>
      <c r="AV31" s="4"/>
      <c r="AW31" s="4"/>
      <c r="AX31" s="4"/>
      <c r="AY31" s="30">
        <f t="shared" si="3"/>
        <v>0</v>
      </c>
      <c r="AZ31" s="30">
        <f t="shared" si="4"/>
        <v>0</v>
      </c>
      <c r="BA31" s="30">
        <f t="shared" si="5"/>
        <v>0</v>
      </c>
      <c r="BC31" s="31" t="s">
        <v>909</v>
      </c>
      <c r="BD31" s="56" t="s">
        <v>687</v>
      </c>
      <c r="BE31" s="43" t="s">
        <v>289</v>
      </c>
      <c r="BF31" s="127" t="s">
        <v>237</v>
      </c>
      <c r="BG31" s="35" t="s">
        <v>6</v>
      </c>
      <c r="BH31" s="3"/>
      <c r="BI31" s="3"/>
      <c r="BJ31" s="3"/>
      <c r="BK31" s="5"/>
      <c r="BL31" s="5">
        <v>3</v>
      </c>
      <c r="BM31" s="4"/>
      <c r="BN31" s="4"/>
      <c r="BO31" s="5">
        <v>2</v>
      </c>
      <c r="BP31" s="4"/>
      <c r="BQ31" s="13"/>
      <c r="BR31" s="5">
        <v>2</v>
      </c>
      <c r="BS31" s="4"/>
      <c r="BT31" s="13"/>
      <c r="BU31" s="14">
        <v>2</v>
      </c>
      <c r="BV31" s="13"/>
      <c r="BW31" s="4"/>
      <c r="BX31" s="5"/>
      <c r="BY31" s="4"/>
      <c r="BZ31" s="30">
        <f t="shared" si="6"/>
        <v>0</v>
      </c>
      <c r="CA31" s="30">
        <f t="shared" si="7"/>
        <v>9</v>
      </c>
      <c r="CB31" s="30">
        <f t="shared" si="8"/>
        <v>0</v>
      </c>
    </row>
    <row r="32" spans="1:80" ht="15.5" x14ac:dyDescent="0.35">
      <c r="A32" s="31" t="s">
        <v>909</v>
      </c>
      <c r="B32" s="56" t="s">
        <v>687</v>
      </c>
      <c r="C32" s="43" t="s">
        <v>289</v>
      </c>
      <c r="D32" s="127" t="s">
        <v>237</v>
      </c>
      <c r="E32" s="35" t="s">
        <v>6</v>
      </c>
      <c r="F32" s="3"/>
      <c r="G32" s="3"/>
      <c r="H32" s="3"/>
      <c r="I32" s="5"/>
      <c r="J32" s="5">
        <v>3</v>
      </c>
      <c r="K32" s="4"/>
      <c r="L32" s="4"/>
      <c r="M32" s="5">
        <v>2</v>
      </c>
      <c r="N32" s="4"/>
      <c r="O32" s="13"/>
      <c r="P32" s="5">
        <v>2</v>
      </c>
      <c r="Q32" s="4"/>
      <c r="R32" s="13"/>
      <c r="S32" s="14">
        <v>2</v>
      </c>
      <c r="T32" s="13"/>
      <c r="U32" s="4"/>
      <c r="V32" s="5"/>
      <c r="W32" s="4"/>
      <c r="X32" s="30">
        <f t="shared" si="0"/>
        <v>0</v>
      </c>
      <c r="Y32" s="30">
        <f t="shared" si="1"/>
        <v>9</v>
      </c>
      <c r="Z32" s="30">
        <f t="shared" si="2"/>
        <v>0</v>
      </c>
      <c r="AB32" s="31" t="s">
        <v>1045</v>
      </c>
      <c r="AC32" s="56" t="s">
        <v>824</v>
      </c>
      <c r="AD32" s="58" t="s">
        <v>403</v>
      </c>
      <c r="AE32" s="142" t="s">
        <v>1039</v>
      </c>
      <c r="AF32" s="42" t="s">
        <v>8</v>
      </c>
      <c r="AG32" s="4"/>
      <c r="AH32" s="5"/>
      <c r="AI32" s="4"/>
      <c r="AJ32" s="4"/>
      <c r="AK32" s="5"/>
      <c r="AL32" s="4"/>
      <c r="AM32" s="4"/>
      <c r="AN32" s="4"/>
      <c r="AO32" s="4"/>
      <c r="AP32" s="13"/>
      <c r="AQ32" s="13"/>
      <c r="AR32" s="13"/>
      <c r="AS32" s="13"/>
      <c r="AT32" s="13"/>
      <c r="AU32" s="13"/>
      <c r="AV32" s="4"/>
      <c r="AW32" s="4"/>
      <c r="AX32" s="4"/>
      <c r="AY32" s="30">
        <f t="shared" si="3"/>
        <v>0</v>
      </c>
      <c r="AZ32" s="30">
        <f t="shared" si="4"/>
        <v>0</v>
      </c>
      <c r="BA32" s="30">
        <f t="shared" si="5"/>
        <v>0</v>
      </c>
      <c r="BC32" s="31" t="s">
        <v>910</v>
      </c>
      <c r="BD32" s="56" t="s">
        <v>688</v>
      </c>
      <c r="BE32" s="43" t="s">
        <v>290</v>
      </c>
      <c r="BF32" s="127" t="s">
        <v>237</v>
      </c>
      <c r="BG32" s="35" t="s">
        <v>6</v>
      </c>
      <c r="BH32" s="3"/>
      <c r="BI32" s="3"/>
      <c r="BJ32" s="3"/>
      <c r="BK32" s="5"/>
      <c r="BL32" s="5"/>
      <c r="BM32" s="4"/>
      <c r="BN32" s="4"/>
      <c r="BO32" s="5">
        <v>2</v>
      </c>
      <c r="BP32" s="4"/>
      <c r="BQ32" s="13"/>
      <c r="BR32" s="5"/>
      <c r="BS32" s="4"/>
      <c r="BT32" s="13"/>
      <c r="BU32" s="14">
        <v>2</v>
      </c>
      <c r="BV32" s="13"/>
      <c r="BW32" s="4"/>
      <c r="BX32" s="5"/>
      <c r="BY32" s="4"/>
      <c r="BZ32" s="30">
        <f t="shared" si="6"/>
        <v>0</v>
      </c>
      <c r="CA32" s="30">
        <f t="shared" si="7"/>
        <v>4</v>
      </c>
      <c r="CB32" s="30">
        <f t="shared" si="8"/>
        <v>0</v>
      </c>
    </row>
    <row r="33" spans="1:80" ht="15.5" x14ac:dyDescent="0.35">
      <c r="A33" s="31" t="s">
        <v>910</v>
      </c>
      <c r="B33" s="56" t="s">
        <v>688</v>
      </c>
      <c r="C33" s="43" t="s">
        <v>290</v>
      </c>
      <c r="D33" s="127" t="s">
        <v>237</v>
      </c>
      <c r="E33" s="35" t="s">
        <v>6</v>
      </c>
      <c r="F33" s="3"/>
      <c r="G33" s="3"/>
      <c r="H33" s="3"/>
      <c r="I33" s="5"/>
      <c r="J33" s="5"/>
      <c r="K33" s="4"/>
      <c r="L33" s="4"/>
      <c r="M33" s="5">
        <v>2</v>
      </c>
      <c r="N33" s="4"/>
      <c r="O33" s="13"/>
      <c r="P33" s="5"/>
      <c r="Q33" s="4"/>
      <c r="R33" s="13"/>
      <c r="S33" s="14">
        <v>2</v>
      </c>
      <c r="T33" s="13"/>
      <c r="U33" s="4"/>
      <c r="V33" s="5"/>
      <c r="W33" s="4"/>
      <c r="X33" s="30">
        <f t="shared" si="0"/>
        <v>0</v>
      </c>
      <c r="Y33" s="30">
        <f t="shared" si="1"/>
        <v>4</v>
      </c>
      <c r="Z33" s="30">
        <f t="shared" si="2"/>
        <v>0</v>
      </c>
      <c r="AB33" s="31" t="s">
        <v>1050</v>
      </c>
      <c r="AC33" s="56" t="s">
        <v>830</v>
      </c>
      <c r="AD33" s="47" t="s">
        <v>407</v>
      </c>
      <c r="AE33" s="142" t="s">
        <v>1039</v>
      </c>
      <c r="AF33" s="42" t="s">
        <v>8</v>
      </c>
      <c r="AG33" s="4"/>
      <c r="AH33" s="4"/>
      <c r="AI33" s="4"/>
      <c r="AJ33" s="4"/>
      <c r="AK33" s="5"/>
      <c r="AL33" s="5"/>
      <c r="AM33" s="4"/>
      <c r="AN33" s="4"/>
      <c r="AO33" s="4"/>
      <c r="AP33" s="13"/>
      <c r="AQ33" s="13"/>
      <c r="AR33" s="13"/>
      <c r="AS33" s="13"/>
      <c r="AT33" s="13"/>
      <c r="AU33" s="13"/>
      <c r="AV33" s="4"/>
      <c r="AW33" s="4"/>
      <c r="AX33" s="4"/>
      <c r="AY33" s="30">
        <f t="shared" si="3"/>
        <v>0</v>
      </c>
      <c r="AZ33" s="30">
        <f t="shared" si="4"/>
        <v>0</v>
      </c>
      <c r="BA33" s="30">
        <f t="shared" si="5"/>
        <v>0</v>
      </c>
      <c r="BC33" s="31" t="s">
        <v>911</v>
      </c>
      <c r="BD33" s="56" t="s">
        <v>689</v>
      </c>
      <c r="BE33" s="36" t="s">
        <v>291</v>
      </c>
      <c r="BF33" s="127" t="s">
        <v>237</v>
      </c>
      <c r="BG33" s="35" t="s">
        <v>6</v>
      </c>
      <c r="BH33" s="3"/>
      <c r="BI33" s="3">
        <v>1</v>
      </c>
      <c r="BJ33" s="3"/>
      <c r="BK33" s="5"/>
      <c r="BL33" s="5">
        <v>3</v>
      </c>
      <c r="BM33" s="4"/>
      <c r="BN33" s="4"/>
      <c r="BO33" s="5">
        <v>1</v>
      </c>
      <c r="BP33" s="4"/>
      <c r="BQ33" s="13"/>
      <c r="BR33" s="5"/>
      <c r="BS33" s="4"/>
      <c r="BT33" s="13"/>
      <c r="BU33" s="14">
        <v>4</v>
      </c>
      <c r="BV33" s="13"/>
      <c r="BW33" s="4">
        <v>1</v>
      </c>
      <c r="BX33" s="5">
        <v>1</v>
      </c>
      <c r="BY33" s="4"/>
      <c r="BZ33" s="30">
        <f t="shared" si="6"/>
        <v>1</v>
      </c>
      <c r="CA33" s="30">
        <f t="shared" si="7"/>
        <v>10</v>
      </c>
      <c r="CB33" s="30">
        <f t="shared" si="8"/>
        <v>0</v>
      </c>
    </row>
    <row r="34" spans="1:80" ht="15.5" x14ac:dyDescent="0.35">
      <c r="A34" s="31" t="s">
        <v>913</v>
      </c>
      <c r="B34" s="56" t="s">
        <v>691</v>
      </c>
      <c r="C34" s="36" t="s">
        <v>293</v>
      </c>
      <c r="D34" s="127" t="s">
        <v>237</v>
      </c>
      <c r="E34" s="35" t="s">
        <v>6</v>
      </c>
      <c r="F34" s="3"/>
      <c r="G34" s="3"/>
      <c r="H34" s="3"/>
      <c r="I34" s="5"/>
      <c r="J34" s="5">
        <v>2</v>
      </c>
      <c r="K34" s="4"/>
      <c r="L34" s="4"/>
      <c r="M34" s="5"/>
      <c r="N34" s="4"/>
      <c r="O34" s="13"/>
      <c r="P34" s="5">
        <v>3</v>
      </c>
      <c r="Q34" s="4"/>
      <c r="R34" s="13"/>
      <c r="S34" s="14"/>
      <c r="T34" s="13"/>
      <c r="U34" s="4"/>
      <c r="V34" s="5"/>
      <c r="W34" s="4"/>
      <c r="X34" s="30">
        <f t="shared" si="0"/>
        <v>0</v>
      </c>
      <c r="Y34" s="30">
        <f t="shared" si="1"/>
        <v>5</v>
      </c>
      <c r="Z34" s="30">
        <f t="shared" si="2"/>
        <v>0</v>
      </c>
      <c r="AB34" s="31" t="s">
        <v>1053</v>
      </c>
      <c r="AC34" s="56" t="s">
        <v>833</v>
      </c>
      <c r="AD34" s="47" t="s">
        <v>410</v>
      </c>
      <c r="AE34" s="142" t="s">
        <v>1039</v>
      </c>
      <c r="AF34" s="42" t="s">
        <v>8</v>
      </c>
      <c r="AG34" s="4"/>
      <c r="AH34" s="4"/>
      <c r="AI34" s="4"/>
      <c r="AJ34" s="4"/>
      <c r="AK34" s="5"/>
      <c r="AL34" s="4"/>
      <c r="AM34" s="4"/>
      <c r="AN34" s="4"/>
      <c r="AO34" s="4"/>
      <c r="AP34" s="13"/>
      <c r="AQ34" s="13"/>
      <c r="AR34" s="13"/>
      <c r="AS34" s="13"/>
      <c r="AT34" s="13"/>
      <c r="AU34" s="13"/>
      <c r="AV34" s="4"/>
      <c r="AW34" s="4"/>
      <c r="AX34" s="4"/>
      <c r="AY34" s="30">
        <f t="shared" si="3"/>
        <v>0</v>
      </c>
      <c r="AZ34" s="30">
        <f t="shared" si="4"/>
        <v>0</v>
      </c>
      <c r="BA34" s="30">
        <f t="shared" si="5"/>
        <v>0</v>
      </c>
      <c r="BC34" s="31" t="s">
        <v>912</v>
      </c>
      <c r="BD34" s="56" t="s">
        <v>690</v>
      </c>
      <c r="BE34" s="36" t="s">
        <v>292</v>
      </c>
      <c r="BF34" s="127" t="s">
        <v>237</v>
      </c>
      <c r="BG34" s="35" t="s">
        <v>6</v>
      </c>
      <c r="BH34" s="3"/>
      <c r="BI34" s="3"/>
      <c r="BJ34" s="3"/>
      <c r="BK34" s="5"/>
      <c r="BL34" s="5"/>
      <c r="BM34" s="4"/>
      <c r="BN34" s="4"/>
      <c r="BO34" s="5"/>
      <c r="BP34" s="4"/>
      <c r="BQ34" s="13">
        <v>1</v>
      </c>
      <c r="BR34" s="5"/>
      <c r="BS34" s="4"/>
      <c r="BT34" s="13"/>
      <c r="BU34" s="14"/>
      <c r="BV34" s="13"/>
      <c r="BW34" s="4"/>
      <c r="BX34" s="5">
        <v>1</v>
      </c>
      <c r="BY34" s="4"/>
      <c r="BZ34" s="30">
        <f t="shared" si="6"/>
        <v>1</v>
      </c>
      <c r="CA34" s="30">
        <f t="shared" si="7"/>
        <v>1</v>
      </c>
      <c r="CB34" s="30">
        <f t="shared" si="8"/>
        <v>0</v>
      </c>
    </row>
    <row r="35" spans="1:80" ht="15.5" x14ac:dyDescent="0.35">
      <c r="A35" s="31" t="s">
        <v>914</v>
      </c>
      <c r="B35" s="56" t="s">
        <v>692</v>
      </c>
      <c r="C35" s="36" t="s">
        <v>294</v>
      </c>
      <c r="D35" s="127" t="s">
        <v>237</v>
      </c>
      <c r="E35" s="35" t="s">
        <v>6</v>
      </c>
      <c r="F35" s="3"/>
      <c r="G35" s="3"/>
      <c r="H35" s="3"/>
      <c r="I35" s="5"/>
      <c r="J35" s="5"/>
      <c r="K35" s="4"/>
      <c r="L35" s="4"/>
      <c r="M35" s="5"/>
      <c r="N35" s="4"/>
      <c r="O35" s="13"/>
      <c r="P35" s="5">
        <v>3</v>
      </c>
      <c r="Q35" s="4"/>
      <c r="R35" s="13"/>
      <c r="S35" s="14">
        <v>1</v>
      </c>
      <c r="T35" s="13"/>
      <c r="U35" s="4"/>
      <c r="V35" s="5"/>
      <c r="W35" s="4"/>
      <c r="X35" s="30">
        <f t="shared" si="0"/>
        <v>0</v>
      </c>
      <c r="Y35" s="30">
        <f t="shared" si="1"/>
        <v>4</v>
      </c>
      <c r="Z35" s="30">
        <f t="shared" si="2"/>
        <v>0</v>
      </c>
      <c r="AB35" s="31" t="s">
        <v>1055</v>
      </c>
      <c r="AC35" s="56" t="s">
        <v>835</v>
      </c>
      <c r="AD35" s="47" t="s">
        <v>412</v>
      </c>
      <c r="AE35" s="142" t="s">
        <v>1039</v>
      </c>
      <c r="AF35" s="42" t="s">
        <v>8</v>
      </c>
      <c r="AG35" s="4"/>
      <c r="AH35" s="4"/>
      <c r="AI35" s="4"/>
      <c r="AJ35" s="4"/>
      <c r="AK35" s="4"/>
      <c r="AL35" s="4"/>
      <c r="AM35" s="4"/>
      <c r="AN35" s="4"/>
      <c r="AO35" s="4"/>
      <c r="AP35" s="13">
        <v>1</v>
      </c>
      <c r="AQ35" s="13"/>
      <c r="AR35" s="13"/>
      <c r="AS35" s="13"/>
      <c r="AT35" s="13"/>
      <c r="AU35" s="13"/>
      <c r="AV35" s="4"/>
      <c r="AW35" s="4"/>
      <c r="AX35" s="4"/>
      <c r="AY35" s="30">
        <f t="shared" si="3"/>
        <v>1</v>
      </c>
      <c r="AZ35" s="30">
        <f t="shared" si="4"/>
        <v>0</v>
      </c>
      <c r="BA35" s="30">
        <f t="shared" si="5"/>
        <v>0</v>
      </c>
      <c r="BC35" s="31" t="s">
        <v>913</v>
      </c>
      <c r="BD35" s="56" t="s">
        <v>691</v>
      </c>
      <c r="BE35" s="36" t="s">
        <v>293</v>
      </c>
      <c r="BF35" s="127" t="s">
        <v>237</v>
      </c>
      <c r="BG35" s="35" t="s">
        <v>6</v>
      </c>
      <c r="BH35" s="3"/>
      <c r="BI35" s="3"/>
      <c r="BJ35" s="3"/>
      <c r="BK35" s="5"/>
      <c r="BL35" s="5">
        <v>2</v>
      </c>
      <c r="BM35" s="4"/>
      <c r="BN35" s="4"/>
      <c r="BO35" s="5"/>
      <c r="BP35" s="4"/>
      <c r="BQ35" s="13"/>
      <c r="BR35" s="5">
        <v>3</v>
      </c>
      <c r="BS35" s="4"/>
      <c r="BT35" s="13"/>
      <c r="BU35" s="14"/>
      <c r="BV35" s="13"/>
      <c r="BW35" s="4"/>
      <c r="BX35" s="5"/>
      <c r="BY35" s="4"/>
      <c r="BZ35" s="30">
        <f t="shared" si="6"/>
        <v>0</v>
      </c>
      <c r="CA35" s="30">
        <f t="shared" si="7"/>
        <v>5</v>
      </c>
      <c r="CB35" s="30">
        <f t="shared" si="8"/>
        <v>0</v>
      </c>
    </row>
    <row r="36" spans="1:80" ht="15.5" x14ac:dyDescent="0.35">
      <c r="A36" s="31" t="s">
        <v>916</v>
      </c>
      <c r="B36" s="56" t="s">
        <v>695</v>
      </c>
      <c r="C36" s="43" t="s">
        <v>296</v>
      </c>
      <c r="D36" s="127" t="s">
        <v>237</v>
      </c>
      <c r="E36" s="35" t="s">
        <v>6</v>
      </c>
      <c r="F36" s="3"/>
      <c r="G36" s="3"/>
      <c r="H36" s="3"/>
      <c r="I36" s="5"/>
      <c r="J36" s="5">
        <v>1</v>
      </c>
      <c r="K36" s="4"/>
      <c r="L36" s="4"/>
      <c r="M36" s="5">
        <v>1</v>
      </c>
      <c r="N36" s="4"/>
      <c r="O36" s="13"/>
      <c r="P36" s="5">
        <v>2</v>
      </c>
      <c r="Q36" s="4"/>
      <c r="R36" s="13"/>
      <c r="S36" s="14">
        <v>1</v>
      </c>
      <c r="T36" s="13"/>
      <c r="U36" s="4"/>
      <c r="V36" s="5"/>
      <c r="W36" s="4"/>
      <c r="X36" s="30">
        <f t="shared" si="0"/>
        <v>0</v>
      </c>
      <c r="Y36" s="30">
        <f t="shared" si="1"/>
        <v>5</v>
      </c>
      <c r="Z36" s="30">
        <f t="shared" si="2"/>
        <v>0</v>
      </c>
      <c r="AB36" s="31" t="s">
        <v>1061</v>
      </c>
      <c r="AC36" s="56" t="s">
        <v>841</v>
      </c>
      <c r="AD36" s="47" t="s">
        <v>418</v>
      </c>
      <c r="AE36" s="142" t="s">
        <v>1039</v>
      </c>
      <c r="AF36" s="42" t="s">
        <v>6</v>
      </c>
      <c r="AG36" s="4"/>
      <c r="AH36" s="4"/>
      <c r="AI36" s="4"/>
      <c r="AJ36" s="4"/>
      <c r="AK36" s="4"/>
      <c r="AL36" s="4"/>
      <c r="AM36" s="4"/>
      <c r="AN36" s="4"/>
      <c r="AO36" s="4"/>
      <c r="AP36" s="13"/>
      <c r="AQ36" s="13"/>
      <c r="AR36" s="13"/>
      <c r="AS36" s="13"/>
      <c r="AT36" s="13"/>
      <c r="AU36" s="13"/>
      <c r="AV36" s="4"/>
      <c r="AW36" s="4"/>
      <c r="AX36" s="4"/>
      <c r="AY36" s="30">
        <f t="shared" si="3"/>
        <v>0</v>
      </c>
      <c r="AZ36" s="30">
        <f t="shared" si="4"/>
        <v>0</v>
      </c>
      <c r="BA36" s="30">
        <f t="shared" si="5"/>
        <v>0</v>
      </c>
      <c r="BC36" s="31" t="s">
        <v>914</v>
      </c>
      <c r="BD36" s="56" t="s">
        <v>692</v>
      </c>
      <c r="BE36" s="36" t="s">
        <v>294</v>
      </c>
      <c r="BF36" s="127" t="s">
        <v>237</v>
      </c>
      <c r="BG36" s="35" t="s">
        <v>6</v>
      </c>
      <c r="BH36" s="3"/>
      <c r="BI36" s="3"/>
      <c r="BJ36" s="3"/>
      <c r="BK36" s="5"/>
      <c r="BL36" s="5"/>
      <c r="BM36" s="4"/>
      <c r="BN36" s="4"/>
      <c r="BO36" s="5"/>
      <c r="BP36" s="4"/>
      <c r="BQ36" s="13"/>
      <c r="BR36" s="5">
        <v>3</v>
      </c>
      <c r="BS36" s="4"/>
      <c r="BT36" s="13"/>
      <c r="BU36" s="14">
        <v>1</v>
      </c>
      <c r="BV36" s="13"/>
      <c r="BW36" s="4"/>
      <c r="BX36" s="5"/>
      <c r="BY36" s="4"/>
      <c r="BZ36" s="30">
        <f t="shared" si="6"/>
        <v>0</v>
      </c>
      <c r="CA36" s="30">
        <f t="shared" si="7"/>
        <v>4</v>
      </c>
      <c r="CB36" s="30">
        <f t="shared" si="8"/>
        <v>0</v>
      </c>
    </row>
    <row r="37" spans="1:80" ht="15.5" x14ac:dyDescent="0.35">
      <c r="A37" s="31" t="s">
        <v>920</v>
      </c>
      <c r="B37" s="56" t="s">
        <v>699</v>
      </c>
      <c r="C37" s="43" t="s">
        <v>300</v>
      </c>
      <c r="D37" s="127" t="s">
        <v>237</v>
      </c>
      <c r="E37" s="35" t="s">
        <v>6</v>
      </c>
      <c r="F37" s="3"/>
      <c r="G37" s="3">
        <v>1</v>
      </c>
      <c r="H37" s="3"/>
      <c r="I37" s="5"/>
      <c r="J37" s="5">
        <v>1</v>
      </c>
      <c r="K37" s="4"/>
      <c r="L37" s="4"/>
      <c r="M37" s="5"/>
      <c r="N37" s="4"/>
      <c r="O37" s="13"/>
      <c r="P37" s="5">
        <v>2</v>
      </c>
      <c r="Q37" s="4"/>
      <c r="R37" s="13"/>
      <c r="S37" s="14">
        <v>1</v>
      </c>
      <c r="T37" s="13"/>
      <c r="U37" s="4"/>
      <c r="V37" s="5"/>
      <c r="W37" s="4"/>
      <c r="X37" s="30">
        <f t="shared" si="0"/>
        <v>0</v>
      </c>
      <c r="Y37" s="30">
        <f t="shared" si="1"/>
        <v>5</v>
      </c>
      <c r="Z37" s="30">
        <f t="shared" si="2"/>
        <v>0</v>
      </c>
      <c r="AB37" s="31" t="s">
        <v>1066</v>
      </c>
      <c r="AC37" s="56" t="s">
        <v>847</v>
      </c>
      <c r="AD37" s="47" t="s">
        <v>422</v>
      </c>
      <c r="AE37" s="142" t="s">
        <v>1039</v>
      </c>
      <c r="AF37" s="42" t="s">
        <v>8</v>
      </c>
      <c r="AG37" s="4"/>
      <c r="AH37" s="4"/>
      <c r="AI37" s="4"/>
      <c r="AJ37" s="4"/>
      <c r="AK37" s="5"/>
      <c r="AL37" s="4"/>
      <c r="AM37" s="4"/>
      <c r="AN37" s="4"/>
      <c r="AO37" s="4"/>
      <c r="AP37" s="13"/>
      <c r="AQ37" s="13"/>
      <c r="AR37" s="13"/>
      <c r="AS37" s="13"/>
      <c r="AT37" s="13"/>
      <c r="AU37" s="13"/>
      <c r="AV37" s="4"/>
      <c r="AW37" s="4"/>
      <c r="AX37" s="4"/>
      <c r="AY37" s="30">
        <f t="shared" si="3"/>
        <v>0</v>
      </c>
      <c r="AZ37" s="30">
        <f t="shared" si="4"/>
        <v>0</v>
      </c>
      <c r="BA37" s="30">
        <f t="shared" si="5"/>
        <v>0</v>
      </c>
      <c r="BC37" s="31" t="s">
        <v>916</v>
      </c>
      <c r="BD37" s="56" t="s">
        <v>695</v>
      </c>
      <c r="BE37" s="43" t="s">
        <v>296</v>
      </c>
      <c r="BF37" s="127" t="s">
        <v>237</v>
      </c>
      <c r="BG37" s="35" t="s">
        <v>6</v>
      </c>
      <c r="BH37" s="3"/>
      <c r="BI37" s="3"/>
      <c r="BJ37" s="3"/>
      <c r="BK37" s="5"/>
      <c r="BL37" s="5">
        <v>1</v>
      </c>
      <c r="BM37" s="4"/>
      <c r="BN37" s="4"/>
      <c r="BO37" s="5">
        <v>1</v>
      </c>
      <c r="BP37" s="4"/>
      <c r="BQ37" s="13"/>
      <c r="BR37" s="5">
        <v>2</v>
      </c>
      <c r="BS37" s="4"/>
      <c r="BT37" s="13"/>
      <c r="BU37" s="14">
        <v>1</v>
      </c>
      <c r="BV37" s="13"/>
      <c r="BW37" s="4"/>
      <c r="BX37" s="5"/>
      <c r="BY37" s="4"/>
      <c r="BZ37" s="30">
        <f t="shared" si="6"/>
        <v>0</v>
      </c>
      <c r="CA37" s="30">
        <f t="shared" si="7"/>
        <v>5</v>
      </c>
      <c r="CB37" s="30">
        <f t="shared" si="8"/>
        <v>0</v>
      </c>
    </row>
    <row r="38" spans="1:80" ht="15.5" x14ac:dyDescent="0.35">
      <c r="A38" s="31" t="s">
        <v>923</v>
      </c>
      <c r="B38" s="56" t="s">
        <v>702</v>
      </c>
      <c r="C38" s="36" t="s">
        <v>303</v>
      </c>
      <c r="D38" s="127" t="s">
        <v>237</v>
      </c>
      <c r="E38" s="35" t="s">
        <v>6</v>
      </c>
      <c r="F38" s="3"/>
      <c r="G38" s="3"/>
      <c r="H38" s="3"/>
      <c r="I38" s="5"/>
      <c r="J38" s="5"/>
      <c r="K38" s="4"/>
      <c r="L38" s="4"/>
      <c r="M38" s="5"/>
      <c r="N38" s="4"/>
      <c r="O38" s="13"/>
      <c r="P38" s="5"/>
      <c r="Q38" s="4"/>
      <c r="R38" s="13"/>
      <c r="S38" s="14"/>
      <c r="T38" s="13"/>
      <c r="U38" s="4"/>
      <c r="V38" s="5"/>
      <c r="W38" s="4"/>
      <c r="X38" s="30">
        <f t="shared" si="0"/>
        <v>0</v>
      </c>
      <c r="Y38" s="30">
        <f t="shared" si="1"/>
        <v>0</v>
      </c>
      <c r="Z38" s="30">
        <f t="shared" si="2"/>
        <v>0</v>
      </c>
      <c r="AB38" s="31" t="s">
        <v>1068</v>
      </c>
      <c r="AC38" s="56" t="s">
        <v>849</v>
      </c>
      <c r="AD38" s="47" t="s">
        <v>424</v>
      </c>
      <c r="AE38" s="142" t="s">
        <v>1039</v>
      </c>
      <c r="AF38" s="42" t="s">
        <v>8</v>
      </c>
      <c r="AG38" s="4"/>
      <c r="AH38" s="4"/>
      <c r="AI38" s="4"/>
      <c r="AJ38" s="5"/>
      <c r="AK38" s="5"/>
      <c r="AL38" s="4"/>
      <c r="AM38" s="4">
        <v>1</v>
      </c>
      <c r="AN38" s="4"/>
      <c r="AO38" s="4"/>
      <c r="AP38" s="13"/>
      <c r="AQ38" s="13"/>
      <c r="AR38" s="13"/>
      <c r="AS38" s="13"/>
      <c r="AT38" s="13"/>
      <c r="AU38" s="13"/>
      <c r="AV38" s="4"/>
      <c r="AW38" s="4"/>
      <c r="AX38" s="4"/>
      <c r="AY38" s="30">
        <f t="shared" si="3"/>
        <v>1</v>
      </c>
      <c r="AZ38" s="30">
        <f t="shared" si="4"/>
        <v>0</v>
      </c>
      <c r="BA38" s="30">
        <f t="shared" si="5"/>
        <v>0</v>
      </c>
      <c r="BC38" s="31" t="s">
        <v>919</v>
      </c>
      <c r="BD38" s="56" t="s">
        <v>698</v>
      </c>
      <c r="BE38" s="70" t="s">
        <v>299</v>
      </c>
      <c r="BF38" s="127" t="s">
        <v>237</v>
      </c>
      <c r="BG38" s="35" t="s">
        <v>6</v>
      </c>
      <c r="BH38" s="3"/>
      <c r="BI38" s="3"/>
      <c r="BJ38" s="3"/>
      <c r="BK38" s="5"/>
      <c r="BL38" s="5"/>
      <c r="BM38" s="4"/>
      <c r="BN38" s="4"/>
      <c r="BO38" s="5"/>
      <c r="BP38" s="4"/>
      <c r="BQ38" s="13">
        <v>1</v>
      </c>
      <c r="BR38" s="5">
        <v>2</v>
      </c>
      <c r="BS38" s="4"/>
      <c r="BT38" s="13"/>
      <c r="BU38" s="14"/>
      <c r="BV38" s="13"/>
      <c r="BW38" s="4"/>
      <c r="BX38" s="5"/>
      <c r="BY38" s="4"/>
      <c r="BZ38" s="30">
        <f t="shared" si="6"/>
        <v>1</v>
      </c>
      <c r="CA38" s="30">
        <f t="shared" si="7"/>
        <v>2</v>
      </c>
      <c r="CB38" s="30">
        <f t="shared" si="8"/>
        <v>0</v>
      </c>
    </row>
    <row r="39" spans="1:80" ht="15.5" x14ac:dyDescent="0.35">
      <c r="A39" s="31" t="s">
        <v>924</v>
      </c>
      <c r="B39" s="56" t="s">
        <v>703</v>
      </c>
      <c r="C39" s="43" t="s">
        <v>304</v>
      </c>
      <c r="D39" s="127" t="s">
        <v>237</v>
      </c>
      <c r="E39" s="35" t="s">
        <v>6</v>
      </c>
      <c r="F39" s="3"/>
      <c r="G39" s="3"/>
      <c r="H39" s="6"/>
      <c r="I39" s="5"/>
      <c r="J39" s="5">
        <v>3</v>
      </c>
      <c r="K39" s="5"/>
      <c r="L39" s="4"/>
      <c r="M39" s="4">
        <v>2</v>
      </c>
      <c r="N39" s="5"/>
      <c r="O39" s="13"/>
      <c r="P39" s="4"/>
      <c r="Q39" s="5"/>
      <c r="R39" s="13"/>
      <c r="S39" s="13">
        <v>1</v>
      </c>
      <c r="T39" s="14"/>
      <c r="U39" s="4"/>
      <c r="V39" s="4">
        <v>1</v>
      </c>
      <c r="W39" s="5"/>
      <c r="X39" s="30">
        <f t="shared" si="0"/>
        <v>0</v>
      </c>
      <c r="Y39" s="30">
        <f t="shared" si="1"/>
        <v>7</v>
      </c>
      <c r="Z39" s="30">
        <f t="shared" si="2"/>
        <v>0</v>
      </c>
      <c r="AB39" s="31" t="s">
        <v>21</v>
      </c>
      <c r="AC39" s="56" t="s">
        <v>630</v>
      </c>
      <c r="AD39" s="36" t="s">
        <v>246</v>
      </c>
      <c r="AE39" s="127" t="s">
        <v>231</v>
      </c>
      <c r="AF39" s="35" t="s">
        <v>6</v>
      </c>
      <c r="AG39" s="3">
        <v>1</v>
      </c>
      <c r="AH39" s="3"/>
      <c r="AI39" s="3"/>
      <c r="AJ39" s="4"/>
      <c r="AK39" s="4"/>
      <c r="AL39" s="4">
        <v>2</v>
      </c>
      <c r="AM39" s="4"/>
      <c r="AN39" s="4"/>
      <c r="AO39" s="4">
        <v>2</v>
      </c>
      <c r="AP39" s="13">
        <v>2</v>
      </c>
      <c r="AQ39" s="4"/>
      <c r="AR39" s="4">
        <v>1</v>
      </c>
      <c r="AS39" s="4">
        <v>1</v>
      </c>
      <c r="AT39" s="4">
        <v>1</v>
      </c>
      <c r="AU39" s="4">
        <v>3</v>
      </c>
      <c r="AV39" s="4"/>
      <c r="AW39" s="4"/>
      <c r="AX39" s="4"/>
      <c r="AY39" s="30">
        <f t="shared" si="3"/>
        <v>4</v>
      </c>
      <c r="AZ39" s="30">
        <f t="shared" si="4"/>
        <v>1</v>
      </c>
      <c r="BA39" s="30">
        <f t="shared" si="5"/>
        <v>8</v>
      </c>
      <c r="BC39" s="31" t="s">
        <v>920</v>
      </c>
      <c r="BD39" s="56" t="s">
        <v>699</v>
      </c>
      <c r="BE39" s="43" t="s">
        <v>300</v>
      </c>
      <c r="BF39" s="127" t="s">
        <v>237</v>
      </c>
      <c r="BG39" s="35" t="s">
        <v>6</v>
      </c>
      <c r="BH39" s="3"/>
      <c r="BI39" s="3">
        <v>1</v>
      </c>
      <c r="BJ39" s="3"/>
      <c r="BK39" s="5"/>
      <c r="BL39" s="5">
        <v>1</v>
      </c>
      <c r="BM39" s="4"/>
      <c r="BN39" s="4"/>
      <c r="BO39" s="5"/>
      <c r="BP39" s="4"/>
      <c r="BQ39" s="13"/>
      <c r="BR39" s="5">
        <v>2</v>
      </c>
      <c r="BS39" s="4"/>
      <c r="BT39" s="13"/>
      <c r="BU39" s="14">
        <v>1</v>
      </c>
      <c r="BV39" s="13"/>
      <c r="BW39" s="4"/>
      <c r="BX39" s="5"/>
      <c r="BY39" s="4"/>
      <c r="BZ39" s="30">
        <f t="shared" si="6"/>
        <v>0</v>
      </c>
      <c r="CA39" s="30">
        <f t="shared" si="7"/>
        <v>5</v>
      </c>
      <c r="CB39" s="30">
        <f t="shared" si="8"/>
        <v>0</v>
      </c>
    </row>
    <row r="40" spans="1:80" ht="15.5" x14ac:dyDescent="0.35">
      <c r="A40" s="31" t="s">
        <v>925</v>
      </c>
      <c r="B40" s="56" t="s">
        <v>704</v>
      </c>
      <c r="C40" s="36" t="s">
        <v>305</v>
      </c>
      <c r="D40" s="127" t="s">
        <v>237</v>
      </c>
      <c r="E40" s="35" t="s">
        <v>6</v>
      </c>
      <c r="F40" s="3"/>
      <c r="G40" s="3">
        <v>1</v>
      </c>
      <c r="H40" s="3"/>
      <c r="I40" s="4"/>
      <c r="J40" s="5">
        <v>2</v>
      </c>
      <c r="K40" s="4"/>
      <c r="L40" s="4"/>
      <c r="M40" s="4"/>
      <c r="N40" s="4"/>
      <c r="O40" s="13"/>
      <c r="P40" s="4"/>
      <c r="Q40" s="4"/>
      <c r="R40" s="13"/>
      <c r="S40" s="13">
        <v>1</v>
      </c>
      <c r="T40" s="13">
        <v>2</v>
      </c>
      <c r="U40" s="4"/>
      <c r="V40" s="4"/>
      <c r="W40" s="4"/>
      <c r="X40" s="30">
        <f t="shared" si="0"/>
        <v>0</v>
      </c>
      <c r="Y40" s="30">
        <f t="shared" si="1"/>
        <v>4</v>
      </c>
      <c r="Z40" s="30">
        <f t="shared" si="2"/>
        <v>2</v>
      </c>
      <c r="AB40" s="31" t="s">
        <v>26</v>
      </c>
      <c r="AC40" s="56" t="s">
        <v>635</v>
      </c>
      <c r="AD40" s="36" t="s">
        <v>250</v>
      </c>
      <c r="AE40" s="127" t="s">
        <v>231</v>
      </c>
      <c r="AF40" s="35" t="s">
        <v>6</v>
      </c>
      <c r="AG40" s="3"/>
      <c r="AH40" s="3"/>
      <c r="AI40" s="3"/>
      <c r="AJ40" s="4"/>
      <c r="AK40" s="4"/>
      <c r="AL40" s="4"/>
      <c r="AM40" s="4"/>
      <c r="AN40" s="4"/>
      <c r="AO40" s="4">
        <v>1</v>
      </c>
      <c r="AP40" s="13"/>
      <c r="AQ40" s="4"/>
      <c r="AR40" s="4"/>
      <c r="AS40" s="4">
        <v>1</v>
      </c>
      <c r="AT40" s="4">
        <v>1</v>
      </c>
      <c r="AU40" s="4"/>
      <c r="AV40" s="4"/>
      <c r="AW40" s="4"/>
      <c r="AX40" s="4"/>
      <c r="AY40" s="30">
        <f t="shared" si="3"/>
        <v>1</v>
      </c>
      <c r="AZ40" s="30">
        <f t="shared" si="4"/>
        <v>1</v>
      </c>
      <c r="BA40" s="30">
        <f t="shared" si="5"/>
        <v>1</v>
      </c>
      <c r="BC40" s="31" t="s">
        <v>923</v>
      </c>
      <c r="BD40" s="56" t="s">
        <v>702</v>
      </c>
      <c r="BE40" s="36" t="s">
        <v>303</v>
      </c>
      <c r="BF40" s="127" t="s">
        <v>237</v>
      </c>
      <c r="BG40" s="35" t="s">
        <v>6</v>
      </c>
      <c r="BH40" s="3"/>
      <c r="BI40" s="3"/>
      <c r="BJ40" s="3"/>
      <c r="BK40" s="5"/>
      <c r="BL40" s="5"/>
      <c r="BM40" s="4"/>
      <c r="BN40" s="4"/>
      <c r="BO40" s="5"/>
      <c r="BP40" s="4"/>
      <c r="BQ40" s="13"/>
      <c r="BR40" s="5"/>
      <c r="BS40" s="4"/>
      <c r="BT40" s="13"/>
      <c r="BU40" s="14"/>
      <c r="BV40" s="13"/>
      <c r="BW40" s="4"/>
      <c r="BX40" s="5"/>
      <c r="BY40" s="4"/>
      <c r="BZ40" s="30">
        <f t="shared" si="6"/>
        <v>0</v>
      </c>
      <c r="CA40" s="30">
        <f t="shared" si="7"/>
        <v>0</v>
      </c>
      <c r="CB40" s="30">
        <f t="shared" si="8"/>
        <v>0</v>
      </c>
    </row>
    <row r="41" spans="1:80" ht="15.5" x14ac:dyDescent="0.35">
      <c r="A41" s="31" t="s">
        <v>926</v>
      </c>
      <c r="B41" s="56" t="s">
        <v>705</v>
      </c>
      <c r="C41" s="36" t="s">
        <v>306</v>
      </c>
      <c r="D41" s="127" t="s">
        <v>237</v>
      </c>
      <c r="E41" s="35" t="s">
        <v>6</v>
      </c>
      <c r="F41" s="3"/>
      <c r="G41" s="3"/>
      <c r="H41" s="3"/>
      <c r="I41" s="4"/>
      <c r="J41" s="5"/>
      <c r="K41" s="4"/>
      <c r="L41" s="4"/>
      <c r="M41" s="4"/>
      <c r="N41" s="4"/>
      <c r="O41" s="13"/>
      <c r="P41" s="4"/>
      <c r="Q41" s="4"/>
      <c r="R41" s="13"/>
      <c r="S41" s="13">
        <v>3</v>
      </c>
      <c r="T41" s="13"/>
      <c r="U41" s="4"/>
      <c r="V41" s="4"/>
      <c r="W41" s="4"/>
      <c r="X41" s="30">
        <f t="shared" si="0"/>
        <v>0</v>
      </c>
      <c r="Y41" s="30">
        <f t="shared" si="1"/>
        <v>3</v>
      </c>
      <c r="Z41" s="30">
        <f t="shared" si="2"/>
        <v>0</v>
      </c>
      <c r="AB41" s="31" t="s">
        <v>41</v>
      </c>
      <c r="AC41" s="56" t="s">
        <v>651</v>
      </c>
      <c r="AD41" s="43" t="s">
        <v>264</v>
      </c>
      <c r="AE41" s="127" t="s">
        <v>236</v>
      </c>
      <c r="AF41" s="35" t="s">
        <v>6</v>
      </c>
      <c r="AG41" s="3"/>
      <c r="AH41" s="3"/>
      <c r="AI41" s="3"/>
      <c r="AJ41" s="4"/>
      <c r="AK41" s="5">
        <v>1</v>
      </c>
      <c r="AL41" s="5">
        <v>2</v>
      </c>
      <c r="AM41" s="4"/>
      <c r="AN41" s="4"/>
      <c r="AO41" s="4"/>
      <c r="AP41" s="13"/>
      <c r="AQ41" s="14"/>
      <c r="AR41" s="14"/>
      <c r="AS41" s="13"/>
      <c r="AT41" s="14"/>
      <c r="AU41" s="14"/>
      <c r="AV41" s="4"/>
      <c r="AW41" s="5"/>
      <c r="AX41" s="5"/>
      <c r="AY41" s="30">
        <f t="shared" si="3"/>
        <v>0</v>
      </c>
      <c r="AZ41" s="30">
        <f t="shared" si="4"/>
        <v>1</v>
      </c>
      <c r="BA41" s="30">
        <f t="shared" si="5"/>
        <v>2</v>
      </c>
      <c r="BC41" s="31" t="s">
        <v>924</v>
      </c>
      <c r="BD41" s="56" t="s">
        <v>703</v>
      </c>
      <c r="BE41" s="43" t="s">
        <v>304</v>
      </c>
      <c r="BF41" s="127" t="s">
        <v>237</v>
      </c>
      <c r="BG41" s="35" t="s">
        <v>6</v>
      </c>
      <c r="BH41" s="3"/>
      <c r="BI41" s="3"/>
      <c r="BJ41" s="6"/>
      <c r="BK41" s="5"/>
      <c r="BL41" s="5">
        <v>3</v>
      </c>
      <c r="BM41" s="5"/>
      <c r="BN41" s="4"/>
      <c r="BO41" s="4">
        <v>2</v>
      </c>
      <c r="BP41" s="5"/>
      <c r="BQ41" s="13"/>
      <c r="BR41" s="4"/>
      <c r="BS41" s="5"/>
      <c r="BT41" s="13"/>
      <c r="BU41" s="13">
        <v>1</v>
      </c>
      <c r="BV41" s="14"/>
      <c r="BW41" s="4"/>
      <c r="BX41" s="4">
        <v>1</v>
      </c>
      <c r="BY41" s="5"/>
      <c r="BZ41" s="30">
        <f t="shared" si="6"/>
        <v>0</v>
      </c>
      <c r="CA41" s="30">
        <f t="shared" si="7"/>
        <v>7</v>
      </c>
      <c r="CB41" s="30">
        <f t="shared" si="8"/>
        <v>0</v>
      </c>
    </row>
    <row r="42" spans="1:80" ht="15.5" x14ac:dyDescent="0.35">
      <c r="A42" s="31" t="s">
        <v>927</v>
      </c>
      <c r="B42" s="56" t="s">
        <v>706</v>
      </c>
      <c r="C42" s="36" t="s">
        <v>307</v>
      </c>
      <c r="D42" s="127" t="s">
        <v>237</v>
      </c>
      <c r="E42" s="35" t="s">
        <v>6</v>
      </c>
      <c r="F42" s="3"/>
      <c r="G42" s="3"/>
      <c r="H42" s="3"/>
      <c r="I42" s="4"/>
      <c r="J42" s="5">
        <v>2</v>
      </c>
      <c r="K42" s="4"/>
      <c r="L42" s="4"/>
      <c r="M42" s="5"/>
      <c r="N42" s="4"/>
      <c r="O42" s="13"/>
      <c r="P42" s="5">
        <v>1</v>
      </c>
      <c r="Q42" s="4"/>
      <c r="R42" s="13"/>
      <c r="S42" s="14"/>
      <c r="T42" s="13"/>
      <c r="U42" s="4"/>
      <c r="V42" s="5"/>
      <c r="W42" s="4"/>
      <c r="X42" s="30">
        <f t="shared" si="0"/>
        <v>0</v>
      </c>
      <c r="Y42" s="30">
        <f t="shared" si="1"/>
        <v>3</v>
      </c>
      <c r="Z42" s="30">
        <f t="shared" si="2"/>
        <v>0</v>
      </c>
      <c r="AB42" s="31" t="s">
        <v>44</v>
      </c>
      <c r="AC42" s="56" t="s">
        <v>655</v>
      </c>
      <c r="AD42" s="43" t="s">
        <v>656</v>
      </c>
      <c r="AE42" s="127" t="s">
        <v>236</v>
      </c>
      <c r="AF42" s="35" t="s">
        <v>6</v>
      </c>
      <c r="AG42" s="3"/>
      <c r="AH42" s="3"/>
      <c r="AI42" s="3"/>
      <c r="AJ42" s="4"/>
      <c r="AK42" s="5"/>
      <c r="AL42" s="4"/>
      <c r="AM42" s="4"/>
      <c r="AN42" s="4">
        <v>1</v>
      </c>
      <c r="AO42" s="4"/>
      <c r="AP42" s="13"/>
      <c r="AQ42" s="13"/>
      <c r="AR42" s="13">
        <v>1</v>
      </c>
      <c r="AS42" s="13"/>
      <c r="AT42" s="13"/>
      <c r="AU42" s="13"/>
      <c r="AV42" s="4"/>
      <c r="AW42" s="4"/>
      <c r="AX42" s="4"/>
      <c r="AY42" s="30">
        <f t="shared" si="3"/>
        <v>0</v>
      </c>
      <c r="AZ42" s="30">
        <f t="shared" si="4"/>
        <v>1</v>
      </c>
      <c r="BA42" s="30">
        <f t="shared" si="5"/>
        <v>1</v>
      </c>
      <c r="BC42" s="31" t="s">
        <v>926</v>
      </c>
      <c r="BD42" s="56" t="s">
        <v>705</v>
      </c>
      <c r="BE42" s="36" t="s">
        <v>306</v>
      </c>
      <c r="BF42" s="127" t="s">
        <v>237</v>
      </c>
      <c r="BG42" s="35" t="s">
        <v>6</v>
      </c>
      <c r="BH42" s="3"/>
      <c r="BI42" s="3"/>
      <c r="BJ42" s="3"/>
      <c r="BK42" s="4"/>
      <c r="BL42" s="5"/>
      <c r="BM42" s="4"/>
      <c r="BN42" s="4"/>
      <c r="BO42" s="4"/>
      <c r="BP42" s="4"/>
      <c r="BQ42" s="13"/>
      <c r="BR42" s="4"/>
      <c r="BS42" s="4"/>
      <c r="BT42" s="13"/>
      <c r="BU42" s="13">
        <v>3</v>
      </c>
      <c r="BV42" s="13"/>
      <c r="BW42" s="4"/>
      <c r="BX42" s="4"/>
      <c r="BY42" s="4"/>
      <c r="BZ42" s="30">
        <f t="shared" si="6"/>
        <v>0</v>
      </c>
      <c r="CA42" s="30">
        <f t="shared" si="7"/>
        <v>3</v>
      </c>
      <c r="CB42" s="30">
        <f t="shared" si="8"/>
        <v>0</v>
      </c>
    </row>
    <row r="43" spans="1:80" ht="15.5" x14ac:dyDescent="0.35">
      <c r="A43" s="31" t="s">
        <v>930</v>
      </c>
      <c r="B43" s="56" t="s">
        <v>709</v>
      </c>
      <c r="C43" s="36" t="s">
        <v>311</v>
      </c>
      <c r="D43" s="127" t="s">
        <v>237</v>
      </c>
      <c r="E43" s="35" t="s">
        <v>6</v>
      </c>
      <c r="F43" s="3"/>
      <c r="G43" s="3"/>
      <c r="H43" s="3"/>
      <c r="I43" s="4"/>
      <c r="J43" s="5"/>
      <c r="K43" s="5"/>
      <c r="L43" s="4"/>
      <c r="M43" s="5"/>
      <c r="N43" s="5"/>
      <c r="O43" s="13"/>
      <c r="P43" s="5"/>
      <c r="Q43" s="5"/>
      <c r="R43" s="13"/>
      <c r="S43" s="14"/>
      <c r="T43" s="14"/>
      <c r="U43" s="4"/>
      <c r="V43" s="5"/>
      <c r="W43" s="5"/>
      <c r="X43" s="30">
        <f t="shared" si="0"/>
        <v>0</v>
      </c>
      <c r="Y43" s="30">
        <f t="shared" si="1"/>
        <v>0</v>
      </c>
      <c r="Z43" s="30">
        <f t="shared" si="2"/>
        <v>0</v>
      </c>
      <c r="AB43" s="31" t="s">
        <v>45</v>
      </c>
      <c r="AC43" s="56" t="s">
        <v>657</v>
      </c>
      <c r="AD43" s="43" t="s">
        <v>266</v>
      </c>
      <c r="AE43" s="127" t="s">
        <v>236</v>
      </c>
      <c r="AF43" s="35" t="s">
        <v>6</v>
      </c>
      <c r="AG43" s="3"/>
      <c r="AH43" s="4"/>
      <c r="AI43" s="3"/>
      <c r="AJ43" s="5"/>
      <c r="AK43" s="4"/>
      <c r="AL43" s="5"/>
      <c r="AM43" s="4"/>
      <c r="AN43" s="4"/>
      <c r="AO43" s="4"/>
      <c r="AP43" s="13"/>
      <c r="AQ43" s="14"/>
      <c r="AR43" s="13"/>
      <c r="AS43" s="13"/>
      <c r="AT43" s="14">
        <v>1</v>
      </c>
      <c r="AU43" s="13">
        <v>1</v>
      </c>
      <c r="AV43" s="4"/>
      <c r="AW43" s="5"/>
      <c r="AX43" s="4"/>
      <c r="AY43" s="30">
        <f t="shared" si="3"/>
        <v>0</v>
      </c>
      <c r="AZ43" s="30">
        <f t="shared" si="4"/>
        <v>1</v>
      </c>
      <c r="BA43" s="30">
        <f t="shared" si="5"/>
        <v>1</v>
      </c>
      <c r="BC43" s="31" t="s">
        <v>927</v>
      </c>
      <c r="BD43" s="56" t="s">
        <v>706</v>
      </c>
      <c r="BE43" s="36" t="s">
        <v>307</v>
      </c>
      <c r="BF43" s="127" t="s">
        <v>237</v>
      </c>
      <c r="BG43" s="35" t="s">
        <v>6</v>
      </c>
      <c r="BH43" s="3"/>
      <c r="BI43" s="3"/>
      <c r="BJ43" s="3"/>
      <c r="BK43" s="4"/>
      <c r="BL43" s="5">
        <v>2</v>
      </c>
      <c r="BM43" s="4"/>
      <c r="BN43" s="4"/>
      <c r="BO43" s="5"/>
      <c r="BP43" s="4"/>
      <c r="BQ43" s="13"/>
      <c r="BR43" s="5">
        <v>1</v>
      </c>
      <c r="BS43" s="4"/>
      <c r="BT43" s="13"/>
      <c r="BU43" s="14"/>
      <c r="BV43" s="13"/>
      <c r="BW43" s="4"/>
      <c r="BX43" s="5"/>
      <c r="BY43" s="4"/>
      <c r="BZ43" s="30">
        <f t="shared" si="6"/>
        <v>0</v>
      </c>
      <c r="CA43" s="30">
        <f t="shared" si="7"/>
        <v>3</v>
      </c>
      <c r="CB43" s="30">
        <f t="shared" si="8"/>
        <v>0</v>
      </c>
    </row>
    <row r="44" spans="1:80" ht="15.5" x14ac:dyDescent="0.35">
      <c r="A44" s="31" t="s">
        <v>938</v>
      </c>
      <c r="B44" s="56" t="s">
        <v>718</v>
      </c>
      <c r="C44" s="43" t="s">
        <v>318</v>
      </c>
      <c r="D44" s="121" t="s">
        <v>238</v>
      </c>
      <c r="E44" s="35" t="s">
        <v>6</v>
      </c>
      <c r="F44" s="19"/>
      <c r="G44" s="19"/>
      <c r="H44" s="19"/>
      <c r="I44" s="13"/>
      <c r="J44" s="14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30">
        <f t="shared" si="0"/>
        <v>0</v>
      </c>
      <c r="Y44" s="30">
        <f t="shared" si="1"/>
        <v>0</v>
      </c>
      <c r="Z44" s="30">
        <f t="shared" si="2"/>
        <v>0</v>
      </c>
      <c r="AB44" s="31" t="s">
        <v>50</v>
      </c>
      <c r="AC44" s="56" t="s">
        <v>663</v>
      </c>
      <c r="AD44" s="43" t="s">
        <v>270</v>
      </c>
      <c r="AE44" s="127" t="s">
        <v>236</v>
      </c>
      <c r="AF44" s="35" t="s">
        <v>6</v>
      </c>
      <c r="AG44" s="3"/>
      <c r="AH44" s="4"/>
      <c r="AI44" s="3"/>
      <c r="AJ44" s="5"/>
      <c r="AK44" s="4">
        <v>1</v>
      </c>
      <c r="AL44" s="5"/>
      <c r="AM44" s="4"/>
      <c r="AN44" s="4"/>
      <c r="AO44" s="4"/>
      <c r="AP44" s="13"/>
      <c r="AQ44" s="14"/>
      <c r="AR44" s="13"/>
      <c r="AS44" s="13"/>
      <c r="AT44" s="14"/>
      <c r="AU44" s="13"/>
      <c r="AV44" s="4"/>
      <c r="AW44" s="5"/>
      <c r="AX44" s="4"/>
      <c r="AY44" s="30">
        <f t="shared" si="3"/>
        <v>0</v>
      </c>
      <c r="AZ44" s="30">
        <f t="shared" si="4"/>
        <v>1</v>
      </c>
      <c r="BA44" s="30">
        <f t="shared" si="5"/>
        <v>0</v>
      </c>
      <c r="BC44" s="31" t="s">
        <v>928</v>
      </c>
      <c r="BD44" s="56" t="s">
        <v>707</v>
      </c>
      <c r="BE44" s="36" t="s">
        <v>309</v>
      </c>
      <c r="BF44" s="127" t="s">
        <v>237</v>
      </c>
      <c r="BG44" s="35" t="s">
        <v>6</v>
      </c>
      <c r="BH44" s="3"/>
      <c r="BI44" s="3"/>
      <c r="BJ44" s="3"/>
      <c r="BK44" s="4">
        <v>1</v>
      </c>
      <c r="BL44" s="5">
        <v>2</v>
      </c>
      <c r="BM44" s="4"/>
      <c r="BN44" s="4"/>
      <c r="BO44" s="5"/>
      <c r="BP44" s="4"/>
      <c r="BQ44" s="13">
        <v>1</v>
      </c>
      <c r="BR44" s="5"/>
      <c r="BS44" s="4"/>
      <c r="BT44" s="13">
        <v>1</v>
      </c>
      <c r="BU44" s="14"/>
      <c r="BV44" s="13"/>
      <c r="BW44" s="4"/>
      <c r="BX44" s="5"/>
      <c r="BY44" s="4"/>
      <c r="BZ44" s="30">
        <f t="shared" si="6"/>
        <v>3</v>
      </c>
      <c r="CA44" s="30">
        <f t="shared" si="7"/>
        <v>2</v>
      </c>
      <c r="CB44" s="30">
        <f t="shared" si="8"/>
        <v>0</v>
      </c>
    </row>
    <row r="45" spans="1:80" ht="15.5" x14ac:dyDescent="0.35">
      <c r="A45" s="31" t="s">
        <v>939</v>
      </c>
      <c r="B45" s="56" t="s">
        <v>719</v>
      </c>
      <c r="C45" s="43" t="s">
        <v>319</v>
      </c>
      <c r="D45" s="121" t="s">
        <v>238</v>
      </c>
      <c r="E45" s="35" t="s">
        <v>6</v>
      </c>
      <c r="F45" s="19"/>
      <c r="G45" s="20"/>
      <c r="H45" s="19"/>
      <c r="I45" s="14"/>
      <c r="J45" s="14"/>
      <c r="K45" s="14"/>
      <c r="L45" s="13"/>
      <c r="M45" s="13"/>
      <c r="N45" s="13"/>
      <c r="O45" s="13"/>
      <c r="P45" s="13"/>
      <c r="Q45" s="13"/>
      <c r="R45" s="13"/>
      <c r="S45" s="13">
        <v>1</v>
      </c>
      <c r="T45" s="13"/>
      <c r="U45" s="13"/>
      <c r="V45" s="13"/>
      <c r="W45" s="13">
        <v>1</v>
      </c>
      <c r="X45" s="30">
        <f t="shared" si="0"/>
        <v>0</v>
      </c>
      <c r="Y45" s="30">
        <f t="shared" si="1"/>
        <v>1</v>
      </c>
      <c r="Z45" s="30">
        <f t="shared" si="2"/>
        <v>1</v>
      </c>
      <c r="AB45" s="31" t="s">
        <v>122</v>
      </c>
      <c r="AC45" s="56" t="s">
        <v>665</v>
      </c>
      <c r="AD45" s="43" t="s">
        <v>272</v>
      </c>
      <c r="AE45" s="127" t="s">
        <v>236</v>
      </c>
      <c r="AF45" s="35" t="s">
        <v>6</v>
      </c>
      <c r="AG45" s="3"/>
      <c r="AH45" s="4"/>
      <c r="AI45" s="3"/>
      <c r="AJ45" s="5"/>
      <c r="AK45" s="4"/>
      <c r="AL45" s="5"/>
      <c r="AM45" s="4"/>
      <c r="AN45" s="4"/>
      <c r="AO45" s="4"/>
      <c r="AP45" s="13"/>
      <c r="AQ45" s="14"/>
      <c r="AR45" s="13"/>
      <c r="AS45" s="13"/>
      <c r="AT45" s="14">
        <v>1</v>
      </c>
      <c r="AU45" s="13"/>
      <c r="AV45" s="4"/>
      <c r="AW45" s="5"/>
      <c r="AX45" s="4"/>
      <c r="AY45" s="30">
        <f t="shared" si="3"/>
        <v>0</v>
      </c>
      <c r="AZ45" s="30">
        <f t="shared" si="4"/>
        <v>1</v>
      </c>
      <c r="BA45" s="30">
        <f t="shared" si="5"/>
        <v>0</v>
      </c>
      <c r="BC45" s="31" t="s">
        <v>930</v>
      </c>
      <c r="BD45" s="56" t="s">
        <v>709</v>
      </c>
      <c r="BE45" s="36" t="s">
        <v>311</v>
      </c>
      <c r="BF45" s="127" t="s">
        <v>237</v>
      </c>
      <c r="BG45" s="35" t="s">
        <v>6</v>
      </c>
      <c r="BH45" s="3"/>
      <c r="BI45" s="3"/>
      <c r="BJ45" s="3"/>
      <c r="BK45" s="4"/>
      <c r="BL45" s="5"/>
      <c r="BM45" s="5"/>
      <c r="BN45" s="4"/>
      <c r="BO45" s="5"/>
      <c r="BP45" s="5"/>
      <c r="BQ45" s="13"/>
      <c r="BR45" s="5"/>
      <c r="BS45" s="5"/>
      <c r="BT45" s="13"/>
      <c r="BU45" s="14"/>
      <c r="BV45" s="14"/>
      <c r="BW45" s="4"/>
      <c r="BX45" s="5"/>
      <c r="BY45" s="5"/>
      <c r="BZ45" s="30">
        <f t="shared" si="6"/>
        <v>0</v>
      </c>
      <c r="CA45" s="30">
        <f t="shared" si="7"/>
        <v>0</v>
      </c>
      <c r="CB45" s="30">
        <f t="shared" si="8"/>
        <v>0</v>
      </c>
    </row>
    <row r="46" spans="1:80" ht="15.5" x14ac:dyDescent="0.35">
      <c r="A46" s="31" t="s">
        <v>940</v>
      </c>
      <c r="B46" s="56" t="s">
        <v>720</v>
      </c>
      <c r="C46" s="43" t="s">
        <v>320</v>
      </c>
      <c r="D46" s="121" t="s">
        <v>238</v>
      </c>
      <c r="E46" s="35" t="s">
        <v>8</v>
      </c>
      <c r="F46" s="19"/>
      <c r="G46" s="19"/>
      <c r="H46" s="19"/>
      <c r="I46" s="14"/>
      <c r="J46" s="13">
        <v>2</v>
      </c>
      <c r="K46" s="13"/>
      <c r="L46" s="13"/>
      <c r="M46" s="13"/>
      <c r="N46" s="13"/>
      <c r="O46" s="13"/>
      <c r="P46" s="13">
        <v>1</v>
      </c>
      <c r="Q46" s="13"/>
      <c r="R46" s="13"/>
      <c r="S46" s="13"/>
      <c r="T46" s="13"/>
      <c r="U46" s="13"/>
      <c r="V46" s="13"/>
      <c r="W46" s="13"/>
      <c r="X46" s="30">
        <f t="shared" si="0"/>
        <v>0</v>
      </c>
      <c r="Y46" s="30">
        <f t="shared" si="1"/>
        <v>3</v>
      </c>
      <c r="Z46" s="30">
        <f t="shared" si="2"/>
        <v>0</v>
      </c>
      <c r="AB46" s="31" t="s">
        <v>123</v>
      </c>
      <c r="AC46" s="56" t="s">
        <v>666</v>
      </c>
      <c r="AD46" s="36" t="s">
        <v>273</v>
      </c>
      <c r="AE46" s="127" t="s">
        <v>236</v>
      </c>
      <c r="AF46" s="35" t="s">
        <v>6</v>
      </c>
      <c r="AG46" s="3"/>
      <c r="AH46" s="4"/>
      <c r="AI46" s="3"/>
      <c r="AJ46" s="5"/>
      <c r="AK46" s="4"/>
      <c r="AL46" s="5"/>
      <c r="AM46" s="4"/>
      <c r="AN46" s="4">
        <v>1</v>
      </c>
      <c r="AO46" s="4"/>
      <c r="AP46" s="13"/>
      <c r="AQ46" s="14"/>
      <c r="AR46" s="13"/>
      <c r="AS46" s="13"/>
      <c r="AT46" s="14"/>
      <c r="AU46" s="13"/>
      <c r="AV46" s="4"/>
      <c r="AW46" s="5"/>
      <c r="AX46" s="4"/>
      <c r="AY46" s="30">
        <f t="shared" si="3"/>
        <v>0</v>
      </c>
      <c r="AZ46" s="30">
        <f t="shared" si="4"/>
        <v>1</v>
      </c>
      <c r="BA46" s="30">
        <f t="shared" si="5"/>
        <v>0</v>
      </c>
      <c r="BC46" s="31" t="s">
        <v>932</v>
      </c>
      <c r="BD46" s="56" t="s">
        <v>711</v>
      </c>
      <c r="BE46" s="43" t="s">
        <v>314</v>
      </c>
      <c r="BF46" s="127" t="s">
        <v>237</v>
      </c>
      <c r="BG46" s="35" t="s">
        <v>6</v>
      </c>
      <c r="BH46" s="3">
        <v>1</v>
      </c>
      <c r="BI46" s="3">
        <v>1</v>
      </c>
      <c r="BJ46" s="6"/>
      <c r="BK46" s="5"/>
      <c r="BL46" s="5">
        <v>1</v>
      </c>
      <c r="BM46" s="5"/>
      <c r="BN46" s="4"/>
      <c r="BO46" s="5">
        <v>2</v>
      </c>
      <c r="BP46" s="4"/>
      <c r="BQ46" s="13"/>
      <c r="BR46" s="5"/>
      <c r="BS46" s="4"/>
      <c r="BT46" s="13"/>
      <c r="BU46" s="14"/>
      <c r="BV46" s="13"/>
      <c r="BW46" s="4"/>
      <c r="BX46" s="5"/>
      <c r="BY46" s="4"/>
      <c r="BZ46" s="30">
        <f t="shared" si="6"/>
        <v>1</v>
      </c>
      <c r="CA46" s="30">
        <f t="shared" si="7"/>
        <v>4</v>
      </c>
      <c r="CB46" s="30">
        <f t="shared" si="8"/>
        <v>0</v>
      </c>
    </row>
    <row r="47" spans="1:80" ht="15.5" x14ac:dyDescent="0.35">
      <c r="A47" s="31" t="s">
        <v>943</v>
      </c>
      <c r="B47" s="56" t="s">
        <v>723</v>
      </c>
      <c r="C47" s="51" t="s">
        <v>323</v>
      </c>
      <c r="D47" s="121" t="s">
        <v>238</v>
      </c>
      <c r="E47" s="42" t="s">
        <v>6</v>
      </c>
      <c r="F47" s="19"/>
      <c r="G47" s="19"/>
      <c r="H47" s="20"/>
      <c r="I47" s="13"/>
      <c r="J47" s="14"/>
      <c r="K47" s="14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30">
        <f t="shared" si="0"/>
        <v>0</v>
      </c>
      <c r="Y47" s="30">
        <f t="shared" si="1"/>
        <v>0</v>
      </c>
      <c r="Z47" s="30">
        <f t="shared" si="2"/>
        <v>0</v>
      </c>
      <c r="AB47" s="31" t="s">
        <v>893</v>
      </c>
      <c r="AC47" s="56" t="s">
        <v>671</v>
      </c>
      <c r="AD47" s="36" t="s">
        <v>278</v>
      </c>
      <c r="AE47" s="127" t="s">
        <v>236</v>
      </c>
      <c r="AF47" s="35" t="s">
        <v>6</v>
      </c>
      <c r="AG47" s="3"/>
      <c r="AH47" s="4"/>
      <c r="AI47" s="3"/>
      <c r="AJ47" s="5">
        <v>1</v>
      </c>
      <c r="AK47" s="4"/>
      <c r="AL47" s="5"/>
      <c r="AM47" s="4"/>
      <c r="AN47" s="4"/>
      <c r="AO47" s="4"/>
      <c r="AP47" s="13"/>
      <c r="AQ47" s="14"/>
      <c r="AR47" s="13"/>
      <c r="AS47" s="13"/>
      <c r="AT47" s="14">
        <v>1</v>
      </c>
      <c r="AU47" s="13"/>
      <c r="AV47" s="4"/>
      <c r="AW47" s="5"/>
      <c r="AX47" s="4"/>
      <c r="AY47" s="30">
        <f t="shared" si="3"/>
        <v>1</v>
      </c>
      <c r="AZ47" s="30">
        <f t="shared" si="4"/>
        <v>1</v>
      </c>
      <c r="BA47" s="30">
        <f t="shared" si="5"/>
        <v>0</v>
      </c>
      <c r="BC47" s="31" t="s">
        <v>936</v>
      </c>
      <c r="BD47" s="56" t="s">
        <v>716</v>
      </c>
      <c r="BE47" s="36" t="s">
        <v>316</v>
      </c>
      <c r="BF47" s="121" t="s">
        <v>238</v>
      </c>
      <c r="BG47" s="35" t="s">
        <v>8</v>
      </c>
      <c r="BH47" s="19"/>
      <c r="BI47" s="19"/>
      <c r="BJ47" s="19"/>
      <c r="BK47" s="13"/>
      <c r="BL47" s="13"/>
      <c r="BM47" s="13"/>
      <c r="BN47" s="13"/>
      <c r="BO47" s="13"/>
      <c r="BP47" s="13"/>
      <c r="BQ47" s="13">
        <v>1</v>
      </c>
      <c r="BR47" s="13">
        <v>4</v>
      </c>
      <c r="BS47" s="13"/>
      <c r="BT47" s="13"/>
      <c r="BU47" s="13"/>
      <c r="BV47" s="13"/>
      <c r="BW47" s="13"/>
      <c r="BX47" s="13"/>
      <c r="BY47" s="13"/>
      <c r="BZ47" s="30">
        <f t="shared" si="6"/>
        <v>1</v>
      </c>
      <c r="CA47" s="30">
        <f t="shared" si="7"/>
        <v>4</v>
      </c>
      <c r="CB47" s="30">
        <f t="shared" si="8"/>
        <v>0</v>
      </c>
    </row>
    <row r="48" spans="1:80" ht="15.5" x14ac:dyDescent="0.35">
      <c r="A48" s="31" t="s">
        <v>944</v>
      </c>
      <c r="B48" s="56" t="s">
        <v>724</v>
      </c>
      <c r="C48" s="41" t="s">
        <v>324</v>
      </c>
      <c r="D48" s="121" t="s">
        <v>238</v>
      </c>
      <c r="E48" s="42" t="s">
        <v>8</v>
      </c>
      <c r="F48" s="19"/>
      <c r="G48" s="19"/>
      <c r="H48" s="19"/>
      <c r="I48" s="13"/>
      <c r="J48" s="14"/>
      <c r="K48" s="13"/>
      <c r="L48" s="13"/>
      <c r="M48" s="13">
        <v>2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30">
        <f t="shared" si="0"/>
        <v>0</v>
      </c>
      <c r="Y48" s="30">
        <f t="shared" si="1"/>
        <v>2</v>
      </c>
      <c r="Z48" s="30">
        <f t="shared" si="2"/>
        <v>0</v>
      </c>
      <c r="AB48" s="31" t="s">
        <v>902</v>
      </c>
      <c r="AC48" s="56" t="s">
        <v>678</v>
      </c>
      <c r="AD48" s="43" t="s">
        <v>313</v>
      </c>
      <c r="AE48" s="127" t="s">
        <v>236</v>
      </c>
      <c r="AF48" s="35" t="s">
        <v>6</v>
      </c>
      <c r="AG48" s="3"/>
      <c r="AH48" s="4"/>
      <c r="AI48" s="3">
        <v>1</v>
      </c>
      <c r="AJ48" s="5"/>
      <c r="AK48" s="4"/>
      <c r="AL48" s="5">
        <v>7</v>
      </c>
      <c r="AM48" s="4"/>
      <c r="AN48" s="4">
        <v>1</v>
      </c>
      <c r="AO48" s="4">
        <v>9</v>
      </c>
      <c r="AP48" s="13"/>
      <c r="AQ48" s="14"/>
      <c r="AR48" s="13">
        <v>31</v>
      </c>
      <c r="AS48" s="13"/>
      <c r="AT48" s="14"/>
      <c r="AU48" s="13">
        <v>30</v>
      </c>
      <c r="AV48" s="4"/>
      <c r="AW48" s="5"/>
      <c r="AX48" s="4"/>
      <c r="AY48" s="30">
        <f t="shared" si="3"/>
        <v>0</v>
      </c>
      <c r="AZ48" s="30">
        <f t="shared" si="4"/>
        <v>1</v>
      </c>
      <c r="BA48" s="30">
        <f t="shared" si="5"/>
        <v>78</v>
      </c>
      <c r="BC48" s="31" t="s">
        <v>938</v>
      </c>
      <c r="BD48" s="56" t="s">
        <v>718</v>
      </c>
      <c r="BE48" s="43" t="s">
        <v>318</v>
      </c>
      <c r="BF48" s="121" t="s">
        <v>238</v>
      </c>
      <c r="BG48" s="35" t="s">
        <v>6</v>
      </c>
      <c r="BH48" s="19"/>
      <c r="BI48" s="19"/>
      <c r="BJ48" s="19"/>
      <c r="BK48" s="13"/>
      <c r="BL48" s="14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30">
        <f t="shared" si="6"/>
        <v>0</v>
      </c>
      <c r="CA48" s="30">
        <f t="shared" si="7"/>
        <v>0</v>
      </c>
      <c r="CB48" s="30">
        <f t="shared" si="8"/>
        <v>0</v>
      </c>
    </row>
    <row r="49" spans="1:80" ht="15.5" x14ac:dyDescent="0.35">
      <c r="A49" s="31" t="s">
        <v>948</v>
      </c>
      <c r="B49" s="56" t="s">
        <v>728</v>
      </c>
      <c r="C49" s="41" t="s">
        <v>729</v>
      </c>
      <c r="D49" s="121" t="s">
        <v>238</v>
      </c>
      <c r="E49" s="42" t="s">
        <v>8</v>
      </c>
      <c r="F49" s="19"/>
      <c r="G49" s="19"/>
      <c r="H49" s="19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30">
        <f t="shared" si="0"/>
        <v>0</v>
      </c>
      <c r="Y49" s="30">
        <f t="shared" si="1"/>
        <v>0</v>
      </c>
      <c r="Z49" s="30">
        <f t="shared" si="2"/>
        <v>0</v>
      </c>
      <c r="AB49" s="31" t="s">
        <v>912</v>
      </c>
      <c r="AC49" s="56" t="s">
        <v>690</v>
      </c>
      <c r="AD49" s="36" t="s">
        <v>292</v>
      </c>
      <c r="AE49" s="127" t="s">
        <v>237</v>
      </c>
      <c r="AF49" s="35" t="s">
        <v>6</v>
      </c>
      <c r="AG49" s="3"/>
      <c r="AH49" s="3"/>
      <c r="AI49" s="3"/>
      <c r="AJ49" s="5"/>
      <c r="AK49" s="5"/>
      <c r="AL49" s="4"/>
      <c r="AM49" s="4"/>
      <c r="AN49" s="5"/>
      <c r="AO49" s="4"/>
      <c r="AP49" s="13">
        <v>1</v>
      </c>
      <c r="AQ49" s="5"/>
      <c r="AR49" s="4"/>
      <c r="AS49" s="13"/>
      <c r="AT49" s="14"/>
      <c r="AU49" s="13"/>
      <c r="AV49" s="4"/>
      <c r="AW49" s="5">
        <v>1</v>
      </c>
      <c r="AX49" s="4"/>
      <c r="AY49" s="30">
        <f t="shared" si="3"/>
        <v>1</v>
      </c>
      <c r="AZ49" s="30">
        <f t="shared" si="4"/>
        <v>1</v>
      </c>
      <c r="BA49" s="30">
        <f t="shared" si="5"/>
        <v>0</v>
      </c>
      <c r="BC49" s="31" t="s">
        <v>940</v>
      </c>
      <c r="BD49" s="56" t="s">
        <v>720</v>
      </c>
      <c r="BE49" s="43" t="s">
        <v>320</v>
      </c>
      <c r="BF49" s="121" t="s">
        <v>238</v>
      </c>
      <c r="BG49" s="35" t="s">
        <v>8</v>
      </c>
      <c r="BH49" s="19"/>
      <c r="BI49" s="19"/>
      <c r="BJ49" s="19"/>
      <c r="BK49" s="14"/>
      <c r="BL49" s="13">
        <v>2</v>
      </c>
      <c r="BM49" s="13"/>
      <c r="BN49" s="13"/>
      <c r="BO49" s="13"/>
      <c r="BP49" s="13"/>
      <c r="BQ49" s="13"/>
      <c r="BR49" s="13">
        <v>1</v>
      </c>
      <c r="BS49" s="13"/>
      <c r="BT49" s="13"/>
      <c r="BU49" s="13"/>
      <c r="BV49" s="13"/>
      <c r="BW49" s="13"/>
      <c r="BX49" s="13"/>
      <c r="BY49" s="13"/>
      <c r="BZ49" s="30">
        <f t="shared" si="6"/>
        <v>0</v>
      </c>
      <c r="CA49" s="30">
        <f t="shared" si="7"/>
        <v>3</v>
      </c>
      <c r="CB49" s="30">
        <f t="shared" si="8"/>
        <v>0</v>
      </c>
    </row>
    <row r="50" spans="1:80" ht="15.5" x14ac:dyDescent="0.35">
      <c r="A50" s="31" t="s">
        <v>957</v>
      </c>
      <c r="B50" s="119" t="s">
        <v>739</v>
      </c>
      <c r="C50" s="124" t="s">
        <v>335</v>
      </c>
      <c r="D50" s="121" t="s">
        <v>238</v>
      </c>
      <c r="E50" s="121" t="s">
        <v>8</v>
      </c>
      <c r="F50" s="125"/>
      <c r="G50" s="125"/>
      <c r="H50" s="125"/>
      <c r="I50" s="128"/>
      <c r="J50" s="128">
        <v>1</v>
      </c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09">
        <f t="shared" si="0"/>
        <v>0</v>
      </c>
      <c r="Y50" s="109">
        <f t="shared" si="1"/>
        <v>1</v>
      </c>
      <c r="Z50" s="109">
        <f t="shared" si="2"/>
        <v>0</v>
      </c>
      <c r="AB50" s="31" t="s">
        <v>929</v>
      </c>
      <c r="AC50" s="119" t="s">
        <v>708</v>
      </c>
      <c r="AD50" s="126" t="s">
        <v>310</v>
      </c>
      <c r="AE50" s="127" t="s">
        <v>237</v>
      </c>
      <c r="AF50" s="127" t="s">
        <v>6</v>
      </c>
      <c r="AG50" s="130"/>
      <c r="AH50" s="130"/>
      <c r="AI50" s="130"/>
      <c r="AJ50" s="108"/>
      <c r="AK50" s="113"/>
      <c r="AL50" s="113"/>
      <c r="AM50" s="108">
        <v>1</v>
      </c>
      <c r="AN50" s="113"/>
      <c r="AO50" s="113"/>
      <c r="AP50" s="122"/>
      <c r="AQ50" s="113"/>
      <c r="AR50" s="113"/>
      <c r="AS50" s="122">
        <v>2</v>
      </c>
      <c r="AT50" s="128">
        <v>1</v>
      </c>
      <c r="AU50" s="128"/>
      <c r="AV50" s="108"/>
      <c r="AW50" s="113"/>
      <c r="AX50" s="113">
        <v>1</v>
      </c>
      <c r="AY50" s="109">
        <f t="shared" si="3"/>
        <v>3</v>
      </c>
      <c r="AZ50" s="109">
        <f t="shared" si="4"/>
        <v>1</v>
      </c>
      <c r="BA50" s="109">
        <f t="shared" si="5"/>
        <v>1</v>
      </c>
      <c r="BC50" s="31" t="s">
        <v>943</v>
      </c>
      <c r="BD50" s="119" t="s">
        <v>723</v>
      </c>
      <c r="BE50" s="170" t="s">
        <v>323</v>
      </c>
      <c r="BF50" s="121" t="s">
        <v>238</v>
      </c>
      <c r="BG50" s="121" t="s">
        <v>6</v>
      </c>
      <c r="BH50" s="125"/>
      <c r="BI50" s="125"/>
      <c r="BJ50" s="151"/>
      <c r="BK50" s="122"/>
      <c r="BL50" s="128"/>
      <c r="BM50" s="128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09">
        <f t="shared" si="6"/>
        <v>0</v>
      </c>
      <c r="CA50" s="109">
        <f t="shared" si="7"/>
        <v>0</v>
      </c>
      <c r="CB50" s="109">
        <f t="shared" si="8"/>
        <v>0</v>
      </c>
    </row>
    <row r="51" spans="1:80" ht="15.5" x14ac:dyDescent="0.35">
      <c r="A51" s="31" t="s">
        <v>960</v>
      </c>
      <c r="B51" s="56" t="s">
        <v>743</v>
      </c>
      <c r="C51" s="51" t="s">
        <v>339</v>
      </c>
      <c r="D51" s="121" t="s">
        <v>238</v>
      </c>
      <c r="E51" s="42" t="s">
        <v>8</v>
      </c>
      <c r="F51" s="27"/>
      <c r="G51" s="27"/>
      <c r="H51" s="27"/>
      <c r="I51" s="21"/>
      <c r="J51" s="21">
        <v>1</v>
      </c>
      <c r="K51" s="15"/>
      <c r="L51" s="15"/>
      <c r="M51" s="15">
        <v>1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30">
        <f t="shared" si="0"/>
        <v>0</v>
      </c>
      <c r="Y51" s="30">
        <f t="shared" si="1"/>
        <v>2</v>
      </c>
      <c r="Z51" s="30">
        <f t="shared" si="2"/>
        <v>0</v>
      </c>
      <c r="AB51" s="31" t="s">
        <v>939</v>
      </c>
      <c r="AC51" s="56" t="s">
        <v>719</v>
      </c>
      <c r="AD51" s="43" t="s">
        <v>319</v>
      </c>
      <c r="AE51" s="121" t="s">
        <v>238</v>
      </c>
      <c r="AF51" s="35" t="s">
        <v>6</v>
      </c>
      <c r="AG51" s="19"/>
      <c r="AH51" s="20"/>
      <c r="AI51" s="19"/>
      <c r="AJ51" s="14"/>
      <c r="AK51" s="14"/>
      <c r="AL51" s="14"/>
      <c r="AM51" s="13"/>
      <c r="AN51" s="13"/>
      <c r="AO51" s="13"/>
      <c r="AP51" s="13"/>
      <c r="AQ51" s="13"/>
      <c r="AR51" s="13"/>
      <c r="AS51" s="13"/>
      <c r="AT51" s="13">
        <v>1</v>
      </c>
      <c r="AU51" s="13"/>
      <c r="AV51" s="13"/>
      <c r="AW51" s="13"/>
      <c r="AX51" s="13">
        <v>1</v>
      </c>
      <c r="AY51" s="30">
        <f t="shared" si="3"/>
        <v>0</v>
      </c>
      <c r="AZ51" s="30">
        <f t="shared" si="4"/>
        <v>1</v>
      </c>
      <c r="BA51" s="30">
        <f t="shared" si="5"/>
        <v>1</v>
      </c>
      <c r="BC51" s="31" t="s">
        <v>944</v>
      </c>
      <c r="BD51" s="56" t="s">
        <v>724</v>
      </c>
      <c r="BE51" s="41" t="s">
        <v>324</v>
      </c>
      <c r="BF51" s="121" t="s">
        <v>238</v>
      </c>
      <c r="BG51" s="42" t="s">
        <v>8</v>
      </c>
      <c r="BH51" s="19"/>
      <c r="BI51" s="19"/>
      <c r="BJ51" s="19"/>
      <c r="BK51" s="13"/>
      <c r="BL51" s="14"/>
      <c r="BM51" s="13"/>
      <c r="BN51" s="13"/>
      <c r="BO51" s="13">
        <v>2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30">
        <f t="shared" si="6"/>
        <v>0</v>
      </c>
      <c r="CA51" s="30">
        <f t="shared" si="7"/>
        <v>2</v>
      </c>
      <c r="CB51" s="30">
        <f t="shared" si="8"/>
        <v>0</v>
      </c>
    </row>
    <row r="52" spans="1:80" ht="15.5" x14ac:dyDescent="0.35">
      <c r="A52" s="31" t="s">
        <v>962</v>
      </c>
      <c r="B52" s="56" t="s">
        <v>746</v>
      </c>
      <c r="C52" s="41" t="s">
        <v>340</v>
      </c>
      <c r="D52" s="121" t="s">
        <v>238</v>
      </c>
      <c r="E52" s="42" t="s">
        <v>6</v>
      </c>
      <c r="F52" s="19"/>
      <c r="G52" s="20"/>
      <c r="H52" s="19">
        <v>1</v>
      </c>
      <c r="I52" s="13"/>
      <c r="J52" s="13"/>
      <c r="K52" s="13">
        <v>1</v>
      </c>
      <c r="L52" s="13"/>
      <c r="M52" s="13">
        <v>2</v>
      </c>
      <c r="N52" s="13"/>
      <c r="O52" s="13"/>
      <c r="P52" s="13"/>
      <c r="Q52" s="13">
        <v>1</v>
      </c>
      <c r="R52" s="13"/>
      <c r="S52" s="13"/>
      <c r="T52" s="13">
        <v>1</v>
      </c>
      <c r="U52" s="13"/>
      <c r="V52" s="15"/>
      <c r="W52" s="15"/>
      <c r="X52" s="30">
        <f t="shared" si="0"/>
        <v>0</v>
      </c>
      <c r="Y52" s="30">
        <f t="shared" si="1"/>
        <v>2</v>
      </c>
      <c r="Z52" s="30">
        <f t="shared" si="2"/>
        <v>4</v>
      </c>
      <c r="AB52" s="31" t="s">
        <v>956</v>
      </c>
      <c r="AC52" s="56" t="s">
        <v>738</v>
      </c>
      <c r="AD52" s="41" t="s">
        <v>334</v>
      </c>
      <c r="AE52" s="121" t="s">
        <v>238</v>
      </c>
      <c r="AF52" s="42" t="s">
        <v>8</v>
      </c>
      <c r="AG52" s="19"/>
      <c r="AH52" s="19"/>
      <c r="AI52" s="19"/>
      <c r="AJ52" s="13"/>
      <c r="AK52" s="14">
        <v>1</v>
      </c>
      <c r="AL52" s="13"/>
      <c r="AM52" s="13"/>
      <c r="AN52" s="13"/>
      <c r="AO52" s="13"/>
      <c r="AP52" s="13"/>
      <c r="AQ52" s="13"/>
      <c r="AR52" s="13"/>
      <c r="AS52" s="13">
        <v>1</v>
      </c>
      <c r="AT52" s="13"/>
      <c r="AU52" s="13"/>
      <c r="AV52" s="13"/>
      <c r="AW52" s="13"/>
      <c r="AX52" s="13"/>
      <c r="AY52" s="30">
        <f t="shared" si="3"/>
        <v>1</v>
      </c>
      <c r="AZ52" s="30">
        <f t="shared" si="4"/>
        <v>1</v>
      </c>
      <c r="BA52" s="30">
        <f t="shared" si="5"/>
        <v>0</v>
      </c>
      <c r="BC52" s="31" t="s">
        <v>946</v>
      </c>
      <c r="BD52" s="56" t="s">
        <v>726</v>
      </c>
      <c r="BE52" s="51" t="s">
        <v>326</v>
      </c>
      <c r="BF52" s="121" t="s">
        <v>238</v>
      </c>
      <c r="BG52" s="42" t="s">
        <v>8</v>
      </c>
      <c r="BH52" s="19"/>
      <c r="BI52" s="19"/>
      <c r="BJ52" s="19"/>
      <c r="BK52" s="13">
        <v>2</v>
      </c>
      <c r="BL52" s="14"/>
      <c r="BM52" s="14"/>
      <c r="BN52" s="13">
        <v>1</v>
      </c>
      <c r="BO52" s="13">
        <v>1</v>
      </c>
      <c r="BP52" s="13"/>
      <c r="BQ52" s="13"/>
      <c r="BR52" s="13">
        <v>3</v>
      </c>
      <c r="BS52" s="13"/>
      <c r="BT52" s="13"/>
      <c r="BU52" s="13">
        <v>2</v>
      </c>
      <c r="BV52" s="13"/>
      <c r="BW52" s="13"/>
      <c r="BX52" s="13">
        <v>1</v>
      </c>
      <c r="BY52" s="13"/>
      <c r="BZ52" s="30">
        <f t="shared" si="6"/>
        <v>3</v>
      </c>
      <c r="CA52" s="30">
        <f t="shared" si="7"/>
        <v>7</v>
      </c>
      <c r="CB52" s="30">
        <f t="shared" si="8"/>
        <v>0</v>
      </c>
    </row>
    <row r="53" spans="1:80" ht="15.5" x14ac:dyDescent="0.35">
      <c r="A53" s="31" t="s">
        <v>963</v>
      </c>
      <c r="B53" s="56" t="s">
        <v>747</v>
      </c>
      <c r="C53" s="41" t="s">
        <v>748</v>
      </c>
      <c r="D53" s="121" t="s">
        <v>238</v>
      </c>
      <c r="E53" s="42" t="s">
        <v>8</v>
      </c>
      <c r="F53" s="19"/>
      <c r="G53" s="19"/>
      <c r="H53" s="19"/>
      <c r="I53" s="13"/>
      <c r="J53" s="14"/>
      <c r="K53" s="13"/>
      <c r="L53" s="13"/>
      <c r="M53" s="13"/>
      <c r="N53" s="13">
        <v>1</v>
      </c>
      <c r="O53" s="13"/>
      <c r="P53" s="13"/>
      <c r="Q53" s="13"/>
      <c r="R53" s="13"/>
      <c r="S53" s="13"/>
      <c r="T53" s="13"/>
      <c r="U53" s="13"/>
      <c r="V53" s="13"/>
      <c r="W53" s="13"/>
      <c r="X53" s="30">
        <f t="shared" si="0"/>
        <v>0</v>
      </c>
      <c r="Y53" s="30">
        <f t="shared" si="1"/>
        <v>0</v>
      </c>
      <c r="Z53" s="30">
        <f t="shared" si="2"/>
        <v>1</v>
      </c>
      <c r="AB53" s="31" t="s">
        <v>957</v>
      </c>
      <c r="AC53" s="56" t="s">
        <v>739</v>
      </c>
      <c r="AD53" s="41" t="s">
        <v>335</v>
      </c>
      <c r="AE53" s="121" t="s">
        <v>238</v>
      </c>
      <c r="AF53" s="42" t="s">
        <v>8</v>
      </c>
      <c r="AG53" s="19"/>
      <c r="AH53" s="19"/>
      <c r="AI53" s="19"/>
      <c r="AJ53" s="14"/>
      <c r="AK53" s="14">
        <v>1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30">
        <f t="shared" si="3"/>
        <v>0</v>
      </c>
      <c r="AZ53" s="30">
        <f t="shared" si="4"/>
        <v>1</v>
      </c>
      <c r="BA53" s="30">
        <f t="shared" si="5"/>
        <v>0</v>
      </c>
      <c r="BC53" s="31" t="s">
        <v>947</v>
      </c>
      <c r="BD53" s="56" t="s">
        <v>727</v>
      </c>
      <c r="BE53" s="41" t="s">
        <v>327</v>
      </c>
      <c r="BF53" s="121" t="s">
        <v>238</v>
      </c>
      <c r="BG53" s="42" t="s">
        <v>6</v>
      </c>
      <c r="BH53" s="27">
        <v>1</v>
      </c>
      <c r="BI53" s="27"/>
      <c r="BJ53" s="27"/>
      <c r="BK53" s="15"/>
      <c r="BL53" s="21"/>
      <c r="BM53" s="21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30">
        <f t="shared" si="6"/>
        <v>1</v>
      </c>
      <c r="CA53" s="30">
        <f t="shared" si="7"/>
        <v>0</v>
      </c>
      <c r="CB53" s="30">
        <f t="shared" si="8"/>
        <v>0</v>
      </c>
    </row>
    <row r="54" spans="1:80" ht="15.5" x14ac:dyDescent="0.35">
      <c r="A54" s="31" t="s">
        <v>974</v>
      </c>
      <c r="B54" s="56" t="s">
        <v>760</v>
      </c>
      <c r="C54" s="73" t="s">
        <v>350</v>
      </c>
      <c r="D54" s="141" t="s">
        <v>239</v>
      </c>
      <c r="E54" s="42" t="s">
        <v>6</v>
      </c>
      <c r="F54" s="19"/>
      <c r="G54" s="13"/>
      <c r="H54" s="14"/>
      <c r="I54" s="13"/>
      <c r="J54" s="14"/>
      <c r="K54" s="14"/>
      <c r="L54" s="13"/>
      <c r="M54" s="13"/>
      <c r="N54" s="13"/>
      <c r="O54" s="13"/>
      <c r="P54" s="13">
        <v>1</v>
      </c>
      <c r="Q54" s="13"/>
      <c r="R54" s="13"/>
      <c r="S54" s="13">
        <v>4</v>
      </c>
      <c r="T54" s="13"/>
      <c r="U54" s="13"/>
      <c r="V54" s="13"/>
      <c r="W54" s="13"/>
      <c r="X54" s="30">
        <f t="shared" si="0"/>
        <v>0</v>
      </c>
      <c r="Y54" s="30">
        <f t="shared" si="1"/>
        <v>5</v>
      </c>
      <c r="Z54" s="30">
        <f t="shared" si="2"/>
        <v>0</v>
      </c>
      <c r="AB54" s="31" t="s">
        <v>958</v>
      </c>
      <c r="AC54" s="56" t="s">
        <v>741</v>
      </c>
      <c r="AD54" s="41" t="s">
        <v>337</v>
      </c>
      <c r="AE54" s="121" t="s">
        <v>238</v>
      </c>
      <c r="AF54" s="42" t="s">
        <v>6</v>
      </c>
      <c r="AG54" s="19"/>
      <c r="AH54" s="19"/>
      <c r="AI54" s="19"/>
      <c r="AJ54" s="13"/>
      <c r="AK54" s="14">
        <v>1</v>
      </c>
      <c r="AL54" s="13"/>
      <c r="AM54" s="13">
        <v>1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30">
        <f t="shared" si="3"/>
        <v>1</v>
      </c>
      <c r="AZ54" s="30">
        <f t="shared" si="4"/>
        <v>1</v>
      </c>
      <c r="BA54" s="30">
        <f t="shared" si="5"/>
        <v>0</v>
      </c>
      <c r="BC54" s="31" t="s">
        <v>948</v>
      </c>
      <c r="BD54" s="56" t="s">
        <v>728</v>
      </c>
      <c r="BE54" s="41" t="s">
        <v>729</v>
      </c>
      <c r="BF54" s="121" t="s">
        <v>238</v>
      </c>
      <c r="BG54" s="42" t="s">
        <v>8</v>
      </c>
      <c r="BH54" s="19"/>
      <c r="BI54" s="19"/>
      <c r="BJ54" s="19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30">
        <f t="shared" si="6"/>
        <v>0</v>
      </c>
      <c r="CA54" s="30">
        <f t="shared" si="7"/>
        <v>0</v>
      </c>
      <c r="CB54" s="30">
        <f t="shared" si="8"/>
        <v>0</v>
      </c>
    </row>
    <row r="55" spans="1:80" ht="15.5" x14ac:dyDescent="0.35">
      <c r="A55" s="31" t="s">
        <v>977</v>
      </c>
      <c r="B55" s="56" t="s">
        <v>765</v>
      </c>
      <c r="C55" s="47" t="s">
        <v>351</v>
      </c>
      <c r="D55" s="141" t="s">
        <v>239</v>
      </c>
      <c r="E55" s="42" t="s">
        <v>8</v>
      </c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30">
        <f t="shared" si="0"/>
        <v>0</v>
      </c>
      <c r="Y55" s="30">
        <f t="shared" si="1"/>
        <v>0</v>
      </c>
      <c r="Z55" s="30">
        <f t="shared" si="2"/>
        <v>0</v>
      </c>
      <c r="AB55" s="31" t="s">
        <v>959</v>
      </c>
      <c r="AC55" s="56" t="s">
        <v>742</v>
      </c>
      <c r="AD55" s="41" t="s">
        <v>338</v>
      </c>
      <c r="AE55" s="121" t="s">
        <v>238</v>
      </c>
      <c r="AF55" s="42" t="s">
        <v>6</v>
      </c>
      <c r="AG55" s="19"/>
      <c r="AH55" s="19"/>
      <c r="AI55" s="19"/>
      <c r="AJ55" s="13"/>
      <c r="AK55" s="13"/>
      <c r="AL55" s="13"/>
      <c r="AM55" s="13"/>
      <c r="AN55" s="13"/>
      <c r="AO55" s="13"/>
      <c r="AP55" s="13">
        <v>1</v>
      </c>
      <c r="AQ55" s="13"/>
      <c r="AR55" s="13"/>
      <c r="AS55" s="13"/>
      <c r="AT55" s="13">
        <v>1</v>
      </c>
      <c r="AU55" s="13"/>
      <c r="AV55" s="13"/>
      <c r="AW55" s="13"/>
      <c r="AX55" s="13"/>
      <c r="AY55" s="30">
        <f t="shared" si="3"/>
        <v>1</v>
      </c>
      <c r="AZ55" s="30">
        <f t="shared" si="4"/>
        <v>1</v>
      </c>
      <c r="BA55" s="30">
        <f t="shared" si="5"/>
        <v>0</v>
      </c>
      <c r="BC55" s="31" t="s">
        <v>949</v>
      </c>
      <c r="BD55" s="56" t="s">
        <v>730</v>
      </c>
      <c r="BE55" s="41" t="s">
        <v>328</v>
      </c>
      <c r="BF55" s="121" t="s">
        <v>238</v>
      </c>
      <c r="BG55" s="42" t="s">
        <v>8</v>
      </c>
      <c r="BH55" s="19"/>
      <c r="BI55" s="19"/>
      <c r="BJ55" s="19"/>
      <c r="BK55" s="13"/>
      <c r="BL55" s="14"/>
      <c r="BM55" s="13"/>
      <c r="BN55" s="13">
        <v>4</v>
      </c>
      <c r="BO55" s="13">
        <v>1</v>
      </c>
      <c r="BP55" s="13"/>
      <c r="BQ55" s="13"/>
      <c r="BR55" s="13">
        <v>1</v>
      </c>
      <c r="BS55" s="13"/>
      <c r="BT55" s="13">
        <v>1</v>
      </c>
      <c r="BU55" s="13"/>
      <c r="BV55" s="13"/>
      <c r="BW55" s="13" t="s">
        <v>896</v>
      </c>
      <c r="BX55" s="13"/>
      <c r="BY55" s="13"/>
      <c r="BZ55" s="30">
        <f t="shared" si="6"/>
        <v>5</v>
      </c>
      <c r="CA55" s="30">
        <f t="shared" si="7"/>
        <v>2</v>
      </c>
      <c r="CB55" s="30">
        <f t="shared" si="8"/>
        <v>0</v>
      </c>
    </row>
    <row r="56" spans="1:80" ht="15.5" x14ac:dyDescent="0.35">
      <c r="A56" s="31" t="s">
        <v>979</v>
      </c>
      <c r="B56" s="56" t="s">
        <v>767</v>
      </c>
      <c r="C56" s="47" t="s">
        <v>353</v>
      </c>
      <c r="D56" s="141" t="s">
        <v>239</v>
      </c>
      <c r="E56" s="42" t="s">
        <v>6</v>
      </c>
      <c r="F56" s="27"/>
      <c r="G56" s="15"/>
      <c r="H56" s="15"/>
      <c r="I56" s="15"/>
      <c r="J56" s="15"/>
      <c r="K56" s="15"/>
      <c r="L56" s="15"/>
      <c r="M56" s="15">
        <v>1</v>
      </c>
      <c r="N56" s="15"/>
      <c r="O56" s="15"/>
      <c r="P56" s="15">
        <v>2</v>
      </c>
      <c r="Q56" s="15"/>
      <c r="R56" s="15"/>
      <c r="S56" s="15"/>
      <c r="T56" s="15"/>
      <c r="U56" s="15"/>
      <c r="V56" s="15"/>
      <c r="W56" s="15"/>
      <c r="X56" s="30">
        <f t="shared" si="0"/>
        <v>0</v>
      </c>
      <c r="Y56" s="30">
        <f t="shared" si="1"/>
        <v>3</v>
      </c>
      <c r="Z56" s="30">
        <f t="shared" si="2"/>
        <v>0</v>
      </c>
      <c r="AB56" s="31" t="s">
        <v>992</v>
      </c>
      <c r="AC56" s="56" t="s">
        <v>780</v>
      </c>
      <c r="AD56" s="47" t="s">
        <v>366</v>
      </c>
      <c r="AE56" s="141" t="s">
        <v>239</v>
      </c>
      <c r="AF56" s="42" t="s">
        <v>8</v>
      </c>
      <c r="AG56" s="19"/>
      <c r="AH56" s="13"/>
      <c r="AI56" s="13"/>
      <c r="AJ56" s="14"/>
      <c r="AK56" s="14"/>
      <c r="AL56" s="13"/>
      <c r="AM56" s="13"/>
      <c r="AN56" s="13"/>
      <c r="AO56" s="13"/>
      <c r="AP56" s="13"/>
      <c r="AQ56" s="13"/>
      <c r="AR56" s="13"/>
      <c r="AS56" s="13"/>
      <c r="AT56" s="13">
        <v>1</v>
      </c>
      <c r="AU56" s="13"/>
      <c r="AV56" s="13"/>
      <c r="AW56" s="13"/>
      <c r="AX56" s="13"/>
      <c r="AY56" s="30">
        <f t="shared" si="3"/>
        <v>0</v>
      </c>
      <c r="AZ56" s="30">
        <f t="shared" si="4"/>
        <v>1</v>
      </c>
      <c r="BA56" s="30">
        <f t="shared" si="5"/>
        <v>0</v>
      </c>
      <c r="BC56" s="31" t="s">
        <v>950</v>
      </c>
      <c r="BD56" s="56" t="s">
        <v>731</v>
      </c>
      <c r="BE56" s="41" t="s">
        <v>329</v>
      </c>
      <c r="BF56" s="121" t="s">
        <v>238</v>
      </c>
      <c r="BG56" s="42" t="s">
        <v>8</v>
      </c>
      <c r="BH56" s="19"/>
      <c r="BI56" s="19"/>
      <c r="BJ56" s="19"/>
      <c r="BK56" s="13">
        <v>1</v>
      </c>
      <c r="BL56" s="14"/>
      <c r="BM56" s="14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30">
        <f t="shared" si="6"/>
        <v>1</v>
      </c>
      <c r="CA56" s="30">
        <f t="shared" si="7"/>
        <v>0</v>
      </c>
      <c r="CB56" s="30">
        <f t="shared" si="8"/>
        <v>0</v>
      </c>
    </row>
    <row r="57" spans="1:80" ht="15.5" x14ac:dyDescent="0.35">
      <c r="A57" s="31" t="s">
        <v>982</v>
      </c>
      <c r="B57" s="56" t="s">
        <v>770</v>
      </c>
      <c r="C57" s="47" t="s">
        <v>356</v>
      </c>
      <c r="D57" s="141" t="s">
        <v>239</v>
      </c>
      <c r="E57" s="42" t="s">
        <v>6</v>
      </c>
      <c r="F57" s="19"/>
      <c r="G57" s="13">
        <v>1</v>
      </c>
      <c r="H57" s="13"/>
      <c r="I57" s="13"/>
      <c r="J57" s="14">
        <v>1</v>
      </c>
      <c r="K57" s="13"/>
      <c r="L57" s="13"/>
      <c r="M57" s="13">
        <v>2</v>
      </c>
      <c r="N57" s="13"/>
      <c r="O57" s="13"/>
      <c r="P57" s="13">
        <v>4</v>
      </c>
      <c r="Q57" s="13"/>
      <c r="R57" s="13"/>
      <c r="S57" s="13">
        <v>4</v>
      </c>
      <c r="T57" s="13"/>
      <c r="U57" s="13"/>
      <c r="V57" s="13">
        <v>1</v>
      </c>
      <c r="W57" s="13"/>
      <c r="X57" s="30">
        <f t="shared" si="0"/>
        <v>0</v>
      </c>
      <c r="Y57" s="30">
        <f t="shared" si="1"/>
        <v>13</v>
      </c>
      <c r="Z57" s="30">
        <f t="shared" si="2"/>
        <v>0</v>
      </c>
      <c r="AB57" s="31" t="s">
        <v>1005</v>
      </c>
      <c r="AC57" s="56" t="s">
        <v>793</v>
      </c>
      <c r="AD57" s="47" t="s">
        <v>378</v>
      </c>
      <c r="AE57" s="161" t="s">
        <v>240</v>
      </c>
      <c r="AF57" s="42" t="s">
        <v>6</v>
      </c>
      <c r="AG57" s="4"/>
      <c r="AH57" s="4"/>
      <c r="AI57" s="4"/>
      <c r="AJ57" s="4"/>
      <c r="AK57" s="5">
        <v>1</v>
      </c>
      <c r="AL57" s="5"/>
      <c r="AM57" s="4"/>
      <c r="AN57" s="4"/>
      <c r="AO57" s="4"/>
      <c r="AP57" s="13"/>
      <c r="AQ57" s="13"/>
      <c r="AR57" s="13"/>
      <c r="AS57" s="13"/>
      <c r="AT57" s="13"/>
      <c r="AU57" s="13"/>
      <c r="AV57" s="4"/>
      <c r="AW57" s="4"/>
      <c r="AX57" s="4"/>
      <c r="AY57" s="30">
        <f t="shared" si="3"/>
        <v>0</v>
      </c>
      <c r="AZ57" s="30">
        <f t="shared" si="4"/>
        <v>1</v>
      </c>
      <c r="BA57" s="30">
        <f t="shared" si="5"/>
        <v>0</v>
      </c>
      <c r="BC57" s="31" t="s">
        <v>953</v>
      </c>
      <c r="BD57" s="56" t="s">
        <v>735</v>
      </c>
      <c r="BE57" s="41" t="s">
        <v>331</v>
      </c>
      <c r="BF57" s="121" t="s">
        <v>238</v>
      </c>
      <c r="BG57" s="42" t="s">
        <v>6</v>
      </c>
      <c r="BH57" s="19"/>
      <c r="BI57" s="19"/>
      <c r="BJ57" s="19"/>
      <c r="BK57" s="13"/>
      <c r="BL57" s="14"/>
      <c r="BM57" s="13"/>
      <c r="BN57" s="13"/>
      <c r="BO57" s="13"/>
      <c r="BP57" s="13"/>
      <c r="BQ57" s="13">
        <v>1</v>
      </c>
      <c r="BR57" s="13"/>
      <c r="BS57" s="13"/>
      <c r="BT57" s="13"/>
      <c r="BU57" s="13"/>
      <c r="BV57" s="13"/>
      <c r="BW57" s="13"/>
      <c r="BX57" s="13"/>
      <c r="BY57" s="13"/>
      <c r="BZ57" s="30">
        <f t="shared" si="6"/>
        <v>1</v>
      </c>
      <c r="CA57" s="30">
        <f t="shared" si="7"/>
        <v>0</v>
      </c>
      <c r="CB57" s="30">
        <f t="shared" si="8"/>
        <v>0</v>
      </c>
    </row>
    <row r="58" spans="1:80" ht="15.5" x14ac:dyDescent="0.35">
      <c r="A58" s="31" t="s">
        <v>984</v>
      </c>
      <c r="B58" s="56" t="s">
        <v>772</v>
      </c>
      <c r="C58" s="58" t="s">
        <v>358</v>
      </c>
      <c r="D58" s="141" t="s">
        <v>239</v>
      </c>
      <c r="E58" s="42" t="s">
        <v>8</v>
      </c>
      <c r="F58" s="19"/>
      <c r="G58" s="13"/>
      <c r="H58" s="13"/>
      <c r="I58" s="13"/>
      <c r="J58" s="14"/>
      <c r="K58" s="14"/>
      <c r="L58" s="13"/>
      <c r="M58" s="13"/>
      <c r="N58" s="13"/>
      <c r="O58" s="13"/>
      <c r="P58" s="13">
        <v>1</v>
      </c>
      <c r="Q58" s="13"/>
      <c r="R58" s="13"/>
      <c r="S58" s="13">
        <v>2</v>
      </c>
      <c r="T58" s="13"/>
      <c r="U58" s="13"/>
      <c r="V58" s="13"/>
      <c r="W58" s="13"/>
      <c r="X58" s="30">
        <f t="shared" si="0"/>
        <v>0</v>
      </c>
      <c r="Y58" s="30">
        <f t="shared" si="1"/>
        <v>3</v>
      </c>
      <c r="Z58" s="30">
        <f t="shared" si="2"/>
        <v>0</v>
      </c>
      <c r="AB58" s="31" t="s">
        <v>1018</v>
      </c>
      <c r="AC58" s="56" t="s">
        <v>807</v>
      </c>
      <c r="AD58" s="47" t="s">
        <v>390</v>
      </c>
      <c r="AE58" s="161" t="s">
        <v>240</v>
      </c>
      <c r="AF58" s="42" t="s">
        <v>8</v>
      </c>
      <c r="AG58" s="4"/>
      <c r="AH58" s="5"/>
      <c r="AI58" s="4"/>
      <c r="AJ58" s="5"/>
      <c r="AK58" s="4"/>
      <c r="AL58" s="5"/>
      <c r="AM58" s="4"/>
      <c r="AN58" s="4"/>
      <c r="AO58" s="4"/>
      <c r="AP58" s="13"/>
      <c r="AQ58" s="13"/>
      <c r="AR58" s="13"/>
      <c r="AS58" s="13"/>
      <c r="AT58" s="13">
        <v>1</v>
      </c>
      <c r="AU58" s="13"/>
      <c r="AV58" s="4"/>
      <c r="AW58" s="4"/>
      <c r="AX58" s="4"/>
      <c r="AY58" s="30">
        <f t="shared" si="3"/>
        <v>0</v>
      </c>
      <c r="AZ58" s="30">
        <f t="shared" si="4"/>
        <v>1</v>
      </c>
      <c r="BA58" s="30">
        <f t="shared" si="5"/>
        <v>0</v>
      </c>
      <c r="BC58" s="31" t="s">
        <v>955</v>
      </c>
      <c r="BD58" s="56" t="s">
        <v>737</v>
      </c>
      <c r="BE58" s="41" t="s">
        <v>333</v>
      </c>
      <c r="BF58" s="121" t="s">
        <v>238</v>
      </c>
      <c r="BG58" s="42" t="s">
        <v>8</v>
      </c>
      <c r="BH58" s="19"/>
      <c r="BI58" s="19"/>
      <c r="BJ58" s="19"/>
      <c r="BK58" s="13">
        <v>1</v>
      </c>
      <c r="BL58" s="14">
        <v>2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>
        <v>1</v>
      </c>
      <c r="BY58" s="13"/>
      <c r="BZ58" s="30">
        <f t="shared" si="6"/>
        <v>1</v>
      </c>
      <c r="CA58" s="30">
        <f t="shared" si="7"/>
        <v>3</v>
      </c>
      <c r="CB58" s="30">
        <f t="shared" si="8"/>
        <v>0</v>
      </c>
    </row>
    <row r="59" spans="1:80" ht="15.5" x14ac:dyDescent="0.35">
      <c r="A59" s="31" t="s">
        <v>986</v>
      </c>
      <c r="B59" s="56" t="s">
        <v>774</v>
      </c>
      <c r="C59" s="47" t="s">
        <v>360</v>
      </c>
      <c r="D59" s="141" t="s">
        <v>239</v>
      </c>
      <c r="E59" s="42" t="s">
        <v>8</v>
      </c>
      <c r="F59" s="19"/>
      <c r="G59" s="13">
        <v>1</v>
      </c>
      <c r="H59" s="13"/>
      <c r="I59" s="13"/>
      <c r="J59" s="13">
        <v>1</v>
      </c>
      <c r="K59" s="13"/>
      <c r="L59" s="13"/>
      <c r="M59" s="13">
        <v>1</v>
      </c>
      <c r="N59" s="13"/>
      <c r="O59" s="13"/>
      <c r="P59" s="13">
        <v>5</v>
      </c>
      <c r="Q59" s="13"/>
      <c r="R59" s="13"/>
      <c r="S59" s="13">
        <v>4</v>
      </c>
      <c r="T59" s="13">
        <v>11</v>
      </c>
      <c r="U59" s="13"/>
      <c r="V59" s="13"/>
      <c r="W59" s="13">
        <v>5</v>
      </c>
      <c r="X59" s="30">
        <f t="shared" si="0"/>
        <v>0</v>
      </c>
      <c r="Y59" s="30">
        <f t="shared" si="1"/>
        <v>12</v>
      </c>
      <c r="Z59" s="30">
        <f t="shared" si="2"/>
        <v>16</v>
      </c>
      <c r="AB59" s="31" t="s">
        <v>1022</v>
      </c>
      <c r="AC59" s="56" t="s">
        <v>811</v>
      </c>
      <c r="AD59" s="47" t="s">
        <v>812</v>
      </c>
      <c r="AE59" s="161" t="s">
        <v>240</v>
      </c>
      <c r="AF59" s="42" t="s">
        <v>6</v>
      </c>
      <c r="AG59" s="4"/>
      <c r="AH59" s="4"/>
      <c r="AI59" s="4"/>
      <c r="AJ59" s="4"/>
      <c r="AK59" s="5"/>
      <c r="AL59" s="4">
        <v>1</v>
      </c>
      <c r="AM59" s="4"/>
      <c r="AN59" s="4"/>
      <c r="AO59" s="4"/>
      <c r="AP59" s="13"/>
      <c r="AQ59" s="13">
        <v>1</v>
      </c>
      <c r="AR59" s="13"/>
      <c r="AS59" s="13"/>
      <c r="AT59" s="13"/>
      <c r="AU59" s="13"/>
      <c r="AV59" s="4"/>
      <c r="AW59" s="4"/>
      <c r="AX59" s="4"/>
      <c r="AY59" s="30">
        <f t="shared" si="3"/>
        <v>0</v>
      </c>
      <c r="AZ59" s="30">
        <f t="shared" si="4"/>
        <v>1</v>
      </c>
      <c r="BA59" s="30">
        <f t="shared" si="5"/>
        <v>1</v>
      </c>
      <c r="BC59" s="31" t="s">
        <v>956</v>
      </c>
      <c r="BD59" s="56" t="s">
        <v>738</v>
      </c>
      <c r="BE59" s="41" t="s">
        <v>334</v>
      </c>
      <c r="BF59" s="121" t="s">
        <v>238</v>
      </c>
      <c r="BG59" s="42" t="s">
        <v>8</v>
      </c>
      <c r="BH59" s="19"/>
      <c r="BI59" s="19"/>
      <c r="BJ59" s="19"/>
      <c r="BK59" s="13"/>
      <c r="BL59" s="14">
        <v>1</v>
      </c>
      <c r="BM59" s="13"/>
      <c r="BN59" s="13"/>
      <c r="BO59" s="13"/>
      <c r="BP59" s="13"/>
      <c r="BQ59" s="13"/>
      <c r="BR59" s="13"/>
      <c r="BS59" s="13"/>
      <c r="BT59" s="13">
        <v>1</v>
      </c>
      <c r="BU59" s="13"/>
      <c r="BV59" s="13"/>
      <c r="BW59" s="13"/>
      <c r="BX59" s="13"/>
      <c r="BY59" s="13"/>
      <c r="BZ59" s="30">
        <f t="shared" si="6"/>
        <v>1</v>
      </c>
      <c r="CA59" s="30">
        <f t="shared" si="7"/>
        <v>1</v>
      </c>
      <c r="CB59" s="30">
        <f t="shared" si="8"/>
        <v>0</v>
      </c>
    </row>
    <row r="60" spans="1:80" ht="15.5" x14ac:dyDescent="0.35">
      <c r="A60" s="31" t="s">
        <v>987</v>
      </c>
      <c r="B60" s="56" t="s">
        <v>775</v>
      </c>
      <c r="C60" s="47" t="s">
        <v>361</v>
      </c>
      <c r="D60" s="141" t="s">
        <v>239</v>
      </c>
      <c r="E60" s="42" t="s">
        <v>8</v>
      </c>
      <c r="F60" s="19"/>
      <c r="G60" s="13"/>
      <c r="H60" s="13"/>
      <c r="I60" s="13"/>
      <c r="J60" s="14"/>
      <c r="K60" s="13"/>
      <c r="L60" s="13"/>
      <c r="M60" s="13">
        <v>1</v>
      </c>
      <c r="N60" s="13"/>
      <c r="O60" s="13"/>
      <c r="P60" s="13">
        <v>3</v>
      </c>
      <c r="Q60" s="13"/>
      <c r="R60" s="13"/>
      <c r="S60" s="13">
        <v>2</v>
      </c>
      <c r="T60" s="13"/>
      <c r="U60" s="13"/>
      <c r="V60" s="13"/>
      <c r="W60" s="13"/>
      <c r="X60" s="30">
        <f t="shared" si="0"/>
        <v>0</v>
      </c>
      <c r="Y60" s="30">
        <f t="shared" si="1"/>
        <v>6</v>
      </c>
      <c r="Z60" s="30">
        <f t="shared" si="2"/>
        <v>0</v>
      </c>
      <c r="AB60" s="31" t="s">
        <v>1060</v>
      </c>
      <c r="AC60" s="56" t="s">
        <v>840</v>
      </c>
      <c r="AD60" s="47" t="s">
        <v>417</v>
      </c>
      <c r="AE60" s="142" t="s">
        <v>1039</v>
      </c>
      <c r="AF60" s="42" t="s">
        <v>8</v>
      </c>
      <c r="AG60" s="4"/>
      <c r="AH60" s="4"/>
      <c r="AI60" s="4"/>
      <c r="AJ60" s="4">
        <v>1</v>
      </c>
      <c r="AK60" s="5"/>
      <c r="AL60" s="5"/>
      <c r="AM60" s="4"/>
      <c r="AN60" s="4"/>
      <c r="AO60" s="4"/>
      <c r="AP60" s="13"/>
      <c r="AQ60" s="13">
        <v>1</v>
      </c>
      <c r="AR60" s="13"/>
      <c r="AS60" s="13">
        <v>1</v>
      </c>
      <c r="AT60" s="13"/>
      <c r="AU60" s="13"/>
      <c r="AV60" s="4"/>
      <c r="AW60" s="4"/>
      <c r="AX60" s="4"/>
      <c r="AY60" s="30">
        <f t="shared" si="3"/>
        <v>2</v>
      </c>
      <c r="AZ60" s="30">
        <f t="shared" si="4"/>
        <v>1</v>
      </c>
      <c r="BA60" s="30">
        <f t="shared" si="5"/>
        <v>0</v>
      </c>
      <c r="BC60" s="31" t="s">
        <v>957</v>
      </c>
      <c r="BD60" s="56" t="s">
        <v>739</v>
      </c>
      <c r="BE60" s="41" t="s">
        <v>335</v>
      </c>
      <c r="BF60" s="121" t="s">
        <v>238</v>
      </c>
      <c r="BG60" s="42" t="s">
        <v>8</v>
      </c>
      <c r="BH60" s="19"/>
      <c r="BI60" s="19"/>
      <c r="BJ60" s="19"/>
      <c r="BK60" s="14"/>
      <c r="BL60" s="14">
        <v>1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30">
        <f t="shared" si="6"/>
        <v>0</v>
      </c>
      <c r="CA60" s="30">
        <f t="shared" si="7"/>
        <v>1</v>
      </c>
      <c r="CB60" s="30">
        <f t="shared" si="8"/>
        <v>0</v>
      </c>
    </row>
    <row r="61" spans="1:80" ht="15.5" x14ac:dyDescent="0.35">
      <c r="A61" s="31" t="s">
        <v>992</v>
      </c>
      <c r="B61" s="56" t="s">
        <v>780</v>
      </c>
      <c r="C61" s="47" t="s">
        <v>366</v>
      </c>
      <c r="D61" s="141" t="s">
        <v>239</v>
      </c>
      <c r="E61" s="42" t="s">
        <v>8</v>
      </c>
      <c r="F61" s="19"/>
      <c r="G61" s="13"/>
      <c r="H61" s="13"/>
      <c r="I61" s="14"/>
      <c r="J61" s="14"/>
      <c r="K61" s="13"/>
      <c r="L61" s="13"/>
      <c r="M61" s="13"/>
      <c r="N61" s="13"/>
      <c r="O61" s="13"/>
      <c r="P61" s="13"/>
      <c r="Q61" s="13"/>
      <c r="R61" s="13"/>
      <c r="S61" s="13">
        <v>1</v>
      </c>
      <c r="T61" s="13"/>
      <c r="U61" s="13"/>
      <c r="V61" s="13"/>
      <c r="W61" s="13"/>
      <c r="X61" s="30">
        <f t="shared" si="0"/>
        <v>0</v>
      </c>
      <c r="Y61" s="30">
        <f t="shared" si="1"/>
        <v>1</v>
      </c>
      <c r="Z61" s="30">
        <f t="shared" si="2"/>
        <v>0</v>
      </c>
      <c r="AB61" s="31" t="s">
        <v>1062</v>
      </c>
      <c r="AC61" s="56" t="s">
        <v>842</v>
      </c>
      <c r="AD61" s="47" t="s">
        <v>843</v>
      </c>
      <c r="AE61" s="142" t="s">
        <v>1039</v>
      </c>
      <c r="AF61" s="42" t="s">
        <v>8</v>
      </c>
      <c r="AG61" s="4"/>
      <c r="AH61" s="4"/>
      <c r="AI61" s="4"/>
      <c r="AJ61" s="4"/>
      <c r="AK61" s="5"/>
      <c r="AL61" s="4"/>
      <c r="AM61" s="4">
        <v>1</v>
      </c>
      <c r="AN61" s="4"/>
      <c r="AO61" s="4"/>
      <c r="AP61" s="13"/>
      <c r="AQ61" s="13">
        <v>1</v>
      </c>
      <c r="AR61" s="13"/>
      <c r="AS61" s="13">
        <v>1</v>
      </c>
      <c r="AT61" s="13"/>
      <c r="AU61" s="13"/>
      <c r="AV61" s="4"/>
      <c r="AW61" s="4"/>
      <c r="AX61" s="4"/>
      <c r="AY61" s="30">
        <f t="shared" si="3"/>
        <v>2</v>
      </c>
      <c r="AZ61" s="30">
        <f t="shared" si="4"/>
        <v>1</v>
      </c>
      <c r="BA61" s="30">
        <f t="shared" si="5"/>
        <v>0</v>
      </c>
      <c r="BC61" s="31" t="s">
        <v>958</v>
      </c>
      <c r="BD61" s="56" t="s">
        <v>741</v>
      </c>
      <c r="BE61" s="41" t="s">
        <v>337</v>
      </c>
      <c r="BF61" s="121" t="s">
        <v>238</v>
      </c>
      <c r="BG61" s="42" t="s">
        <v>6</v>
      </c>
      <c r="BH61" s="19"/>
      <c r="BI61" s="19"/>
      <c r="BJ61" s="19"/>
      <c r="BK61" s="13"/>
      <c r="BL61" s="14">
        <v>1</v>
      </c>
      <c r="BM61" s="13"/>
      <c r="BN61" s="13">
        <v>1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30">
        <f t="shared" si="6"/>
        <v>1</v>
      </c>
      <c r="CA61" s="30">
        <f t="shared" si="7"/>
        <v>1</v>
      </c>
      <c r="CB61" s="30">
        <f t="shared" si="8"/>
        <v>0</v>
      </c>
    </row>
    <row r="62" spans="1:80" ht="15.5" x14ac:dyDescent="0.35">
      <c r="A62" s="31" t="s">
        <v>998</v>
      </c>
      <c r="B62" s="56" t="s">
        <v>786</v>
      </c>
      <c r="C62" s="58" t="s">
        <v>371</v>
      </c>
      <c r="D62" s="161" t="s">
        <v>240</v>
      </c>
      <c r="E62" s="42" t="s">
        <v>6</v>
      </c>
      <c r="F62" s="4"/>
      <c r="G62" s="4"/>
      <c r="H62" s="4"/>
      <c r="I62" s="4"/>
      <c r="J62" s="4">
        <v>8</v>
      </c>
      <c r="K62" s="4"/>
      <c r="L62" s="4"/>
      <c r="M62" s="4">
        <v>1</v>
      </c>
      <c r="N62" s="4"/>
      <c r="O62" s="13"/>
      <c r="P62" s="13"/>
      <c r="Q62" s="13"/>
      <c r="R62" s="13"/>
      <c r="S62" s="13">
        <v>3</v>
      </c>
      <c r="T62" s="13"/>
      <c r="U62" s="4"/>
      <c r="V62" s="4"/>
      <c r="W62" s="4"/>
      <c r="X62" s="30">
        <f t="shared" si="0"/>
        <v>0</v>
      </c>
      <c r="Y62" s="30">
        <f t="shared" si="1"/>
        <v>12</v>
      </c>
      <c r="Z62" s="30">
        <f t="shared" si="2"/>
        <v>0</v>
      </c>
      <c r="AB62" s="31" t="s">
        <v>30</v>
      </c>
      <c r="AC62" s="56" t="s">
        <v>639</v>
      </c>
      <c r="AD62" s="36" t="s">
        <v>254</v>
      </c>
      <c r="AE62" s="127" t="s">
        <v>231</v>
      </c>
      <c r="AF62" s="35" t="s">
        <v>8</v>
      </c>
      <c r="AG62" s="3"/>
      <c r="AH62" s="3"/>
      <c r="AI62" s="6"/>
      <c r="AJ62" s="4"/>
      <c r="AK62" s="4">
        <v>1</v>
      </c>
      <c r="AL62" s="5">
        <v>1</v>
      </c>
      <c r="AM62" s="4"/>
      <c r="AN62" s="4"/>
      <c r="AO62" s="5">
        <v>1</v>
      </c>
      <c r="AP62" s="13">
        <v>1</v>
      </c>
      <c r="AQ62" s="4"/>
      <c r="AR62" s="5"/>
      <c r="AS62" s="4"/>
      <c r="AT62" s="4">
        <v>1</v>
      </c>
      <c r="AU62" s="5">
        <v>1</v>
      </c>
      <c r="AV62" s="4"/>
      <c r="AW62" s="4"/>
      <c r="AX62" s="5"/>
      <c r="AY62" s="30">
        <f t="shared" si="3"/>
        <v>1</v>
      </c>
      <c r="AZ62" s="30">
        <f t="shared" si="4"/>
        <v>2</v>
      </c>
      <c r="BA62" s="30">
        <f t="shared" si="5"/>
        <v>3</v>
      </c>
      <c r="BC62" s="31" t="s">
        <v>959</v>
      </c>
      <c r="BD62" s="56" t="s">
        <v>742</v>
      </c>
      <c r="BE62" s="41" t="s">
        <v>338</v>
      </c>
      <c r="BF62" s="121" t="s">
        <v>238</v>
      </c>
      <c r="BG62" s="42" t="s">
        <v>6</v>
      </c>
      <c r="BH62" s="19"/>
      <c r="BI62" s="19"/>
      <c r="BJ62" s="19"/>
      <c r="BK62" s="13"/>
      <c r="BL62" s="13"/>
      <c r="BM62" s="13"/>
      <c r="BN62" s="13"/>
      <c r="BO62" s="13"/>
      <c r="BP62" s="13"/>
      <c r="BQ62" s="13">
        <v>1</v>
      </c>
      <c r="BR62" s="13"/>
      <c r="BS62" s="13"/>
      <c r="BT62" s="13"/>
      <c r="BU62" s="13">
        <v>1</v>
      </c>
      <c r="BV62" s="13"/>
      <c r="BW62" s="13"/>
      <c r="BX62" s="13"/>
      <c r="BY62" s="13"/>
      <c r="BZ62" s="30">
        <f t="shared" si="6"/>
        <v>1</v>
      </c>
      <c r="CA62" s="30">
        <f t="shared" si="7"/>
        <v>1</v>
      </c>
      <c r="CB62" s="30">
        <f t="shared" si="8"/>
        <v>0</v>
      </c>
    </row>
    <row r="63" spans="1:80" ht="15.5" x14ac:dyDescent="0.35">
      <c r="A63" s="31" t="s">
        <v>999</v>
      </c>
      <c r="B63" s="56" t="s">
        <v>787</v>
      </c>
      <c r="C63" s="47" t="s">
        <v>372</v>
      </c>
      <c r="D63" s="161" t="s">
        <v>240</v>
      </c>
      <c r="E63" s="42" t="s">
        <v>8</v>
      </c>
      <c r="F63" s="4"/>
      <c r="G63" s="4"/>
      <c r="H63" s="4"/>
      <c r="I63" s="4"/>
      <c r="J63" s="4">
        <v>1</v>
      </c>
      <c r="K63" s="4"/>
      <c r="L63" s="4"/>
      <c r="M63" s="4"/>
      <c r="N63" s="4"/>
      <c r="O63" s="13"/>
      <c r="P63" s="13"/>
      <c r="Q63" s="13"/>
      <c r="R63" s="13"/>
      <c r="S63" s="13">
        <v>1</v>
      </c>
      <c r="T63" s="13"/>
      <c r="U63" s="4"/>
      <c r="V63" s="4"/>
      <c r="W63" s="4"/>
      <c r="X63" s="30">
        <f t="shared" si="0"/>
        <v>0</v>
      </c>
      <c r="Y63" s="30">
        <f t="shared" si="1"/>
        <v>2</v>
      </c>
      <c r="Z63" s="30">
        <f t="shared" si="2"/>
        <v>0</v>
      </c>
      <c r="AB63" s="31" t="s">
        <v>38</v>
      </c>
      <c r="AC63" s="56" t="s">
        <v>648</v>
      </c>
      <c r="AD63" s="43" t="s">
        <v>261</v>
      </c>
      <c r="AE63" s="127" t="s">
        <v>236</v>
      </c>
      <c r="AF63" s="35" t="s">
        <v>6</v>
      </c>
      <c r="AG63" s="3"/>
      <c r="AH63" s="3"/>
      <c r="AI63" s="3"/>
      <c r="AJ63" s="4"/>
      <c r="AK63" s="5">
        <v>1</v>
      </c>
      <c r="AL63" s="4"/>
      <c r="AM63" s="4"/>
      <c r="AN63" s="4">
        <v>1</v>
      </c>
      <c r="AO63" s="4"/>
      <c r="AP63" s="13"/>
      <c r="AQ63" s="14"/>
      <c r="AR63" s="13"/>
      <c r="AS63" s="13"/>
      <c r="AT63" s="14"/>
      <c r="AU63" s="13"/>
      <c r="AV63" s="4"/>
      <c r="AW63" s="5"/>
      <c r="AX63" s="4"/>
      <c r="AY63" s="30">
        <f t="shared" si="3"/>
        <v>0</v>
      </c>
      <c r="AZ63" s="30">
        <f t="shared" si="4"/>
        <v>2</v>
      </c>
      <c r="BA63" s="30">
        <f t="shared" si="5"/>
        <v>0</v>
      </c>
      <c r="BC63" s="31" t="s">
        <v>960</v>
      </c>
      <c r="BD63" s="56" t="s">
        <v>743</v>
      </c>
      <c r="BE63" s="51" t="s">
        <v>339</v>
      </c>
      <c r="BF63" s="121" t="s">
        <v>238</v>
      </c>
      <c r="BG63" s="42" t="s">
        <v>8</v>
      </c>
      <c r="BH63" s="27"/>
      <c r="BI63" s="27"/>
      <c r="BJ63" s="27"/>
      <c r="BK63" s="21"/>
      <c r="BL63" s="21">
        <v>1</v>
      </c>
      <c r="BM63" s="15"/>
      <c r="BN63" s="15"/>
      <c r="BO63" s="15">
        <v>1</v>
      </c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30">
        <f t="shared" si="6"/>
        <v>0</v>
      </c>
      <c r="CA63" s="30">
        <f t="shared" si="7"/>
        <v>2</v>
      </c>
      <c r="CB63" s="30">
        <f t="shared" si="8"/>
        <v>0</v>
      </c>
    </row>
    <row r="64" spans="1:80" ht="15.5" x14ac:dyDescent="0.35">
      <c r="A64" s="31" t="s">
        <v>1002</v>
      </c>
      <c r="B64" s="56" t="s">
        <v>790</v>
      </c>
      <c r="C64" s="47" t="s">
        <v>375</v>
      </c>
      <c r="D64" s="161" t="s">
        <v>240</v>
      </c>
      <c r="E64" s="42" t="s">
        <v>6</v>
      </c>
      <c r="F64" s="4"/>
      <c r="G64" s="4"/>
      <c r="H64" s="4"/>
      <c r="I64" s="4"/>
      <c r="J64" s="5">
        <v>2</v>
      </c>
      <c r="K64" s="4">
        <v>2</v>
      </c>
      <c r="L64" s="4"/>
      <c r="M64" s="4"/>
      <c r="N64" s="4"/>
      <c r="O64" s="13"/>
      <c r="P64" s="13"/>
      <c r="Q64" s="13"/>
      <c r="R64" s="13"/>
      <c r="S64" s="13">
        <v>1</v>
      </c>
      <c r="T64" s="13"/>
      <c r="U64" s="4"/>
      <c r="V64" s="4"/>
      <c r="W64" s="4"/>
      <c r="X64" s="30">
        <f t="shared" si="0"/>
        <v>0</v>
      </c>
      <c r="Y64" s="30">
        <f t="shared" si="1"/>
        <v>3</v>
      </c>
      <c r="Z64" s="30">
        <f t="shared" si="2"/>
        <v>2</v>
      </c>
      <c r="AB64" s="31" t="s">
        <v>43</v>
      </c>
      <c r="AC64" s="56" t="s">
        <v>654</v>
      </c>
      <c r="AD64" s="43" t="s">
        <v>265</v>
      </c>
      <c r="AE64" s="127" t="s">
        <v>236</v>
      </c>
      <c r="AF64" s="35" t="s">
        <v>6</v>
      </c>
      <c r="AG64" s="3"/>
      <c r="AH64" s="3"/>
      <c r="AI64" s="6"/>
      <c r="AJ64" s="4"/>
      <c r="AK64" s="4"/>
      <c r="AL64" s="5"/>
      <c r="AM64" s="4"/>
      <c r="AN64" s="4">
        <v>1</v>
      </c>
      <c r="AO64" s="4">
        <v>1</v>
      </c>
      <c r="AP64" s="13"/>
      <c r="AQ64" s="14"/>
      <c r="AR64" s="13"/>
      <c r="AS64" s="13"/>
      <c r="AT64" s="14">
        <v>1</v>
      </c>
      <c r="AU64" s="13"/>
      <c r="AV64" s="4"/>
      <c r="AW64" s="5"/>
      <c r="AX64" s="4">
        <v>1</v>
      </c>
      <c r="AY64" s="30">
        <f t="shared" si="3"/>
        <v>0</v>
      </c>
      <c r="AZ64" s="30">
        <f t="shared" si="4"/>
        <v>2</v>
      </c>
      <c r="BA64" s="30">
        <f t="shared" si="5"/>
        <v>2</v>
      </c>
      <c r="BC64" s="31" t="s">
        <v>961</v>
      </c>
      <c r="BD64" s="56" t="s">
        <v>744</v>
      </c>
      <c r="BE64" s="41" t="s">
        <v>745</v>
      </c>
      <c r="BF64" s="121" t="s">
        <v>238</v>
      </c>
      <c r="BG64" s="42" t="s">
        <v>8</v>
      </c>
      <c r="BH64" s="19"/>
      <c r="BI64" s="19"/>
      <c r="BJ64" s="19"/>
      <c r="BK64" s="14">
        <v>1</v>
      </c>
      <c r="BL64" s="14"/>
      <c r="BM64" s="14"/>
      <c r="BN64" s="13"/>
      <c r="BO64" s="13"/>
      <c r="BP64" s="13"/>
      <c r="BQ64" s="13">
        <v>2</v>
      </c>
      <c r="BR64" s="13"/>
      <c r="BS64" s="13"/>
      <c r="BT64" s="13"/>
      <c r="BU64" s="13"/>
      <c r="BV64" s="13"/>
      <c r="BW64" s="13"/>
      <c r="BX64" s="13"/>
      <c r="BY64" s="13"/>
      <c r="BZ64" s="30">
        <f t="shared" si="6"/>
        <v>3</v>
      </c>
      <c r="CA64" s="30">
        <f t="shared" si="7"/>
        <v>0</v>
      </c>
      <c r="CB64" s="30">
        <f t="shared" si="8"/>
        <v>0</v>
      </c>
    </row>
    <row r="65" spans="1:80" ht="15.5" x14ac:dyDescent="0.35">
      <c r="A65" s="31" t="s">
        <v>1004</v>
      </c>
      <c r="B65" s="56" t="s">
        <v>792</v>
      </c>
      <c r="C65" s="47" t="s">
        <v>377</v>
      </c>
      <c r="D65" s="161" t="s">
        <v>240</v>
      </c>
      <c r="E65" s="42" t="s">
        <v>8</v>
      </c>
      <c r="F65" s="4"/>
      <c r="G65" s="4"/>
      <c r="H65" s="4"/>
      <c r="I65" s="4"/>
      <c r="J65" s="5"/>
      <c r="K65" s="5"/>
      <c r="L65" s="4"/>
      <c r="M65" s="4"/>
      <c r="N65" s="4"/>
      <c r="O65" s="13"/>
      <c r="P65" s="13">
        <v>2</v>
      </c>
      <c r="Q65" s="13"/>
      <c r="R65" s="13"/>
      <c r="S65" s="13">
        <v>1</v>
      </c>
      <c r="T65" s="13"/>
      <c r="U65" s="4"/>
      <c r="V65" s="4">
        <v>1</v>
      </c>
      <c r="W65" s="4"/>
      <c r="X65" s="30">
        <f t="shared" si="0"/>
        <v>0</v>
      </c>
      <c r="Y65" s="30">
        <f t="shared" si="1"/>
        <v>4</v>
      </c>
      <c r="Z65" s="30">
        <f t="shared" si="2"/>
        <v>0</v>
      </c>
      <c r="AB65" s="31" t="s">
        <v>48</v>
      </c>
      <c r="AC65" s="56" t="s">
        <v>660</v>
      </c>
      <c r="AD65" s="36" t="s">
        <v>661</v>
      </c>
      <c r="AE65" s="127" t="s">
        <v>236</v>
      </c>
      <c r="AF65" s="35" t="s">
        <v>6</v>
      </c>
      <c r="AG65" s="3"/>
      <c r="AH65" s="4"/>
      <c r="AI65" s="3"/>
      <c r="AJ65" s="5"/>
      <c r="AK65" s="4"/>
      <c r="AL65" s="5"/>
      <c r="AM65" s="4"/>
      <c r="AN65" s="4">
        <v>2</v>
      </c>
      <c r="AO65" s="4"/>
      <c r="AP65" s="13"/>
      <c r="AQ65" s="14"/>
      <c r="AR65" s="13"/>
      <c r="AS65" s="13"/>
      <c r="AT65" s="14"/>
      <c r="AU65" s="13"/>
      <c r="AV65" s="4"/>
      <c r="AW65" s="5"/>
      <c r="AX65" s="4"/>
      <c r="AY65" s="30">
        <f t="shared" si="3"/>
        <v>0</v>
      </c>
      <c r="AZ65" s="30">
        <f t="shared" si="4"/>
        <v>2</v>
      </c>
      <c r="BA65" s="30">
        <f t="shared" si="5"/>
        <v>0</v>
      </c>
      <c r="BC65" s="31" t="s">
        <v>965</v>
      </c>
      <c r="BD65" s="56" t="s">
        <v>751</v>
      </c>
      <c r="BE65" s="41" t="s">
        <v>341</v>
      </c>
      <c r="BF65" s="141" t="s">
        <v>239</v>
      </c>
      <c r="BG65" s="42" t="s">
        <v>6</v>
      </c>
      <c r="BH65" s="19"/>
      <c r="BI65" s="19"/>
      <c r="BJ65" s="19"/>
      <c r="BK65" s="13"/>
      <c r="BL65" s="13"/>
      <c r="BM65" s="13"/>
      <c r="BN65" s="13">
        <v>1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30">
        <f t="shared" si="6"/>
        <v>1</v>
      </c>
      <c r="CA65" s="30">
        <f t="shared" si="7"/>
        <v>0</v>
      </c>
      <c r="CB65" s="30">
        <f t="shared" si="8"/>
        <v>0</v>
      </c>
    </row>
    <row r="66" spans="1:80" ht="15.5" x14ac:dyDescent="0.35">
      <c r="A66" s="31" t="s">
        <v>1005</v>
      </c>
      <c r="B66" s="56" t="s">
        <v>793</v>
      </c>
      <c r="C66" s="47" t="s">
        <v>378</v>
      </c>
      <c r="D66" s="161" t="s">
        <v>240</v>
      </c>
      <c r="E66" s="42" t="s">
        <v>6</v>
      </c>
      <c r="F66" s="4"/>
      <c r="G66" s="4"/>
      <c r="H66" s="4"/>
      <c r="I66" s="4"/>
      <c r="J66" s="5">
        <v>1</v>
      </c>
      <c r="K66" s="5"/>
      <c r="L66" s="4"/>
      <c r="M66" s="4"/>
      <c r="N66" s="4"/>
      <c r="O66" s="13"/>
      <c r="P66" s="13"/>
      <c r="Q66" s="13"/>
      <c r="R66" s="13"/>
      <c r="S66" s="13"/>
      <c r="T66" s="13"/>
      <c r="U66" s="4"/>
      <c r="V66" s="4"/>
      <c r="W66" s="4"/>
      <c r="X66" s="30">
        <f t="shared" si="0"/>
        <v>0</v>
      </c>
      <c r="Y66" s="30">
        <f t="shared" si="1"/>
        <v>1</v>
      </c>
      <c r="Z66" s="30">
        <f t="shared" si="2"/>
        <v>0</v>
      </c>
      <c r="AB66" s="31" t="s">
        <v>915</v>
      </c>
      <c r="AC66" s="56" t="s">
        <v>693</v>
      </c>
      <c r="AD66" s="36" t="s">
        <v>694</v>
      </c>
      <c r="AE66" s="127" t="s">
        <v>237</v>
      </c>
      <c r="AF66" s="35" t="s">
        <v>6</v>
      </c>
      <c r="AG66" s="3">
        <v>1</v>
      </c>
      <c r="AH66" s="3"/>
      <c r="AI66" s="3">
        <v>1</v>
      </c>
      <c r="AJ66" s="5">
        <v>2</v>
      </c>
      <c r="AK66" s="5">
        <v>1</v>
      </c>
      <c r="AL66" s="4">
        <v>1</v>
      </c>
      <c r="AM66" s="4">
        <v>1</v>
      </c>
      <c r="AN66" s="5">
        <v>1</v>
      </c>
      <c r="AO66" s="4">
        <v>1</v>
      </c>
      <c r="AP66" s="13"/>
      <c r="AQ66" s="5"/>
      <c r="AR66" s="4">
        <v>2</v>
      </c>
      <c r="AS66" s="13"/>
      <c r="AT66" s="14"/>
      <c r="AU66" s="13">
        <v>3</v>
      </c>
      <c r="AV66" s="4"/>
      <c r="AW66" s="5"/>
      <c r="AX66" s="4"/>
      <c r="AY66" s="30">
        <f t="shared" si="3"/>
        <v>4</v>
      </c>
      <c r="AZ66" s="30">
        <f t="shared" si="4"/>
        <v>2</v>
      </c>
      <c r="BA66" s="30">
        <f t="shared" si="5"/>
        <v>8</v>
      </c>
      <c r="BC66" s="31" t="s">
        <v>966</v>
      </c>
      <c r="BD66" s="56" t="s">
        <v>752</v>
      </c>
      <c r="BE66" s="41" t="s">
        <v>342</v>
      </c>
      <c r="BF66" s="141" t="s">
        <v>239</v>
      </c>
      <c r="BG66" s="42" t="s">
        <v>6</v>
      </c>
      <c r="BH66" s="19"/>
      <c r="BI66" s="19">
        <v>2</v>
      </c>
      <c r="BJ66" s="19"/>
      <c r="BK66" s="13">
        <v>4</v>
      </c>
      <c r="BL66" s="13">
        <v>3</v>
      </c>
      <c r="BM66" s="13"/>
      <c r="BN66" s="13"/>
      <c r="BO66" s="13">
        <v>2</v>
      </c>
      <c r="BP66" s="13"/>
      <c r="BQ66" s="13"/>
      <c r="BR66" s="13">
        <v>2</v>
      </c>
      <c r="BS66" s="13"/>
      <c r="BT66" s="13"/>
      <c r="BU66" s="13">
        <v>4</v>
      </c>
      <c r="BV66" s="13"/>
      <c r="BW66" s="13"/>
      <c r="BX66" s="13"/>
      <c r="BY66" s="13"/>
      <c r="BZ66" s="30">
        <f t="shared" si="6"/>
        <v>4</v>
      </c>
      <c r="CA66" s="30">
        <f t="shared" si="7"/>
        <v>13</v>
      </c>
      <c r="CB66" s="30">
        <f t="shared" si="8"/>
        <v>0</v>
      </c>
    </row>
    <row r="67" spans="1:80" ht="15.5" x14ac:dyDescent="0.35">
      <c r="A67" s="31" t="s">
        <v>1006</v>
      </c>
      <c r="B67" s="56" t="s">
        <v>794</v>
      </c>
      <c r="C67" s="47" t="s">
        <v>379</v>
      </c>
      <c r="D67" s="161" t="s">
        <v>240</v>
      </c>
      <c r="E67" s="42" t="s">
        <v>8</v>
      </c>
      <c r="F67" s="4"/>
      <c r="G67" s="4"/>
      <c r="H67" s="4"/>
      <c r="I67" s="4"/>
      <c r="J67" s="4">
        <v>1</v>
      </c>
      <c r="K67" s="5"/>
      <c r="L67" s="4"/>
      <c r="M67" s="4"/>
      <c r="N67" s="4"/>
      <c r="O67" s="13"/>
      <c r="P67" s="13">
        <v>1</v>
      </c>
      <c r="Q67" s="13"/>
      <c r="R67" s="13"/>
      <c r="S67" s="13">
        <v>2</v>
      </c>
      <c r="T67" s="13"/>
      <c r="U67" s="4"/>
      <c r="V67" s="4"/>
      <c r="W67" s="4"/>
      <c r="X67" s="30">
        <f t="shared" si="0"/>
        <v>0</v>
      </c>
      <c r="Y67" s="30">
        <f t="shared" si="1"/>
        <v>4</v>
      </c>
      <c r="Z67" s="30">
        <f t="shared" si="2"/>
        <v>0</v>
      </c>
      <c r="AB67" s="31" t="s">
        <v>919</v>
      </c>
      <c r="AC67" s="56" t="s">
        <v>698</v>
      </c>
      <c r="AD67" s="70" t="s">
        <v>299</v>
      </c>
      <c r="AE67" s="127" t="s">
        <v>237</v>
      </c>
      <c r="AF67" s="35" t="s">
        <v>6</v>
      </c>
      <c r="AG67" s="3"/>
      <c r="AH67" s="3"/>
      <c r="AI67" s="3"/>
      <c r="AJ67" s="5"/>
      <c r="AK67" s="5"/>
      <c r="AL67" s="4"/>
      <c r="AM67" s="4"/>
      <c r="AN67" s="5"/>
      <c r="AO67" s="4"/>
      <c r="AP67" s="13">
        <v>1</v>
      </c>
      <c r="AQ67" s="5">
        <v>2</v>
      </c>
      <c r="AR67" s="4"/>
      <c r="AS67" s="13"/>
      <c r="AT67" s="14"/>
      <c r="AU67" s="13"/>
      <c r="AV67" s="4"/>
      <c r="AW67" s="5"/>
      <c r="AX67" s="4"/>
      <c r="AY67" s="30">
        <f t="shared" si="3"/>
        <v>1</v>
      </c>
      <c r="AZ67" s="30">
        <f t="shared" si="4"/>
        <v>2</v>
      </c>
      <c r="BA67" s="30">
        <f t="shared" si="5"/>
        <v>0</v>
      </c>
      <c r="BC67" s="31" t="s">
        <v>967</v>
      </c>
      <c r="BD67" s="56" t="s">
        <v>753</v>
      </c>
      <c r="BE67" s="41" t="s">
        <v>343</v>
      </c>
      <c r="BF67" s="141" t="s">
        <v>239</v>
      </c>
      <c r="BG67" s="42" t="s">
        <v>6</v>
      </c>
      <c r="BH67" s="19">
        <v>1</v>
      </c>
      <c r="BI67" s="19">
        <v>2</v>
      </c>
      <c r="BJ67" s="19"/>
      <c r="BK67" s="13"/>
      <c r="BL67" s="13">
        <v>5</v>
      </c>
      <c r="BM67" s="13"/>
      <c r="BN67" s="13"/>
      <c r="BO67" s="13">
        <v>2</v>
      </c>
      <c r="BP67" s="13"/>
      <c r="BQ67" s="13"/>
      <c r="BR67" s="13">
        <v>3</v>
      </c>
      <c r="BS67" s="13"/>
      <c r="BT67" s="13"/>
      <c r="BU67" s="13">
        <v>3</v>
      </c>
      <c r="BV67" s="13"/>
      <c r="BW67" s="13"/>
      <c r="BX67" s="13"/>
      <c r="BY67" s="13"/>
      <c r="BZ67" s="30">
        <f t="shared" si="6"/>
        <v>1</v>
      </c>
      <c r="CA67" s="30">
        <f t="shared" si="7"/>
        <v>15</v>
      </c>
      <c r="CB67" s="30">
        <f t="shared" si="8"/>
        <v>0</v>
      </c>
    </row>
    <row r="68" spans="1:80" ht="15.5" x14ac:dyDescent="0.35">
      <c r="A68" s="31" t="s">
        <v>1008</v>
      </c>
      <c r="B68" s="56" t="s">
        <v>796</v>
      </c>
      <c r="C68" s="47" t="s">
        <v>381</v>
      </c>
      <c r="D68" s="161" t="s">
        <v>240</v>
      </c>
      <c r="E68" s="42" t="s">
        <v>6</v>
      </c>
      <c r="F68" s="4"/>
      <c r="G68" s="4"/>
      <c r="H68" s="4"/>
      <c r="I68" s="4"/>
      <c r="J68" s="5"/>
      <c r="K68" s="4"/>
      <c r="L68" s="4"/>
      <c r="M68" s="4"/>
      <c r="N68" s="4"/>
      <c r="O68" s="13"/>
      <c r="P68" s="13"/>
      <c r="Q68" s="13"/>
      <c r="R68" s="13"/>
      <c r="S68" s="13"/>
      <c r="T68" s="13"/>
      <c r="U68" s="4"/>
      <c r="V68" s="4"/>
      <c r="W68" s="4"/>
      <c r="X68" s="30">
        <f t="shared" ref="X68:X131" si="9">SUM(F68,I68,L68,O68,R68,U68)</f>
        <v>0</v>
      </c>
      <c r="Y68" s="30">
        <f t="shared" ref="Y68:Y131" si="10">SUM(G68,J68,M68,P68,S68,V68)</f>
        <v>0</v>
      </c>
      <c r="Z68" s="30">
        <f t="shared" ref="Z68:Z131" si="11">SUM(H68,K68,N68,Q68,T68,W68)</f>
        <v>0</v>
      </c>
      <c r="AB68" s="31" t="s">
        <v>928</v>
      </c>
      <c r="AC68" s="56" t="s">
        <v>707</v>
      </c>
      <c r="AD68" s="36" t="s">
        <v>309</v>
      </c>
      <c r="AE68" s="127" t="s">
        <v>237</v>
      </c>
      <c r="AF68" s="35" t="s">
        <v>6</v>
      </c>
      <c r="AG68" s="3"/>
      <c r="AH68" s="3"/>
      <c r="AI68" s="3"/>
      <c r="AJ68" s="4">
        <v>1</v>
      </c>
      <c r="AK68" s="5">
        <v>2</v>
      </c>
      <c r="AL68" s="4"/>
      <c r="AM68" s="4"/>
      <c r="AN68" s="5"/>
      <c r="AO68" s="4"/>
      <c r="AP68" s="13">
        <v>1</v>
      </c>
      <c r="AQ68" s="5"/>
      <c r="AR68" s="4"/>
      <c r="AS68" s="13">
        <v>1</v>
      </c>
      <c r="AT68" s="14"/>
      <c r="AU68" s="13"/>
      <c r="AV68" s="4"/>
      <c r="AW68" s="5"/>
      <c r="AX68" s="4"/>
      <c r="AY68" s="30">
        <f t="shared" ref="AY68:AY131" si="12">SUM(AG68,AJ68,AM68,AP68,AS68,AV68)</f>
        <v>3</v>
      </c>
      <c r="AZ68" s="30">
        <f t="shared" ref="AZ68:AZ131" si="13">SUM(AH68,AK68,AN68,AQ68,AT68,AW68)</f>
        <v>2</v>
      </c>
      <c r="BA68" s="30">
        <f t="shared" ref="BA68:BA131" si="14">SUM(AI68,AL68,AO68,AR68,AU68,AX68)</f>
        <v>0</v>
      </c>
      <c r="BC68" s="31" t="s">
        <v>968</v>
      </c>
      <c r="BD68" s="56" t="s">
        <v>754</v>
      </c>
      <c r="BE68" s="41" t="s">
        <v>344</v>
      </c>
      <c r="BF68" s="141" t="s">
        <v>239</v>
      </c>
      <c r="BG68" s="42" t="s">
        <v>6</v>
      </c>
      <c r="BH68" s="19"/>
      <c r="BI68" s="19">
        <v>2</v>
      </c>
      <c r="BJ68" s="19"/>
      <c r="BK68" s="13"/>
      <c r="BL68" s="14">
        <v>4</v>
      </c>
      <c r="BM68" s="13"/>
      <c r="BN68" s="13"/>
      <c r="BO68" s="13">
        <v>1</v>
      </c>
      <c r="BP68" s="13"/>
      <c r="BQ68" s="13"/>
      <c r="BR68" s="13">
        <v>4</v>
      </c>
      <c r="BS68" s="13"/>
      <c r="BT68" s="13"/>
      <c r="BU68" s="13">
        <v>3</v>
      </c>
      <c r="BV68" s="13"/>
      <c r="BW68" s="13">
        <v>1</v>
      </c>
      <c r="BX68" s="13"/>
      <c r="BY68" s="13"/>
      <c r="BZ68" s="30">
        <f t="shared" ref="BZ68:BZ131" si="15">SUM(BH68,BK68,BN68,BQ68,BT68,BW68)</f>
        <v>1</v>
      </c>
      <c r="CA68" s="30">
        <f t="shared" ref="CA68:CA131" si="16">SUM(BI68,BL68,BO68,BR68,BU68,BX68)</f>
        <v>14</v>
      </c>
      <c r="CB68" s="30">
        <f t="shared" ref="CB68:CB131" si="17">SUM(BJ68,BM68,BP68,BS68,BV68,BY68)</f>
        <v>0</v>
      </c>
    </row>
    <row r="69" spans="1:80" ht="15.5" x14ac:dyDescent="0.35">
      <c r="A69" s="31" t="s">
        <v>1010</v>
      </c>
      <c r="B69" s="56" t="s">
        <v>798</v>
      </c>
      <c r="C69" s="47" t="s">
        <v>383</v>
      </c>
      <c r="D69" s="161" t="s">
        <v>240</v>
      </c>
      <c r="E69" s="42" t="s">
        <v>8</v>
      </c>
      <c r="F69" s="4"/>
      <c r="G69" s="4"/>
      <c r="H69" s="4"/>
      <c r="I69" s="4"/>
      <c r="J69" s="4">
        <v>1</v>
      </c>
      <c r="K69" s="4"/>
      <c r="L69" s="4"/>
      <c r="M69" s="4"/>
      <c r="N69" s="4"/>
      <c r="O69" s="13"/>
      <c r="P69" s="13">
        <v>1</v>
      </c>
      <c r="Q69" s="13"/>
      <c r="R69" s="13"/>
      <c r="S69" s="13"/>
      <c r="T69" s="13"/>
      <c r="U69" s="4"/>
      <c r="V69" s="4"/>
      <c r="W69" s="4"/>
      <c r="X69" s="30">
        <f t="shared" si="9"/>
        <v>0</v>
      </c>
      <c r="Y69" s="30">
        <f t="shared" si="10"/>
        <v>2</v>
      </c>
      <c r="Z69" s="30">
        <f t="shared" si="11"/>
        <v>0</v>
      </c>
      <c r="AB69" s="31" t="s">
        <v>942</v>
      </c>
      <c r="AC69" s="56" t="s">
        <v>722</v>
      </c>
      <c r="AD69" s="41" t="s">
        <v>322</v>
      </c>
      <c r="AE69" s="121" t="s">
        <v>238</v>
      </c>
      <c r="AF69" s="42" t="s">
        <v>6</v>
      </c>
      <c r="AG69" s="19"/>
      <c r="AH69" s="19"/>
      <c r="AI69" s="19">
        <v>1</v>
      </c>
      <c r="AJ69" s="13"/>
      <c r="AK69" s="14">
        <v>1</v>
      </c>
      <c r="AL69" s="14">
        <v>2</v>
      </c>
      <c r="AM69" s="13">
        <v>2</v>
      </c>
      <c r="AN69" s="13"/>
      <c r="AO69" s="13">
        <v>1</v>
      </c>
      <c r="AP69" s="13"/>
      <c r="AQ69" s="13">
        <v>1</v>
      </c>
      <c r="AR69" s="13"/>
      <c r="AS69" s="13"/>
      <c r="AT69" s="13"/>
      <c r="AU69" s="13"/>
      <c r="AV69" s="13"/>
      <c r="AW69" s="13"/>
      <c r="AX69" s="13">
        <v>1</v>
      </c>
      <c r="AY69" s="30">
        <f t="shared" si="12"/>
        <v>2</v>
      </c>
      <c r="AZ69" s="30">
        <f t="shared" si="13"/>
        <v>2</v>
      </c>
      <c r="BA69" s="30">
        <f t="shared" si="14"/>
        <v>5</v>
      </c>
      <c r="BC69" s="31" t="s">
        <v>970</v>
      </c>
      <c r="BD69" s="56" t="s">
        <v>756</v>
      </c>
      <c r="BE69" s="41" t="s">
        <v>346</v>
      </c>
      <c r="BF69" s="141" t="s">
        <v>239</v>
      </c>
      <c r="BG69" s="42" t="s">
        <v>6</v>
      </c>
      <c r="BH69" s="19"/>
      <c r="BI69" s="19">
        <v>1</v>
      </c>
      <c r="BJ69" s="19"/>
      <c r="BK69" s="13"/>
      <c r="BL69" s="14">
        <v>1</v>
      </c>
      <c r="BM69" s="13"/>
      <c r="BN69" s="13">
        <v>1</v>
      </c>
      <c r="BO69" s="13">
        <v>1</v>
      </c>
      <c r="BP69" s="13"/>
      <c r="BQ69" s="13">
        <v>1</v>
      </c>
      <c r="BR69" s="13">
        <v>2</v>
      </c>
      <c r="BS69" s="13"/>
      <c r="BT69" s="13"/>
      <c r="BU69" s="13">
        <v>3</v>
      </c>
      <c r="BV69" s="13"/>
      <c r="BW69" s="13"/>
      <c r="BX69" s="13"/>
      <c r="BY69" s="13"/>
      <c r="BZ69" s="30">
        <f t="shared" si="15"/>
        <v>2</v>
      </c>
      <c r="CA69" s="30">
        <f t="shared" si="16"/>
        <v>8</v>
      </c>
      <c r="CB69" s="30">
        <f t="shared" si="17"/>
        <v>0</v>
      </c>
    </row>
    <row r="70" spans="1:80" ht="15.5" x14ac:dyDescent="0.35">
      <c r="A70" s="31" t="s">
        <v>1012</v>
      </c>
      <c r="B70" s="56" t="s">
        <v>800</v>
      </c>
      <c r="C70" s="47" t="s">
        <v>385</v>
      </c>
      <c r="D70" s="161" t="s">
        <v>240</v>
      </c>
      <c r="E70" s="42" t="s">
        <v>6</v>
      </c>
      <c r="F70" s="9"/>
      <c r="G70" s="9"/>
      <c r="H70" s="9"/>
      <c r="I70" s="9"/>
      <c r="J70" s="9">
        <v>2</v>
      </c>
      <c r="K70" s="9"/>
      <c r="L70" s="9"/>
      <c r="M70" s="9"/>
      <c r="N70" s="9">
        <v>3</v>
      </c>
      <c r="O70" s="15"/>
      <c r="P70" s="15">
        <v>3</v>
      </c>
      <c r="Q70" s="15"/>
      <c r="R70" s="15"/>
      <c r="S70" s="15"/>
      <c r="T70" s="15"/>
      <c r="U70" s="9"/>
      <c r="V70" s="9">
        <v>1</v>
      </c>
      <c r="W70" s="9">
        <v>1</v>
      </c>
      <c r="X70" s="30">
        <f t="shared" si="9"/>
        <v>0</v>
      </c>
      <c r="Y70" s="30">
        <f t="shared" si="10"/>
        <v>6</v>
      </c>
      <c r="Z70" s="30">
        <f t="shared" si="11"/>
        <v>4</v>
      </c>
      <c r="AB70" s="31" t="s">
        <v>944</v>
      </c>
      <c r="AC70" s="56" t="s">
        <v>724</v>
      </c>
      <c r="AD70" s="41" t="s">
        <v>324</v>
      </c>
      <c r="AE70" s="121" t="s">
        <v>238</v>
      </c>
      <c r="AF70" s="42" t="s">
        <v>8</v>
      </c>
      <c r="AG70" s="19"/>
      <c r="AH70" s="19"/>
      <c r="AI70" s="19"/>
      <c r="AJ70" s="13"/>
      <c r="AK70" s="14"/>
      <c r="AL70" s="13"/>
      <c r="AM70" s="13"/>
      <c r="AN70" s="13">
        <v>2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30">
        <f t="shared" si="12"/>
        <v>0</v>
      </c>
      <c r="AZ70" s="30">
        <f t="shared" si="13"/>
        <v>2</v>
      </c>
      <c r="BA70" s="30">
        <f t="shared" si="14"/>
        <v>0</v>
      </c>
      <c r="BC70" s="31" t="s">
        <v>971</v>
      </c>
      <c r="BD70" s="56" t="s">
        <v>757</v>
      </c>
      <c r="BE70" s="41" t="s">
        <v>347</v>
      </c>
      <c r="BF70" s="141" t="s">
        <v>239</v>
      </c>
      <c r="BG70" s="42" t="s">
        <v>6</v>
      </c>
      <c r="BH70" s="19"/>
      <c r="BI70" s="19">
        <v>2</v>
      </c>
      <c r="BJ70" s="19"/>
      <c r="BK70" s="13"/>
      <c r="BL70" s="13"/>
      <c r="BM70" s="14"/>
      <c r="BN70" s="13"/>
      <c r="BO70" s="13"/>
      <c r="BP70" s="13"/>
      <c r="BQ70" s="13">
        <v>2</v>
      </c>
      <c r="BR70" s="13"/>
      <c r="BS70" s="13"/>
      <c r="BT70" s="13"/>
      <c r="BU70" s="13">
        <v>1</v>
      </c>
      <c r="BV70" s="13"/>
      <c r="BW70" s="13"/>
      <c r="BX70" s="13"/>
      <c r="BY70" s="13"/>
      <c r="BZ70" s="30">
        <f t="shared" si="15"/>
        <v>2</v>
      </c>
      <c r="CA70" s="30">
        <f t="shared" si="16"/>
        <v>3</v>
      </c>
      <c r="CB70" s="30">
        <f t="shared" si="17"/>
        <v>0</v>
      </c>
    </row>
    <row r="71" spans="1:80" ht="15.5" x14ac:dyDescent="0.35">
      <c r="A71" s="31" t="s">
        <v>1016</v>
      </c>
      <c r="B71" s="56" t="s">
        <v>804</v>
      </c>
      <c r="C71" s="47" t="s">
        <v>389</v>
      </c>
      <c r="D71" s="161" t="s">
        <v>240</v>
      </c>
      <c r="E71" s="42" t="s">
        <v>6</v>
      </c>
      <c r="F71" s="4"/>
      <c r="G71" s="4"/>
      <c r="H71" s="4"/>
      <c r="I71" s="4"/>
      <c r="J71" s="5">
        <v>1</v>
      </c>
      <c r="K71" s="4"/>
      <c r="L71" s="4"/>
      <c r="M71" s="4"/>
      <c r="N71" s="4"/>
      <c r="O71" s="13"/>
      <c r="P71" s="13"/>
      <c r="Q71" s="13"/>
      <c r="R71" s="13"/>
      <c r="S71" s="13">
        <v>1</v>
      </c>
      <c r="T71" s="13"/>
      <c r="U71" s="4"/>
      <c r="V71" s="4">
        <v>2</v>
      </c>
      <c r="W71" s="4"/>
      <c r="X71" s="30">
        <f t="shared" si="9"/>
        <v>0</v>
      </c>
      <c r="Y71" s="30">
        <f t="shared" si="10"/>
        <v>4</v>
      </c>
      <c r="Z71" s="30">
        <f t="shared" si="11"/>
        <v>0</v>
      </c>
      <c r="AB71" s="31" t="s">
        <v>949</v>
      </c>
      <c r="AC71" s="56" t="s">
        <v>730</v>
      </c>
      <c r="AD71" s="41" t="s">
        <v>328</v>
      </c>
      <c r="AE71" s="121" t="s">
        <v>238</v>
      </c>
      <c r="AF71" s="42" t="s">
        <v>8</v>
      </c>
      <c r="AG71" s="19"/>
      <c r="AH71" s="19"/>
      <c r="AI71" s="19"/>
      <c r="AJ71" s="13"/>
      <c r="AK71" s="14"/>
      <c r="AL71" s="13"/>
      <c r="AM71" s="13">
        <v>4</v>
      </c>
      <c r="AN71" s="13">
        <v>1</v>
      </c>
      <c r="AO71" s="13"/>
      <c r="AP71" s="13"/>
      <c r="AQ71" s="13">
        <v>1</v>
      </c>
      <c r="AR71" s="13"/>
      <c r="AS71" s="13">
        <v>1</v>
      </c>
      <c r="AT71" s="13"/>
      <c r="AU71" s="13"/>
      <c r="AV71" s="13" t="s">
        <v>896</v>
      </c>
      <c r="AW71" s="13"/>
      <c r="AX71" s="13"/>
      <c r="AY71" s="30">
        <f t="shared" si="12"/>
        <v>5</v>
      </c>
      <c r="AZ71" s="30">
        <f t="shared" si="13"/>
        <v>2</v>
      </c>
      <c r="BA71" s="30">
        <f t="shared" si="14"/>
        <v>0</v>
      </c>
      <c r="BC71" s="31" t="s">
        <v>972</v>
      </c>
      <c r="BD71" s="56" t="s">
        <v>758</v>
      </c>
      <c r="BE71" s="41" t="s">
        <v>348</v>
      </c>
      <c r="BF71" s="141" t="s">
        <v>239</v>
      </c>
      <c r="BG71" s="42" t="s">
        <v>6</v>
      </c>
      <c r="BH71" s="19"/>
      <c r="BI71" s="19">
        <v>2</v>
      </c>
      <c r="BJ71" s="19"/>
      <c r="BK71" s="13"/>
      <c r="BL71" s="14">
        <v>1</v>
      </c>
      <c r="BM71" s="14"/>
      <c r="BN71" s="13"/>
      <c r="BO71" s="13"/>
      <c r="BP71" s="13"/>
      <c r="BQ71" s="13">
        <v>1</v>
      </c>
      <c r="BR71" s="13">
        <v>4</v>
      </c>
      <c r="BS71" s="13"/>
      <c r="BT71" s="13"/>
      <c r="BU71" s="13">
        <v>4</v>
      </c>
      <c r="BV71" s="13"/>
      <c r="BW71" s="13"/>
      <c r="BX71" s="13"/>
      <c r="BY71" s="13"/>
      <c r="BZ71" s="30">
        <f t="shared" si="15"/>
        <v>1</v>
      </c>
      <c r="CA71" s="30">
        <f t="shared" si="16"/>
        <v>11</v>
      </c>
      <c r="CB71" s="30">
        <f t="shared" si="17"/>
        <v>0</v>
      </c>
    </row>
    <row r="72" spans="1:80" ht="15.5" x14ac:dyDescent="0.35">
      <c r="A72" s="31" t="s">
        <v>1017</v>
      </c>
      <c r="B72" s="56" t="s">
        <v>805</v>
      </c>
      <c r="C72" s="47" t="s">
        <v>806</v>
      </c>
      <c r="D72" s="161" t="s">
        <v>240</v>
      </c>
      <c r="E72" s="42" t="s">
        <v>6</v>
      </c>
      <c r="F72" s="4"/>
      <c r="G72" s="4"/>
      <c r="H72" s="4"/>
      <c r="I72" s="4"/>
      <c r="J72" s="5"/>
      <c r="K72" s="4"/>
      <c r="L72" s="4"/>
      <c r="M72" s="4"/>
      <c r="N72" s="4"/>
      <c r="O72" s="13"/>
      <c r="P72" s="13"/>
      <c r="Q72" s="13"/>
      <c r="R72" s="13"/>
      <c r="S72" s="13"/>
      <c r="T72" s="13"/>
      <c r="U72" s="4"/>
      <c r="V72" s="4"/>
      <c r="W72" s="4"/>
      <c r="X72" s="30">
        <f t="shared" si="9"/>
        <v>0</v>
      </c>
      <c r="Y72" s="30">
        <f t="shared" si="10"/>
        <v>0</v>
      </c>
      <c r="Z72" s="30">
        <f t="shared" si="11"/>
        <v>0</v>
      </c>
      <c r="AB72" s="31" t="s">
        <v>960</v>
      </c>
      <c r="AC72" s="56" t="s">
        <v>743</v>
      </c>
      <c r="AD72" s="51" t="s">
        <v>339</v>
      </c>
      <c r="AE72" s="121" t="s">
        <v>238</v>
      </c>
      <c r="AF72" s="42" t="s">
        <v>8</v>
      </c>
      <c r="AG72" s="27"/>
      <c r="AH72" s="27"/>
      <c r="AI72" s="27"/>
      <c r="AJ72" s="21"/>
      <c r="AK72" s="21">
        <v>1</v>
      </c>
      <c r="AL72" s="15"/>
      <c r="AM72" s="15"/>
      <c r="AN72" s="15">
        <v>1</v>
      </c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30">
        <f t="shared" si="12"/>
        <v>0</v>
      </c>
      <c r="AZ72" s="30">
        <f t="shared" si="13"/>
        <v>2</v>
      </c>
      <c r="BA72" s="30">
        <f t="shared" si="14"/>
        <v>0</v>
      </c>
      <c r="BC72" s="31" t="s">
        <v>974</v>
      </c>
      <c r="BD72" s="56" t="s">
        <v>760</v>
      </c>
      <c r="BE72" s="73" t="s">
        <v>350</v>
      </c>
      <c r="BF72" s="141" t="s">
        <v>239</v>
      </c>
      <c r="BG72" s="42" t="s">
        <v>6</v>
      </c>
      <c r="BH72" s="19"/>
      <c r="BI72" s="13"/>
      <c r="BJ72" s="14"/>
      <c r="BK72" s="13"/>
      <c r="BL72" s="14"/>
      <c r="BM72" s="14"/>
      <c r="BN72" s="13"/>
      <c r="BO72" s="13"/>
      <c r="BP72" s="13"/>
      <c r="BQ72" s="13"/>
      <c r="BR72" s="13">
        <v>1</v>
      </c>
      <c r="BS72" s="13"/>
      <c r="BT72" s="13"/>
      <c r="BU72" s="13">
        <v>4</v>
      </c>
      <c r="BV72" s="13"/>
      <c r="BW72" s="13"/>
      <c r="BX72" s="13"/>
      <c r="BY72" s="13"/>
      <c r="BZ72" s="30">
        <f t="shared" si="15"/>
        <v>0</v>
      </c>
      <c r="CA72" s="30">
        <f t="shared" si="16"/>
        <v>5</v>
      </c>
      <c r="CB72" s="30">
        <f t="shared" si="17"/>
        <v>0</v>
      </c>
    </row>
    <row r="73" spans="1:80" ht="15.5" x14ac:dyDescent="0.35">
      <c r="A73" s="31" t="s">
        <v>1018</v>
      </c>
      <c r="B73" s="56" t="s">
        <v>807</v>
      </c>
      <c r="C73" s="47" t="s">
        <v>390</v>
      </c>
      <c r="D73" s="161" t="s">
        <v>240</v>
      </c>
      <c r="E73" s="42" t="s">
        <v>8</v>
      </c>
      <c r="F73" s="4"/>
      <c r="G73" s="5"/>
      <c r="H73" s="4"/>
      <c r="I73" s="5"/>
      <c r="J73" s="4"/>
      <c r="K73" s="5"/>
      <c r="L73" s="4"/>
      <c r="M73" s="4"/>
      <c r="N73" s="4"/>
      <c r="O73" s="13"/>
      <c r="P73" s="13"/>
      <c r="Q73" s="13"/>
      <c r="R73" s="13"/>
      <c r="S73" s="13">
        <v>1</v>
      </c>
      <c r="T73" s="13"/>
      <c r="U73" s="4"/>
      <c r="V73" s="4"/>
      <c r="W73" s="4"/>
      <c r="X73" s="30">
        <f t="shared" si="9"/>
        <v>0</v>
      </c>
      <c r="Y73" s="30">
        <f t="shared" si="10"/>
        <v>1</v>
      </c>
      <c r="Z73" s="30">
        <f t="shared" si="11"/>
        <v>0</v>
      </c>
      <c r="AB73" s="31" t="s">
        <v>962</v>
      </c>
      <c r="AC73" s="56" t="s">
        <v>746</v>
      </c>
      <c r="AD73" s="41" t="s">
        <v>340</v>
      </c>
      <c r="AE73" s="121" t="s">
        <v>238</v>
      </c>
      <c r="AF73" s="42" t="s">
        <v>6</v>
      </c>
      <c r="AG73" s="19"/>
      <c r="AH73" s="20"/>
      <c r="AI73" s="19">
        <v>1</v>
      </c>
      <c r="AJ73" s="13"/>
      <c r="AK73" s="13"/>
      <c r="AL73" s="13">
        <v>1</v>
      </c>
      <c r="AM73" s="13"/>
      <c r="AN73" s="13">
        <v>2</v>
      </c>
      <c r="AO73" s="13"/>
      <c r="AP73" s="13"/>
      <c r="AQ73" s="13"/>
      <c r="AR73" s="13">
        <v>1</v>
      </c>
      <c r="AS73" s="13"/>
      <c r="AT73" s="13"/>
      <c r="AU73" s="13">
        <v>1</v>
      </c>
      <c r="AV73" s="13"/>
      <c r="AW73" s="15"/>
      <c r="AX73" s="15"/>
      <c r="AY73" s="30">
        <f t="shared" si="12"/>
        <v>0</v>
      </c>
      <c r="AZ73" s="30">
        <f t="shared" si="13"/>
        <v>2</v>
      </c>
      <c r="BA73" s="30">
        <f t="shared" si="14"/>
        <v>4</v>
      </c>
      <c r="BC73" s="31" t="s">
        <v>975</v>
      </c>
      <c r="BD73" s="56" t="s">
        <v>761</v>
      </c>
      <c r="BE73" s="47" t="s">
        <v>762</v>
      </c>
      <c r="BF73" s="141" t="s">
        <v>239</v>
      </c>
      <c r="BG73" s="42" t="s">
        <v>6</v>
      </c>
      <c r="BH73" s="19"/>
      <c r="BI73" s="13"/>
      <c r="BJ73" s="13"/>
      <c r="BK73" s="13">
        <v>4</v>
      </c>
      <c r="BL73" s="14">
        <v>1</v>
      </c>
      <c r="BM73" s="13"/>
      <c r="BN73" s="13"/>
      <c r="BO73" s="13"/>
      <c r="BP73" s="13"/>
      <c r="BQ73" s="13"/>
      <c r="BR73" s="13"/>
      <c r="BS73" s="13"/>
      <c r="BT73" s="13"/>
      <c r="BU73" s="13">
        <v>2</v>
      </c>
      <c r="BV73" s="13"/>
      <c r="BW73" s="13"/>
      <c r="BX73" s="13"/>
      <c r="BY73" s="13"/>
      <c r="BZ73" s="30">
        <f t="shared" si="15"/>
        <v>4</v>
      </c>
      <c r="CA73" s="30">
        <f t="shared" si="16"/>
        <v>3</v>
      </c>
      <c r="CB73" s="30">
        <f t="shared" si="17"/>
        <v>0</v>
      </c>
    </row>
    <row r="74" spans="1:80" ht="15.5" x14ac:dyDescent="0.35">
      <c r="A74" s="31" t="s">
        <v>1020</v>
      </c>
      <c r="B74" s="56" t="s">
        <v>809</v>
      </c>
      <c r="C74" s="47" t="s">
        <v>392</v>
      </c>
      <c r="D74" s="161" t="s">
        <v>240</v>
      </c>
      <c r="E74" s="42" t="s">
        <v>6</v>
      </c>
      <c r="F74" s="4"/>
      <c r="G74" s="4"/>
      <c r="H74" s="4"/>
      <c r="I74" s="4"/>
      <c r="J74" s="4">
        <v>1</v>
      </c>
      <c r="K74" s="4"/>
      <c r="L74" s="4"/>
      <c r="M74" s="4"/>
      <c r="N74" s="4"/>
      <c r="O74" s="13"/>
      <c r="P74" s="13">
        <v>2</v>
      </c>
      <c r="Q74" s="13"/>
      <c r="R74" s="13"/>
      <c r="S74" s="13"/>
      <c r="T74" s="13"/>
      <c r="U74" s="4"/>
      <c r="V74" s="4"/>
      <c r="W74" s="4"/>
      <c r="X74" s="30">
        <f t="shared" si="9"/>
        <v>0</v>
      </c>
      <c r="Y74" s="30">
        <f t="shared" si="10"/>
        <v>3</v>
      </c>
      <c r="Z74" s="30">
        <f t="shared" si="11"/>
        <v>0</v>
      </c>
      <c r="AB74" s="31" t="s">
        <v>993</v>
      </c>
      <c r="AC74" s="56" t="s">
        <v>781</v>
      </c>
      <c r="AD74" s="47" t="s">
        <v>367</v>
      </c>
      <c r="AE74" s="141" t="s">
        <v>239</v>
      </c>
      <c r="AF74" s="42" t="s">
        <v>8</v>
      </c>
      <c r="AG74" s="27"/>
      <c r="AH74" s="15"/>
      <c r="AI74" s="15"/>
      <c r="AJ74" s="15"/>
      <c r="AK74" s="15"/>
      <c r="AL74" s="15"/>
      <c r="AM74" s="15"/>
      <c r="AN74" s="15">
        <v>1</v>
      </c>
      <c r="AO74" s="15"/>
      <c r="AP74" s="15">
        <v>3</v>
      </c>
      <c r="AQ74" s="15">
        <v>1</v>
      </c>
      <c r="AR74" s="15"/>
      <c r="AS74" s="15"/>
      <c r="AT74" s="15"/>
      <c r="AU74" s="15"/>
      <c r="AV74" s="15"/>
      <c r="AW74" s="15"/>
      <c r="AX74" s="15">
        <v>1</v>
      </c>
      <c r="AY74" s="30">
        <f t="shared" si="12"/>
        <v>3</v>
      </c>
      <c r="AZ74" s="30">
        <f t="shared" si="13"/>
        <v>2</v>
      </c>
      <c r="BA74" s="30">
        <f t="shared" si="14"/>
        <v>1</v>
      </c>
      <c r="BC74" s="31" t="s">
        <v>977</v>
      </c>
      <c r="BD74" s="56" t="s">
        <v>765</v>
      </c>
      <c r="BE74" s="47" t="s">
        <v>351</v>
      </c>
      <c r="BF74" s="141" t="s">
        <v>239</v>
      </c>
      <c r="BG74" s="42" t="s">
        <v>8</v>
      </c>
      <c r="BH74" s="19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30">
        <f t="shared" si="15"/>
        <v>0</v>
      </c>
      <c r="CA74" s="30">
        <f t="shared" si="16"/>
        <v>0</v>
      </c>
      <c r="CB74" s="30">
        <f t="shared" si="17"/>
        <v>0</v>
      </c>
    </row>
    <row r="75" spans="1:80" ht="15.5" x14ac:dyDescent="0.35">
      <c r="A75" s="31" t="s">
        <v>1021</v>
      </c>
      <c r="B75" s="56" t="s">
        <v>810</v>
      </c>
      <c r="C75" s="58" t="s">
        <v>393</v>
      </c>
      <c r="D75" s="161" t="s">
        <v>240</v>
      </c>
      <c r="E75" s="42" t="s">
        <v>6</v>
      </c>
      <c r="F75" s="4"/>
      <c r="G75" s="4"/>
      <c r="H75" s="4"/>
      <c r="I75" s="4"/>
      <c r="J75" s="4"/>
      <c r="K75" s="4">
        <v>1</v>
      </c>
      <c r="L75" s="4"/>
      <c r="M75" s="4"/>
      <c r="N75" s="4"/>
      <c r="O75" s="13"/>
      <c r="P75" s="13"/>
      <c r="Q75" s="13"/>
      <c r="R75" s="13"/>
      <c r="S75" s="13">
        <v>2</v>
      </c>
      <c r="T75" s="13"/>
      <c r="U75" s="4"/>
      <c r="V75" s="4"/>
      <c r="W75" s="4"/>
      <c r="X75" s="30">
        <f t="shared" si="9"/>
        <v>0</v>
      </c>
      <c r="Y75" s="30">
        <f t="shared" si="10"/>
        <v>2</v>
      </c>
      <c r="Z75" s="30">
        <f t="shared" si="11"/>
        <v>1</v>
      </c>
      <c r="AB75" s="31" t="s">
        <v>999</v>
      </c>
      <c r="AC75" s="56" t="s">
        <v>787</v>
      </c>
      <c r="AD75" s="47" t="s">
        <v>372</v>
      </c>
      <c r="AE75" s="161" t="s">
        <v>240</v>
      </c>
      <c r="AF75" s="42" t="s">
        <v>8</v>
      </c>
      <c r="AG75" s="4"/>
      <c r="AH75" s="4"/>
      <c r="AI75" s="4"/>
      <c r="AJ75" s="4"/>
      <c r="AK75" s="4">
        <v>1</v>
      </c>
      <c r="AL75" s="4"/>
      <c r="AM75" s="4"/>
      <c r="AN75" s="4"/>
      <c r="AO75" s="4"/>
      <c r="AP75" s="13"/>
      <c r="AQ75" s="13"/>
      <c r="AR75" s="13"/>
      <c r="AS75" s="13"/>
      <c r="AT75" s="13">
        <v>1</v>
      </c>
      <c r="AU75" s="13"/>
      <c r="AV75" s="4"/>
      <c r="AW75" s="4"/>
      <c r="AX75" s="4"/>
      <c r="AY75" s="30">
        <f t="shared" si="12"/>
        <v>0</v>
      </c>
      <c r="AZ75" s="30">
        <f t="shared" si="13"/>
        <v>2</v>
      </c>
      <c r="BA75" s="30">
        <f t="shared" si="14"/>
        <v>0</v>
      </c>
      <c r="BC75" s="31" t="s">
        <v>978</v>
      </c>
      <c r="BD75" s="56" t="s">
        <v>766</v>
      </c>
      <c r="BE75" s="58" t="s">
        <v>352</v>
      </c>
      <c r="BF75" s="141" t="s">
        <v>239</v>
      </c>
      <c r="BG75" s="42" t="s">
        <v>6</v>
      </c>
      <c r="BH75" s="19"/>
      <c r="BI75" s="13"/>
      <c r="BJ75" s="13"/>
      <c r="BK75" s="13">
        <v>1</v>
      </c>
      <c r="BL75" s="14">
        <v>2</v>
      </c>
      <c r="BM75" s="13"/>
      <c r="BN75" s="13">
        <v>1</v>
      </c>
      <c r="BO75" s="13"/>
      <c r="BP75" s="13"/>
      <c r="BQ75" s="13"/>
      <c r="BR75" s="13"/>
      <c r="BS75" s="13"/>
      <c r="BT75" s="13"/>
      <c r="BU75" s="13">
        <v>1</v>
      </c>
      <c r="BV75" s="13"/>
      <c r="BW75" s="13"/>
      <c r="BX75" s="13"/>
      <c r="BY75" s="13"/>
      <c r="BZ75" s="30">
        <f t="shared" si="15"/>
        <v>2</v>
      </c>
      <c r="CA75" s="30">
        <f t="shared" si="16"/>
        <v>3</v>
      </c>
      <c r="CB75" s="30">
        <f t="shared" si="17"/>
        <v>0</v>
      </c>
    </row>
    <row r="76" spans="1:80" ht="15.5" x14ac:dyDescent="0.35">
      <c r="A76" s="31" t="s">
        <v>1022</v>
      </c>
      <c r="B76" s="56" t="s">
        <v>811</v>
      </c>
      <c r="C76" s="47" t="s">
        <v>812</v>
      </c>
      <c r="D76" s="161" t="s">
        <v>240</v>
      </c>
      <c r="E76" s="42" t="s">
        <v>6</v>
      </c>
      <c r="F76" s="4"/>
      <c r="G76" s="4"/>
      <c r="H76" s="4"/>
      <c r="I76" s="4"/>
      <c r="J76" s="5"/>
      <c r="K76" s="4">
        <v>1</v>
      </c>
      <c r="L76" s="4"/>
      <c r="M76" s="4"/>
      <c r="N76" s="4"/>
      <c r="O76" s="13"/>
      <c r="P76" s="13">
        <v>1</v>
      </c>
      <c r="Q76" s="13"/>
      <c r="R76" s="13"/>
      <c r="S76" s="13"/>
      <c r="T76" s="13"/>
      <c r="U76" s="4"/>
      <c r="V76" s="4"/>
      <c r="W76" s="4"/>
      <c r="X76" s="30">
        <f t="shared" si="9"/>
        <v>0</v>
      </c>
      <c r="Y76" s="30">
        <f t="shared" si="10"/>
        <v>1</v>
      </c>
      <c r="Z76" s="30">
        <f t="shared" si="11"/>
        <v>1</v>
      </c>
      <c r="AB76" s="31" t="s">
        <v>1010</v>
      </c>
      <c r="AC76" s="56" t="s">
        <v>798</v>
      </c>
      <c r="AD76" s="47" t="s">
        <v>383</v>
      </c>
      <c r="AE76" s="161" t="s">
        <v>240</v>
      </c>
      <c r="AF76" s="42" t="s">
        <v>8</v>
      </c>
      <c r="AG76" s="4"/>
      <c r="AH76" s="4"/>
      <c r="AI76" s="4"/>
      <c r="AJ76" s="4"/>
      <c r="AK76" s="4">
        <v>1</v>
      </c>
      <c r="AL76" s="4"/>
      <c r="AM76" s="4"/>
      <c r="AN76" s="4"/>
      <c r="AO76" s="4"/>
      <c r="AP76" s="13"/>
      <c r="AQ76" s="13">
        <v>1</v>
      </c>
      <c r="AR76" s="13"/>
      <c r="AS76" s="13"/>
      <c r="AT76" s="13"/>
      <c r="AU76" s="13"/>
      <c r="AV76" s="4"/>
      <c r="AW76" s="4"/>
      <c r="AX76" s="4"/>
      <c r="AY76" s="30">
        <f t="shared" si="12"/>
        <v>0</v>
      </c>
      <c r="AZ76" s="30">
        <f t="shared" si="13"/>
        <v>2</v>
      </c>
      <c r="BA76" s="30">
        <f t="shared" si="14"/>
        <v>0</v>
      </c>
      <c r="BC76" s="31" t="s">
        <v>979</v>
      </c>
      <c r="BD76" s="56" t="s">
        <v>767</v>
      </c>
      <c r="BE76" s="47" t="s">
        <v>353</v>
      </c>
      <c r="BF76" s="141" t="s">
        <v>239</v>
      </c>
      <c r="BG76" s="42" t="s">
        <v>6</v>
      </c>
      <c r="BH76" s="27"/>
      <c r="BI76" s="15"/>
      <c r="BJ76" s="15"/>
      <c r="BK76" s="15"/>
      <c r="BL76" s="15"/>
      <c r="BM76" s="15"/>
      <c r="BN76" s="15"/>
      <c r="BO76" s="15">
        <v>1</v>
      </c>
      <c r="BP76" s="15"/>
      <c r="BQ76" s="15"/>
      <c r="BR76" s="15">
        <v>2</v>
      </c>
      <c r="BS76" s="15"/>
      <c r="BT76" s="15"/>
      <c r="BU76" s="15"/>
      <c r="BV76" s="15"/>
      <c r="BW76" s="15"/>
      <c r="BX76" s="15"/>
      <c r="BY76" s="15"/>
      <c r="BZ76" s="30">
        <f t="shared" si="15"/>
        <v>0</v>
      </c>
      <c r="CA76" s="30">
        <f t="shared" si="16"/>
        <v>3</v>
      </c>
      <c r="CB76" s="30">
        <f t="shared" si="17"/>
        <v>0</v>
      </c>
    </row>
    <row r="77" spans="1:80" ht="15.5" x14ac:dyDescent="0.35">
      <c r="A77" s="31" t="s">
        <v>1023</v>
      </c>
      <c r="B77" s="56" t="s">
        <v>813</v>
      </c>
      <c r="C77" s="47" t="s">
        <v>394</v>
      </c>
      <c r="D77" s="161" t="s">
        <v>240</v>
      </c>
      <c r="E77" s="42" t="s">
        <v>8</v>
      </c>
      <c r="F77" s="4"/>
      <c r="G77" s="4"/>
      <c r="H77" s="4"/>
      <c r="I77" s="4"/>
      <c r="J77" s="4"/>
      <c r="K77" s="4"/>
      <c r="L77" s="4"/>
      <c r="M77" s="4"/>
      <c r="N77" s="4"/>
      <c r="O77" s="13"/>
      <c r="P77" s="13"/>
      <c r="Q77" s="13"/>
      <c r="R77" s="13"/>
      <c r="S77" s="13">
        <v>1</v>
      </c>
      <c r="T77" s="13"/>
      <c r="U77" s="4"/>
      <c r="V77" s="4">
        <v>1</v>
      </c>
      <c r="W77" s="4"/>
      <c r="X77" s="30">
        <f t="shared" si="9"/>
        <v>0</v>
      </c>
      <c r="Y77" s="30">
        <f t="shared" si="10"/>
        <v>2</v>
      </c>
      <c r="Z77" s="30">
        <f t="shared" si="11"/>
        <v>0</v>
      </c>
      <c r="AB77" s="31" t="s">
        <v>1021</v>
      </c>
      <c r="AC77" s="56" t="s">
        <v>810</v>
      </c>
      <c r="AD77" s="58" t="s">
        <v>393</v>
      </c>
      <c r="AE77" s="161" t="s">
        <v>240</v>
      </c>
      <c r="AF77" s="42" t="s">
        <v>6</v>
      </c>
      <c r="AG77" s="4"/>
      <c r="AH77" s="4"/>
      <c r="AI77" s="4"/>
      <c r="AJ77" s="4"/>
      <c r="AK77" s="4"/>
      <c r="AL77" s="4">
        <v>1</v>
      </c>
      <c r="AM77" s="4"/>
      <c r="AN77" s="4"/>
      <c r="AO77" s="4"/>
      <c r="AP77" s="13"/>
      <c r="AQ77" s="13"/>
      <c r="AR77" s="13"/>
      <c r="AS77" s="13"/>
      <c r="AT77" s="13">
        <v>2</v>
      </c>
      <c r="AU77" s="13"/>
      <c r="AV77" s="4"/>
      <c r="AW77" s="4"/>
      <c r="AX77" s="4"/>
      <c r="AY77" s="30">
        <f t="shared" si="12"/>
        <v>0</v>
      </c>
      <c r="AZ77" s="30">
        <f t="shared" si="13"/>
        <v>2</v>
      </c>
      <c r="BA77" s="30">
        <f t="shared" si="14"/>
        <v>1</v>
      </c>
      <c r="BC77" s="31" t="s">
        <v>981</v>
      </c>
      <c r="BD77" s="56" t="s">
        <v>769</v>
      </c>
      <c r="BE77" s="47" t="s">
        <v>355</v>
      </c>
      <c r="BF77" s="141" t="s">
        <v>239</v>
      </c>
      <c r="BG77" s="42" t="s">
        <v>8</v>
      </c>
      <c r="BH77" s="19"/>
      <c r="BI77" s="13"/>
      <c r="BJ77" s="13"/>
      <c r="BK77" s="13">
        <v>1</v>
      </c>
      <c r="BL77" s="14"/>
      <c r="BM77" s="13"/>
      <c r="BN77" s="13">
        <v>1</v>
      </c>
      <c r="BO77" s="13"/>
      <c r="BP77" s="13"/>
      <c r="BQ77" s="13"/>
      <c r="BR77" s="13">
        <v>7</v>
      </c>
      <c r="BS77" s="13"/>
      <c r="BT77" s="13">
        <v>3</v>
      </c>
      <c r="BU77" s="13"/>
      <c r="BV77" s="13"/>
      <c r="BW77" s="13"/>
      <c r="BX77" s="13">
        <v>1</v>
      </c>
      <c r="BY77" s="13"/>
      <c r="BZ77" s="30">
        <f t="shared" si="15"/>
        <v>5</v>
      </c>
      <c r="CA77" s="30">
        <f t="shared" si="16"/>
        <v>8</v>
      </c>
      <c r="CB77" s="30">
        <f t="shared" si="17"/>
        <v>0</v>
      </c>
    </row>
    <row r="78" spans="1:80" ht="15.5" x14ac:dyDescent="0.35">
      <c r="A78" s="31" t="s">
        <v>1024</v>
      </c>
      <c r="B78" s="56" t="s">
        <v>814</v>
      </c>
      <c r="C78" s="47" t="s">
        <v>395</v>
      </c>
      <c r="D78" s="161" t="s">
        <v>240</v>
      </c>
      <c r="E78" s="42" t="s">
        <v>8</v>
      </c>
      <c r="F78" s="4"/>
      <c r="G78" s="4">
        <v>1</v>
      </c>
      <c r="H78" s="4"/>
      <c r="I78" s="4"/>
      <c r="J78" s="5">
        <v>1</v>
      </c>
      <c r="K78" s="4"/>
      <c r="L78" s="4"/>
      <c r="M78" s="4"/>
      <c r="N78" s="4"/>
      <c r="O78" s="13"/>
      <c r="P78" s="13"/>
      <c r="Q78" s="13"/>
      <c r="R78" s="13"/>
      <c r="S78" s="13">
        <v>1</v>
      </c>
      <c r="T78" s="13"/>
      <c r="U78" s="4"/>
      <c r="V78" s="4"/>
      <c r="W78" s="4"/>
      <c r="X78" s="30">
        <f t="shared" si="9"/>
        <v>0</v>
      </c>
      <c r="Y78" s="30">
        <f t="shared" si="10"/>
        <v>3</v>
      </c>
      <c r="Z78" s="30">
        <f t="shared" si="11"/>
        <v>0</v>
      </c>
      <c r="AB78" s="31" t="s">
        <v>1023</v>
      </c>
      <c r="AC78" s="56" t="s">
        <v>813</v>
      </c>
      <c r="AD78" s="47" t="s">
        <v>394</v>
      </c>
      <c r="AE78" s="161" t="s">
        <v>240</v>
      </c>
      <c r="AF78" s="42" t="s">
        <v>8</v>
      </c>
      <c r="AG78" s="4"/>
      <c r="AH78" s="4"/>
      <c r="AI78" s="4"/>
      <c r="AJ78" s="4"/>
      <c r="AK78" s="4"/>
      <c r="AL78" s="4"/>
      <c r="AM78" s="4"/>
      <c r="AN78" s="4"/>
      <c r="AO78" s="4"/>
      <c r="AP78" s="13"/>
      <c r="AQ78" s="13"/>
      <c r="AR78" s="13"/>
      <c r="AS78" s="13"/>
      <c r="AT78" s="13">
        <v>1</v>
      </c>
      <c r="AU78" s="13"/>
      <c r="AV78" s="4"/>
      <c r="AW78" s="4">
        <v>1</v>
      </c>
      <c r="AX78" s="4"/>
      <c r="AY78" s="30">
        <f t="shared" si="12"/>
        <v>0</v>
      </c>
      <c r="AZ78" s="30">
        <f t="shared" si="13"/>
        <v>2</v>
      </c>
      <c r="BA78" s="30">
        <f t="shared" si="14"/>
        <v>0</v>
      </c>
      <c r="BC78" s="31" t="s">
        <v>982</v>
      </c>
      <c r="BD78" s="56" t="s">
        <v>770</v>
      </c>
      <c r="BE78" s="47" t="s">
        <v>356</v>
      </c>
      <c r="BF78" s="141" t="s">
        <v>239</v>
      </c>
      <c r="BG78" s="42" t="s">
        <v>6</v>
      </c>
      <c r="BH78" s="19"/>
      <c r="BI78" s="13">
        <v>1</v>
      </c>
      <c r="BJ78" s="13"/>
      <c r="BK78" s="13"/>
      <c r="BL78" s="14">
        <v>1</v>
      </c>
      <c r="BM78" s="13"/>
      <c r="BN78" s="13"/>
      <c r="BO78" s="13">
        <v>2</v>
      </c>
      <c r="BP78" s="13"/>
      <c r="BQ78" s="13"/>
      <c r="BR78" s="13">
        <v>4</v>
      </c>
      <c r="BS78" s="13"/>
      <c r="BT78" s="13"/>
      <c r="BU78" s="13">
        <v>4</v>
      </c>
      <c r="BV78" s="13"/>
      <c r="BW78" s="13"/>
      <c r="BX78" s="13">
        <v>1</v>
      </c>
      <c r="BY78" s="13"/>
      <c r="BZ78" s="30">
        <f t="shared" si="15"/>
        <v>0</v>
      </c>
      <c r="CA78" s="30">
        <f t="shared" si="16"/>
        <v>13</v>
      </c>
      <c r="CB78" s="30">
        <f t="shared" si="17"/>
        <v>0</v>
      </c>
    </row>
    <row r="79" spans="1:80" ht="15.5" x14ac:dyDescent="0.35">
      <c r="A79" s="31" t="s">
        <v>1025</v>
      </c>
      <c r="B79" s="56" t="s">
        <v>815</v>
      </c>
      <c r="C79" s="47" t="s">
        <v>396</v>
      </c>
      <c r="D79" s="161" t="s">
        <v>240</v>
      </c>
      <c r="E79" s="42" t="s">
        <v>8</v>
      </c>
      <c r="F79" s="4"/>
      <c r="G79" s="5">
        <v>1</v>
      </c>
      <c r="H79" s="4"/>
      <c r="I79" s="4"/>
      <c r="J79" s="5">
        <v>3</v>
      </c>
      <c r="K79" s="4"/>
      <c r="L79" s="4"/>
      <c r="M79" s="4">
        <v>1</v>
      </c>
      <c r="N79" s="4"/>
      <c r="O79" s="13"/>
      <c r="P79" s="13">
        <v>3</v>
      </c>
      <c r="Q79" s="13"/>
      <c r="R79" s="13"/>
      <c r="S79" s="13">
        <v>3</v>
      </c>
      <c r="T79" s="13"/>
      <c r="U79" s="4"/>
      <c r="V79" s="4"/>
      <c r="W79" s="4"/>
      <c r="X79" s="30">
        <f t="shared" si="9"/>
        <v>0</v>
      </c>
      <c r="Y79" s="30">
        <f t="shared" si="10"/>
        <v>11</v>
      </c>
      <c r="Z79" s="30">
        <f t="shared" si="11"/>
        <v>0</v>
      </c>
      <c r="AB79" s="31" t="s">
        <v>1027</v>
      </c>
      <c r="AC79" s="56" t="s">
        <v>817</v>
      </c>
      <c r="AD79" s="47" t="s">
        <v>398</v>
      </c>
      <c r="AE79" s="161" t="s">
        <v>240</v>
      </c>
      <c r="AF79" s="42" t="s">
        <v>8</v>
      </c>
      <c r="AG79" s="4"/>
      <c r="AH79" s="4"/>
      <c r="AI79" s="4"/>
      <c r="AJ79" s="4"/>
      <c r="AK79" s="4"/>
      <c r="AL79" s="4">
        <v>1</v>
      </c>
      <c r="AM79" s="4"/>
      <c r="AN79" s="4"/>
      <c r="AO79" s="4"/>
      <c r="AP79" s="13"/>
      <c r="AQ79" s="13">
        <v>1</v>
      </c>
      <c r="AR79" s="13"/>
      <c r="AS79" s="13"/>
      <c r="AT79" s="13">
        <v>1</v>
      </c>
      <c r="AU79" s="13"/>
      <c r="AV79" s="4"/>
      <c r="AW79" s="4"/>
      <c r="AX79" s="4"/>
      <c r="AY79" s="30">
        <f t="shared" si="12"/>
        <v>0</v>
      </c>
      <c r="AZ79" s="30">
        <f t="shared" si="13"/>
        <v>2</v>
      </c>
      <c r="BA79" s="30">
        <f t="shared" si="14"/>
        <v>1</v>
      </c>
      <c r="BC79" s="31" t="s">
        <v>983</v>
      </c>
      <c r="BD79" s="56" t="s">
        <v>771</v>
      </c>
      <c r="BE79" s="47" t="s">
        <v>357</v>
      </c>
      <c r="BF79" s="141" t="s">
        <v>239</v>
      </c>
      <c r="BG79" s="42" t="s">
        <v>8</v>
      </c>
      <c r="BH79" s="19">
        <v>1</v>
      </c>
      <c r="BI79" s="13">
        <v>1</v>
      </c>
      <c r="BJ79" s="13"/>
      <c r="BK79" s="14">
        <v>4</v>
      </c>
      <c r="BL79" s="14">
        <v>3</v>
      </c>
      <c r="BM79" s="13"/>
      <c r="BN79" s="13"/>
      <c r="BO79" s="13">
        <v>1</v>
      </c>
      <c r="BP79" s="13"/>
      <c r="BQ79" s="13"/>
      <c r="BR79" s="13">
        <v>2</v>
      </c>
      <c r="BS79" s="13"/>
      <c r="BT79" s="13"/>
      <c r="BU79" s="13">
        <v>4</v>
      </c>
      <c r="BV79" s="13"/>
      <c r="BW79" s="13"/>
      <c r="BX79" s="13"/>
      <c r="BY79" s="13"/>
      <c r="BZ79" s="30">
        <f t="shared" si="15"/>
        <v>5</v>
      </c>
      <c r="CA79" s="30">
        <f t="shared" si="16"/>
        <v>11</v>
      </c>
      <c r="CB79" s="30">
        <f t="shared" si="17"/>
        <v>0</v>
      </c>
    </row>
    <row r="80" spans="1:80" ht="15.5" x14ac:dyDescent="0.35">
      <c r="A80" s="31" t="s">
        <v>1027</v>
      </c>
      <c r="B80" s="56" t="s">
        <v>817</v>
      </c>
      <c r="C80" s="47" t="s">
        <v>398</v>
      </c>
      <c r="D80" s="161" t="s">
        <v>240</v>
      </c>
      <c r="E80" s="42" t="s">
        <v>8</v>
      </c>
      <c r="F80" s="4"/>
      <c r="G80" s="4"/>
      <c r="H80" s="4"/>
      <c r="I80" s="4"/>
      <c r="J80" s="4"/>
      <c r="K80" s="4">
        <v>1</v>
      </c>
      <c r="L80" s="4"/>
      <c r="M80" s="4"/>
      <c r="N80" s="4"/>
      <c r="O80" s="13"/>
      <c r="P80" s="13">
        <v>1</v>
      </c>
      <c r="Q80" s="13"/>
      <c r="R80" s="13"/>
      <c r="S80" s="13">
        <v>1</v>
      </c>
      <c r="T80" s="13"/>
      <c r="U80" s="4"/>
      <c r="V80" s="4"/>
      <c r="W80" s="4"/>
      <c r="X80" s="30">
        <f t="shared" si="9"/>
        <v>0</v>
      </c>
      <c r="Y80" s="30">
        <f t="shared" si="10"/>
        <v>2</v>
      </c>
      <c r="Z80" s="30">
        <f t="shared" si="11"/>
        <v>1</v>
      </c>
      <c r="AB80" s="31" t="s">
        <v>1029</v>
      </c>
      <c r="AC80" s="56" t="s">
        <v>818</v>
      </c>
      <c r="AD80" s="47" t="s">
        <v>399</v>
      </c>
      <c r="AE80" s="161" t="s">
        <v>240</v>
      </c>
      <c r="AF80" s="42" t="s">
        <v>6</v>
      </c>
      <c r="AG80" s="4"/>
      <c r="AH80" s="5"/>
      <c r="AI80" s="4"/>
      <c r="AJ80" s="4"/>
      <c r="AK80" s="5">
        <v>1</v>
      </c>
      <c r="AL80" s="4"/>
      <c r="AM80" s="4"/>
      <c r="AN80" s="4">
        <v>1</v>
      </c>
      <c r="AO80" s="4"/>
      <c r="AP80" s="13"/>
      <c r="AQ80" s="13"/>
      <c r="AR80" s="13"/>
      <c r="AS80" s="13">
        <v>3</v>
      </c>
      <c r="AT80" s="13"/>
      <c r="AU80" s="13"/>
      <c r="AV80" s="4"/>
      <c r="AW80" s="4"/>
      <c r="AX80" s="4"/>
      <c r="AY80" s="30">
        <f t="shared" si="12"/>
        <v>3</v>
      </c>
      <c r="AZ80" s="30">
        <f t="shared" si="13"/>
        <v>2</v>
      </c>
      <c r="BA80" s="30">
        <f t="shared" si="14"/>
        <v>0</v>
      </c>
      <c r="BC80" s="31" t="s">
        <v>984</v>
      </c>
      <c r="BD80" s="56" t="s">
        <v>772</v>
      </c>
      <c r="BE80" s="58" t="s">
        <v>358</v>
      </c>
      <c r="BF80" s="141" t="s">
        <v>239</v>
      </c>
      <c r="BG80" s="42" t="s">
        <v>8</v>
      </c>
      <c r="BH80" s="19"/>
      <c r="BI80" s="13"/>
      <c r="BJ80" s="13"/>
      <c r="BK80" s="13"/>
      <c r="BL80" s="14"/>
      <c r="BM80" s="14"/>
      <c r="BN80" s="13"/>
      <c r="BO80" s="13"/>
      <c r="BP80" s="13"/>
      <c r="BQ80" s="13"/>
      <c r="BR80" s="13">
        <v>1</v>
      </c>
      <c r="BS80" s="13"/>
      <c r="BT80" s="13"/>
      <c r="BU80" s="13">
        <v>2</v>
      </c>
      <c r="BV80" s="13"/>
      <c r="BW80" s="13"/>
      <c r="BX80" s="13"/>
      <c r="BY80" s="13"/>
      <c r="BZ80" s="30">
        <f t="shared" si="15"/>
        <v>0</v>
      </c>
      <c r="CA80" s="30">
        <f t="shared" si="16"/>
        <v>3</v>
      </c>
      <c r="CB80" s="30">
        <f t="shared" si="17"/>
        <v>0</v>
      </c>
    </row>
    <row r="81" spans="1:80" ht="15.5" x14ac:dyDescent="0.35">
      <c r="A81" s="31" t="s">
        <v>1045</v>
      </c>
      <c r="B81" s="119" t="s">
        <v>824</v>
      </c>
      <c r="C81" s="123" t="s">
        <v>403</v>
      </c>
      <c r="D81" s="142" t="s">
        <v>1039</v>
      </c>
      <c r="E81" s="121" t="s">
        <v>8</v>
      </c>
      <c r="F81" s="108"/>
      <c r="G81" s="113"/>
      <c r="H81" s="108"/>
      <c r="I81" s="108"/>
      <c r="J81" s="113"/>
      <c r="K81" s="108"/>
      <c r="L81" s="108"/>
      <c r="M81" s="108"/>
      <c r="N81" s="108"/>
      <c r="O81" s="122"/>
      <c r="P81" s="122"/>
      <c r="Q81" s="122"/>
      <c r="R81" s="122"/>
      <c r="S81" s="122"/>
      <c r="T81" s="122"/>
      <c r="U81" s="108"/>
      <c r="V81" s="108"/>
      <c r="W81" s="108"/>
      <c r="X81" s="109">
        <f t="shared" si="9"/>
        <v>0</v>
      </c>
      <c r="Y81" s="109">
        <f t="shared" si="10"/>
        <v>0</v>
      </c>
      <c r="Z81" s="109">
        <f t="shared" si="11"/>
        <v>0</v>
      </c>
      <c r="AB81" s="31" t="s">
        <v>1040</v>
      </c>
      <c r="AC81" s="119" t="s">
        <v>819</v>
      </c>
      <c r="AD81" s="123" t="s">
        <v>400</v>
      </c>
      <c r="AE81" s="161" t="s">
        <v>240</v>
      </c>
      <c r="AF81" s="121" t="s">
        <v>6</v>
      </c>
      <c r="AG81" s="108"/>
      <c r="AH81" s="108"/>
      <c r="AI81" s="108"/>
      <c r="AJ81" s="108"/>
      <c r="AK81" s="108">
        <v>2</v>
      </c>
      <c r="AL81" s="108"/>
      <c r="AM81" s="108"/>
      <c r="AN81" s="108"/>
      <c r="AO81" s="108"/>
      <c r="AP81" s="122"/>
      <c r="AQ81" s="122"/>
      <c r="AR81" s="122"/>
      <c r="AS81" s="122">
        <v>3</v>
      </c>
      <c r="AT81" s="122"/>
      <c r="AU81" s="122"/>
      <c r="AV81" s="108"/>
      <c r="AW81" s="108"/>
      <c r="AX81" s="108"/>
      <c r="AY81" s="109">
        <f t="shared" si="12"/>
        <v>3</v>
      </c>
      <c r="AZ81" s="109">
        <f t="shared" si="13"/>
        <v>2</v>
      </c>
      <c r="BA81" s="109">
        <f t="shared" si="14"/>
        <v>0</v>
      </c>
      <c r="BC81" s="31" t="s">
        <v>985</v>
      </c>
      <c r="BD81" s="119" t="s">
        <v>773</v>
      </c>
      <c r="BE81" s="120" t="s">
        <v>359</v>
      </c>
      <c r="BF81" s="141" t="s">
        <v>239</v>
      </c>
      <c r="BG81" s="121" t="s">
        <v>8</v>
      </c>
      <c r="BH81" s="125"/>
      <c r="BI81" s="128">
        <v>2</v>
      </c>
      <c r="BJ81" s="122"/>
      <c r="BK81" s="122">
        <v>2</v>
      </c>
      <c r="BL81" s="128">
        <v>2</v>
      </c>
      <c r="BM81" s="128"/>
      <c r="BN81" s="122"/>
      <c r="BO81" s="122">
        <v>2</v>
      </c>
      <c r="BP81" s="122"/>
      <c r="BQ81" s="122">
        <v>3</v>
      </c>
      <c r="BR81" s="122"/>
      <c r="BS81" s="122"/>
      <c r="BT81" s="122">
        <v>2</v>
      </c>
      <c r="BU81" s="122">
        <v>2</v>
      </c>
      <c r="BV81" s="122"/>
      <c r="BW81" s="122"/>
      <c r="BX81" s="122"/>
      <c r="BY81" s="122"/>
      <c r="BZ81" s="109">
        <f t="shared" si="15"/>
        <v>7</v>
      </c>
      <c r="CA81" s="109">
        <f t="shared" si="16"/>
        <v>8</v>
      </c>
      <c r="CB81" s="109">
        <f t="shared" si="17"/>
        <v>0</v>
      </c>
    </row>
    <row r="82" spans="1:80" ht="15.5" x14ac:dyDescent="0.35">
      <c r="A82" s="31" t="s">
        <v>1046</v>
      </c>
      <c r="B82" s="56" t="s">
        <v>825</v>
      </c>
      <c r="C82" s="47" t="s">
        <v>404</v>
      </c>
      <c r="D82" s="142" t="s">
        <v>1039</v>
      </c>
      <c r="E82" s="42" t="s">
        <v>8</v>
      </c>
      <c r="F82" s="4"/>
      <c r="G82" s="4"/>
      <c r="H82" s="4"/>
      <c r="I82" s="5"/>
      <c r="J82" s="5"/>
      <c r="K82" s="5"/>
      <c r="L82" s="4"/>
      <c r="M82" s="4">
        <v>1</v>
      </c>
      <c r="N82" s="4"/>
      <c r="O82" s="13"/>
      <c r="P82" s="13">
        <v>4</v>
      </c>
      <c r="Q82" s="13"/>
      <c r="R82" s="13"/>
      <c r="S82" s="13"/>
      <c r="T82" s="13"/>
      <c r="U82" s="4"/>
      <c r="V82" s="4">
        <v>1</v>
      </c>
      <c r="W82" s="4"/>
      <c r="X82" s="30">
        <f t="shared" si="9"/>
        <v>0</v>
      </c>
      <c r="Y82" s="30">
        <f t="shared" si="10"/>
        <v>6</v>
      </c>
      <c r="Z82" s="30">
        <f t="shared" si="11"/>
        <v>0</v>
      </c>
      <c r="AB82" s="31" t="s">
        <v>1070</v>
      </c>
      <c r="AC82" s="56" t="s">
        <v>852</v>
      </c>
      <c r="AD82" s="77" t="s">
        <v>425</v>
      </c>
      <c r="AE82" s="142" t="s">
        <v>1039</v>
      </c>
      <c r="AF82" s="78" t="s">
        <v>8</v>
      </c>
      <c r="AG82" s="9"/>
      <c r="AH82" s="16"/>
      <c r="AI82" s="9"/>
      <c r="AJ82" s="9"/>
      <c r="AK82" s="16">
        <v>1</v>
      </c>
      <c r="AL82" s="16"/>
      <c r="AM82" s="9"/>
      <c r="AN82" s="9"/>
      <c r="AO82" s="9"/>
      <c r="AP82" s="15"/>
      <c r="AQ82" s="15"/>
      <c r="AR82" s="15"/>
      <c r="AS82" s="13"/>
      <c r="AT82" s="13"/>
      <c r="AU82" s="13"/>
      <c r="AV82" s="9"/>
      <c r="AW82" s="9">
        <v>1</v>
      </c>
      <c r="AX82" s="9"/>
      <c r="AY82" s="30">
        <f t="shared" si="12"/>
        <v>0</v>
      </c>
      <c r="AZ82" s="30">
        <f t="shared" si="13"/>
        <v>2</v>
      </c>
      <c r="BA82" s="30">
        <f t="shared" si="14"/>
        <v>0</v>
      </c>
      <c r="BC82" s="31" t="s">
        <v>987</v>
      </c>
      <c r="BD82" s="56" t="s">
        <v>775</v>
      </c>
      <c r="BE82" s="47" t="s">
        <v>361</v>
      </c>
      <c r="BF82" s="141" t="s">
        <v>239</v>
      </c>
      <c r="BG82" s="42" t="s">
        <v>8</v>
      </c>
      <c r="BH82" s="19"/>
      <c r="BI82" s="13"/>
      <c r="BJ82" s="13"/>
      <c r="BK82" s="13"/>
      <c r="BL82" s="14"/>
      <c r="BM82" s="13"/>
      <c r="BN82" s="13"/>
      <c r="BO82" s="13">
        <v>1</v>
      </c>
      <c r="BP82" s="13"/>
      <c r="BQ82" s="13"/>
      <c r="BR82" s="13">
        <v>3</v>
      </c>
      <c r="BS82" s="13"/>
      <c r="BT82" s="13"/>
      <c r="BU82" s="13">
        <v>2</v>
      </c>
      <c r="BV82" s="13"/>
      <c r="BW82" s="13"/>
      <c r="BX82" s="13"/>
      <c r="BY82" s="13"/>
      <c r="BZ82" s="30">
        <f t="shared" si="15"/>
        <v>0</v>
      </c>
      <c r="CA82" s="30">
        <f t="shared" si="16"/>
        <v>6</v>
      </c>
      <c r="CB82" s="30">
        <f t="shared" si="17"/>
        <v>0</v>
      </c>
    </row>
    <row r="83" spans="1:80" ht="15.5" x14ac:dyDescent="0.35">
      <c r="A83" s="31" t="s">
        <v>1049</v>
      </c>
      <c r="B83" s="56" t="s">
        <v>829</v>
      </c>
      <c r="C83" s="47" t="s">
        <v>406</v>
      </c>
      <c r="D83" s="142" t="s">
        <v>1039</v>
      </c>
      <c r="E83" s="42" t="s">
        <v>8</v>
      </c>
      <c r="F83" s="4"/>
      <c r="G83" s="4">
        <v>1</v>
      </c>
      <c r="H83" s="4"/>
      <c r="I83" s="4"/>
      <c r="J83" s="4"/>
      <c r="K83" s="5"/>
      <c r="L83" s="4"/>
      <c r="M83" s="4"/>
      <c r="N83" s="4"/>
      <c r="O83" s="13"/>
      <c r="P83" s="13"/>
      <c r="Q83" s="13"/>
      <c r="R83" s="13"/>
      <c r="S83" s="13"/>
      <c r="T83" s="13"/>
      <c r="U83" s="4"/>
      <c r="V83" s="4">
        <v>2</v>
      </c>
      <c r="W83" s="4"/>
      <c r="X83" s="30">
        <f t="shared" si="9"/>
        <v>0</v>
      </c>
      <c r="Y83" s="30">
        <f t="shared" si="10"/>
        <v>3</v>
      </c>
      <c r="Z83" s="30">
        <f t="shared" si="11"/>
        <v>0</v>
      </c>
      <c r="AB83" s="31" t="s">
        <v>23</v>
      </c>
      <c r="AC83" s="56" t="s">
        <v>632</v>
      </c>
      <c r="AD83" s="36" t="s">
        <v>248</v>
      </c>
      <c r="AE83" s="127" t="s">
        <v>231</v>
      </c>
      <c r="AF83" s="35" t="s">
        <v>8</v>
      </c>
      <c r="AG83" s="3">
        <v>1</v>
      </c>
      <c r="AH83" s="3"/>
      <c r="AI83" s="3"/>
      <c r="AJ83" s="4">
        <v>2</v>
      </c>
      <c r="AK83" s="4">
        <v>1</v>
      </c>
      <c r="AL83" s="4">
        <v>1</v>
      </c>
      <c r="AM83" s="4">
        <v>1</v>
      </c>
      <c r="AN83" s="5"/>
      <c r="AO83" s="4">
        <v>2</v>
      </c>
      <c r="AP83" s="13">
        <v>1</v>
      </c>
      <c r="AQ83" s="5">
        <v>1</v>
      </c>
      <c r="AR83" s="4"/>
      <c r="AS83" s="4"/>
      <c r="AT83" s="5">
        <v>1</v>
      </c>
      <c r="AU83" s="4">
        <v>3</v>
      </c>
      <c r="AV83" s="4"/>
      <c r="AW83" s="5"/>
      <c r="AX83" s="4"/>
      <c r="AY83" s="30">
        <f t="shared" si="12"/>
        <v>5</v>
      </c>
      <c r="AZ83" s="30">
        <f t="shared" si="13"/>
        <v>3</v>
      </c>
      <c r="BA83" s="30">
        <f t="shared" si="14"/>
        <v>6</v>
      </c>
      <c r="BC83" s="31" t="s">
        <v>988</v>
      </c>
      <c r="BD83" s="56" t="s">
        <v>776</v>
      </c>
      <c r="BE83" s="47" t="s">
        <v>362</v>
      </c>
      <c r="BF83" s="141" t="s">
        <v>239</v>
      </c>
      <c r="BG83" s="42" t="s">
        <v>6</v>
      </c>
      <c r="BH83" s="19"/>
      <c r="BI83" s="13"/>
      <c r="BJ83" s="13"/>
      <c r="BK83" s="13"/>
      <c r="BL83" s="14">
        <v>2</v>
      </c>
      <c r="BM83" s="13"/>
      <c r="BN83" s="13"/>
      <c r="BO83" s="13"/>
      <c r="BP83" s="13"/>
      <c r="BQ83" s="13">
        <v>1</v>
      </c>
      <c r="BR83" s="13">
        <v>2</v>
      </c>
      <c r="BS83" s="13"/>
      <c r="BT83" s="13">
        <v>1</v>
      </c>
      <c r="BU83" s="13">
        <v>2</v>
      </c>
      <c r="BV83" s="13"/>
      <c r="BW83" s="13"/>
      <c r="BX83" s="13"/>
      <c r="BY83" s="13"/>
      <c r="BZ83" s="30">
        <f t="shared" si="15"/>
        <v>2</v>
      </c>
      <c r="CA83" s="30">
        <f t="shared" si="16"/>
        <v>6</v>
      </c>
      <c r="CB83" s="30">
        <f t="shared" si="17"/>
        <v>0</v>
      </c>
    </row>
    <row r="84" spans="1:80" ht="15.5" x14ac:dyDescent="0.35">
      <c r="A84" s="31" t="s">
        <v>1050</v>
      </c>
      <c r="B84" s="56" t="s">
        <v>830</v>
      </c>
      <c r="C84" s="47" t="s">
        <v>407</v>
      </c>
      <c r="D84" s="142" t="s">
        <v>1039</v>
      </c>
      <c r="E84" s="42" t="s">
        <v>8</v>
      </c>
      <c r="F84" s="4"/>
      <c r="G84" s="4"/>
      <c r="H84" s="4"/>
      <c r="I84" s="4"/>
      <c r="J84" s="5"/>
      <c r="K84" s="5"/>
      <c r="L84" s="4"/>
      <c r="M84" s="4"/>
      <c r="N84" s="4"/>
      <c r="O84" s="13"/>
      <c r="P84" s="13"/>
      <c r="Q84" s="13"/>
      <c r="R84" s="13"/>
      <c r="S84" s="13"/>
      <c r="T84" s="13"/>
      <c r="U84" s="4"/>
      <c r="V84" s="4"/>
      <c r="W84" s="4"/>
      <c r="X84" s="30">
        <f t="shared" si="9"/>
        <v>0</v>
      </c>
      <c r="Y84" s="30">
        <f t="shared" si="10"/>
        <v>0</v>
      </c>
      <c r="Z84" s="30">
        <f t="shared" si="11"/>
        <v>0</v>
      </c>
      <c r="AB84" s="31" t="s">
        <v>24</v>
      </c>
      <c r="AC84" s="56" t="s">
        <v>633</v>
      </c>
      <c r="AD84" s="36" t="s">
        <v>249</v>
      </c>
      <c r="AE84" s="127" t="s">
        <v>231</v>
      </c>
      <c r="AF84" s="35" t="s">
        <v>6</v>
      </c>
      <c r="AG84" s="3">
        <v>1</v>
      </c>
      <c r="AH84" s="3"/>
      <c r="AI84" s="3"/>
      <c r="AJ84" s="4"/>
      <c r="AK84" s="5"/>
      <c r="AL84" s="4">
        <v>2</v>
      </c>
      <c r="AM84" s="4"/>
      <c r="AN84" s="4">
        <v>2</v>
      </c>
      <c r="AO84" s="4">
        <v>3</v>
      </c>
      <c r="AP84" s="13"/>
      <c r="AQ84" s="4">
        <v>1</v>
      </c>
      <c r="AR84" s="4">
        <v>1</v>
      </c>
      <c r="AS84" s="4">
        <v>2</v>
      </c>
      <c r="AT84" s="4"/>
      <c r="AU84" s="4">
        <v>5</v>
      </c>
      <c r="AV84" s="4"/>
      <c r="AW84" s="4"/>
      <c r="AX84" s="4"/>
      <c r="AY84" s="30">
        <f t="shared" si="12"/>
        <v>3</v>
      </c>
      <c r="AZ84" s="30">
        <f t="shared" si="13"/>
        <v>3</v>
      </c>
      <c r="BA84" s="30">
        <f t="shared" si="14"/>
        <v>11</v>
      </c>
      <c r="BC84" s="31" t="s">
        <v>989</v>
      </c>
      <c r="BD84" s="56" t="s">
        <v>777</v>
      </c>
      <c r="BE84" s="58" t="s">
        <v>363</v>
      </c>
      <c r="BF84" s="141" t="s">
        <v>239</v>
      </c>
      <c r="BG84" s="42" t="s">
        <v>6</v>
      </c>
      <c r="BH84" s="19"/>
      <c r="BI84" s="13">
        <v>1</v>
      </c>
      <c r="BJ84" s="13"/>
      <c r="BK84" s="13">
        <v>4</v>
      </c>
      <c r="BL84" s="14">
        <v>1</v>
      </c>
      <c r="BM84" s="13"/>
      <c r="BN84" s="13"/>
      <c r="BO84" s="13"/>
      <c r="BP84" s="13"/>
      <c r="BQ84" s="13">
        <v>2</v>
      </c>
      <c r="BR84" s="13">
        <v>3</v>
      </c>
      <c r="BS84" s="13"/>
      <c r="BT84" s="13"/>
      <c r="BU84" s="13">
        <v>1</v>
      </c>
      <c r="BV84" s="13"/>
      <c r="BW84" s="13"/>
      <c r="BX84" s="13"/>
      <c r="BY84" s="13"/>
      <c r="BZ84" s="30">
        <f t="shared" si="15"/>
        <v>6</v>
      </c>
      <c r="CA84" s="30">
        <f t="shared" si="16"/>
        <v>6</v>
      </c>
      <c r="CB84" s="30">
        <f t="shared" si="17"/>
        <v>0</v>
      </c>
    </row>
    <row r="85" spans="1:80" ht="15.5" x14ac:dyDescent="0.35">
      <c r="A85" s="31" t="s">
        <v>1053</v>
      </c>
      <c r="B85" s="56" t="s">
        <v>833</v>
      </c>
      <c r="C85" s="47" t="s">
        <v>410</v>
      </c>
      <c r="D85" s="142" t="s">
        <v>1039</v>
      </c>
      <c r="E85" s="42" t="s">
        <v>8</v>
      </c>
      <c r="F85" s="4"/>
      <c r="G85" s="4"/>
      <c r="H85" s="4"/>
      <c r="I85" s="4"/>
      <c r="J85" s="5"/>
      <c r="K85" s="4"/>
      <c r="L85" s="4"/>
      <c r="M85" s="4"/>
      <c r="N85" s="4"/>
      <c r="O85" s="13"/>
      <c r="P85" s="13"/>
      <c r="Q85" s="13"/>
      <c r="R85" s="13"/>
      <c r="S85" s="13"/>
      <c r="T85" s="13"/>
      <c r="U85" s="4"/>
      <c r="V85" s="4"/>
      <c r="W85" s="4"/>
      <c r="X85" s="30">
        <f t="shared" si="9"/>
        <v>0</v>
      </c>
      <c r="Y85" s="30">
        <f t="shared" si="10"/>
        <v>0</v>
      </c>
      <c r="Z85" s="30">
        <f t="shared" si="11"/>
        <v>0</v>
      </c>
      <c r="AB85" s="31" t="s">
        <v>36</v>
      </c>
      <c r="AC85" s="56" t="s">
        <v>646</v>
      </c>
      <c r="AD85" s="36" t="s">
        <v>259</v>
      </c>
      <c r="AE85" s="127" t="s">
        <v>236</v>
      </c>
      <c r="AF85" s="35" t="s">
        <v>6</v>
      </c>
      <c r="AG85" s="3"/>
      <c r="AH85" s="3">
        <v>2</v>
      </c>
      <c r="AI85" s="3"/>
      <c r="AJ85" s="4"/>
      <c r="AK85" s="5"/>
      <c r="AL85" s="4"/>
      <c r="AM85" s="5"/>
      <c r="AN85" s="4"/>
      <c r="AO85" s="5"/>
      <c r="AP85" s="13"/>
      <c r="AQ85" s="13"/>
      <c r="AR85" s="14"/>
      <c r="AS85" s="13"/>
      <c r="AT85" s="13"/>
      <c r="AU85" s="14"/>
      <c r="AV85" s="4"/>
      <c r="AW85" s="4">
        <v>1</v>
      </c>
      <c r="AX85" s="5"/>
      <c r="AY85" s="30">
        <f t="shared" si="12"/>
        <v>0</v>
      </c>
      <c r="AZ85" s="30">
        <f t="shared" si="13"/>
        <v>3</v>
      </c>
      <c r="BA85" s="30">
        <f t="shared" si="14"/>
        <v>0</v>
      </c>
      <c r="BC85" s="31" t="s">
        <v>990</v>
      </c>
      <c r="BD85" s="56" t="s">
        <v>778</v>
      </c>
      <c r="BE85" s="47" t="s">
        <v>364</v>
      </c>
      <c r="BF85" s="141" t="s">
        <v>239</v>
      </c>
      <c r="BG85" s="42" t="s">
        <v>8</v>
      </c>
      <c r="BH85" s="19"/>
      <c r="BI85" s="13"/>
      <c r="BJ85" s="13"/>
      <c r="BK85" s="13"/>
      <c r="BL85" s="14">
        <v>1</v>
      </c>
      <c r="BM85" s="13"/>
      <c r="BN85" s="13"/>
      <c r="BO85" s="13"/>
      <c r="BP85" s="13"/>
      <c r="BQ85" s="13">
        <v>1</v>
      </c>
      <c r="BR85" s="13">
        <v>1</v>
      </c>
      <c r="BS85" s="13"/>
      <c r="BT85" s="13"/>
      <c r="BU85" s="13">
        <v>2</v>
      </c>
      <c r="BV85" s="13"/>
      <c r="BW85" s="13"/>
      <c r="BX85" s="13"/>
      <c r="BY85" s="13"/>
      <c r="BZ85" s="30">
        <f t="shared" si="15"/>
        <v>1</v>
      </c>
      <c r="CA85" s="30">
        <f t="shared" si="16"/>
        <v>4</v>
      </c>
      <c r="CB85" s="30">
        <f t="shared" si="17"/>
        <v>0</v>
      </c>
    </row>
    <row r="86" spans="1:80" ht="15.5" x14ac:dyDescent="0.35">
      <c r="A86" s="31" t="s">
        <v>1061</v>
      </c>
      <c r="B86" s="56" t="s">
        <v>841</v>
      </c>
      <c r="C86" s="47" t="s">
        <v>418</v>
      </c>
      <c r="D86" s="142" t="s">
        <v>1039</v>
      </c>
      <c r="E86" s="42" t="s">
        <v>6</v>
      </c>
      <c r="F86" s="4"/>
      <c r="G86" s="4"/>
      <c r="H86" s="4"/>
      <c r="I86" s="4"/>
      <c r="J86" s="4"/>
      <c r="K86" s="4"/>
      <c r="L86" s="4"/>
      <c r="M86" s="4"/>
      <c r="N86" s="4"/>
      <c r="O86" s="13"/>
      <c r="P86" s="13"/>
      <c r="Q86" s="13"/>
      <c r="R86" s="13"/>
      <c r="S86" s="13"/>
      <c r="T86" s="13"/>
      <c r="U86" s="4"/>
      <c r="V86" s="4"/>
      <c r="W86" s="4"/>
      <c r="X86" s="30">
        <f t="shared" si="9"/>
        <v>0</v>
      </c>
      <c r="Y86" s="30">
        <f t="shared" si="10"/>
        <v>0</v>
      </c>
      <c r="Z86" s="30">
        <f t="shared" si="11"/>
        <v>0</v>
      </c>
      <c r="AB86" s="31" t="s">
        <v>40</v>
      </c>
      <c r="AC86" s="56" t="s">
        <v>650</v>
      </c>
      <c r="AD86" s="43" t="s">
        <v>263</v>
      </c>
      <c r="AE86" s="127" t="s">
        <v>236</v>
      </c>
      <c r="AF86" s="35" t="s">
        <v>6</v>
      </c>
      <c r="AG86" s="3"/>
      <c r="AH86" s="3"/>
      <c r="AI86" s="3"/>
      <c r="AJ86" s="4">
        <v>1</v>
      </c>
      <c r="AK86" s="5"/>
      <c r="AL86" s="5"/>
      <c r="AM86" s="4"/>
      <c r="AN86" s="5">
        <v>1</v>
      </c>
      <c r="AO86" s="5"/>
      <c r="AP86" s="13"/>
      <c r="AQ86" s="14"/>
      <c r="AR86" s="14"/>
      <c r="AS86" s="13">
        <v>1</v>
      </c>
      <c r="AT86" s="14">
        <v>1</v>
      </c>
      <c r="AU86" s="14"/>
      <c r="AV86" s="4"/>
      <c r="AW86" s="5">
        <v>1</v>
      </c>
      <c r="AX86" s="5"/>
      <c r="AY86" s="30">
        <f t="shared" si="12"/>
        <v>2</v>
      </c>
      <c r="AZ86" s="30">
        <f t="shared" si="13"/>
        <v>3</v>
      </c>
      <c r="BA86" s="30">
        <f t="shared" si="14"/>
        <v>0</v>
      </c>
      <c r="BC86" s="31" t="s">
        <v>992</v>
      </c>
      <c r="BD86" s="56" t="s">
        <v>780</v>
      </c>
      <c r="BE86" s="47" t="s">
        <v>366</v>
      </c>
      <c r="BF86" s="141" t="s">
        <v>239</v>
      </c>
      <c r="BG86" s="42" t="s">
        <v>8</v>
      </c>
      <c r="BH86" s="19"/>
      <c r="BI86" s="13"/>
      <c r="BJ86" s="13"/>
      <c r="BK86" s="14"/>
      <c r="BL86" s="14"/>
      <c r="BM86" s="13"/>
      <c r="BN86" s="13"/>
      <c r="BO86" s="13"/>
      <c r="BP86" s="13"/>
      <c r="BQ86" s="13"/>
      <c r="BR86" s="13"/>
      <c r="BS86" s="13"/>
      <c r="BT86" s="13"/>
      <c r="BU86" s="13">
        <v>1</v>
      </c>
      <c r="BV86" s="13"/>
      <c r="BW86" s="13"/>
      <c r="BX86" s="13"/>
      <c r="BY86" s="13"/>
      <c r="BZ86" s="30">
        <f t="shared" si="15"/>
        <v>0</v>
      </c>
      <c r="CA86" s="30">
        <f t="shared" si="16"/>
        <v>1</v>
      </c>
      <c r="CB86" s="30">
        <f t="shared" si="17"/>
        <v>0</v>
      </c>
    </row>
    <row r="87" spans="1:80" ht="15.5" x14ac:dyDescent="0.35">
      <c r="A87" s="31" t="s">
        <v>1063</v>
      </c>
      <c r="B87" s="56" t="s">
        <v>844</v>
      </c>
      <c r="C87" s="47" t="s">
        <v>419</v>
      </c>
      <c r="D87" s="142" t="s">
        <v>1039</v>
      </c>
      <c r="E87" s="42" t="s">
        <v>8</v>
      </c>
      <c r="F87" s="4"/>
      <c r="G87" s="4">
        <v>3</v>
      </c>
      <c r="H87" s="4"/>
      <c r="I87" s="4"/>
      <c r="J87" s="5"/>
      <c r="K87" s="4"/>
      <c r="L87" s="4"/>
      <c r="M87" s="4"/>
      <c r="N87" s="4"/>
      <c r="O87" s="13"/>
      <c r="P87" s="13"/>
      <c r="Q87" s="13"/>
      <c r="R87" s="13"/>
      <c r="S87" s="13">
        <v>1</v>
      </c>
      <c r="T87" s="13"/>
      <c r="U87" s="4"/>
      <c r="V87" s="4"/>
      <c r="W87" s="4"/>
      <c r="X87" s="30">
        <f t="shared" si="9"/>
        <v>0</v>
      </c>
      <c r="Y87" s="30">
        <f t="shared" si="10"/>
        <v>4</v>
      </c>
      <c r="Z87" s="30">
        <f t="shared" si="11"/>
        <v>0</v>
      </c>
      <c r="AB87" s="31" t="s">
        <v>126</v>
      </c>
      <c r="AC87" s="56" t="s">
        <v>669</v>
      </c>
      <c r="AD87" s="36" t="s">
        <v>276</v>
      </c>
      <c r="AE87" s="127" t="s">
        <v>236</v>
      </c>
      <c r="AF87" s="35" t="s">
        <v>6</v>
      </c>
      <c r="AG87" s="3"/>
      <c r="AH87" s="4"/>
      <c r="AI87" s="3"/>
      <c r="AJ87" s="5"/>
      <c r="AK87" s="4"/>
      <c r="AL87" s="5"/>
      <c r="AM87" s="4"/>
      <c r="AN87" s="4"/>
      <c r="AO87" s="4"/>
      <c r="AP87" s="13"/>
      <c r="AQ87" s="14"/>
      <c r="AR87" s="13"/>
      <c r="AS87" s="13">
        <v>1</v>
      </c>
      <c r="AT87" s="14">
        <v>2</v>
      </c>
      <c r="AU87" s="13"/>
      <c r="AV87" s="4"/>
      <c r="AW87" s="5">
        <v>1</v>
      </c>
      <c r="AX87" s="4">
        <v>2</v>
      </c>
      <c r="AY87" s="30">
        <f t="shared" si="12"/>
        <v>1</v>
      </c>
      <c r="AZ87" s="30">
        <f t="shared" si="13"/>
        <v>3</v>
      </c>
      <c r="BA87" s="30">
        <f t="shared" si="14"/>
        <v>2</v>
      </c>
      <c r="BC87" s="31" t="s">
        <v>994</v>
      </c>
      <c r="BD87" s="56" t="s">
        <v>782</v>
      </c>
      <c r="BE87" s="47" t="s">
        <v>368</v>
      </c>
      <c r="BF87" s="141" t="s">
        <v>239</v>
      </c>
      <c r="BG87" s="42" t="s">
        <v>8</v>
      </c>
      <c r="BH87" s="19"/>
      <c r="BI87" s="13">
        <v>2</v>
      </c>
      <c r="BJ87" s="13"/>
      <c r="BK87" s="13"/>
      <c r="BL87" s="14">
        <v>2</v>
      </c>
      <c r="BM87" s="13"/>
      <c r="BN87" s="13"/>
      <c r="BO87" s="13">
        <v>1</v>
      </c>
      <c r="BP87" s="13"/>
      <c r="BQ87" s="13">
        <v>1</v>
      </c>
      <c r="BR87" s="13">
        <v>2</v>
      </c>
      <c r="BS87" s="13"/>
      <c r="BT87" s="13"/>
      <c r="BU87" s="13"/>
      <c r="BV87" s="13"/>
      <c r="BW87" s="13"/>
      <c r="BX87" s="13"/>
      <c r="BY87" s="13"/>
      <c r="BZ87" s="30">
        <f t="shared" si="15"/>
        <v>1</v>
      </c>
      <c r="CA87" s="30">
        <f t="shared" si="16"/>
        <v>7</v>
      </c>
      <c r="CB87" s="30">
        <f t="shared" si="17"/>
        <v>0</v>
      </c>
    </row>
    <row r="88" spans="1:80" ht="15.5" x14ac:dyDescent="0.35">
      <c r="A88" s="31" t="s">
        <v>1065</v>
      </c>
      <c r="B88" s="56" t="s">
        <v>846</v>
      </c>
      <c r="C88" s="47" t="s">
        <v>421</v>
      </c>
      <c r="D88" s="142" t="s">
        <v>1039</v>
      </c>
      <c r="E88" s="42" t="s">
        <v>8</v>
      </c>
      <c r="F88" s="4"/>
      <c r="G88" s="4">
        <v>1</v>
      </c>
      <c r="H88" s="4"/>
      <c r="I88" s="4"/>
      <c r="J88" s="5">
        <v>1</v>
      </c>
      <c r="K88" s="4"/>
      <c r="L88" s="4"/>
      <c r="M88" s="4"/>
      <c r="N88" s="4"/>
      <c r="O88" s="13"/>
      <c r="P88" s="13">
        <v>1</v>
      </c>
      <c r="Q88" s="13"/>
      <c r="R88" s="13"/>
      <c r="S88" s="13">
        <v>1</v>
      </c>
      <c r="T88" s="13"/>
      <c r="U88" s="4"/>
      <c r="V88" s="4"/>
      <c r="W88" s="4"/>
      <c r="X88" s="30">
        <f t="shared" si="9"/>
        <v>0</v>
      </c>
      <c r="Y88" s="30">
        <f t="shared" si="10"/>
        <v>4</v>
      </c>
      <c r="Z88" s="30">
        <f t="shared" si="11"/>
        <v>0</v>
      </c>
      <c r="AB88" s="31" t="s">
        <v>926</v>
      </c>
      <c r="AC88" s="56" t="s">
        <v>705</v>
      </c>
      <c r="AD88" s="36" t="s">
        <v>306</v>
      </c>
      <c r="AE88" s="127" t="s">
        <v>237</v>
      </c>
      <c r="AF88" s="35" t="s">
        <v>6</v>
      </c>
      <c r="AG88" s="3"/>
      <c r="AH88" s="3"/>
      <c r="AI88" s="3"/>
      <c r="AJ88" s="4"/>
      <c r="AK88" s="5"/>
      <c r="AL88" s="4"/>
      <c r="AM88" s="4"/>
      <c r="AN88" s="4"/>
      <c r="AO88" s="4"/>
      <c r="AP88" s="13"/>
      <c r="AQ88" s="4"/>
      <c r="AR88" s="4"/>
      <c r="AS88" s="13"/>
      <c r="AT88" s="13">
        <v>3</v>
      </c>
      <c r="AU88" s="13"/>
      <c r="AV88" s="4"/>
      <c r="AW88" s="4"/>
      <c r="AX88" s="4"/>
      <c r="AY88" s="30">
        <f t="shared" si="12"/>
        <v>0</v>
      </c>
      <c r="AZ88" s="30">
        <f t="shared" si="13"/>
        <v>3</v>
      </c>
      <c r="BA88" s="30">
        <f t="shared" si="14"/>
        <v>0</v>
      </c>
      <c r="BC88" s="31" t="s">
        <v>995</v>
      </c>
      <c r="BD88" s="56" t="s">
        <v>783</v>
      </c>
      <c r="BE88" s="47" t="s">
        <v>369</v>
      </c>
      <c r="BF88" s="141" t="s">
        <v>239</v>
      </c>
      <c r="BG88" s="42" t="s">
        <v>8</v>
      </c>
      <c r="BH88" s="19"/>
      <c r="BI88" s="13">
        <v>1</v>
      </c>
      <c r="BJ88" s="13"/>
      <c r="BK88" s="13">
        <v>1</v>
      </c>
      <c r="BL88" s="13">
        <v>2</v>
      </c>
      <c r="BM88" s="13"/>
      <c r="BN88" s="13"/>
      <c r="BO88" s="13">
        <v>2</v>
      </c>
      <c r="BP88" s="13"/>
      <c r="BQ88" s="13"/>
      <c r="BR88" s="13">
        <v>2</v>
      </c>
      <c r="BS88" s="13"/>
      <c r="BT88" s="13">
        <v>1</v>
      </c>
      <c r="BU88" s="13">
        <v>2</v>
      </c>
      <c r="BV88" s="13"/>
      <c r="BW88" s="13"/>
      <c r="BX88" s="13"/>
      <c r="BY88" s="13"/>
      <c r="BZ88" s="30">
        <f t="shared" si="15"/>
        <v>2</v>
      </c>
      <c r="CA88" s="30">
        <f t="shared" si="16"/>
        <v>9</v>
      </c>
      <c r="CB88" s="30">
        <f t="shared" si="17"/>
        <v>0</v>
      </c>
    </row>
    <row r="89" spans="1:80" ht="15.5" x14ac:dyDescent="0.35">
      <c r="A89" s="31" t="s">
        <v>1066</v>
      </c>
      <c r="B89" s="56" t="s">
        <v>847</v>
      </c>
      <c r="C89" s="47" t="s">
        <v>422</v>
      </c>
      <c r="D89" s="142" t="s">
        <v>1039</v>
      </c>
      <c r="E89" s="42" t="s">
        <v>8</v>
      </c>
      <c r="F89" s="4"/>
      <c r="G89" s="4"/>
      <c r="H89" s="4"/>
      <c r="I89" s="4"/>
      <c r="J89" s="5"/>
      <c r="K89" s="4"/>
      <c r="L89" s="4"/>
      <c r="M89" s="4"/>
      <c r="N89" s="4"/>
      <c r="O89" s="13"/>
      <c r="P89" s="13"/>
      <c r="Q89" s="13"/>
      <c r="R89" s="13"/>
      <c r="S89" s="13"/>
      <c r="T89" s="13"/>
      <c r="U89" s="4"/>
      <c r="V89" s="4"/>
      <c r="W89" s="4"/>
      <c r="X89" s="30">
        <f t="shared" si="9"/>
        <v>0</v>
      </c>
      <c r="Y89" s="30">
        <f t="shared" si="10"/>
        <v>0</v>
      </c>
      <c r="Z89" s="30">
        <f t="shared" si="11"/>
        <v>0</v>
      </c>
      <c r="AB89" s="31" t="s">
        <v>927</v>
      </c>
      <c r="AC89" s="56" t="s">
        <v>706</v>
      </c>
      <c r="AD89" s="36" t="s">
        <v>307</v>
      </c>
      <c r="AE89" s="127" t="s">
        <v>237</v>
      </c>
      <c r="AF89" s="35" t="s">
        <v>6</v>
      </c>
      <c r="AG89" s="3"/>
      <c r="AH89" s="3"/>
      <c r="AI89" s="3"/>
      <c r="AJ89" s="4"/>
      <c r="AK89" s="5">
        <v>2</v>
      </c>
      <c r="AL89" s="4"/>
      <c r="AM89" s="4"/>
      <c r="AN89" s="5"/>
      <c r="AO89" s="4"/>
      <c r="AP89" s="13"/>
      <c r="AQ89" s="5">
        <v>1</v>
      </c>
      <c r="AR89" s="4"/>
      <c r="AS89" s="13"/>
      <c r="AT89" s="14"/>
      <c r="AU89" s="13"/>
      <c r="AV89" s="4"/>
      <c r="AW89" s="5"/>
      <c r="AX89" s="4"/>
      <c r="AY89" s="30">
        <f t="shared" si="12"/>
        <v>0</v>
      </c>
      <c r="AZ89" s="30">
        <f t="shared" si="13"/>
        <v>3</v>
      </c>
      <c r="BA89" s="30">
        <f t="shared" si="14"/>
        <v>0</v>
      </c>
      <c r="BC89" s="31" t="s">
        <v>996</v>
      </c>
      <c r="BD89" s="56" t="s">
        <v>784</v>
      </c>
      <c r="BE89" s="58" t="s">
        <v>370</v>
      </c>
      <c r="BF89" s="141" t="s">
        <v>239</v>
      </c>
      <c r="BG89" s="42" t="s">
        <v>8</v>
      </c>
      <c r="BH89" s="19"/>
      <c r="BI89" s="13">
        <v>4</v>
      </c>
      <c r="BJ89" s="13"/>
      <c r="BK89" s="13">
        <v>1</v>
      </c>
      <c r="BL89" s="14">
        <v>3</v>
      </c>
      <c r="BM89" s="14"/>
      <c r="BN89" s="13">
        <v>2</v>
      </c>
      <c r="BO89" s="13">
        <v>1</v>
      </c>
      <c r="BP89" s="13"/>
      <c r="BQ89" s="13">
        <v>1</v>
      </c>
      <c r="BR89" s="13">
        <v>1</v>
      </c>
      <c r="BS89" s="13"/>
      <c r="BT89" s="13"/>
      <c r="BU89" s="13">
        <v>4</v>
      </c>
      <c r="BV89" s="13"/>
      <c r="BW89" s="13"/>
      <c r="BX89" s="13"/>
      <c r="BY89" s="13"/>
      <c r="BZ89" s="30">
        <f t="shared" si="15"/>
        <v>4</v>
      </c>
      <c r="CA89" s="30">
        <f t="shared" si="16"/>
        <v>13</v>
      </c>
      <c r="CB89" s="30">
        <f t="shared" si="17"/>
        <v>0</v>
      </c>
    </row>
    <row r="90" spans="1:80" ht="15.5" x14ac:dyDescent="0.35">
      <c r="A90" s="31" t="s">
        <v>1070</v>
      </c>
      <c r="B90" s="56" t="s">
        <v>852</v>
      </c>
      <c r="C90" s="77" t="s">
        <v>425</v>
      </c>
      <c r="D90" s="142" t="s">
        <v>1039</v>
      </c>
      <c r="E90" s="78" t="s">
        <v>8</v>
      </c>
      <c r="F90" s="9"/>
      <c r="G90" s="16"/>
      <c r="H90" s="9"/>
      <c r="I90" s="9"/>
      <c r="J90" s="16">
        <v>1</v>
      </c>
      <c r="K90" s="16"/>
      <c r="L90" s="9"/>
      <c r="M90" s="9"/>
      <c r="N90" s="9"/>
      <c r="O90" s="15"/>
      <c r="P90" s="15"/>
      <c r="Q90" s="15"/>
      <c r="R90" s="13"/>
      <c r="S90" s="13"/>
      <c r="T90" s="13"/>
      <c r="U90" s="9"/>
      <c r="V90" s="9">
        <v>1</v>
      </c>
      <c r="W90" s="9"/>
      <c r="X90" s="30">
        <f t="shared" si="9"/>
        <v>0</v>
      </c>
      <c r="Y90" s="30">
        <f t="shared" si="10"/>
        <v>2</v>
      </c>
      <c r="Z90" s="30">
        <f t="shared" si="11"/>
        <v>0</v>
      </c>
      <c r="AB90" s="31" t="s">
        <v>937</v>
      </c>
      <c r="AC90" s="56" t="s">
        <v>717</v>
      </c>
      <c r="AD90" s="45" t="s">
        <v>317</v>
      </c>
      <c r="AE90" s="121" t="s">
        <v>238</v>
      </c>
      <c r="AF90" s="35" t="s">
        <v>6</v>
      </c>
      <c r="AG90" s="19">
        <v>3</v>
      </c>
      <c r="AH90" s="20"/>
      <c r="AI90" s="19">
        <v>1</v>
      </c>
      <c r="AJ90" s="13"/>
      <c r="AK90" s="14">
        <v>1</v>
      </c>
      <c r="AL90" s="13"/>
      <c r="AM90" s="13"/>
      <c r="AN90" s="13">
        <v>2</v>
      </c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30">
        <f t="shared" si="12"/>
        <v>3</v>
      </c>
      <c r="AZ90" s="30">
        <f t="shared" si="13"/>
        <v>3</v>
      </c>
      <c r="BA90" s="30">
        <f t="shared" si="14"/>
        <v>1</v>
      </c>
      <c r="BC90" s="31" t="s">
        <v>997</v>
      </c>
      <c r="BD90" s="56" t="s">
        <v>785</v>
      </c>
      <c r="BE90" s="34" t="s">
        <v>308</v>
      </c>
      <c r="BF90" s="141" t="s">
        <v>239</v>
      </c>
      <c r="BG90" s="35" t="s">
        <v>6</v>
      </c>
      <c r="BH90" s="19"/>
      <c r="BI90" s="13"/>
      <c r="BJ90" s="13"/>
      <c r="BK90" s="13"/>
      <c r="BL90" s="13"/>
      <c r="BM90" s="13"/>
      <c r="BN90" s="13"/>
      <c r="BO90" s="13"/>
      <c r="BP90" s="13"/>
      <c r="BQ90" s="13"/>
      <c r="BR90" s="13">
        <v>1</v>
      </c>
      <c r="BS90" s="13"/>
      <c r="BT90" s="13">
        <v>1</v>
      </c>
      <c r="BU90" s="13">
        <v>2</v>
      </c>
      <c r="BV90" s="13"/>
      <c r="BW90" s="13"/>
      <c r="BX90" s="13"/>
      <c r="BY90" s="13"/>
      <c r="BZ90" s="30">
        <f t="shared" si="15"/>
        <v>1</v>
      </c>
      <c r="CA90" s="30">
        <f t="shared" si="16"/>
        <v>3</v>
      </c>
      <c r="CB90" s="30">
        <f t="shared" si="17"/>
        <v>0</v>
      </c>
    </row>
    <row r="91" spans="1:80" ht="15.5" x14ac:dyDescent="0.35">
      <c r="A91" s="31" t="s">
        <v>22</v>
      </c>
      <c r="B91" s="56" t="s">
        <v>631</v>
      </c>
      <c r="C91" s="36" t="s">
        <v>247</v>
      </c>
      <c r="D91" s="127" t="s">
        <v>231</v>
      </c>
      <c r="E91" s="35" t="s">
        <v>6</v>
      </c>
      <c r="F91" s="3"/>
      <c r="G91" s="3"/>
      <c r="H91" s="3"/>
      <c r="I91" s="4"/>
      <c r="J91" s="4">
        <v>4</v>
      </c>
      <c r="K91" s="4"/>
      <c r="L91" s="4"/>
      <c r="M91" s="4"/>
      <c r="N91" s="4"/>
      <c r="O91" s="13">
        <v>1</v>
      </c>
      <c r="P91" s="4"/>
      <c r="Q91" s="4"/>
      <c r="R91" s="4"/>
      <c r="S91" s="4">
        <v>2</v>
      </c>
      <c r="T91" s="4"/>
      <c r="U91" s="4"/>
      <c r="V91" s="4"/>
      <c r="W91" s="4"/>
      <c r="X91" s="30">
        <f t="shared" si="9"/>
        <v>1</v>
      </c>
      <c r="Y91" s="30">
        <f t="shared" si="10"/>
        <v>6</v>
      </c>
      <c r="Z91" s="30">
        <f t="shared" si="11"/>
        <v>0</v>
      </c>
      <c r="AB91" s="31" t="s">
        <v>940</v>
      </c>
      <c r="AC91" s="56" t="s">
        <v>720</v>
      </c>
      <c r="AD91" s="43" t="s">
        <v>320</v>
      </c>
      <c r="AE91" s="121" t="s">
        <v>238</v>
      </c>
      <c r="AF91" s="35" t="s">
        <v>8</v>
      </c>
      <c r="AG91" s="19"/>
      <c r="AH91" s="19"/>
      <c r="AI91" s="19"/>
      <c r="AJ91" s="14"/>
      <c r="AK91" s="13">
        <v>2</v>
      </c>
      <c r="AL91" s="13"/>
      <c r="AM91" s="13"/>
      <c r="AN91" s="13"/>
      <c r="AO91" s="13"/>
      <c r="AP91" s="13"/>
      <c r="AQ91" s="13">
        <v>1</v>
      </c>
      <c r="AR91" s="13"/>
      <c r="AS91" s="13"/>
      <c r="AT91" s="13"/>
      <c r="AU91" s="13"/>
      <c r="AV91" s="13"/>
      <c r="AW91" s="13"/>
      <c r="AX91" s="13"/>
      <c r="AY91" s="30">
        <f t="shared" si="12"/>
        <v>0</v>
      </c>
      <c r="AZ91" s="30">
        <f t="shared" si="13"/>
        <v>3</v>
      </c>
      <c r="BA91" s="30">
        <f t="shared" si="14"/>
        <v>0</v>
      </c>
      <c r="BC91" s="31" t="s">
        <v>998</v>
      </c>
      <c r="BD91" s="56" t="s">
        <v>786</v>
      </c>
      <c r="BE91" s="58" t="s">
        <v>371</v>
      </c>
      <c r="BF91" s="161" t="s">
        <v>240</v>
      </c>
      <c r="BG91" s="42" t="s">
        <v>6</v>
      </c>
      <c r="BH91" s="4"/>
      <c r="BI91" s="4"/>
      <c r="BJ91" s="4"/>
      <c r="BK91" s="4"/>
      <c r="BL91" s="4">
        <v>8</v>
      </c>
      <c r="BM91" s="4"/>
      <c r="BN91" s="4"/>
      <c r="BO91" s="4">
        <v>1</v>
      </c>
      <c r="BP91" s="4"/>
      <c r="BQ91" s="13"/>
      <c r="BR91" s="13"/>
      <c r="BS91" s="13"/>
      <c r="BT91" s="13"/>
      <c r="BU91" s="13">
        <v>3</v>
      </c>
      <c r="BV91" s="13"/>
      <c r="BW91" s="4"/>
      <c r="BX91" s="4"/>
      <c r="BY91" s="4"/>
      <c r="BZ91" s="30">
        <f t="shared" si="15"/>
        <v>0</v>
      </c>
      <c r="CA91" s="30">
        <f t="shared" si="16"/>
        <v>12</v>
      </c>
      <c r="CB91" s="30">
        <f t="shared" si="17"/>
        <v>0</v>
      </c>
    </row>
    <row r="92" spans="1:80" ht="15.5" x14ac:dyDescent="0.35">
      <c r="A92" s="31" t="s">
        <v>26</v>
      </c>
      <c r="B92" s="56" t="s">
        <v>635</v>
      </c>
      <c r="C92" s="36" t="s">
        <v>250</v>
      </c>
      <c r="D92" s="127" t="s">
        <v>231</v>
      </c>
      <c r="E92" s="35" t="s">
        <v>6</v>
      </c>
      <c r="F92" s="3"/>
      <c r="G92" s="3"/>
      <c r="H92" s="3"/>
      <c r="I92" s="4"/>
      <c r="J92" s="4"/>
      <c r="K92" s="4"/>
      <c r="L92" s="4"/>
      <c r="M92" s="4"/>
      <c r="N92" s="4">
        <v>1</v>
      </c>
      <c r="O92" s="13"/>
      <c r="P92" s="4"/>
      <c r="Q92" s="4"/>
      <c r="R92" s="4">
        <v>1</v>
      </c>
      <c r="S92" s="4">
        <v>1</v>
      </c>
      <c r="T92" s="4"/>
      <c r="U92" s="4"/>
      <c r="V92" s="4"/>
      <c r="W92" s="4"/>
      <c r="X92" s="30">
        <f t="shared" si="9"/>
        <v>1</v>
      </c>
      <c r="Y92" s="30">
        <f t="shared" si="10"/>
        <v>1</v>
      </c>
      <c r="Z92" s="30">
        <f t="shared" si="11"/>
        <v>1</v>
      </c>
      <c r="AB92" s="31" t="s">
        <v>952</v>
      </c>
      <c r="AC92" s="56" t="s">
        <v>734</v>
      </c>
      <c r="AD92" s="41" t="s">
        <v>330</v>
      </c>
      <c r="AE92" s="121" t="s">
        <v>238</v>
      </c>
      <c r="AF92" s="42" t="s">
        <v>6</v>
      </c>
      <c r="AG92" s="19"/>
      <c r="AH92" s="19"/>
      <c r="AI92" s="19"/>
      <c r="AJ92" s="13"/>
      <c r="AK92" s="13"/>
      <c r="AL92" s="13"/>
      <c r="AM92" s="13">
        <v>2</v>
      </c>
      <c r="AN92" s="13">
        <v>1</v>
      </c>
      <c r="AO92" s="13"/>
      <c r="AP92" s="13"/>
      <c r="AQ92" s="13">
        <v>1</v>
      </c>
      <c r="AR92" s="13"/>
      <c r="AS92" s="13"/>
      <c r="AT92" s="13"/>
      <c r="AU92" s="13">
        <v>3</v>
      </c>
      <c r="AV92" s="13"/>
      <c r="AW92" s="13">
        <v>1</v>
      </c>
      <c r="AX92" s="13"/>
      <c r="AY92" s="30">
        <f t="shared" si="12"/>
        <v>2</v>
      </c>
      <c r="AZ92" s="30">
        <f t="shared" si="13"/>
        <v>3</v>
      </c>
      <c r="BA92" s="30">
        <f t="shared" si="14"/>
        <v>3</v>
      </c>
      <c r="BC92" s="31" t="s">
        <v>999</v>
      </c>
      <c r="BD92" s="56" t="s">
        <v>787</v>
      </c>
      <c r="BE92" s="47" t="s">
        <v>372</v>
      </c>
      <c r="BF92" s="161" t="s">
        <v>240</v>
      </c>
      <c r="BG92" s="42" t="s">
        <v>8</v>
      </c>
      <c r="BH92" s="4"/>
      <c r="BI92" s="4"/>
      <c r="BJ92" s="4"/>
      <c r="BK92" s="4"/>
      <c r="BL92" s="4">
        <v>1</v>
      </c>
      <c r="BM92" s="4"/>
      <c r="BN92" s="4"/>
      <c r="BO92" s="4"/>
      <c r="BP92" s="4"/>
      <c r="BQ92" s="13"/>
      <c r="BR92" s="13"/>
      <c r="BS92" s="13"/>
      <c r="BT92" s="13"/>
      <c r="BU92" s="13">
        <v>1</v>
      </c>
      <c r="BV92" s="13"/>
      <c r="BW92" s="4"/>
      <c r="BX92" s="4"/>
      <c r="BY92" s="4"/>
      <c r="BZ92" s="30">
        <f t="shared" si="15"/>
        <v>0</v>
      </c>
      <c r="CA92" s="30">
        <f t="shared" si="16"/>
        <v>2</v>
      </c>
      <c r="CB92" s="30">
        <f t="shared" si="17"/>
        <v>0</v>
      </c>
    </row>
    <row r="93" spans="1:80" ht="15.5" x14ac:dyDescent="0.35">
      <c r="A93" s="31" t="s">
        <v>29</v>
      </c>
      <c r="B93" s="56" t="s">
        <v>638</v>
      </c>
      <c r="C93" s="66" t="s">
        <v>253</v>
      </c>
      <c r="D93" s="127" t="s">
        <v>231</v>
      </c>
      <c r="E93" s="35" t="s">
        <v>6</v>
      </c>
      <c r="F93" s="3"/>
      <c r="G93" s="3"/>
      <c r="H93" s="3"/>
      <c r="I93" s="4"/>
      <c r="J93" s="4"/>
      <c r="K93" s="5"/>
      <c r="L93" s="4"/>
      <c r="M93" s="4"/>
      <c r="N93" s="4"/>
      <c r="O93" s="13"/>
      <c r="P93" s="4"/>
      <c r="Q93" s="4"/>
      <c r="R93" s="4">
        <v>1</v>
      </c>
      <c r="S93" s="4"/>
      <c r="T93" s="4"/>
      <c r="U93" s="4"/>
      <c r="V93" s="4"/>
      <c r="W93" s="4"/>
      <c r="X93" s="30">
        <f t="shared" si="9"/>
        <v>1</v>
      </c>
      <c r="Y93" s="30">
        <f t="shared" si="10"/>
        <v>0</v>
      </c>
      <c r="Z93" s="30">
        <f t="shared" si="11"/>
        <v>0</v>
      </c>
      <c r="AB93" s="31" t="s">
        <v>954</v>
      </c>
      <c r="AC93" s="56" t="s">
        <v>736</v>
      </c>
      <c r="AD93" s="41" t="s">
        <v>332</v>
      </c>
      <c r="AE93" s="121" t="s">
        <v>238</v>
      </c>
      <c r="AF93" s="42" t="s">
        <v>6</v>
      </c>
      <c r="AG93" s="19"/>
      <c r="AH93" s="19"/>
      <c r="AI93" s="19">
        <v>1</v>
      </c>
      <c r="AJ93" s="13"/>
      <c r="AK93" s="14">
        <v>3</v>
      </c>
      <c r="AL93" s="13">
        <v>1</v>
      </c>
      <c r="AM93" s="13"/>
      <c r="AN93" s="13"/>
      <c r="AO93" s="13"/>
      <c r="AP93" s="13"/>
      <c r="AQ93" s="13"/>
      <c r="AR93" s="13"/>
      <c r="AS93" s="13">
        <v>1</v>
      </c>
      <c r="AT93" s="13"/>
      <c r="AU93" s="13">
        <v>2</v>
      </c>
      <c r="AV93" s="13"/>
      <c r="AW93" s="13"/>
      <c r="AX93" s="13">
        <v>1</v>
      </c>
      <c r="AY93" s="30">
        <f t="shared" si="12"/>
        <v>1</v>
      </c>
      <c r="AZ93" s="30">
        <f t="shared" si="13"/>
        <v>3</v>
      </c>
      <c r="BA93" s="30">
        <f t="shared" si="14"/>
        <v>5</v>
      </c>
      <c r="BC93" s="31" t="s">
        <v>1000</v>
      </c>
      <c r="BD93" s="56" t="s">
        <v>788</v>
      </c>
      <c r="BE93" s="58" t="s">
        <v>373</v>
      </c>
      <c r="BF93" s="161" t="s">
        <v>240</v>
      </c>
      <c r="BG93" s="42" t="s">
        <v>6</v>
      </c>
      <c r="BH93" s="4"/>
      <c r="BI93" s="4"/>
      <c r="BJ93" s="4"/>
      <c r="BK93" s="4"/>
      <c r="BL93" s="5"/>
      <c r="BM93" s="4"/>
      <c r="BN93" s="4"/>
      <c r="BO93" s="4">
        <v>2</v>
      </c>
      <c r="BP93" s="4"/>
      <c r="BQ93" s="13"/>
      <c r="BR93" s="13"/>
      <c r="BS93" s="13"/>
      <c r="BT93" s="13">
        <v>1</v>
      </c>
      <c r="BU93" s="13">
        <v>1</v>
      </c>
      <c r="BV93" s="13"/>
      <c r="BW93" s="4"/>
      <c r="BX93" s="4"/>
      <c r="BY93" s="4"/>
      <c r="BZ93" s="30">
        <f t="shared" si="15"/>
        <v>1</v>
      </c>
      <c r="CA93" s="30">
        <f t="shared" si="16"/>
        <v>3</v>
      </c>
      <c r="CB93" s="30">
        <f t="shared" si="17"/>
        <v>0</v>
      </c>
    </row>
    <row r="94" spans="1:80" ht="15.5" x14ac:dyDescent="0.35">
      <c r="A94" s="31" t="s">
        <v>30</v>
      </c>
      <c r="B94" s="56" t="s">
        <v>639</v>
      </c>
      <c r="C94" s="36" t="s">
        <v>254</v>
      </c>
      <c r="D94" s="127" t="s">
        <v>231</v>
      </c>
      <c r="E94" s="35" t="s">
        <v>8</v>
      </c>
      <c r="F94" s="3"/>
      <c r="G94" s="3"/>
      <c r="H94" s="6"/>
      <c r="I94" s="4"/>
      <c r="J94" s="4">
        <v>1</v>
      </c>
      <c r="K94" s="5">
        <v>1</v>
      </c>
      <c r="L94" s="4"/>
      <c r="M94" s="4"/>
      <c r="N94" s="5">
        <v>1</v>
      </c>
      <c r="O94" s="13">
        <v>1</v>
      </c>
      <c r="P94" s="4"/>
      <c r="Q94" s="5"/>
      <c r="R94" s="4"/>
      <c r="S94" s="4">
        <v>1</v>
      </c>
      <c r="T94" s="5">
        <v>1</v>
      </c>
      <c r="U94" s="4"/>
      <c r="V94" s="4"/>
      <c r="W94" s="5"/>
      <c r="X94" s="30">
        <f t="shared" si="9"/>
        <v>1</v>
      </c>
      <c r="Y94" s="30">
        <f t="shared" si="10"/>
        <v>2</v>
      </c>
      <c r="Z94" s="30">
        <f t="shared" si="11"/>
        <v>3</v>
      </c>
      <c r="AB94" s="31" t="s">
        <v>955</v>
      </c>
      <c r="AC94" s="56" t="s">
        <v>737</v>
      </c>
      <c r="AD94" s="41" t="s">
        <v>333</v>
      </c>
      <c r="AE94" s="121" t="s">
        <v>238</v>
      </c>
      <c r="AF94" s="42" t="s">
        <v>8</v>
      </c>
      <c r="AG94" s="19"/>
      <c r="AH94" s="19"/>
      <c r="AI94" s="19"/>
      <c r="AJ94" s="13">
        <v>1</v>
      </c>
      <c r="AK94" s="14">
        <v>2</v>
      </c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>
        <v>1</v>
      </c>
      <c r="AX94" s="13"/>
      <c r="AY94" s="30">
        <f t="shared" si="12"/>
        <v>1</v>
      </c>
      <c r="AZ94" s="30">
        <f t="shared" si="13"/>
        <v>3</v>
      </c>
      <c r="BA94" s="30">
        <f t="shared" si="14"/>
        <v>0</v>
      </c>
      <c r="BC94" s="31" t="s">
        <v>1001</v>
      </c>
      <c r="BD94" s="56" t="s">
        <v>789</v>
      </c>
      <c r="BE94" s="47" t="s">
        <v>374</v>
      </c>
      <c r="BF94" s="161" t="s">
        <v>240</v>
      </c>
      <c r="BG94" s="42" t="s">
        <v>8</v>
      </c>
      <c r="BH94" s="4"/>
      <c r="BI94" s="4"/>
      <c r="BJ94" s="4"/>
      <c r="BK94" s="5"/>
      <c r="BL94" s="5"/>
      <c r="BM94" s="4"/>
      <c r="BN94" s="4"/>
      <c r="BO94" s="4">
        <v>2</v>
      </c>
      <c r="BP94" s="4"/>
      <c r="BQ94" s="13"/>
      <c r="BR94" s="13">
        <v>2</v>
      </c>
      <c r="BS94" s="13"/>
      <c r="BT94" s="13">
        <v>1</v>
      </c>
      <c r="BU94" s="13">
        <v>1</v>
      </c>
      <c r="BV94" s="13"/>
      <c r="BW94" s="4"/>
      <c r="BX94" s="4"/>
      <c r="BY94" s="4"/>
      <c r="BZ94" s="30">
        <f t="shared" si="15"/>
        <v>1</v>
      </c>
      <c r="CA94" s="30">
        <f t="shared" si="16"/>
        <v>5</v>
      </c>
      <c r="CB94" s="30">
        <f t="shared" si="17"/>
        <v>0</v>
      </c>
    </row>
    <row r="95" spans="1:80" ht="15.5" x14ac:dyDescent="0.35">
      <c r="A95" s="31" t="s">
        <v>31</v>
      </c>
      <c r="B95" s="56" t="s">
        <v>640</v>
      </c>
      <c r="C95" s="36" t="s">
        <v>255</v>
      </c>
      <c r="D95" s="127" t="s">
        <v>231</v>
      </c>
      <c r="E95" s="35" t="s">
        <v>8</v>
      </c>
      <c r="F95" s="3"/>
      <c r="G95" s="3"/>
      <c r="H95" s="3"/>
      <c r="I95" s="4">
        <v>1</v>
      </c>
      <c r="J95" s="5"/>
      <c r="K95" s="4">
        <v>1</v>
      </c>
      <c r="L95" s="4"/>
      <c r="M95" s="4"/>
      <c r="N95" s="5">
        <v>2</v>
      </c>
      <c r="O95" s="13"/>
      <c r="P95" s="4"/>
      <c r="Q95" s="5">
        <v>1</v>
      </c>
      <c r="R95" s="4"/>
      <c r="S95" s="4"/>
      <c r="T95" s="5">
        <v>3</v>
      </c>
      <c r="U95" s="4"/>
      <c r="V95" s="4"/>
      <c r="W95" s="5"/>
      <c r="X95" s="30">
        <f t="shared" si="9"/>
        <v>1</v>
      </c>
      <c r="Y95" s="30">
        <f t="shared" si="10"/>
        <v>0</v>
      </c>
      <c r="Z95" s="30">
        <f t="shared" si="11"/>
        <v>7</v>
      </c>
      <c r="AB95" s="31" t="s">
        <v>964</v>
      </c>
      <c r="AC95" s="39" t="s">
        <v>749</v>
      </c>
      <c r="AD95" s="54" t="s">
        <v>750</v>
      </c>
      <c r="AE95" s="121" t="s">
        <v>238</v>
      </c>
      <c r="AF95" s="71" t="s">
        <v>8</v>
      </c>
      <c r="AG95" s="19"/>
      <c r="AH95" s="19"/>
      <c r="AI95" s="19"/>
      <c r="AJ95" s="13">
        <v>1</v>
      </c>
      <c r="AK95" s="14"/>
      <c r="AL95" s="13">
        <v>2</v>
      </c>
      <c r="AM95" s="13"/>
      <c r="AN95" s="13">
        <v>3</v>
      </c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30">
        <f t="shared" si="12"/>
        <v>1</v>
      </c>
      <c r="AZ95" s="30">
        <f t="shared" si="13"/>
        <v>3</v>
      </c>
      <c r="BA95" s="30">
        <f t="shared" si="14"/>
        <v>2</v>
      </c>
      <c r="BC95" s="31" t="s">
        <v>1004</v>
      </c>
      <c r="BD95" s="56" t="s">
        <v>792</v>
      </c>
      <c r="BE95" s="47" t="s">
        <v>377</v>
      </c>
      <c r="BF95" s="161" t="s">
        <v>240</v>
      </c>
      <c r="BG95" s="42" t="s">
        <v>8</v>
      </c>
      <c r="BH95" s="4"/>
      <c r="BI95" s="4"/>
      <c r="BJ95" s="4"/>
      <c r="BK95" s="4"/>
      <c r="BL95" s="5"/>
      <c r="BM95" s="5"/>
      <c r="BN95" s="4"/>
      <c r="BO95" s="4"/>
      <c r="BP95" s="4"/>
      <c r="BQ95" s="13"/>
      <c r="BR95" s="13">
        <v>2</v>
      </c>
      <c r="BS95" s="13"/>
      <c r="BT95" s="13"/>
      <c r="BU95" s="13">
        <v>1</v>
      </c>
      <c r="BV95" s="13"/>
      <c r="BW95" s="4"/>
      <c r="BX95" s="4">
        <v>1</v>
      </c>
      <c r="BY95" s="4"/>
      <c r="BZ95" s="30">
        <f t="shared" si="15"/>
        <v>0</v>
      </c>
      <c r="CA95" s="30">
        <f t="shared" si="16"/>
        <v>4</v>
      </c>
      <c r="CB95" s="30">
        <f t="shared" si="17"/>
        <v>0</v>
      </c>
    </row>
    <row r="96" spans="1:80" ht="15.5" x14ac:dyDescent="0.35">
      <c r="A96" s="31" t="s">
        <v>32</v>
      </c>
      <c r="B96" s="56" t="s">
        <v>641</v>
      </c>
      <c r="C96" s="36" t="s">
        <v>256</v>
      </c>
      <c r="D96" s="127" t="s">
        <v>231</v>
      </c>
      <c r="E96" s="35" t="s">
        <v>6</v>
      </c>
      <c r="F96" s="3"/>
      <c r="G96" s="3"/>
      <c r="H96" s="3"/>
      <c r="I96" s="4"/>
      <c r="J96" s="4">
        <v>2</v>
      </c>
      <c r="K96" s="5">
        <v>3</v>
      </c>
      <c r="L96" s="4"/>
      <c r="M96" s="4">
        <v>2</v>
      </c>
      <c r="N96" s="4">
        <v>2</v>
      </c>
      <c r="O96" s="13">
        <v>1</v>
      </c>
      <c r="P96" s="4">
        <v>2</v>
      </c>
      <c r="Q96" s="4">
        <v>1</v>
      </c>
      <c r="R96" s="4"/>
      <c r="S96" s="4">
        <v>5</v>
      </c>
      <c r="T96" s="4">
        <v>1</v>
      </c>
      <c r="U96" s="4"/>
      <c r="V96" s="4"/>
      <c r="W96" s="4"/>
      <c r="X96" s="30">
        <f t="shared" si="9"/>
        <v>1</v>
      </c>
      <c r="Y96" s="30">
        <f t="shared" si="10"/>
        <v>11</v>
      </c>
      <c r="Z96" s="30">
        <f t="shared" si="11"/>
        <v>7</v>
      </c>
      <c r="AB96" s="31" t="s">
        <v>971</v>
      </c>
      <c r="AC96" s="56" t="s">
        <v>757</v>
      </c>
      <c r="AD96" s="41" t="s">
        <v>347</v>
      </c>
      <c r="AE96" s="141" t="s">
        <v>239</v>
      </c>
      <c r="AF96" s="42" t="s">
        <v>6</v>
      </c>
      <c r="AG96" s="19"/>
      <c r="AH96" s="19">
        <v>2</v>
      </c>
      <c r="AI96" s="19"/>
      <c r="AJ96" s="13"/>
      <c r="AK96" s="13"/>
      <c r="AL96" s="14"/>
      <c r="AM96" s="13"/>
      <c r="AN96" s="13"/>
      <c r="AO96" s="13"/>
      <c r="AP96" s="13">
        <v>2</v>
      </c>
      <c r="AQ96" s="13"/>
      <c r="AR96" s="13"/>
      <c r="AS96" s="13"/>
      <c r="AT96" s="13">
        <v>1</v>
      </c>
      <c r="AU96" s="13"/>
      <c r="AV96" s="13"/>
      <c r="AW96" s="13"/>
      <c r="AX96" s="13"/>
      <c r="AY96" s="30">
        <f t="shared" si="12"/>
        <v>2</v>
      </c>
      <c r="AZ96" s="30">
        <f t="shared" si="13"/>
        <v>3</v>
      </c>
      <c r="BA96" s="30">
        <f t="shared" si="14"/>
        <v>0</v>
      </c>
      <c r="BC96" s="31" t="s">
        <v>1005</v>
      </c>
      <c r="BD96" s="56" t="s">
        <v>793</v>
      </c>
      <c r="BE96" s="47" t="s">
        <v>378</v>
      </c>
      <c r="BF96" s="161" t="s">
        <v>240</v>
      </c>
      <c r="BG96" s="42" t="s">
        <v>6</v>
      </c>
      <c r="BH96" s="4"/>
      <c r="BI96" s="4"/>
      <c r="BJ96" s="4"/>
      <c r="BK96" s="4"/>
      <c r="BL96" s="5">
        <v>1</v>
      </c>
      <c r="BM96" s="5"/>
      <c r="BN96" s="4"/>
      <c r="BO96" s="4"/>
      <c r="BP96" s="4"/>
      <c r="BQ96" s="13"/>
      <c r="BR96" s="13"/>
      <c r="BS96" s="13"/>
      <c r="BT96" s="13"/>
      <c r="BU96" s="13"/>
      <c r="BV96" s="13"/>
      <c r="BW96" s="4"/>
      <c r="BX96" s="4"/>
      <c r="BY96" s="4"/>
      <c r="BZ96" s="30">
        <f t="shared" si="15"/>
        <v>0</v>
      </c>
      <c r="CA96" s="30">
        <f t="shared" si="16"/>
        <v>1</v>
      </c>
      <c r="CB96" s="30">
        <f t="shared" si="17"/>
        <v>0</v>
      </c>
    </row>
    <row r="97" spans="1:80" ht="15.5" x14ac:dyDescent="0.35">
      <c r="A97" s="31" t="s">
        <v>34</v>
      </c>
      <c r="B97" s="67" t="s">
        <v>643</v>
      </c>
      <c r="C97" s="56" t="s">
        <v>644</v>
      </c>
      <c r="D97" s="127" t="s">
        <v>231</v>
      </c>
      <c r="E97" s="68" t="s">
        <v>6</v>
      </c>
      <c r="F97" s="3">
        <v>1</v>
      </c>
      <c r="G97" s="3"/>
      <c r="H97" s="3"/>
      <c r="I97" s="4"/>
      <c r="J97" s="5"/>
      <c r="K97" s="4">
        <v>2</v>
      </c>
      <c r="L97" s="4"/>
      <c r="M97" s="4">
        <v>2</v>
      </c>
      <c r="N97" s="4">
        <v>1</v>
      </c>
      <c r="O97" s="13"/>
      <c r="P97" s="4"/>
      <c r="Q97" s="4">
        <v>1</v>
      </c>
      <c r="R97" s="4"/>
      <c r="S97" s="4">
        <v>2</v>
      </c>
      <c r="T97" s="4">
        <v>3</v>
      </c>
      <c r="U97" s="4"/>
      <c r="V97" s="4">
        <v>2</v>
      </c>
      <c r="W97" s="4">
        <v>1</v>
      </c>
      <c r="X97" s="30">
        <f t="shared" si="9"/>
        <v>1</v>
      </c>
      <c r="Y97" s="30">
        <f t="shared" si="10"/>
        <v>6</v>
      </c>
      <c r="Z97" s="30">
        <f t="shared" si="11"/>
        <v>8</v>
      </c>
      <c r="AB97" s="31" t="s">
        <v>975</v>
      </c>
      <c r="AC97" s="56" t="s">
        <v>761</v>
      </c>
      <c r="AD97" s="47" t="s">
        <v>762</v>
      </c>
      <c r="AE97" s="141" t="s">
        <v>239</v>
      </c>
      <c r="AF97" s="42" t="s">
        <v>6</v>
      </c>
      <c r="AG97" s="19"/>
      <c r="AH97" s="13"/>
      <c r="AI97" s="13"/>
      <c r="AJ97" s="13">
        <v>4</v>
      </c>
      <c r="AK97" s="14">
        <v>1</v>
      </c>
      <c r="AL97" s="13"/>
      <c r="AM97" s="13"/>
      <c r="AN97" s="13"/>
      <c r="AO97" s="13"/>
      <c r="AP97" s="13"/>
      <c r="AQ97" s="13"/>
      <c r="AR97" s="13"/>
      <c r="AS97" s="13"/>
      <c r="AT97" s="13">
        <v>2</v>
      </c>
      <c r="AU97" s="13"/>
      <c r="AV97" s="13"/>
      <c r="AW97" s="13"/>
      <c r="AX97" s="13"/>
      <c r="AY97" s="30">
        <f t="shared" si="12"/>
        <v>4</v>
      </c>
      <c r="AZ97" s="30">
        <f t="shared" si="13"/>
        <v>3</v>
      </c>
      <c r="BA97" s="30">
        <f t="shared" si="14"/>
        <v>0</v>
      </c>
      <c r="BC97" s="31" t="s">
        <v>1006</v>
      </c>
      <c r="BD97" s="56" t="s">
        <v>794</v>
      </c>
      <c r="BE97" s="47" t="s">
        <v>379</v>
      </c>
      <c r="BF97" s="161" t="s">
        <v>240</v>
      </c>
      <c r="BG97" s="42" t="s">
        <v>8</v>
      </c>
      <c r="BH97" s="4"/>
      <c r="BI97" s="4"/>
      <c r="BJ97" s="4"/>
      <c r="BK97" s="4"/>
      <c r="BL97" s="4">
        <v>1</v>
      </c>
      <c r="BM97" s="5"/>
      <c r="BN97" s="4"/>
      <c r="BO97" s="4"/>
      <c r="BP97" s="4"/>
      <c r="BQ97" s="13"/>
      <c r="BR97" s="13">
        <v>1</v>
      </c>
      <c r="BS97" s="13"/>
      <c r="BT97" s="13"/>
      <c r="BU97" s="13">
        <v>2</v>
      </c>
      <c r="BV97" s="13"/>
      <c r="BW97" s="4"/>
      <c r="BX97" s="4"/>
      <c r="BY97" s="4"/>
      <c r="BZ97" s="30">
        <f t="shared" si="15"/>
        <v>0</v>
      </c>
      <c r="CA97" s="30">
        <f t="shared" si="16"/>
        <v>4</v>
      </c>
      <c r="CB97" s="30">
        <f t="shared" si="17"/>
        <v>0</v>
      </c>
    </row>
    <row r="98" spans="1:80" ht="15.5" x14ac:dyDescent="0.35">
      <c r="A98" s="31" t="s">
        <v>124</v>
      </c>
      <c r="B98" s="56" t="s">
        <v>667</v>
      </c>
      <c r="C98" s="47" t="s">
        <v>274</v>
      </c>
      <c r="D98" s="127" t="s">
        <v>236</v>
      </c>
      <c r="E98" s="35" t="s">
        <v>6</v>
      </c>
      <c r="F98" s="3"/>
      <c r="G98" s="4">
        <v>2</v>
      </c>
      <c r="H98" s="3"/>
      <c r="I98" s="5"/>
      <c r="J98" s="4">
        <v>2</v>
      </c>
      <c r="K98" s="5"/>
      <c r="L98" s="4"/>
      <c r="M98" s="4">
        <v>1</v>
      </c>
      <c r="N98" s="4"/>
      <c r="O98" s="13"/>
      <c r="P98" s="14"/>
      <c r="Q98" s="13"/>
      <c r="R98" s="13"/>
      <c r="S98" s="14">
        <v>3</v>
      </c>
      <c r="T98" s="13">
        <v>1</v>
      </c>
      <c r="U98" s="4">
        <v>1</v>
      </c>
      <c r="V98" s="5"/>
      <c r="W98" s="4">
        <v>1</v>
      </c>
      <c r="X98" s="30">
        <f t="shared" si="9"/>
        <v>1</v>
      </c>
      <c r="Y98" s="30">
        <f t="shared" si="10"/>
        <v>8</v>
      </c>
      <c r="Z98" s="30">
        <f t="shared" si="11"/>
        <v>2</v>
      </c>
      <c r="AB98" s="31" t="s">
        <v>978</v>
      </c>
      <c r="AC98" s="56" t="s">
        <v>766</v>
      </c>
      <c r="AD98" s="58" t="s">
        <v>352</v>
      </c>
      <c r="AE98" s="141" t="s">
        <v>239</v>
      </c>
      <c r="AF98" s="42" t="s">
        <v>6</v>
      </c>
      <c r="AG98" s="19"/>
      <c r="AH98" s="13"/>
      <c r="AI98" s="13"/>
      <c r="AJ98" s="13">
        <v>1</v>
      </c>
      <c r="AK98" s="14">
        <v>2</v>
      </c>
      <c r="AL98" s="13"/>
      <c r="AM98" s="13">
        <v>1</v>
      </c>
      <c r="AN98" s="13"/>
      <c r="AO98" s="13"/>
      <c r="AP98" s="13"/>
      <c r="AQ98" s="13"/>
      <c r="AR98" s="13"/>
      <c r="AS98" s="13"/>
      <c r="AT98" s="13">
        <v>1</v>
      </c>
      <c r="AU98" s="13"/>
      <c r="AV98" s="13"/>
      <c r="AW98" s="13"/>
      <c r="AX98" s="13"/>
      <c r="AY98" s="30">
        <f t="shared" si="12"/>
        <v>2</v>
      </c>
      <c r="AZ98" s="30">
        <f t="shared" si="13"/>
        <v>3</v>
      </c>
      <c r="BA98" s="30">
        <f t="shared" si="14"/>
        <v>0</v>
      </c>
      <c r="BC98" s="31" t="s">
        <v>1007</v>
      </c>
      <c r="BD98" s="56" t="s">
        <v>795</v>
      </c>
      <c r="BE98" s="47" t="s">
        <v>380</v>
      </c>
      <c r="BF98" s="161" t="s">
        <v>240</v>
      </c>
      <c r="BG98" s="42" t="s">
        <v>8</v>
      </c>
      <c r="BH98" s="4"/>
      <c r="BI98" s="4"/>
      <c r="BJ98" s="5"/>
      <c r="BK98" s="5">
        <v>1</v>
      </c>
      <c r="BL98" s="5">
        <v>2</v>
      </c>
      <c r="BM98" s="5"/>
      <c r="BN98" s="4"/>
      <c r="BO98" s="4">
        <v>2</v>
      </c>
      <c r="BP98" s="4"/>
      <c r="BQ98" s="13">
        <v>1</v>
      </c>
      <c r="BR98" s="13">
        <v>1</v>
      </c>
      <c r="BS98" s="13"/>
      <c r="BT98" s="13"/>
      <c r="BU98" s="13">
        <v>1</v>
      </c>
      <c r="BV98" s="13"/>
      <c r="BW98" s="4"/>
      <c r="BX98" s="4"/>
      <c r="BY98" s="4"/>
      <c r="BZ98" s="30">
        <f t="shared" si="15"/>
        <v>2</v>
      </c>
      <c r="CA98" s="30">
        <f t="shared" si="16"/>
        <v>6</v>
      </c>
      <c r="CB98" s="30">
        <f t="shared" si="17"/>
        <v>0</v>
      </c>
    </row>
    <row r="99" spans="1:80" ht="15.5" x14ac:dyDescent="0.35">
      <c r="A99" s="31" t="s">
        <v>126</v>
      </c>
      <c r="B99" s="56" t="s">
        <v>669</v>
      </c>
      <c r="C99" s="36" t="s">
        <v>276</v>
      </c>
      <c r="D99" s="127" t="s">
        <v>236</v>
      </c>
      <c r="E99" s="35" t="s">
        <v>6</v>
      </c>
      <c r="F99" s="3"/>
      <c r="G99" s="4"/>
      <c r="H99" s="3"/>
      <c r="I99" s="5"/>
      <c r="J99" s="4"/>
      <c r="K99" s="5"/>
      <c r="L99" s="4"/>
      <c r="M99" s="4"/>
      <c r="N99" s="4"/>
      <c r="O99" s="13"/>
      <c r="P99" s="14"/>
      <c r="Q99" s="13"/>
      <c r="R99" s="13">
        <v>1</v>
      </c>
      <c r="S99" s="14">
        <v>2</v>
      </c>
      <c r="T99" s="13"/>
      <c r="U99" s="4"/>
      <c r="V99" s="5">
        <v>1</v>
      </c>
      <c r="W99" s="4">
        <v>2</v>
      </c>
      <c r="X99" s="30">
        <f t="shared" si="9"/>
        <v>1</v>
      </c>
      <c r="Y99" s="30">
        <f t="shared" si="10"/>
        <v>3</v>
      </c>
      <c r="Z99" s="30">
        <f t="shared" si="11"/>
        <v>2</v>
      </c>
      <c r="AB99" s="31" t="s">
        <v>979</v>
      </c>
      <c r="AC99" s="56" t="s">
        <v>767</v>
      </c>
      <c r="AD99" s="47" t="s">
        <v>353</v>
      </c>
      <c r="AE99" s="141" t="s">
        <v>239</v>
      </c>
      <c r="AF99" s="42" t="s">
        <v>6</v>
      </c>
      <c r="AG99" s="27"/>
      <c r="AH99" s="15"/>
      <c r="AI99" s="15"/>
      <c r="AJ99" s="15"/>
      <c r="AK99" s="15"/>
      <c r="AL99" s="15"/>
      <c r="AM99" s="15"/>
      <c r="AN99" s="15">
        <v>1</v>
      </c>
      <c r="AO99" s="15"/>
      <c r="AP99" s="15"/>
      <c r="AQ99" s="15">
        <v>2</v>
      </c>
      <c r="AR99" s="15"/>
      <c r="AS99" s="15"/>
      <c r="AT99" s="15"/>
      <c r="AU99" s="15"/>
      <c r="AV99" s="15"/>
      <c r="AW99" s="15"/>
      <c r="AX99" s="15"/>
      <c r="AY99" s="30">
        <f t="shared" si="12"/>
        <v>0</v>
      </c>
      <c r="AZ99" s="30">
        <f t="shared" si="13"/>
        <v>3</v>
      </c>
      <c r="BA99" s="30">
        <f t="shared" si="14"/>
        <v>0</v>
      </c>
      <c r="BC99" s="31" t="s">
        <v>1008</v>
      </c>
      <c r="BD99" s="56" t="s">
        <v>796</v>
      </c>
      <c r="BE99" s="47" t="s">
        <v>381</v>
      </c>
      <c r="BF99" s="161" t="s">
        <v>240</v>
      </c>
      <c r="BG99" s="42" t="s">
        <v>6</v>
      </c>
      <c r="BH99" s="4"/>
      <c r="BI99" s="4"/>
      <c r="BJ99" s="4"/>
      <c r="BK99" s="4"/>
      <c r="BL99" s="5"/>
      <c r="BM99" s="4"/>
      <c r="BN99" s="4"/>
      <c r="BO99" s="4"/>
      <c r="BP99" s="4"/>
      <c r="BQ99" s="13"/>
      <c r="BR99" s="13"/>
      <c r="BS99" s="13"/>
      <c r="BT99" s="13"/>
      <c r="BU99" s="13"/>
      <c r="BV99" s="13"/>
      <c r="BW99" s="4"/>
      <c r="BX99" s="4"/>
      <c r="BY99" s="4"/>
      <c r="BZ99" s="30">
        <f t="shared" si="15"/>
        <v>0</v>
      </c>
      <c r="CA99" s="30">
        <f t="shared" si="16"/>
        <v>0</v>
      </c>
      <c r="CB99" s="30">
        <f t="shared" si="17"/>
        <v>0</v>
      </c>
    </row>
    <row r="100" spans="1:80" ht="15.5" x14ac:dyDescent="0.35">
      <c r="A100" s="31" t="s">
        <v>893</v>
      </c>
      <c r="B100" s="56" t="s">
        <v>671</v>
      </c>
      <c r="C100" s="36" t="s">
        <v>278</v>
      </c>
      <c r="D100" s="127" t="s">
        <v>236</v>
      </c>
      <c r="E100" s="35" t="s">
        <v>6</v>
      </c>
      <c r="F100" s="3"/>
      <c r="G100" s="4"/>
      <c r="H100" s="3"/>
      <c r="I100" s="5">
        <v>1</v>
      </c>
      <c r="J100" s="4"/>
      <c r="K100" s="5"/>
      <c r="L100" s="4"/>
      <c r="M100" s="4"/>
      <c r="N100" s="4"/>
      <c r="O100" s="13"/>
      <c r="P100" s="14"/>
      <c r="Q100" s="13"/>
      <c r="R100" s="13"/>
      <c r="S100" s="14">
        <v>1</v>
      </c>
      <c r="T100" s="13"/>
      <c r="U100" s="4"/>
      <c r="V100" s="5"/>
      <c r="W100" s="4"/>
      <c r="X100" s="30">
        <f t="shared" si="9"/>
        <v>1</v>
      </c>
      <c r="Y100" s="30">
        <f t="shared" si="10"/>
        <v>1</v>
      </c>
      <c r="Z100" s="30">
        <f t="shared" si="11"/>
        <v>0</v>
      </c>
      <c r="AB100" s="31" t="s">
        <v>984</v>
      </c>
      <c r="AC100" s="56" t="s">
        <v>772</v>
      </c>
      <c r="AD100" s="58" t="s">
        <v>358</v>
      </c>
      <c r="AE100" s="141" t="s">
        <v>239</v>
      </c>
      <c r="AF100" s="42" t="s">
        <v>8</v>
      </c>
      <c r="AG100" s="19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>
        <v>1</v>
      </c>
      <c r="AR100" s="13"/>
      <c r="AS100" s="13"/>
      <c r="AT100" s="13">
        <v>2</v>
      </c>
      <c r="AU100" s="13"/>
      <c r="AV100" s="13"/>
      <c r="AW100" s="13"/>
      <c r="AX100" s="13"/>
      <c r="AY100" s="30">
        <f t="shared" si="12"/>
        <v>0</v>
      </c>
      <c r="AZ100" s="30">
        <f t="shared" si="13"/>
        <v>3</v>
      </c>
      <c r="BA100" s="30">
        <f t="shared" si="14"/>
        <v>0</v>
      </c>
      <c r="BC100" s="31" t="s">
        <v>1010</v>
      </c>
      <c r="BD100" s="56" t="s">
        <v>798</v>
      </c>
      <c r="BE100" s="47" t="s">
        <v>383</v>
      </c>
      <c r="BF100" s="161" t="s">
        <v>240</v>
      </c>
      <c r="BG100" s="42" t="s">
        <v>8</v>
      </c>
      <c r="BH100" s="4"/>
      <c r="BI100" s="4"/>
      <c r="BJ100" s="4"/>
      <c r="BK100" s="4"/>
      <c r="BL100" s="4">
        <v>1</v>
      </c>
      <c r="BM100" s="4"/>
      <c r="BN100" s="4"/>
      <c r="BO100" s="4"/>
      <c r="BP100" s="4"/>
      <c r="BQ100" s="13"/>
      <c r="BR100" s="13">
        <v>1</v>
      </c>
      <c r="BS100" s="13"/>
      <c r="BT100" s="13"/>
      <c r="BU100" s="13"/>
      <c r="BV100" s="13"/>
      <c r="BW100" s="4"/>
      <c r="BX100" s="4"/>
      <c r="BY100" s="4"/>
      <c r="BZ100" s="30">
        <f t="shared" si="15"/>
        <v>0</v>
      </c>
      <c r="CA100" s="30">
        <f t="shared" si="16"/>
        <v>2</v>
      </c>
      <c r="CB100" s="30">
        <f t="shared" si="17"/>
        <v>0</v>
      </c>
    </row>
    <row r="101" spans="1:80" ht="15.5" x14ac:dyDescent="0.35">
      <c r="A101" s="31" t="s">
        <v>890</v>
      </c>
      <c r="B101" s="56" t="s">
        <v>672</v>
      </c>
      <c r="C101" s="43" t="s">
        <v>279</v>
      </c>
      <c r="D101" s="127" t="s">
        <v>236</v>
      </c>
      <c r="E101" s="35" t="s">
        <v>6</v>
      </c>
      <c r="F101" s="3"/>
      <c r="G101" s="4"/>
      <c r="H101" s="3">
        <v>1</v>
      </c>
      <c r="I101" s="5"/>
      <c r="J101" s="4">
        <v>4</v>
      </c>
      <c r="K101" s="5">
        <v>2</v>
      </c>
      <c r="L101" s="4">
        <v>1</v>
      </c>
      <c r="M101" s="4">
        <v>1</v>
      </c>
      <c r="N101" s="4">
        <v>2</v>
      </c>
      <c r="O101" s="13"/>
      <c r="P101" s="14">
        <v>2</v>
      </c>
      <c r="Q101" s="13">
        <v>4</v>
      </c>
      <c r="R101" s="13"/>
      <c r="S101" s="14">
        <v>3</v>
      </c>
      <c r="T101" s="13"/>
      <c r="U101" s="4"/>
      <c r="V101" s="5"/>
      <c r="W101" s="4">
        <v>2</v>
      </c>
      <c r="X101" s="30">
        <f t="shared" si="9"/>
        <v>1</v>
      </c>
      <c r="Y101" s="30">
        <f t="shared" si="10"/>
        <v>10</v>
      </c>
      <c r="Z101" s="30">
        <f t="shared" si="11"/>
        <v>11</v>
      </c>
      <c r="AB101" s="31" t="s">
        <v>997</v>
      </c>
      <c r="AC101" s="56" t="s">
        <v>785</v>
      </c>
      <c r="AD101" s="34" t="s">
        <v>308</v>
      </c>
      <c r="AE101" s="141" t="s">
        <v>239</v>
      </c>
      <c r="AF101" s="35" t="s">
        <v>6</v>
      </c>
      <c r="AG101" s="19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>
        <v>1</v>
      </c>
      <c r="AR101" s="13"/>
      <c r="AS101" s="13">
        <v>1</v>
      </c>
      <c r="AT101" s="13">
        <v>2</v>
      </c>
      <c r="AU101" s="13"/>
      <c r="AV101" s="13"/>
      <c r="AW101" s="13"/>
      <c r="AX101" s="13"/>
      <c r="AY101" s="30">
        <f t="shared" si="12"/>
        <v>1</v>
      </c>
      <c r="AZ101" s="30">
        <f t="shared" si="13"/>
        <v>3</v>
      </c>
      <c r="BA101" s="30">
        <f t="shared" si="14"/>
        <v>0</v>
      </c>
      <c r="BC101" s="31" t="s">
        <v>1011</v>
      </c>
      <c r="BD101" s="56" t="s">
        <v>799</v>
      </c>
      <c r="BE101" s="58" t="s">
        <v>384</v>
      </c>
      <c r="BF101" s="161" t="s">
        <v>240</v>
      </c>
      <c r="BG101" s="42" t="s">
        <v>8</v>
      </c>
      <c r="BH101" s="4"/>
      <c r="BI101" s="4"/>
      <c r="BJ101" s="4"/>
      <c r="BK101" s="4"/>
      <c r="BL101" s="5">
        <v>1</v>
      </c>
      <c r="BM101" s="5"/>
      <c r="BN101" s="4">
        <v>1</v>
      </c>
      <c r="BO101" s="4">
        <v>1</v>
      </c>
      <c r="BP101" s="4"/>
      <c r="BQ101" s="13"/>
      <c r="BR101" s="13"/>
      <c r="BS101" s="13"/>
      <c r="BT101" s="13">
        <v>1</v>
      </c>
      <c r="BU101" s="13">
        <v>1</v>
      </c>
      <c r="BV101" s="13"/>
      <c r="BW101" s="4"/>
      <c r="BX101" s="4"/>
      <c r="BY101" s="4"/>
      <c r="BZ101" s="30">
        <f t="shared" si="15"/>
        <v>2</v>
      </c>
      <c r="CA101" s="30">
        <f t="shared" si="16"/>
        <v>3</v>
      </c>
      <c r="CB101" s="30">
        <f t="shared" si="17"/>
        <v>0</v>
      </c>
    </row>
    <row r="102" spans="1:80" ht="15.5" x14ac:dyDescent="0.35">
      <c r="A102" s="31" t="s">
        <v>900</v>
      </c>
      <c r="B102" s="56" t="s">
        <v>676</v>
      </c>
      <c r="C102" s="45" t="s">
        <v>283</v>
      </c>
      <c r="D102" s="127" t="s">
        <v>236</v>
      </c>
      <c r="E102" s="35" t="s">
        <v>6</v>
      </c>
      <c r="F102" s="3"/>
      <c r="G102" s="4">
        <v>1</v>
      </c>
      <c r="H102" s="3"/>
      <c r="I102" s="5"/>
      <c r="J102" s="4">
        <v>2</v>
      </c>
      <c r="K102" s="5"/>
      <c r="L102" s="4">
        <v>1</v>
      </c>
      <c r="M102" s="4">
        <v>2</v>
      </c>
      <c r="N102" s="4"/>
      <c r="O102" s="13"/>
      <c r="P102" s="14">
        <v>1</v>
      </c>
      <c r="Q102" s="13"/>
      <c r="R102" s="13"/>
      <c r="S102" s="14"/>
      <c r="T102" s="13"/>
      <c r="U102" s="4"/>
      <c r="V102" s="5"/>
      <c r="W102" s="4"/>
      <c r="X102" s="30">
        <f t="shared" si="9"/>
        <v>1</v>
      </c>
      <c r="Y102" s="30">
        <f t="shared" si="10"/>
        <v>6</v>
      </c>
      <c r="Z102" s="30">
        <f t="shared" si="11"/>
        <v>0</v>
      </c>
      <c r="AB102" s="31" t="s">
        <v>1000</v>
      </c>
      <c r="AC102" s="56" t="s">
        <v>788</v>
      </c>
      <c r="AD102" s="58" t="s">
        <v>373</v>
      </c>
      <c r="AE102" s="161" t="s">
        <v>240</v>
      </c>
      <c r="AF102" s="42" t="s">
        <v>6</v>
      </c>
      <c r="AG102" s="4"/>
      <c r="AH102" s="4"/>
      <c r="AI102" s="4"/>
      <c r="AJ102" s="4"/>
      <c r="AK102" s="5"/>
      <c r="AL102" s="4"/>
      <c r="AM102" s="4"/>
      <c r="AN102" s="4">
        <v>2</v>
      </c>
      <c r="AO102" s="4"/>
      <c r="AP102" s="13"/>
      <c r="AQ102" s="13"/>
      <c r="AR102" s="13"/>
      <c r="AS102" s="13">
        <v>1</v>
      </c>
      <c r="AT102" s="13">
        <v>1</v>
      </c>
      <c r="AU102" s="13"/>
      <c r="AV102" s="4"/>
      <c r="AW102" s="4"/>
      <c r="AX102" s="4"/>
      <c r="AY102" s="30">
        <f t="shared" si="12"/>
        <v>1</v>
      </c>
      <c r="AZ102" s="30">
        <f t="shared" si="13"/>
        <v>3</v>
      </c>
      <c r="BA102" s="30">
        <f t="shared" si="14"/>
        <v>0</v>
      </c>
      <c r="BC102" s="31" t="s">
        <v>1013</v>
      </c>
      <c r="BD102" s="56" t="s">
        <v>801</v>
      </c>
      <c r="BE102" s="58" t="s">
        <v>386</v>
      </c>
      <c r="BF102" s="161" t="s">
        <v>240</v>
      </c>
      <c r="BG102" s="42" t="s">
        <v>8</v>
      </c>
      <c r="BH102" s="4"/>
      <c r="BI102" s="4">
        <v>2</v>
      </c>
      <c r="BJ102" s="4"/>
      <c r="BK102" s="4">
        <v>1</v>
      </c>
      <c r="BL102" s="5">
        <v>3</v>
      </c>
      <c r="BM102" s="4"/>
      <c r="BN102" s="4"/>
      <c r="BO102" s="4">
        <v>3</v>
      </c>
      <c r="BP102" s="4"/>
      <c r="BQ102" s="13"/>
      <c r="BR102" s="13">
        <v>3</v>
      </c>
      <c r="BS102" s="13"/>
      <c r="BT102" s="13"/>
      <c r="BU102" s="13">
        <v>1</v>
      </c>
      <c r="BV102" s="13"/>
      <c r="BW102" s="4"/>
      <c r="BX102" s="4">
        <v>1</v>
      </c>
      <c r="BY102" s="4"/>
      <c r="BZ102" s="30">
        <f t="shared" si="15"/>
        <v>1</v>
      </c>
      <c r="CA102" s="30">
        <f t="shared" si="16"/>
        <v>13</v>
      </c>
      <c r="CB102" s="30">
        <f t="shared" si="17"/>
        <v>0</v>
      </c>
    </row>
    <row r="103" spans="1:80" ht="15.5" x14ac:dyDescent="0.35">
      <c r="A103" s="31" t="s">
        <v>907</v>
      </c>
      <c r="B103" s="56" t="s">
        <v>684</v>
      </c>
      <c r="C103" s="45" t="s">
        <v>685</v>
      </c>
      <c r="D103" s="127" t="s">
        <v>237</v>
      </c>
      <c r="E103" s="35" t="s">
        <v>6</v>
      </c>
      <c r="F103" s="3"/>
      <c r="G103" s="3"/>
      <c r="H103" s="3"/>
      <c r="I103" s="5"/>
      <c r="J103" s="5">
        <v>1</v>
      </c>
      <c r="K103" s="4"/>
      <c r="L103" s="4"/>
      <c r="M103" s="5"/>
      <c r="N103" s="4"/>
      <c r="O103" s="13">
        <v>1</v>
      </c>
      <c r="P103" s="5">
        <v>1</v>
      </c>
      <c r="Q103" s="4"/>
      <c r="R103" s="13"/>
      <c r="S103" s="14">
        <v>1</v>
      </c>
      <c r="T103" s="13"/>
      <c r="U103" s="4"/>
      <c r="V103" s="5">
        <v>1</v>
      </c>
      <c r="W103" s="4"/>
      <c r="X103" s="30">
        <f t="shared" si="9"/>
        <v>1</v>
      </c>
      <c r="Y103" s="30">
        <f t="shared" si="10"/>
        <v>4</v>
      </c>
      <c r="Z103" s="30">
        <f t="shared" si="11"/>
        <v>0</v>
      </c>
      <c r="AB103" s="31" t="s">
        <v>1002</v>
      </c>
      <c r="AC103" s="56" t="s">
        <v>790</v>
      </c>
      <c r="AD103" s="47" t="s">
        <v>375</v>
      </c>
      <c r="AE103" s="161" t="s">
        <v>240</v>
      </c>
      <c r="AF103" s="42" t="s">
        <v>6</v>
      </c>
      <c r="AG103" s="4"/>
      <c r="AH103" s="4"/>
      <c r="AI103" s="4"/>
      <c r="AJ103" s="4"/>
      <c r="AK103" s="5">
        <v>2</v>
      </c>
      <c r="AL103" s="4">
        <v>2</v>
      </c>
      <c r="AM103" s="4"/>
      <c r="AN103" s="4"/>
      <c r="AO103" s="4"/>
      <c r="AP103" s="13"/>
      <c r="AQ103" s="13"/>
      <c r="AR103" s="13"/>
      <c r="AS103" s="13"/>
      <c r="AT103" s="13">
        <v>1</v>
      </c>
      <c r="AU103" s="13"/>
      <c r="AV103" s="4"/>
      <c r="AW103" s="4"/>
      <c r="AX103" s="4"/>
      <c r="AY103" s="30">
        <f t="shared" si="12"/>
        <v>0</v>
      </c>
      <c r="AZ103" s="30">
        <f t="shared" si="13"/>
        <v>3</v>
      </c>
      <c r="BA103" s="30">
        <f t="shared" si="14"/>
        <v>2</v>
      </c>
      <c r="BC103" s="31" t="s">
        <v>1014</v>
      </c>
      <c r="BD103" s="56" t="s">
        <v>802</v>
      </c>
      <c r="BE103" s="47" t="s">
        <v>387</v>
      </c>
      <c r="BF103" s="161" t="s">
        <v>240</v>
      </c>
      <c r="BG103" s="42" t="s">
        <v>6</v>
      </c>
      <c r="BH103" s="4">
        <v>1</v>
      </c>
      <c r="BI103" s="5"/>
      <c r="BJ103" s="4"/>
      <c r="BK103" s="4"/>
      <c r="BL103" s="4"/>
      <c r="BM103" s="4"/>
      <c r="BN103" s="4"/>
      <c r="BO103" s="4"/>
      <c r="BP103" s="4"/>
      <c r="BQ103" s="13"/>
      <c r="BR103" s="13"/>
      <c r="BS103" s="13"/>
      <c r="BT103" s="13"/>
      <c r="BU103" s="13"/>
      <c r="BV103" s="13"/>
      <c r="BW103" s="4"/>
      <c r="BX103" s="4"/>
      <c r="BY103" s="4"/>
      <c r="BZ103" s="30">
        <f t="shared" si="15"/>
        <v>1</v>
      </c>
      <c r="CA103" s="30">
        <f t="shared" si="16"/>
        <v>0</v>
      </c>
      <c r="CB103" s="30">
        <f t="shared" si="17"/>
        <v>0</v>
      </c>
    </row>
    <row r="104" spans="1:80" ht="15.5" x14ac:dyDescent="0.35">
      <c r="A104" s="31" t="s">
        <v>911</v>
      </c>
      <c r="B104" s="56" t="s">
        <v>689</v>
      </c>
      <c r="C104" s="36" t="s">
        <v>291</v>
      </c>
      <c r="D104" s="127" t="s">
        <v>237</v>
      </c>
      <c r="E104" s="35" t="s">
        <v>6</v>
      </c>
      <c r="F104" s="3"/>
      <c r="G104" s="3">
        <v>1</v>
      </c>
      <c r="H104" s="3"/>
      <c r="I104" s="5"/>
      <c r="J104" s="5">
        <v>3</v>
      </c>
      <c r="K104" s="4"/>
      <c r="L104" s="4"/>
      <c r="M104" s="5">
        <v>1</v>
      </c>
      <c r="N104" s="4"/>
      <c r="O104" s="13"/>
      <c r="P104" s="5"/>
      <c r="Q104" s="4"/>
      <c r="R104" s="13"/>
      <c r="S104" s="14">
        <v>4</v>
      </c>
      <c r="T104" s="13"/>
      <c r="U104" s="4">
        <v>1</v>
      </c>
      <c r="V104" s="5">
        <v>1</v>
      </c>
      <c r="W104" s="4"/>
      <c r="X104" s="30">
        <f t="shared" si="9"/>
        <v>1</v>
      </c>
      <c r="Y104" s="30">
        <f t="shared" si="10"/>
        <v>10</v>
      </c>
      <c r="Z104" s="30">
        <f t="shared" si="11"/>
        <v>0</v>
      </c>
      <c r="AB104" s="31" t="s">
        <v>1011</v>
      </c>
      <c r="AC104" s="56" t="s">
        <v>799</v>
      </c>
      <c r="AD104" s="58" t="s">
        <v>384</v>
      </c>
      <c r="AE104" s="161" t="s">
        <v>240</v>
      </c>
      <c r="AF104" s="42" t="s">
        <v>8</v>
      </c>
      <c r="AG104" s="4"/>
      <c r="AH104" s="4"/>
      <c r="AI104" s="4"/>
      <c r="AJ104" s="4"/>
      <c r="AK104" s="5">
        <v>1</v>
      </c>
      <c r="AL104" s="5"/>
      <c r="AM104" s="4">
        <v>1</v>
      </c>
      <c r="AN104" s="4">
        <v>1</v>
      </c>
      <c r="AO104" s="4"/>
      <c r="AP104" s="13"/>
      <c r="AQ104" s="13"/>
      <c r="AR104" s="13"/>
      <c r="AS104" s="13">
        <v>1</v>
      </c>
      <c r="AT104" s="13">
        <v>1</v>
      </c>
      <c r="AU104" s="13"/>
      <c r="AV104" s="4"/>
      <c r="AW104" s="4"/>
      <c r="AX104" s="4"/>
      <c r="AY104" s="30">
        <f t="shared" si="12"/>
        <v>2</v>
      </c>
      <c r="AZ104" s="30">
        <f t="shared" si="13"/>
        <v>3</v>
      </c>
      <c r="BA104" s="30">
        <f t="shared" si="14"/>
        <v>0</v>
      </c>
      <c r="BC104" s="31" t="s">
        <v>1016</v>
      </c>
      <c r="BD104" s="56" t="s">
        <v>804</v>
      </c>
      <c r="BE104" s="47" t="s">
        <v>389</v>
      </c>
      <c r="BF104" s="161" t="s">
        <v>240</v>
      </c>
      <c r="BG104" s="42" t="s">
        <v>6</v>
      </c>
      <c r="BH104" s="4"/>
      <c r="BI104" s="4"/>
      <c r="BJ104" s="4"/>
      <c r="BK104" s="4"/>
      <c r="BL104" s="5">
        <v>1</v>
      </c>
      <c r="BM104" s="4"/>
      <c r="BN104" s="4"/>
      <c r="BO104" s="4"/>
      <c r="BP104" s="4"/>
      <c r="BQ104" s="13"/>
      <c r="BR104" s="13"/>
      <c r="BS104" s="13"/>
      <c r="BT104" s="13"/>
      <c r="BU104" s="13">
        <v>1</v>
      </c>
      <c r="BV104" s="13"/>
      <c r="BW104" s="4"/>
      <c r="BX104" s="4">
        <v>2</v>
      </c>
      <c r="BY104" s="4"/>
      <c r="BZ104" s="30">
        <f t="shared" si="15"/>
        <v>0</v>
      </c>
      <c r="CA104" s="30">
        <f t="shared" si="16"/>
        <v>4</v>
      </c>
      <c r="CB104" s="30">
        <f t="shared" si="17"/>
        <v>0</v>
      </c>
    </row>
    <row r="105" spans="1:80" ht="15.5" x14ac:dyDescent="0.35">
      <c r="A105" s="31" t="s">
        <v>912</v>
      </c>
      <c r="B105" s="56" t="s">
        <v>690</v>
      </c>
      <c r="C105" s="36" t="s">
        <v>292</v>
      </c>
      <c r="D105" s="127" t="s">
        <v>237</v>
      </c>
      <c r="E105" s="35" t="s">
        <v>6</v>
      </c>
      <c r="F105" s="3"/>
      <c r="G105" s="3"/>
      <c r="H105" s="3"/>
      <c r="I105" s="5"/>
      <c r="J105" s="5"/>
      <c r="K105" s="4"/>
      <c r="L105" s="4"/>
      <c r="M105" s="5"/>
      <c r="N105" s="4"/>
      <c r="O105" s="13">
        <v>1</v>
      </c>
      <c r="P105" s="5"/>
      <c r="Q105" s="4"/>
      <c r="R105" s="13"/>
      <c r="S105" s="14"/>
      <c r="T105" s="13"/>
      <c r="U105" s="4"/>
      <c r="V105" s="5">
        <v>1</v>
      </c>
      <c r="W105" s="4"/>
      <c r="X105" s="30">
        <f t="shared" si="9"/>
        <v>1</v>
      </c>
      <c r="Y105" s="30">
        <f t="shared" si="10"/>
        <v>1</v>
      </c>
      <c r="Z105" s="30">
        <f t="shared" si="11"/>
        <v>0</v>
      </c>
      <c r="AB105" s="31" t="s">
        <v>1020</v>
      </c>
      <c r="AC105" s="56" t="s">
        <v>809</v>
      </c>
      <c r="AD105" s="47" t="s">
        <v>392</v>
      </c>
      <c r="AE105" s="161" t="s">
        <v>240</v>
      </c>
      <c r="AF105" s="42" t="s">
        <v>6</v>
      </c>
      <c r="AG105" s="4"/>
      <c r="AH105" s="4"/>
      <c r="AI105" s="4"/>
      <c r="AJ105" s="4"/>
      <c r="AK105" s="4">
        <v>1</v>
      </c>
      <c r="AL105" s="4"/>
      <c r="AM105" s="4"/>
      <c r="AN105" s="4"/>
      <c r="AO105" s="4"/>
      <c r="AP105" s="13"/>
      <c r="AQ105" s="13">
        <v>2</v>
      </c>
      <c r="AR105" s="13"/>
      <c r="AS105" s="13"/>
      <c r="AT105" s="13"/>
      <c r="AU105" s="13"/>
      <c r="AV105" s="4"/>
      <c r="AW105" s="4"/>
      <c r="AX105" s="4"/>
      <c r="AY105" s="30">
        <f t="shared" si="12"/>
        <v>0</v>
      </c>
      <c r="AZ105" s="30">
        <f t="shared" si="13"/>
        <v>3</v>
      </c>
      <c r="BA105" s="30">
        <f t="shared" si="14"/>
        <v>0</v>
      </c>
      <c r="BC105" s="31" t="s">
        <v>1017</v>
      </c>
      <c r="BD105" s="56" t="s">
        <v>805</v>
      </c>
      <c r="BE105" s="47" t="s">
        <v>806</v>
      </c>
      <c r="BF105" s="161" t="s">
        <v>240</v>
      </c>
      <c r="BG105" s="42" t="s">
        <v>6</v>
      </c>
      <c r="BH105" s="4"/>
      <c r="BI105" s="4"/>
      <c r="BJ105" s="4"/>
      <c r="BK105" s="4"/>
      <c r="BL105" s="5"/>
      <c r="BM105" s="4"/>
      <c r="BN105" s="4"/>
      <c r="BO105" s="4"/>
      <c r="BP105" s="4"/>
      <c r="BQ105" s="13"/>
      <c r="BR105" s="13"/>
      <c r="BS105" s="13"/>
      <c r="BT105" s="13"/>
      <c r="BU105" s="13"/>
      <c r="BV105" s="13"/>
      <c r="BW105" s="4"/>
      <c r="BX105" s="4"/>
      <c r="BY105" s="4"/>
      <c r="BZ105" s="30">
        <f t="shared" si="15"/>
        <v>0</v>
      </c>
      <c r="CA105" s="30">
        <f t="shared" si="16"/>
        <v>0</v>
      </c>
      <c r="CB105" s="30">
        <f t="shared" si="17"/>
        <v>0</v>
      </c>
    </row>
    <row r="106" spans="1:80" ht="15.5" x14ac:dyDescent="0.35">
      <c r="A106" s="31" t="s">
        <v>919</v>
      </c>
      <c r="B106" s="56" t="s">
        <v>698</v>
      </c>
      <c r="C106" s="70" t="s">
        <v>299</v>
      </c>
      <c r="D106" s="127" t="s">
        <v>237</v>
      </c>
      <c r="E106" s="35" t="s">
        <v>6</v>
      </c>
      <c r="F106" s="3"/>
      <c r="G106" s="3"/>
      <c r="H106" s="3"/>
      <c r="I106" s="5"/>
      <c r="J106" s="5"/>
      <c r="K106" s="4"/>
      <c r="L106" s="4"/>
      <c r="M106" s="5"/>
      <c r="N106" s="4"/>
      <c r="O106" s="13">
        <v>1</v>
      </c>
      <c r="P106" s="5">
        <v>2</v>
      </c>
      <c r="Q106" s="4"/>
      <c r="R106" s="13"/>
      <c r="S106" s="14"/>
      <c r="T106" s="13"/>
      <c r="U106" s="4"/>
      <c r="V106" s="5"/>
      <c r="W106" s="4"/>
      <c r="X106" s="30">
        <f t="shared" si="9"/>
        <v>1</v>
      </c>
      <c r="Y106" s="30">
        <f t="shared" si="10"/>
        <v>2</v>
      </c>
      <c r="Z106" s="30">
        <f t="shared" si="11"/>
        <v>0</v>
      </c>
      <c r="AB106" s="31" t="s">
        <v>1024</v>
      </c>
      <c r="AC106" s="56" t="s">
        <v>814</v>
      </c>
      <c r="AD106" s="47" t="s">
        <v>395</v>
      </c>
      <c r="AE106" s="161" t="s">
        <v>240</v>
      </c>
      <c r="AF106" s="42" t="s">
        <v>8</v>
      </c>
      <c r="AG106" s="4"/>
      <c r="AH106" s="4">
        <v>1</v>
      </c>
      <c r="AI106" s="4"/>
      <c r="AJ106" s="4"/>
      <c r="AK106" s="5">
        <v>1</v>
      </c>
      <c r="AL106" s="4"/>
      <c r="AM106" s="4"/>
      <c r="AN106" s="4"/>
      <c r="AO106" s="4"/>
      <c r="AP106" s="13"/>
      <c r="AQ106" s="13"/>
      <c r="AR106" s="13"/>
      <c r="AS106" s="13"/>
      <c r="AT106" s="13">
        <v>1</v>
      </c>
      <c r="AU106" s="13"/>
      <c r="AV106" s="4"/>
      <c r="AW106" s="4"/>
      <c r="AX106" s="4"/>
      <c r="AY106" s="30">
        <f t="shared" si="12"/>
        <v>0</v>
      </c>
      <c r="AZ106" s="30">
        <f t="shared" si="13"/>
        <v>3</v>
      </c>
      <c r="BA106" s="30">
        <f t="shared" si="14"/>
        <v>0</v>
      </c>
      <c r="BC106" s="31" t="s">
        <v>1018</v>
      </c>
      <c r="BD106" s="56" t="s">
        <v>807</v>
      </c>
      <c r="BE106" s="47" t="s">
        <v>390</v>
      </c>
      <c r="BF106" s="161" t="s">
        <v>240</v>
      </c>
      <c r="BG106" s="42" t="s">
        <v>8</v>
      </c>
      <c r="BH106" s="4"/>
      <c r="BI106" s="5"/>
      <c r="BJ106" s="4"/>
      <c r="BK106" s="5"/>
      <c r="BL106" s="4"/>
      <c r="BM106" s="5"/>
      <c r="BN106" s="4"/>
      <c r="BO106" s="4"/>
      <c r="BP106" s="4"/>
      <c r="BQ106" s="13"/>
      <c r="BR106" s="13"/>
      <c r="BS106" s="13"/>
      <c r="BT106" s="13"/>
      <c r="BU106" s="13">
        <v>1</v>
      </c>
      <c r="BV106" s="13"/>
      <c r="BW106" s="4"/>
      <c r="BX106" s="4"/>
      <c r="BY106" s="4"/>
      <c r="BZ106" s="30">
        <f t="shared" si="15"/>
        <v>0</v>
      </c>
      <c r="CA106" s="30">
        <f t="shared" si="16"/>
        <v>1</v>
      </c>
      <c r="CB106" s="30">
        <f t="shared" si="17"/>
        <v>0</v>
      </c>
    </row>
    <row r="107" spans="1:80" ht="15.5" x14ac:dyDescent="0.35">
      <c r="A107" s="31" t="s">
        <v>921</v>
      </c>
      <c r="B107" s="56" t="s">
        <v>700</v>
      </c>
      <c r="C107" s="43" t="s">
        <v>301</v>
      </c>
      <c r="D107" s="127" t="s">
        <v>237</v>
      </c>
      <c r="E107" s="35" t="s">
        <v>6</v>
      </c>
      <c r="F107" s="3"/>
      <c r="G107" s="3">
        <v>1</v>
      </c>
      <c r="H107" s="3"/>
      <c r="I107" s="5">
        <v>1</v>
      </c>
      <c r="J107" s="5">
        <v>3</v>
      </c>
      <c r="K107" s="4"/>
      <c r="L107" s="4"/>
      <c r="M107" s="5">
        <v>1</v>
      </c>
      <c r="N107" s="4"/>
      <c r="O107" s="13"/>
      <c r="P107" s="5">
        <v>1</v>
      </c>
      <c r="Q107" s="4"/>
      <c r="R107" s="13"/>
      <c r="S107" s="14">
        <v>4</v>
      </c>
      <c r="T107" s="13">
        <v>4</v>
      </c>
      <c r="U107" s="4"/>
      <c r="V107" s="5"/>
      <c r="W107" s="4"/>
      <c r="X107" s="30">
        <f t="shared" si="9"/>
        <v>1</v>
      </c>
      <c r="Y107" s="30">
        <f t="shared" si="10"/>
        <v>10</v>
      </c>
      <c r="Z107" s="30">
        <f t="shared" si="11"/>
        <v>4</v>
      </c>
      <c r="AB107" s="31" t="s">
        <v>1049</v>
      </c>
      <c r="AC107" s="56" t="s">
        <v>829</v>
      </c>
      <c r="AD107" s="47" t="s">
        <v>406</v>
      </c>
      <c r="AE107" s="142" t="s">
        <v>1039</v>
      </c>
      <c r="AF107" s="42" t="s">
        <v>8</v>
      </c>
      <c r="AG107" s="4"/>
      <c r="AH107" s="4">
        <v>1</v>
      </c>
      <c r="AI107" s="4"/>
      <c r="AJ107" s="4"/>
      <c r="AK107" s="4"/>
      <c r="AL107" s="5"/>
      <c r="AM107" s="4"/>
      <c r="AN107" s="4"/>
      <c r="AO107" s="4"/>
      <c r="AP107" s="13"/>
      <c r="AQ107" s="13"/>
      <c r="AR107" s="13"/>
      <c r="AS107" s="13"/>
      <c r="AT107" s="13"/>
      <c r="AU107" s="13"/>
      <c r="AV107" s="4"/>
      <c r="AW107" s="4">
        <v>2</v>
      </c>
      <c r="AX107" s="4"/>
      <c r="AY107" s="30">
        <f t="shared" si="12"/>
        <v>0</v>
      </c>
      <c r="AZ107" s="30">
        <f t="shared" si="13"/>
        <v>3</v>
      </c>
      <c r="BA107" s="30">
        <f t="shared" si="14"/>
        <v>0</v>
      </c>
      <c r="BC107" s="31" t="s">
        <v>1019</v>
      </c>
      <c r="BD107" s="56" t="s">
        <v>808</v>
      </c>
      <c r="BE107" s="58" t="s">
        <v>391</v>
      </c>
      <c r="BF107" s="161" t="s">
        <v>240</v>
      </c>
      <c r="BG107" s="42" t="s">
        <v>8</v>
      </c>
      <c r="BH107" s="4"/>
      <c r="BI107" s="4">
        <v>2</v>
      </c>
      <c r="BJ107" s="4"/>
      <c r="BK107" s="4">
        <v>2</v>
      </c>
      <c r="BL107" s="5">
        <v>1</v>
      </c>
      <c r="BM107" s="4"/>
      <c r="BN107" s="4">
        <v>3</v>
      </c>
      <c r="BO107" s="4"/>
      <c r="BP107" s="4"/>
      <c r="BQ107" s="13">
        <v>2</v>
      </c>
      <c r="BR107" s="13">
        <v>3</v>
      </c>
      <c r="BS107" s="13"/>
      <c r="BT107" s="13">
        <v>1</v>
      </c>
      <c r="BU107" s="13">
        <v>2</v>
      </c>
      <c r="BV107" s="13"/>
      <c r="BW107" s="4"/>
      <c r="BX107" s="4">
        <v>1</v>
      </c>
      <c r="BY107" s="4"/>
      <c r="BZ107" s="30">
        <f t="shared" si="15"/>
        <v>8</v>
      </c>
      <c r="CA107" s="30">
        <f t="shared" si="16"/>
        <v>9</v>
      </c>
      <c r="CB107" s="30">
        <f t="shared" si="17"/>
        <v>0</v>
      </c>
    </row>
    <row r="108" spans="1:80" ht="15.5" x14ac:dyDescent="0.35">
      <c r="A108" s="31" t="s">
        <v>922</v>
      </c>
      <c r="B108" s="56" t="s">
        <v>701</v>
      </c>
      <c r="C108" s="43" t="s">
        <v>302</v>
      </c>
      <c r="D108" s="127" t="s">
        <v>237</v>
      </c>
      <c r="E108" s="35" t="s">
        <v>6</v>
      </c>
      <c r="F108" s="3"/>
      <c r="G108" s="3">
        <v>1</v>
      </c>
      <c r="H108" s="3"/>
      <c r="I108" s="5"/>
      <c r="J108" s="5">
        <v>4</v>
      </c>
      <c r="K108" s="4"/>
      <c r="L108" s="4"/>
      <c r="M108" s="5"/>
      <c r="N108" s="4"/>
      <c r="O108" s="13">
        <v>1</v>
      </c>
      <c r="P108" s="5">
        <v>1</v>
      </c>
      <c r="Q108" s="4"/>
      <c r="R108" s="13"/>
      <c r="S108" s="14">
        <v>1</v>
      </c>
      <c r="T108" s="13"/>
      <c r="U108" s="4"/>
      <c r="V108" s="5"/>
      <c r="W108" s="4">
        <v>1</v>
      </c>
      <c r="X108" s="30">
        <f t="shared" si="9"/>
        <v>1</v>
      </c>
      <c r="Y108" s="30">
        <f t="shared" si="10"/>
        <v>7</v>
      </c>
      <c r="Z108" s="30">
        <f t="shared" si="11"/>
        <v>1</v>
      </c>
      <c r="AB108" s="31" t="s">
        <v>127</v>
      </c>
      <c r="AC108" s="56" t="s">
        <v>670</v>
      </c>
      <c r="AD108" s="36" t="s">
        <v>277</v>
      </c>
      <c r="AE108" s="127" t="s">
        <v>236</v>
      </c>
      <c r="AF108" s="35" t="s">
        <v>6</v>
      </c>
      <c r="AG108" s="3"/>
      <c r="AH108" s="4"/>
      <c r="AI108" s="3"/>
      <c r="AJ108" s="5"/>
      <c r="AK108" s="4">
        <v>2</v>
      </c>
      <c r="AL108" s="5"/>
      <c r="AM108" s="4"/>
      <c r="AN108" s="4"/>
      <c r="AO108" s="4"/>
      <c r="AP108" s="13"/>
      <c r="AQ108" s="14"/>
      <c r="AR108" s="13"/>
      <c r="AS108" s="13"/>
      <c r="AT108" s="14">
        <v>2</v>
      </c>
      <c r="AU108" s="13"/>
      <c r="AV108" s="4"/>
      <c r="AW108" s="5"/>
      <c r="AX108" s="4">
        <v>1</v>
      </c>
      <c r="AY108" s="30">
        <f t="shared" si="12"/>
        <v>0</v>
      </c>
      <c r="AZ108" s="30">
        <f t="shared" si="13"/>
        <v>4</v>
      </c>
      <c r="BA108" s="30">
        <f t="shared" si="14"/>
        <v>1</v>
      </c>
      <c r="BC108" s="31" t="s">
        <v>1020</v>
      </c>
      <c r="BD108" s="56" t="s">
        <v>809</v>
      </c>
      <c r="BE108" s="47" t="s">
        <v>392</v>
      </c>
      <c r="BF108" s="161" t="s">
        <v>240</v>
      </c>
      <c r="BG108" s="42" t="s">
        <v>6</v>
      </c>
      <c r="BH108" s="4"/>
      <c r="BI108" s="4"/>
      <c r="BJ108" s="4"/>
      <c r="BK108" s="4"/>
      <c r="BL108" s="4">
        <v>1</v>
      </c>
      <c r="BM108" s="4"/>
      <c r="BN108" s="4"/>
      <c r="BO108" s="4"/>
      <c r="BP108" s="4"/>
      <c r="BQ108" s="13"/>
      <c r="BR108" s="13">
        <v>2</v>
      </c>
      <c r="BS108" s="13"/>
      <c r="BT108" s="13"/>
      <c r="BU108" s="13"/>
      <c r="BV108" s="13"/>
      <c r="BW108" s="4"/>
      <c r="BX108" s="4"/>
      <c r="BY108" s="4"/>
      <c r="BZ108" s="30">
        <f t="shared" si="15"/>
        <v>0</v>
      </c>
      <c r="CA108" s="30">
        <f t="shared" si="16"/>
        <v>3</v>
      </c>
      <c r="CB108" s="30">
        <f t="shared" si="17"/>
        <v>0</v>
      </c>
    </row>
    <row r="109" spans="1:80" ht="15.5" x14ac:dyDescent="0.35">
      <c r="A109" s="31" t="s">
        <v>932</v>
      </c>
      <c r="B109" s="56" t="s">
        <v>711</v>
      </c>
      <c r="C109" s="43" t="s">
        <v>314</v>
      </c>
      <c r="D109" s="127" t="s">
        <v>237</v>
      </c>
      <c r="E109" s="35" t="s">
        <v>6</v>
      </c>
      <c r="F109" s="3">
        <v>1</v>
      </c>
      <c r="G109" s="3">
        <v>1</v>
      </c>
      <c r="H109" s="6"/>
      <c r="I109" s="5"/>
      <c r="J109" s="5">
        <v>1</v>
      </c>
      <c r="K109" s="5"/>
      <c r="L109" s="4"/>
      <c r="M109" s="5">
        <v>2</v>
      </c>
      <c r="N109" s="4"/>
      <c r="O109" s="13"/>
      <c r="P109" s="5"/>
      <c r="Q109" s="4"/>
      <c r="R109" s="13"/>
      <c r="S109" s="14"/>
      <c r="T109" s="13"/>
      <c r="U109" s="4"/>
      <c r="V109" s="5"/>
      <c r="W109" s="4"/>
      <c r="X109" s="30">
        <f t="shared" si="9"/>
        <v>1</v>
      </c>
      <c r="Y109" s="30">
        <f t="shared" si="10"/>
        <v>4</v>
      </c>
      <c r="Z109" s="30">
        <f t="shared" si="11"/>
        <v>0</v>
      </c>
      <c r="AB109" s="31" t="s">
        <v>898</v>
      </c>
      <c r="AC109" s="56" t="s">
        <v>674</v>
      </c>
      <c r="AD109" s="43" t="s">
        <v>281</v>
      </c>
      <c r="AE109" s="127" t="s">
        <v>236</v>
      </c>
      <c r="AF109" s="35" t="s">
        <v>6</v>
      </c>
      <c r="AG109" s="3"/>
      <c r="AH109" s="4">
        <v>1</v>
      </c>
      <c r="AI109" s="3"/>
      <c r="AJ109" s="5"/>
      <c r="AK109" s="4">
        <v>1</v>
      </c>
      <c r="AL109" s="5"/>
      <c r="AM109" s="4"/>
      <c r="AN109" s="4"/>
      <c r="AO109" s="4"/>
      <c r="AP109" s="13"/>
      <c r="AQ109" s="14"/>
      <c r="AR109" s="13"/>
      <c r="AS109" s="13"/>
      <c r="AT109" s="14">
        <v>1</v>
      </c>
      <c r="AU109" s="13"/>
      <c r="AV109" s="4"/>
      <c r="AW109" s="5">
        <v>1</v>
      </c>
      <c r="AX109" s="4"/>
      <c r="AY109" s="30">
        <f t="shared" si="12"/>
        <v>0</v>
      </c>
      <c r="AZ109" s="30">
        <f t="shared" si="13"/>
        <v>4</v>
      </c>
      <c r="BA109" s="30">
        <f t="shared" si="14"/>
        <v>0</v>
      </c>
      <c r="BC109" s="31" t="s">
        <v>1023</v>
      </c>
      <c r="BD109" s="56" t="s">
        <v>813</v>
      </c>
      <c r="BE109" s="47" t="s">
        <v>394</v>
      </c>
      <c r="BF109" s="161" t="s">
        <v>240</v>
      </c>
      <c r="BG109" s="42" t="s">
        <v>8</v>
      </c>
      <c r="BH109" s="4"/>
      <c r="BI109" s="4"/>
      <c r="BJ109" s="4"/>
      <c r="BK109" s="4"/>
      <c r="BL109" s="4"/>
      <c r="BM109" s="4"/>
      <c r="BN109" s="4"/>
      <c r="BO109" s="4"/>
      <c r="BP109" s="4"/>
      <c r="BQ109" s="13"/>
      <c r="BR109" s="13"/>
      <c r="BS109" s="13"/>
      <c r="BT109" s="13"/>
      <c r="BU109" s="13">
        <v>1</v>
      </c>
      <c r="BV109" s="13"/>
      <c r="BW109" s="4"/>
      <c r="BX109" s="4">
        <v>1</v>
      </c>
      <c r="BY109" s="4"/>
      <c r="BZ109" s="30">
        <f t="shared" si="15"/>
        <v>0</v>
      </c>
      <c r="CA109" s="30">
        <f t="shared" si="16"/>
        <v>2</v>
      </c>
      <c r="CB109" s="30">
        <f t="shared" si="17"/>
        <v>0</v>
      </c>
    </row>
    <row r="110" spans="1:80" ht="15.5" x14ac:dyDescent="0.35">
      <c r="A110" s="31" t="s">
        <v>936</v>
      </c>
      <c r="B110" s="56" t="s">
        <v>716</v>
      </c>
      <c r="C110" s="36" t="s">
        <v>316</v>
      </c>
      <c r="D110" s="121" t="s">
        <v>238</v>
      </c>
      <c r="E110" s="35" t="s">
        <v>8</v>
      </c>
      <c r="F110" s="19"/>
      <c r="G110" s="19"/>
      <c r="H110" s="19"/>
      <c r="I110" s="13"/>
      <c r="J110" s="13"/>
      <c r="K110" s="13"/>
      <c r="L110" s="13"/>
      <c r="M110" s="13"/>
      <c r="N110" s="13"/>
      <c r="O110" s="13">
        <v>1</v>
      </c>
      <c r="P110" s="13">
        <v>4</v>
      </c>
      <c r="Q110" s="13"/>
      <c r="R110" s="13"/>
      <c r="S110" s="13"/>
      <c r="T110" s="13"/>
      <c r="U110" s="13"/>
      <c r="V110" s="13"/>
      <c r="W110" s="13"/>
      <c r="X110" s="30">
        <f t="shared" si="9"/>
        <v>1</v>
      </c>
      <c r="Y110" s="30">
        <f t="shared" si="10"/>
        <v>4</v>
      </c>
      <c r="Z110" s="30">
        <f t="shared" si="11"/>
        <v>0</v>
      </c>
      <c r="AB110" s="31" t="s">
        <v>901</v>
      </c>
      <c r="AC110" s="56" t="s">
        <v>677</v>
      </c>
      <c r="AD110" s="43" t="s">
        <v>284</v>
      </c>
      <c r="AE110" s="127" t="s">
        <v>236</v>
      </c>
      <c r="AF110" s="35" t="s">
        <v>6</v>
      </c>
      <c r="AG110" s="3"/>
      <c r="AH110" s="4"/>
      <c r="AI110" s="3"/>
      <c r="AJ110" s="5"/>
      <c r="AK110" s="4">
        <v>1</v>
      </c>
      <c r="AL110" s="5"/>
      <c r="AM110" s="4"/>
      <c r="AN110" s="4">
        <v>1</v>
      </c>
      <c r="AO110" s="4"/>
      <c r="AP110" s="13"/>
      <c r="AQ110" s="14"/>
      <c r="AR110" s="13"/>
      <c r="AS110" s="13">
        <v>2</v>
      </c>
      <c r="AT110" s="14">
        <v>2</v>
      </c>
      <c r="AU110" s="13"/>
      <c r="AV110" s="4"/>
      <c r="AW110" s="5"/>
      <c r="AX110" s="4"/>
      <c r="AY110" s="30">
        <f t="shared" si="12"/>
        <v>2</v>
      </c>
      <c r="AZ110" s="30">
        <f t="shared" si="13"/>
        <v>4</v>
      </c>
      <c r="BA110" s="30">
        <f t="shared" si="14"/>
        <v>0</v>
      </c>
      <c r="BC110" s="31" t="s">
        <v>1024</v>
      </c>
      <c r="BD110" s="56" t="s">
        <v>814</v>
      </c>
      <c r="BE110" s="47" t="s">
        <v>395</v>
      </c>
      <c r="BF110" s="161" t="s">
        <v>240</v>
      </c>
      <c r="BG110" s="42" t="s">
        <v>8</v>
      </c>
      <c r="BH110" s="4"/>
      <c r="BI110" s="4">
        <v>1</v>
      </c>
      <c r="BJ110" s="4"/>
      <c r="BK110" s="4"/>
      <c r="BL110" s="5">
        <v>1</v>
      </c>
      <c r="BM110" s="4"/>
      <c r="BN110" s="4"/>
      <c r="BO110" s="4"/>
      <c r="BP110" s="4"/>
      <c r="BQ110" s="13"/>
      <c r="BR110" s="13"/>
      <c r="BS110" s="13"/>
      <c r="BT110" s="13"/>
      <c r="BU110" s="13">
        <v>1</v>
      </c>
      <c r="BV110" s="13"/>
      <c r="BW110" s="4"/>
      <c r="BX110" s="4"/>
      <c r="BY110" s="4"/>
      <c r="BZ110" s="30">
        <f t="shared" si="15"/>
        <v>0</v>
      </c>
      <c r="CA110" s="30">
        <f t="shared" si="16"/>
        <v>3</v>
      </c>
      <c r="CB110" s="30">
        <f t="shared" si="17"/>
        <v>0</v>
      </c>
    </row>
    <row r="111" spans="1:80" ht="15.5" x14ac:dyDescent="0.35">
      <c r="A111" s="31" t="s">
        <v>947</v>
      </c>
      <c r="B111" s="119" t="s">
        <v>727</v>
      </c>
      <c r="C111" s="124" t="s">
        <v>327</v>
      </c>
      <c r="D111" s="121" t="s">
        <v>238</v>
      </c>
      <c r="E111" s="121" t="s">
        <v>6</v>
      </c>
      <c r="F111" s="164">
        <v>1</v>
      </c>
      <c r="G111" s="164"/>
      <c r="H111" s="164"/>
      <c r="I111" s="165"/>
      <c r="J111" s="166"/>
      <c r="K111" s="166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09">
        <f t="shared" si="9"/>
        <v>1</v>
      </c>
      <c r="Y111" s="109">
        <f t="shared" si="10"/>
        <v>0</v>
      </c>
      <c r="Z111" s="109">
        <f t="shared" si="11"/>
        <v>0</v>
      </c>
      <c r="AB111" s="31" t="s">
        <v>907</v>
      </c>
      <c r="AC111" s="119" t="s">
        <v>684</v>
      </c>
      <c r="AD111" s="149" t="s">
        <v>685</v>
      </c>
      <c r="AE111" s="127" t="s">
        <v>237</v>
      </c>
      <c r="AF111" s="127" t="s">
        <v>6</v>
      </c>
      <c r="AG111" s="130"/>
      <c r="AH111" s="130"/>
      <c r="AI111" s="130"/>
      <c r="AJ111" s="113"/>
      <c r="AK111" s="113">
        <v>1</v>
      </c>
      <c r="AL111" s="108"/>
      <c r="AM111" s="108"/>
      <c r="AN111" s="113"/>
      <c r="AO111" s="108"/>
      <c r="AP111" s="122">
        <v>1</v>
      </c>
      <c r="AQ111" s="113">
        <v>1</v>
      </c>
      <c r="AR111" s="108"/>
      <c r="AS111" s="122"/>
      <c r="AT111" s="128">
        <v>1</v>
      </c>
      <c r="AU111" s="122"/>
      <c r="AV111" s="108"/>
      <c r="AW111" s="113">
        <v>1</v>
      </c>
      <c r="AX111" s="108"/>
      <c r="AY111" s="109">
        <f t="shared" si="12"/>
        <v>1</v>
      </c>
      <c r="AZ111" s="109">
        <f t="shared" si="13"/>
        <v>4</v>
      </c>
      <c r="BA111" s="109">
        <f t="shared" si="14"/>
        <v>0</v>
      </c>
      <c r="BC111" s="31" t="s">
        <v>1025</v>
      </c>
      <c r="BD111" s="119" t="s">
        <v>815</v>
      </c>
      <c r="BE111" s="120" t="s">
        <v>396</v>
      </c>
      <c r="BF111" s="161" t="s">
        <v>240</v>
      </c>
      <c r="BG111" s="121" t="s">
        <v>8</v>
      </c>
      <c r="BH111" s="108"/>
      <c r="BI111" s="113">
        <v>1</v>
      </c>
      <c r="BJ111" s="108"/>
      <c r="BK111" s="108"/>
      <c r="BL111" s="113">
        <v>3</v>
      </c>
      <c r="BM111" s="108"/>
      <c r="BN111" s="108"/>
      <c r="BO111" s="108">
        <v>1</v>
      </c>
      <c r="BP111" s="108"/>
      <c r="BQ111" s="122"/>
      <c r="BR111" s="122">
        <v>3</v>
      </c>
      <c r="BS111" s="122"/>
      <c r="BT111" s="122"/>
      <c r="BU111" s="122">
        <v>3</v>
      </c>
      <c r="BV111" s="122"/>
      <c r="BW111" s="108"/>
      <c r="BX111" s="108"/>
      <c r="BY111" s="108"/>
      <c r="BZ111" s="109">
        <f t="shared" si="15"/>
        <v>0</v>
      </c>
      <c r="CA111" s="109">
        <f t="shared" si="16"/>
        <v>11</v>
      </c>
      <c r="CB111" s="109">
        <f t="shared" si="17"/>
        <v>0</v>
      </c>
    </row>
    <row r="112" spans="1:80" ht="15.5" x14ac:dyDescent="0.35">
      <c r="A112" s="31" t="s">
        <v>950</v>
      </c>
      <c r="B112" s="56" t="s">
        <v>731</v>
      </c>
      <c r="C112" s="41" t="s">
        <v>329</v>
      </c>
      <c r="D112" s="121" t="s">
        <v>238</v>
      </c>
      <c r="E112" s="42" t="s">
        <v>8</v>
      </c>
      <c r="F112" s="19"/>
      <c r="G112" s="19"/>
      <c r="H112" s="19"/>
      <c r="I112" s="13">
        <v>1</v>
      </c>
      <c r="J112" s="14"/>
      <c r="K112" s="1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30">
        <f t="shared" si="9"/>
        <v>1</v>
      </c>
      <c r="Y112" s="30">
        <f t="shared" si="10"/>
        <v>0</v>
      </c>
      <c r="Z112" s="30">
        <f t="shared" si="11"/>
        <v>0</v>
      </c>
      <c r="AB112" s="31" t="s">
        <v>910</v>
      </c>
      <c r="AC112" s="56" t="s">
        <v>688</v>
      </c>
      <c r="AD112" s="43" t="s">
        <v>290</v>
      </c>
      <c r="AE112" s="127" t="s">
        <v>237</v>
      </c>
      <c r="AF112" s="35" t="s">
        <v>6</v>
      </c>
      <c r="AG112" s="3"/>
      <c r="AH112" s="3"/>
      <c r="AI112" s="3"/>
      <c r="AJ112" s="5"/>
      <c r="AK112" s="5"/>
      <c r="AL112" s="4"/>
      <c r="AM112" s="4"/>
      <c r="AN112" s="5">
        <v>2</v>
      </c>
      <c r="AO112" s="4"/>
      <c r="AP112" s="13"/>
      <c r="AQ112" s="5"/>
      <c r="AR112" s="4"/>
      <c r="AS112" s="13"/>
      <c r="AT112" s="14">
        <v>2</v>
      </c>
      <c r="AU112" s="13"/>
      <c r="AV112" s="4"/>
      <c r="AW112" s="5"/>
      <c r="AX112" s="4"/>
      <c r="AY112" s="30">
        <f t="shared" si="12"/>
        <v>0</v>
      </c>
      <c r="AZ112" s="30">
        <f t="shared" si="13"/>
        <v>4</v>
      </c>
      <c r="BA112" s="30">
        <f t="shared" si="14"/>
        <v>0</v>
      </c>
      <c r="BC112" s="31" t="s">
        <v>1026</v>
      </c>
      <c r="BD112" s="56" t="s">
        <v>816</v>
      </c>
      <c r="BE112" s="47" t="s">
        <v>397</v>
      </c>
      <c r="BF112" s="161" t="s">
        <v>240</v>
      </c>
      <c r="BG112" s="42" t="s">
        <v>8</v>
      </c>
      <c r="BH112" s="9">
        <v>1</v>
      </c>
      <c r="BI112" s="9"/>
      <c r="BJ112" s="9"/>
      <c r="BK112" s="9"/>
      <c r="BL112" s="16"/>
      <c r="BM112" s="9"/>
      <c r="BN112" s="9">
        <v>3</v>
      </c>
      <c r="BO112" s="9">
        <v>2</v>
      </c>
      <c r="BP112" s="9"/>
      <c r="BQ112" s="15">
        <v>1</v>
      </c>
      <c r="BR112" s="15"/>
      <c r="BS112" s="15"/>
      <c r="BT112" s="15"/>
      <c r="BU112" s="15">
        <v>2</v>
      </c>
      <c r="BV112" s="15"/>
      <c r="BW112" s="9"/>
      <c r="BX112" s="9"/>
      <c r="BY112" s="9"/>
      <c r="BZ112" s="30">
        <f t="shared" si="15"/>
        <v>5</v>
      </c>
      <c r="CA112" s="30">
        <f t="shared" si="16"/>
        <v>4</v>
      </c>
      <c r="CB112" s="30">
        <f t="shared" si="17"/>
        <v>0</v>
      </c>
    </row>
    <row r="113" spans="1:80" ht="15.5" x14ac:dyDescent="0.35">
      <c r="A113" s="31" t="s">
        <v>953</v>
      </c>
      <c r="B113" s="56" t="s">
        <v>735</v>
      </c>
      <c r="C113" s="41" t="s">
        <v>331</v>
      </c>
      <c r="D113" s="121" t="s">
        <v>238</v>
      </c>
      <c r="E113" s="42" t="s">
        <v>6</v>
      </c>
      <c r="F113" s="19"/>
      <c r="G113" s="19"/>
      <c r="H113" s="19"/>
      <c r="I113" s="13"/>
      <c r="J113" s="14"/>
      <c r="K113" s="13"/>
      <c r="L113" s="13"/>
      <c r="M113" s="13"/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13"/>
      <c r="X113" s="30">
        <f t="shared" si="9"/>
        <v>1</v>
      </c>
      <c r="Y113" s="30">
        <f t="shared" si="10"/>
        <v>0</v>
      </c>
      <c r="Z113" s="30">
        <f t="shared" si="11"/>
        <v>0</v>
      </c>
      <c r="AB113" s="31" t="s">
        <v>914</v>
      </c>
      <c r="AC113" s="56" t="s">
        <v>692</v>
      </c>
      <c r="AD113" s="36" t="s">
        <v>294</v>
      </c>
      <c r="AE113" s="127" t="s">
        <v>237</v>
      </c>
      <c r="AF113" s="35" t="s">
        <v>6</v>
      </c>
      <c r="AG113" s="3"/>
      <c r="AH113" s="3"/>
      <c r="AI113" s="3"/>
      <c r="AJ113" s="5"/>
      <c r="AK113" s="5"/>
      <c r="AL113" s="4"/>
      <c r="AM113" s="4"/>
      <c r="AN113" s="5"/>
      <c r="AO113" s="4"/>
      <c r="AP113" s="13"/>
      <c r="AQ113" s="5">
        <v>3</v>
      </c>
      <c r="AR113" s="4"/>
      <c r="AS113" s="13"/>
      <c r="AT113" s="14">
        <v>1</v>
      </c>
      <c r="AU113" s="13"/>
      <c r="AV113" s="4"/>
      <c r="AW113" s="5"/>
      <c r="AX113" s="4"/>
      <c r="AY113" s="30">
        <f t="shared" si="12"/>
        <v>0</v>
      </c>
      <c r="AZ113" s="30">
        <f t="shared" si="13"/>
        <v>4</v>
      </c>
      <c r="BA113" s="30">
        <f t="shared" si="14"/>
        <v>0</v>
      </c>
      <c r="BC113" s="31" t="s">
        <v>1029</v>
      </c>
      <c r="BD113" s="56" t="s">
        <v>818</v>
      </c>
      <c r="BE113" s="47" t="s">
        <v>399</v>
      </c>
      <c r="BF113" s="161" t="s">
        <v>240</v>
      </c>
      <c r="BG113" s="42" t="s">
        <v>6</v>
      </c>
      <c r="BH113" s="4"/>
      <c r="BI113" s="5"/>
      <c r="BJ113" s="4"/>
      <c r="BK113" s="4"/>
      <c r="BL113" s="5">
        <v>1</v>
      </c>
      <c r="BM113" s="4"/>
      <c r="BN113" s="4"/>
      <c r="BO113" s="4">
        <v>1</v>
      </c>
      <c r="BP113" s="4"/>
      <c r="BQ113" s="13"/>
      <c r="BR113" s="13"/>
      <c r="BS113" s="13"/>
      <c r="BT113" s="13">
        <v>3</v>
      </c>
      <c r="BU113" s="13"/>
      <c r="BV113" s="13"/>
      <c r="BW113" s="4"/>
      <c r="BX113" s="4"/>
      <c r="BY113" s="4"/>
      <c r="BZ113" s="30">
        <f t="shared" si="15"/>
        <v>3</v>
      </c>
      <c r="CA113" s="30">
        <f t="shared" si="16"/>
        <v>2</v>
      </c>
      <c r="CB113" s="30">
        <f t="shared" si="17"/>
        <v>0</v>
      </c>
    </row>
    <row r="114" spans="1:80" ht="15.5" x14ac:dyDescent="0.35">
      <c r="A114" s="31" t="s">
        <v>954</v>
      </c>
      <c r="B114" s="56" t="s">
        <v>736</v>
      </c>
      <c r="C114" s="41" t="s">
        <v>332</v>
      </c>
      <c r="D114" s="121" t="s">
        <v>238</v>
      </c>
      <c r="E114" s="42" t="s">
        <v>6</v>
      </c>
      <c r="F114" s="19"/>
      <c r="G114" s="19"/>
      <c r="H114" s="19">
        <v>1</v>
      </c>
      <c r="I114" s="13"/>
      <c r="J114" s="14">
        <v>3</v>
      </c>
      <c r="K114" s="13">
        <v>1</v>
      </c>
      <c r="L114" s="13"/>
      <c r="M114" s="13"/>
      <c r="N114" s="13"/>
      <c r="O114" s="13"/>
      <c r="P114" s="13"/>
      <c r="Q114" s="13"/>
      <c r="R114" s="13">
        <v>1</v>
      </c>
      <c r="S114" s="13"/>
      <c r="T114" s="13">
        <v>2</v>
      </c>
      <c r="U114" s="13"/>
      <c r="V114" s="13"/>
      <c r="W114" s="13">
        <v>1</v>
      </c>
      <c r="X114" s="30">
        <f t="shared" si="9"/>
        <v>1</v>
      </c>
      <c r="Y114" s="30">
        <f t="shared" si="10"/>
        <v>3</v>
      </c>
      <c r="Z114" s="30">
        <f t="shared" si="11"/>
        <v>5</v>
      </c>
      <c r="AB114" s="31" t="s">
        <v>925</v>
      </c>
      <c r="AC114" s="56" t="s">
        <v>704</v>
      </c>
      <c r="AD114" s="36" t="s">
        <v>305</v>
      </c>
      <c r="AE114" s="127" t="s">
        <v>237</v>
      </c>
      <c r="AF114" s="35" t="s">
        <v>6</v>
      </c>
      <c r="AG114" s="3"/>
      <c r="AH114" s="3">
        <v>1</v>
      </c>
      <c r="AI114" s="3"/>
      <c r="AJ114" s="4"/>
      <c r="AK114" s="5">
        <v>2</v>
      </c>
      <c r="AL114" s="4"/>
      <c r="AM114" s="4"/>
      <c r="AN114" s="4"/>
      <c r="AO114" s="4"/>
      <c r="AP114" s="13"/>
      <c r="AQ114" s="4"/>
      <c r="AR114" s="4"/>
      <c r="AS114" s="13"/>
      <c r="AT114" s="13">
        <v>1</v>
      </c>
      <c r="AU114" s="13">
        <v>2</v>
      </c>
      <c r="AV114" s="4"/>
      <c r="AW114" s="4"/>
      <c r="AX114" s="4"/>
      <c r="AY114" s="30">
        <f t="shared" si="12"/>
        <v>0</v>
      </c>
      <c r="AZ114" s="30">
        <f t="shared" si="13"/>
        <v>4</v>
      </c>
      <c r="BA114" s="30">
        <f t="shared" si="14"/>
        <v>2</v>
      </c>
      <c r="BC114" s="31" t="s">
        <v>1040</v>
      </c>
      <c r="BD114" s="56" t="s">
        <v>819</v>
      </c>
      <c r="BE114" s="58" t="s">
        <v>400</v>
      </c>
      <c r="BF114" s="161" t="s">
        <v>240</v>
      </c>
      <c r="BG114" s="42" t="s">
        <v>6</v>
      </c>
      <c r="BH114" s="4"/>
      <c r="BI114" s="4"/>
      <c r="BJ114" s="4"/>
      <c r="BK114" s="4"/>
      <c r="BL114" s="4">
        <v>2</v>
      </c>
      <c r="BM114" s="4"/>
      <c r="BN114" s="4"/>
      <c r="BO114" s="4"/>
      <c r="BP114" s="4"/>
      <c r="BQ114" s="13"/>
      <c r="BR114" s="13"/>
      <c r="BS114" s="13"/>
      <c r="BT114" s="13">
        <v>3</v>
      </c>
      <c r="BU114" s="13"/>
      <c r="BV114" s="13"/>
      <c r="BW114" s="4"/>
      <c r="BX114" s="4"/>
      <c r="BY114" s="4"/>
      <c r="BZ114" s="30">
        <f t="shared" si="15"/>
        <v>3</v>
      </c>
      <c r="CA114" s="30">
        <f t="shared" si="16"/>
        <v>2</v>
      </c>
      <c r="CB114" s="30">
        <f t="shared" si="17"/>
        <v>0</v>
      </c>
    </row>
    <row r="115" spans="1:80" ht="15.5" x14ac:dyDescent="0.35">
      <c r="A115" s="31" t="s">
        <v>955</v>
      </c>
      <c r="B115" s="56" t="s">
        <v>737</v>
      </c>
      <c r="C115" s="41" t="s">
        <v>333</v>
      </c>
      <c r="D115" s="121" t="s">
        <v>238</v>
      </c>
      <c r="E115" s="42" t="s">
        <v>8</v>
      </c>
      <c r="F115" s="19"/>
      <c r="G115" s="19"/>
      <c r="H115" s="19"/>
      <c r="I115" s="13">
        <v>1</v>
      </c>
      <c r="J115" s="14">
        <v>2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>
        <v>1</v>
      </c>
      <c r="W115" s="13"/>
      <c r="X115" s="30">
        <f t="shared" si="9"/>
        <v>1</v>
      </c>
      <c r="Y115" s="30">
        <f t="shared" si="10"/>
        <v>3</v>
      </c>
      <c r="Z115" s="30">
        <f t="shared" si="11"/>
        <v>0</v>
      </c>
      <c r="AB115" s="31" t="s">
        <v>932</v>
      </c>
      <c r="AC115" s="56" t="s">
        <v>711</v>
      </c>
      <c r="AD115" s="43" t="s">
        <v>314</v>
      </c>
      <c r="AE115" s="127" t="s">
        <v>237</v>
      </c>
      <c r="AF115" s="35" t="s">
        <v>6</v>
      </c>
      <c r="AG115" s="3">
        <v>1</v>
      </c>
      <c r="AH115" s="3">
        <v>1</v>
      </c>
      <c r="AI115" s="6"/>
      <c r="AJ115" s="5"/>
      <c r="AK115" s="5">
        <v>1</v>
      </c>
      <c r="AL115" s="5"/>
      <c r="AM115" s="4"/>
      <c r="AN115" s="5">
        <v>2</v>
      </c>
      <c r="AO115" s="4"/>
      <c r="AP115" s="13"/>
      <c r="AQ115" s="5"/>
      <c r="AR115" s="4"/>
      <c r="AS115" s="13"/>
      <c r="AT115" s="14"/>
      <c r="AU115" s="13"/>
      <c r="AV115" s="4"/>
      <c r="AW115" s="5"/>
      <c r="AX115" s="4"/>
      <c r="AY115" s="30">
        <f t="shared" si="12"/>
        <v>1</v>
      </c>
      <c r="AZ115" s="30">
        <f t="shared" si="13"/>
        <v>4</v>
      </c>
      <c r="BA115" s="30">
        <f t="shared" si="14"/>
        <v>0</v>
      </c>
      <c r="BC115" s="31" t="s">
        <v>1041</v>
      </c>
      <c r="BD115" s="74" t="s">
        <v>820</v>
      </c>
      <c r="BE115" s="162" t="s">
        <v>821</v>
      </c>
      <c r="BF115" s="161" t="s">
        <v>240</v>
      </c>
      <c r="BG115" s="42" t="s">
        <v>8</v>
      </c>
      <c r="BH115" s="4"/>
      <c r="BI115" s="4"/>
      <c r="BJ115" s="4"/>
      <c r="BK115" s="4"/>
      <c r="BL115" s="4">
        <v>8</v>
      </c>
      <c r="BM115" s="4"/>
      <c r="BN115" s="4"/>
      <c r="BO115" s="4"/>
      <c r="BP115" s="4"/>
      <c r="BQ115" s="13">
        <v>1</v>
      </c>
      <c r="BR115" s="13">
        <v>4</v>
      </c>
      <c r="BS115" s="13"/>
      <c r="BT115" s="13">
        <v>3</v>
      </c>
      <c r="BU115" s="13"/>
      <c r="BV115" s="13"/>
      <c r="BW115" s="4"/>
      <c r="BX115" s="4"/>
      <c r="BY115" s="4"/>
      <c r="BZ115" s="30">
        <f t="shared" si="15"/>
        <v>4</v>
      </c>
      <c r="CA115" s="30">
        <f t="shared" si="16"/>
        <v>12</v>
      </c>
      <c r="CB115" s="30">
        <f t="shared" si="17"/>
        <v>0</v>
      </c>
    </row>
    <row r="116" spans="1:80" ht="15.5" x14ac:dyDescent="0.35">
      <c r="A116" s="31" t="s">
        <v>956</v>
      </c>
      <c r="B116" s="56" t="s">
        <v>738</v>
      </c>
      <c r="C116" s="41" t="s">
        <v>334</v>
      </c>
      <c r="D116" s="121" t="s">
        <v>238</v>
      </c>
      <c r="E116" s="42" t="s">
        <v>8</v>
      </c>
      <c r="F116" s="19"/>
      <c r="G116" s="19"/>
      <c r="H116" s="19"/>
      <c r="I116" s="13"/>
      <c r="J116" s="14">
        <v>1</v>
      </c>
      <c r="K116" s="13"/>
      <c r="L116" s="13"/>
      <c r="M116" s="13"/>
      <c r="N116" s="13"/>
      <c r="O116" s="13"/>
      <c r="P116" s="13"/>
      <c r="Q116" s="13"/>
      <c r="R116" s="13">
        <v>1</v>
      </c>
      <c r="S116" s="13"/>
      <c r="T116" s="13"/>
      <c r="U116" s="13"/>
      <c r="V116" s="13"/>
      <c r="W116" s="13"/>
      <c r="X116" s="30">
        <f t="shared" si="9"/>
        <v>1</v>
      </c>
      <c r="Y116" s="30">
        <f t="shared" si="10"/>
        <v>1</v>
      </c>
      <c r="Z116" s="30">
        <f t="shared" si="11"/>
        <v>0</v>
      </c>
      <c r="AB116" s="31" t="s">
        <v>936</v>
      </c>
      <c r="AC116" s="56" t="s">
        <v>716</v>
      </c>
      <c r="AD116" s="36" t="s">
        <v>316</v>
      </c>
      <c r="AE116" s="121" t="s">
        <v>238</v>
      </c>
      <c r="AF116" s="35" t="s">
        <v>8</v>
      </c>
      <c r="AG116" s="19"/>
      <c r="AH116" s="19"/>
      <c r="AI116" s="19"/>
      <c r="AJ116" s="13"/>
      <c r="AK116" s="13"/>
      <c r="AL116" s="13"/>
      <c r="AM116" s="13"/>
      <c r="AN116" s="13"/>
      <c r="AO116" s="13"/>
      <c r="AP116" s="13">
        <v>1</v>
      </c>
      <c r="AQ116" s="13">
        <v>4</v>
      </c>
      <c r="AR116" s="13"/>
      <c r="AS116" s="13"/>
      <c r="AT116" s="13"/>
      <c r="AU116" s="13"/>
      <c r="AV116" s="13"/>
      <c r="AW116" s="13"/>
      <c r="AX116" s="13"/>
      <c r="AY116" s="30">
        <f t="shared" si="12"/>
        <v>1</v>
      </c>
      <c r="AZ116" s="30">
        <f t="shared" si="13"/>
        <v>4</v>
      </c>
      <c r="BA116" s="30">
        <f t="shared" si="14"/>
        <v>0</v>
      </c>
      <c r="BC116" s="31" t="s">
        <v>1042</v>
      </c>
      <c r="BD116" s="56" t="s">
        <v>740</v>
      </c>
      <c r="BE116" s="41" t="s">
        <v>336</v>
      </c>
      <c r="BF116" s="161" t="s">
        <v>240</v>
      </c>
      <c r="BG116" s="42" t="s">
        <v>8</v>
      </c>
      <c r="BH116" s="19"/>
      <c r="BI116" s="19">
        <v>1</v>
      </c>
      <c r="BJ116" s="19"/>
      <c r="BK116" s="13">
        <v>1</v>
      </c>
      <c r="BL116" s="14">
        <v>2</v>
      </c>
      <c r="BM116" s="13"/>
      <c r="BN116" s="13"/>
      <c r="BO116" s="13"/>
      <c r="BP116" s="13"/>
      <c r="BQ116" s="13"/>
      <c r="BR116" s="13"/>
      <c r="BS116" s="13"/>
      <c r="BT116" s="13"/>
      <c r="BU116" s="13">
        <v>4</v>
      </c>
      <c r="BV116" s="13"/>
      <c r="BW116" s="13"/>
      <c r="BX116" s="13"/>
      <c r="BY116" s="13"/>
      <c r="BZ116" s="30">
        <f t="shared" si="15"/>
        <v>1</v>
      </c>
      <c r="CA116" s="30">
        <f t="shared" si="16"/>
        <v>7</v>
      </c>
      <c r="CB116" s="30">
        <f t="shared" si="17"/>
        <v>0</v>
      </c>
    </row>
    <row r="117" spans="1:80" ht="15.5" x14ac:dyDescent="0.35">
      <c r="A117" s="31" t="s">
        <v>958</v>
      </c>
      <c r="B117" s="56" t="s">
        <v>741</v>
      </c>
      <c r="C117" s="41" t="s">
        <v>337</v>
      </c>
      <c r="D117" s="121" t="s">
        <v>238</v>
      </c>
      <c r="E117" s="42" t="s">
        <v>6</v>
      </c>
      <c r="F117" s="19"/>
      <c r="G117" s="19"/>
      <c r="H117" s="19"/>
      <c r="I117" s="13"/>
      <c r="J117" s="14">
        <v>1</v>
      </c>
      <c r="K117" s="13"/>
      <c r="L117" s="13"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30">
        <f t="shared" si="9"/>
        <v>1</v>
      </c>
      <c r="Y117" s="30">
        <f t="shared" si="10"/>
        <v>1</v>
      </c>
      <c r="Z117" s="30">
        <f t="shared" si="11"/>
        <v>0</v>
      </c>
      <c r="AB117" s="31" t="s">
        <v>990</v>
      </c>
      <c r="AC117" s="56" t="s">
        <v>778</v>
      </c>
      <c r="AD117" s="47" t="s">
        <v>364</v>
      </c>
      <c r="AE117" s="141" t="s">
        <v>239</v>
      </c>
      <c r="AF117" s="42" t="s">
        <v>8</v>
      </c>
      <c r="AG117" s="19"/>
      <c r="AH117" s="13"/>
      <c r="AI117" s="13"/>
      <c r="AJ117" s="13"/>
      <c r="AK117" s="14">
        <v>1</v>
      </c>
      <c r="AL117" s="13"/>
      <c r="AM117" s="13"/>
      <c r="AN117" s="13"/>
      <c r="AO117" s="13"/>
      <c r="AP117" s="13">
        <v>1</v>
      </c>
      <c r="AQ117" s="13">
        <v>1</v>
      </c>
      <c r="AR117" s="13"/>
      <c r="AS117" s="13"/>
      <c r="AT117" s="13">
        <v>2</v>
      </c>
      <c r="AU117" s="13"/>
      <c r="AV117" s="13"/>
      <c r="AW117" s="13"/>
      <c r="AX117" s="13"/>
      <c r="AY117" s="30">
        <f t="shared" si="12"/>
        <v>1</v>
      </c>
      <c r="AZ117" s="30">
        <f t="shared" si="13"/>
        <v>4</v>
      </c>
      <c r="BA117" s="30">
        <f t="shared" si="14"/>
        <v>0</v>
      </c>
      <c r="BC117" s="31" t="s">
        <v>1043</v>
      </c>
      <c r="BD117" s="56" t="s">
        <v>822</v>
      </c>
      <c r="BE117" s="47" t="s">
        <v>401</v>
      </c>
      <c r="BF117" s="142" t="s">
        <v>1039</v>
      </c>
      <c r="BG117" s="42" t="s">
        <v>8</v>
      </c>
      <c r="BH117" s="4">
        <v>1</v>
      </c>
      <c r="BI117" s="4"/>
      <c r="BJ117" s="4"/>
      <c r="BK117" s="5"/>
      <c r="BL117" s="5">
        <v>1</v>
      </c>
      <c r="BM117" s="4"/>
      <c r="BN117" s="4">
        <v>1</v>
      </c>
      <c r="BO117" s="4">
        <v>1</v>
      </c>
      <c r="BP117" s="4"/>
      <c r="BQ117" s="13"/>
      <c r="BR117" s="13">
        <v>1</v>
      </c>
      <c r="BS117" s="13"/>
      <c r="BT117" s="148"/>
      <c r="BU117" s="148">
        <v>1</v>
      </c>
      <c r="BV117" s="148"/>
      <c r="BW117" s="4"/>
      <c r="BX117" s="4"/>
      <c r="BY117" s="4"/>
      <c r="BZ117" s="30">
        <f t="shared" si="15"/>
        <v>2</v>
      </c>
      <c r="CA117" s="30">
        <f t="shared" si="16"/>
        <v>4</v>
      </c>
      <c r="CB117" s="30">
        <f t="shared" si="17"/>
        <v>0</v>
      </c>
    </row>
    <row r="118" spans="1:80" ht="15.5" x14ac:dyDescent="0.35">
      <c r="A118" s="31" t="s">
        <v>959</v>
      </c>
      <c r="B118" s="56" t="s">
        <v>742</v>
      </c>
      <c r="C118" s="41" t="s">
        <v>338</v>
      </c>
      <c r="D118" s="121" t="s">
        <v>238</v>
      </c>
      <c r="E118" s="42" t="s">
        <v>6</v>
      </c>
      <c r="F118" s="19"/>
      <c r="G118" s="19"/>
      <c r="H118" s="19"/>
      <c r="I118" s="13"/>
      <c r="J118" s="13"/>
      <c r="K118" s="13"/>
      <c r="L118" s="13"/>
      <c r="M118" s="13"/>
      <c r="N118" s="13"/>
      <c r="O118" s="13">
        <v>1</v>
      </c>
      <c r="P118" s="13"/>
      <c r="Q118" s="13"/>
      <c r="R118" s="13"/>
      <c r="S118" s="13">
        <v>1</v>
      </c>
      <c r="T118" s="13"/>
      <c r="U118" s="13"/>
      <c r="V118" s="13"/>
      <c r="W118" s="13"/>
      <c r="X118" s="30">
        <f t="shared" si="9"/>
        <v>1</v>
      </c>
      <c r="Y118" s="30">
        <f t="shared" si="10"/>
        <v>1</v>
      </c>
      <c r="Z118" s="30">
        <f t="shared" si="11"/>
        <v>0</v>
      </c>
      <c r="AB118" s="31" t="s">
        <v>1004</v>
      </c>
      <c r="AC118" s="56" t="s">
        <v>792</v>
      </c>
      <c r="AD118" s="47" t="s">
        <v>377</v>
      </c>
      <c r="AE118" s="161" t="s">
        <v>240</v>
      </c>
      <c r="AF118" s="42" t="s">
        <v>8</v>
      </c>
      <c r="AG118" s="4"/>
      <c r="AH118" s="4"/>
      <c r="AI118" s="4"/>
      <c r="AJ118" s="4"/>
      <c r="AK118" s="5"/>
      <c r="AL118" s="5"/>
      <c r="AM118" s="4"/>
      <c r="AN118" s="4"/>
      <c r="AO118" s="4"/>
      <c r="AP118" s="13"/>
      <c r="AQ118" s="13">
        <v>2</v>
      </c>
      <c r="AR118" s="13"/>
      <c r="AS118" s="13"/>
      <c r="AT118" s="13">
        <v>1</v>
      </c>
      <c r="AU118" s="13"/>
      <c r="AV118" s="4"/>
      <c r="AW118" s="4">
        <v>1</v>
      </c>
      <c r="AX118" s="4"/>
      <c r="AY118" s="30">
        <f t="shared" si="12"/>
        <v>0</v>
      </c>
      <c r="AZ118" s="30">
        <f t="shared" si="13"/>
        <v>4</v>
      </c>
      <c r="BA118" s="30">
        <f t="shared" si="14"/>
        <v>0</v>
      </c>
      <c r="BC118" s="31" t="s">
        <v>1044</v>
      </c>
      <c r="BD118" s="56" t="s">
        <v>823</v>
      </c>
      <c r="BE118" s="47" t="s">
        <v>402</v>
      </c>
      <c r="BF118" s="142" t="s">
        <v>1039</v>
      </c>
      <c r="BG118" s="42" t="s">
        <v>8</v>
      </c>
      <c r="BH118" s="4"/>
      <c r="BI118" s="4"/>
      <c r="BJ118" s="4"/>
      <c r="BK118" s="4">
        <v>1</v>
      </c>
      <c r="BL118" s="5"/>
      <c r="BM118" s="4"/>
      <c r="BN118" s="4"/>
      <c r="BO118" s="4">
        <v>1</v>
      </c>
      <c r="BP118" s="4"/>
      <c r="BQ118" s="13"/>
      <c r="BR118" s="13">
        <v>4</v>
      </c>
      <c r="BS118" s="13"/>
      <c r="BT118" s="13"/>
      <c r="BU118" s="13"/>
      <c r="BV118" s="13"/>
      <c r="BW118" s="4"/>
      <c r="BX118" s="4"/>
      <c r="BY118" s="4"/>
      <c r="BZ118" s="30">
        <f t="shared" si="15"/>
        <v>1</v>
      </c>
      <c r="CA118" s="30">
        <f t="shared" si="16"/>
        <v>5</v>
      </c>
      <c r="CB118" s="30">
        <f t="shared" si="17"/>
        <v>0</v>
      </c>
    </row>
    <row r="119" spans="1:80" ht="15.5" x14ac:dyDescent="0.35">
      <c r="A119" s="31" t="s">
        <v>964</v>
      </c>
      <c r="B119" s="39" t="s">
        <v>749</v>
      </c>
      <c r="C119" s="54" t="s">
        <v>750</v>
      </c>
      <c r="D119" s="121" t="s">
        <v>238</v>
      </c>
      <c r="E119" s="71" t="s">
        <v>8</v>
      </c>
      <c r="F119" s="19"/>
      <c r="G119" s="19"/>
      <c r="H119" s="19"/>
      <c r="I119" s="13">
        <v>1</v>
      </c>
      <c r="J119" s="14"/>
      <c r="K119" s="13">
        <v>2</v>
      </c>
      <c r="L119" s="13"/>
      <c r="M119" s="13">
        <v>3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30">
        <f t="shared" si="9"/>
        <v>1</v>
      </c>
      <c r="Y119" s="30">
        <f t="shared" si="10"/>
        <v>3</v>
      </c>
      <c r="Z119" s="30">
        <f t="shared" si="11"/>
        <v>2</v>
      </c>
      <c r="AB119" s="31" t="s">
        <v>1006</v>
      </c>
      <c r="AC119" s="56" t="s">
        <v>794</v>
      </c>
      <c r="AD119" s="47" t="s">
        <v>379</v>
      </c>
      <c r="AE119" s="161" t="s">
        <v>240</v>
      </c>
      <c r="AF119" s="42" t="s">
        <v>8</v>
      </c>
      <c r="AG119" s="4"/>
      <c r="AH119" s="4"/>
      <c r="AI119" s="4"/>
      <c r="AJ119" s="4"/>
      <c r="AK119" s="4">
        <v>1</v>
      </c>
      <c r="AL119" s="5"/>
      <c r="AM119" s="4"/>
      <c r="AN119" s="4"/>
      <c r="AO119" s="4"/>
      <c r="AP119" s="13"/>
      <c r="AQ119" s="13">
        <v>1</v>
      </c>
      <c r="AR119" s="13"/>
      <c r="AS119" s="13"/>
      <c r="AT119" s="13">
        <v>2</v>
      </c>
      <c r="AU119" s="13"/>
      <c r="AV119" s="4"/>
      <c r="AW119" s="4"/>
      <c r="AX119" s="4"/>
      <c r="AY119" s="30">
        <f t="shared" si="12"/>
        <v>0</v>
      </c>
      <c r="AZ119" s="30">
        <f t="shared" si="13"/>
        <v>4</v>
      </c>
      <c r="BA119" s="30">
        <f t="shared" si="14"/>
        <v>0</v>
      </c>
      <c r="BC119" s="31" t="s">
        <v>1045</v>
      </c>
      <c r="BD119" s="56" t="s">
        <v>824</v>
      </c>
      <c r="BE119" s="58" t="s">
        <v>403</v>
      </c>
      <c r="BF119" s="142" t="s">
        <v>1039</v>
      </c>
      <c r="BG119" s="42" t="s">
        <v>8</v>
      </c>
      <c r="BH119" s="4"/>
      <c r="BI119" s="5"/>
      <c r="BJ119" s="4"/>
      <c r="BK119" s="4"/>
      <c r="BL119" s="5"/>
      <c r="BM119" s="4"/>
      <c r="BN119" s="4"/>
      <c r="BO119" s="4"/>
      <c r="BP119" s="4"/>
      <c r="BQ119" s="13"/>
      <c r="BR119" s="13"/>
      <c r="BS119" s="13"/>
      <c r="BT119" s="13"/>
      <c r="BU119" s="13"/>
      <c r="BV119" s="13"/>
      <c r="BW119" s="4"/>
      <c r="BX119" s="4"/>
      <c r="BY119" s="4"/>
      <c r="BZ119" s="30">
        <f t="shared" si="15"/>
        <v>0</v>
      </c>
      <c r="CA119" s="30">
        <f t="shared" si="16"/>
        <v>0</v>
      </c>
      <c r="CB119" s="30">
        <f t="shared" si="17"/>
        <v>0</v>
      </c>
    </row>
    <row r="120" spans="1:80" ht="15.5" x14ac:dyDescent="0.35">
      <c r="A120" s="31" t="s">
        <v>965</v>
      </c>
      <c r="B120" s="56" t="s">
        <v>751</v>
      </c>
      <c r="C120" s="41" t="s">
        <v>341</v>
      </c>
      <c r="D120" s="141" t="s">
        <v>239</v>
      </c>
      <c r="E120" s="42" t="s">
        <v>6</v>
      </c>
      <c r="F120" s="19"/>
      <c r="G120" s="19"/>
      <c r="H120" s="19"/>
      <c r="I120" s="13"/>
      <c r="J120" s="13"/>
      <c r="K120" s="13"/>
      <c r="L120" s="13">
        <v>1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30">
        <f t="shared" si="9"/>
        <v>1</v>
      </c>
      <c r="Y120" s="30">
        <f t="shared" si="10"/>
        <v>0</v>
      </c>
      <c r="Z120" s="30">
        <f t="shared" si="11"/>
        <v>0</v>
      </c>
      <c r="AB120" s="31" t="s">
        <v>1016</v>
      </c>
      <c r="AC120" s="56" t="s">
        <v>804</v>
      </c>
      <c r="AD120" s="47" t="s">
        <v>389</v>
      </c>
      <c r="AE120" s="161" t="s">
        <v>240</v>
      </c>
      <c r="AF120" s="42" t="s">
        <v>6</v>
      </c>
      <c r="AG120" s="4"/>
      <c r="AH120" s="4"/>
      <c r="AI120" s="4"/>
      <c r="AJ120" s="4"/>
      <c r="AK120" s="5">
        <v>1</v>
      </c>
      <c r="AL120" s="4"/>
      <c r="AM120" s="4"/>
      <c r="AN120" s="4"/>
      <c r="AO120" s="4"/>
      <c r="AP120" s="13"/>
      <c r="AQ120" s="13"/>
      <c r="AR120" s="13"/>
      <c r="AS120" s="13"/>
      <c r="AT120" s="13">
        <v>1</v>
      </c>
      <c r="AU120" s="13"/>
      <c r="AV120" s="4"/>
      <c r="AW120" s="4">
        <v>2</v>
      </c>
      <c r="AX120" s="4"/>
      <c r="AY120" s="30">
        <f t="shared" si="12"/>
        <v>0</v>
      </c>
      <c r="AZ120" s="30">
        <f t="shared" si="13"/>
        <v>4</v>
      </c>
      <c r="BA120" s="30">
        <f t="shared" si="14"/>
        <v>0</v>
      </c>
      <c r="BC120" s="31" t="s">
        <v>1046</v>
      </c>
      <c r="BD120" s="56" t="s">
        <v>825</v>
      </c>
      <c r="BE120" s="47" t="s">
        <v>404</v>
      </c>
      <c r="BF120" s="142" t="s">
        <v>1039</v>
      </c>
      <c r="BG120" s="42" t="s">
        <v>8</v>
      </c>
      <c r="BH120" s="4"/>
      <c r="BI120" s="4"/>
      <c r="BJ120" s="4"/>
      <c r="BK120" s="5"/>
      <c r="BL120" s="5"/>
      <c r="BM120" s="5"/>
      <c r="BN120" s="4"/>
      <c r="BO120" s="4">
        <v>1</v>
      </c>
      <c r="BP120" s="4"/>
      <c r="BQ120" s="13"/>
      <c r="BR120" s="13">
        <v>4</v>
      </c>
      <c r="BS120" s="13"/>
      <c r="BT120" s="13"/>
      <c r="BU120" s="13"/>
      <c r="BV120" s="13"/>
      <c r="BW120" s="4"/>
      <c r="BX120" s="4">
        <v>1</v>
      </c>
      <c r="BY120" s="4"/>
      <c r="BZ120" s="30">
        <f t="shared" si="15"/>
        <v>0</v>
      </c>
      <c r="CA120" s="30">
        <f t="shared" si="16"/>
        <v>6</v>
      </c>
      <c r="CB120" s="30">
        <f t="shared" si="17"/>
        <v>0</v>
      </c>
    </row>
    <row r="121" spans="1:80" ht="15.5" x14ac:dyDescent="0.35">
      <c r="A121" s="31" t="s">
        <v>967</v>
      </c>
      <c r="B121" s="56" t="s">
        <v>753</v>
      </c>
      <c r="C121" s="41" t="s">
        <v>343</v>
      </c>
      <c r="D121" s="141" t="s">
        <v>239</v>
      </c>
      <c r="E121" s="42" t="s">
        <v>6</v>
      </c>
      <c r="F121" s="19">
        <v>1</v>
      </c>
      <c r="G121" s="19">
        <v>2</v>
      </c>
      <c r="H121" s="19"/>
      <c r="I121" s="13"/>
      <c r="J121" s="13">
        <v>5</v>
      </c>
      <c r="K121" s="13"/>
      <c r="L121" s="13"/>
      <c r="M121" s="13">
        <v>2</v>
      </c>
      <c r="N121" s="13"/>
      <c r="O121" s="13"/>
      <c r="P121" s="13">
        <v>3</v>
      </c>
      <c r="Q121" s="13"/>
      <c r="R121" s="13"/>
      <c r="S121" s="13">
        <v>3</v>
      </c>
      <c r="T121" s="13"/>
      <c r="U121" s="13"/>
      <c r="V121" s="13"/>
      <c r="W121" s="13"/>
      <c r="X121" s="30">
        <f t="shared" si="9"/>
        <v>1</v>
      </c>
      <c r="Y121" s="30">
        <f t="shared" si="10"/>
        <v>15</v>
      </c>
      <c r="Z121" s="30">
        <f t="shared" si="11"/>
        <v>0</v>
      </c>
      <c r="AB121" s="31" t="s">
        <v>1026</v>
      </c>
      <c r="AC121" s="56" t="s">
        <v>816</v>
      </c>
      <c r="AD121" s="47" t="s">
        <v>397</v>
      </c>
      <c r="AE121" s="161" t="s">
        <v>240</v>
      </c>
      <c r="AF121" s="42" t="s">
        <v>8</v>
      </c>
      <c r="AG121" s="9">
        <v>1</v>
      </c>
      <c r="AH121" s="9"/>
      <c r="AI121" s="9"/>
      <c r="AJ121" s="9"/>
      <c r="AK121" s="16"/>
      <c r="AL121" s="9"/>
      <c r="AM121" s="9">
        <v>3</v>
      </c>
      <c r="AN121" s="9">
        <v>2</v>
      </c>
      <c r="AO121" s="9"/>
      <c r="AP121" s="15">
        <v>1</v>
      </c>
      <c r="AQ121" s="15"/>
      <c r="AR121" s="15"/>
      <c r="AS121" s="15"/>
      <c r="AT121" s="15">
        <v>2</v>
      </c>
      <c r="AU121" s="15"/>
      <c r="AV121" s="9"/>
      <c r="AW121" s="9"/>
      <c r="AX121" s="9"/>
      <c r="AY121" s="30">
        <f t="shared" si="12"/>
        <v>5</v>
      </c>
      <c r="AZ121" s="30">
        <f t="shared" si="13"/>
        <v>4</v>
      </c>
      <c r="BA121" s="30">
        <f t="shared" si="14"/>
        <v>0</v>
      </c>
      <c r="BC121" s="31" t="s">
        <v>1047</v>
      </c>
      <c r="BD121" s="56" t="s">
        <v>826</v>
      </c>
      <c r="BE121" s="47" t="s">
        <v>827</v>
      </c>
      <c r="BF121" s="142" t="s">
        <v>1039</v>
      </c>
      <c r="BG121" s="42" t="s">
        <v>8</v>
      </c>
      <c r="BH121" s="4"/>
      <c r="BI121" s="4"/>
      <c r="BJ121" s="4"/>
      <c r="BK121" s="4"/>
      <c r="BL121" s="5"/>
      <c r="BM121" s="5"/>
      <c r="BN121" s="4"/>
      <c r="BO121" s="4">
        <v>3</v>
      </c>
      <c r="BP121" s="4"/>
      <c r="BQ121" s="13"/>
      <c r="BR121" s="13">
        <v>1</v>
      </c>
      <c r="BS121" s="13"/>
      <c r="BT121" s="13">
        <v>1</v>
      </c>
      <c r="BU121" s="13">
        <v>1</v>
      </c>
      <c r="BV121" s="13"/>
      <c r="BW121" s="4"/>
      <c r="BX121" s="4"/>
      <c r="BY121" s="4"/>
      <c r="BZ121" s="30">
        <f t="shared" si="15"/>
        <v>1</v>
      </c>
      <c r="CA121" s="30">
        <f t="shared" si="16"/>
        <v>5</v>
      </c>
      <c r="CB121" s="30">
        <f t="shared" si="17"/>
        <v>0</v>
      </c>
    </row>
    <row r="122" spans="1:80" ht="15.5" x14ac:dyDescent="0.35">
      <c r="A122" s="31" t="s">
        <v>968</v>
      </c>
      <c r="B122" s="56" t="s">
        <v>754</v>
      </c>
      <c r="C122" s="41" t="s">
        <v>344</v>
      </c>
      <c r="D122" s="141" t="s">
        <v>239</v>
      </c>
      <c r="E122" s="42" t="s">
        <v>6</v>
      </c>
      <c r="F122" s="19"/>
      <c r="G122" s="19">
        <v>2</v>
      </c>
      <c r="H122" s="19"/>
      <c r="I122" s="13"/>
      <c r="J122" s="14">
        <v>4</v>
      </c>
      <c r="K122" s="13"/>
      <c r="L122" s="13"/>
      <c r="M122" s="13">
        <v>1</v>
      </c>
      <c r="N122" s="13"/>
      <c r="O122" s="13"/>
      <c r="P122" s="13">
        <v>4</v>
      </c>
      <c r="Q122" s="13"/>
      <c r="R122" s="13"/>
      <c r="S122" s="13">
        <v>3</v>
      </c>
      <c r="T122" s="13"/>
      <c r="U122" s="13">
        <v>1</v>
      </c>
      <c r="V122" s="13"/>
      <c r="W122" s="13"/>
      <c r="X122" s="30">
        <f t="shared" si="9"/>
        <v>1</v>
      </c>
      <c r="Y122" s="30">
        <f t="shared" si="10"/>
        <v>14</v>
      </c>
      <c r="Z122" s="30">
        <f t="shared" si="11"/>
        <v>0</v>
      </c>
      <c r="AB122" s="31" t="s">
        <v>1043</v>
      </c>
      <c r="AC122" s="56" t="s">
        <v>822</v>
      </c>
      <c r="AD122" s="47" t="s">
        <v>401</v>
      </c>
      <c r="AE122" s="142" t="s">
        <v>1039</v>
      </c>
      <c r="AF122" s="42" t="s">
        <v>8</v>
      </c>
      <c r="AG122" s="4">
        <v>1</v>
      </c>
      <c r="AH122" s="4"/>
      <c r="AI122" s="4"/>
      <c r="AJ122" s="5"/>
      <c r="AK122" s="5">
        <v>1</v>
      </c>
      <c r="AL122" s="4"/>
      <c r="AM122" s="4">
        <v>1</v>
      </c>
      <c r="AN122" s="4">
        <v>1</v>
      </c>
      <c r="AO122" s="4"/>
      <c r="AP122" s="13"/>
      <c r="AQ122" s="13">
        <v>1</v>
      </c>
      <c r="AR122" s="13"/>
      <c r="AS122" s="148"/>
      <c r="AT122" s="148">
        <v>1</v>
      </c>
      <c r="AU122" s="148"/>
      <c r="AV122" s="4"/>
      <c r="AW122" s="4"/>
      <c r="AX122" s="4"/>
      <c r="AY122" s="30">
        <f t="shared" si="12"/>
        <v>2</v>
      </c>
      <c r="AZ122" s="30">
        <f t="shared" si="13"/>
        <v>4</v>
      </c>
      <c r="BA122" s="30">
        <f t="shared" si="14"/>
        <v>0</v>
      </c>
      <c r="BC122" s="31" t="s">
        <v>1048</v>
      </c>
      <c r="BD122" s="56" t="s">
        <v>828</v>
      </c>
      <c r="BE122" s="47" t="s">
        <v>405</v>
      </c>
      <c r="BF122" s="142" t="s">
        <v>1039</v>
      </c>
      <c r="BG122" s="42" t="s">
        <v>8</v>
      </c>
      <c r="BH122" s="4"/>
      <c r="BI122" s="4">
        <v>3</v>
      </c>
      <c r="BJ122" s="4"/>
      <c r="BK122" s="4">
        <v>1</v>
      </c>
      <c r="BL122" s="5">
        <v>1</v>
      </c>
      <c r="BM122" s="4"/>
      <c r="BN122" s="4">
        <v>1</v>
      </c>
      <c r="BO122" s="4"/>
      <c r="BP122" s="4"/>
      <c r="BQ122" s="13">
        <v>1</v>
      </c>
      <c r="BR122" s="13">
        <v>3</v>
      </c>
      <c r="BS122" s="13"/>
      <c r="BT122" s="13"/>
      <c r="BU122" s="13">
        <v>2</v>
      </c>
      <c r="BV122" s="13"/>
      <c r="BW122" s="4"/>
      <c r="BX122" s="4">
        <v>1</v>
      </c>
      <c r="BY122" s="4"/>
      <c r="BZ122" s="30">
        <f t="shared" si="15"/>
        <v>3</v>
      </c>
      <c r="CA122" s="30">
        <f t="shared" si="16"/>
        <v>10</v>
      </c>
      <c r="CB122" s="30">
        <f t="shared" si="17"/>
        <v>0</v>
      </c>
    </row>
    <row r="123" spans="1:80" ht="15.5" x14ac:dyDescent="0.35">
      <c r="A123" s="31" t="s">
        <v>972</v>
      </c>
      <c r="B123" s="56" t="s">
        <v>758</v>
      </c>
      <c r="C123" s="41" t="s">
        <v>348</v>
      </c>
      <c r="D123" s="141" t="s">
        <v>239</v>
      </c>
      <c r="E123" s="42" t="s">
        <v>6</v>
      </c>
      <c r="F123" s="19"/>
      <c r="G123" s="19">
        <v>2</v>
      </c>
      <c r="H123" s="19"/>
      <c r="I123" s="13"/>
      <c r="J123" s="14">
        <v>1</v>
      </c>
      <c r="K123" s="14"/>
      <c r="L123" s="13"/>
      <c r="M123" s="13"/>
      <c r="N123" s="13"/>
      <c r="O123" s="13">
        <v>1</v>
      </c>
      <c r="P123" s="13">
        <v>4</v>
      </c>
      <c r="Q123" s="13"/>
      <c r="R123" s="13"/>
      <c r="S123" s="13">
        <v>4</v>
      </c>
      <c r="T123" s="13"/>
      <c r="U123" s="13"/>
      <c r="V123" s="13"/>
      <c r="W123" s="13"/>
      <c r="X123" s="30">
        <f t="shared" si="9"/>
        <v>1</v>
      </c>
      <c r="Y123" s="30">
        <f t="shared" si="10"/>
        <v>11</v>
      </c>
      <c r="Z123" s="30">
        <f t="shared" si="11"/>
        <v>0</v>
      </c>
      <c r="AB123" s="31" t="s">
        <v>1052</v>
      </c>
      <c r="AC123" s="56" t="s">
        <v>832</v>
      </c>
      <c r="AD123" s="47" t="s">
        <v>409</v>
      </c>
      <c r="AE123" s="142" t="s">
        <v>1039</v>
      </c>
      <c r="AF123" s="42" t="s">
        <v>6</v>
      </c>
      <c r="AG123" s="4"/>
      <c r="AH123" s="4"/>
      <c r="AI123" s="5"/>
      <c r="AJ123" s="4"/>
      <c r="AK123" s="5">
        <v>3</v>
      </c>
      <c r="AL123" s="5"/>
      <c r="AM123" s="4"/>
      <c r="AN123" s="4"/>
      <c r="AO123" s="4"/>
      <c r="AP123" s="13">
        <v>1</v>
      </c>
      <c r="AQ123" s="13">
        <v>1</v>
      </c>
      <c r="AR123" s="13"/>
      <c r="AS123" s="13">
        <v>1</v>
      </c>
      <c r="AT123" s="13"/>
      <c r="AU123" s="13"/>
      <c r="AV123" s="4"/>
      <c r="AW123" s="4"/>
      <c r="AX123" s="4"/>
      <c r="AY123" s="30">
        <f t="shared" si="12"/>
        <v>2</v>
      </c>
      <c r="AZ123" s="30">
        <f t="shared" si="13"/>
        <v>4</v>
      </c>
      <c r="BA123" s="30">
        <f t="shared" si="14"/>
        <v>0</v>
      </c>
      <c r="BC123" s="31" t="s">
        <v>1049</v>
      </c>
      <c r="BD123" s="56" t="s">
        <v>829</v>
      </c>
      <c r="BE123" s="47" t="s">
        <v>406</v>
      </c>
      <c r="BF123" s="142" t="s">
        <v>1039</v>
      </c>
      <c r="BG123" s="42" t="s">
        <v>8</v>
      </c>
      <c r="BH123" s="4"/>
      <c r="BI123" s="4">
        <v>1</v>
      </c>
      <c r="BJ123" s="4"/>
      <c r="BK123" s="4"/>
      <c r="BL123" s="4"/>
      <c r="BM123" s="5"/>
      <c r="BN123" s="4"/>
      <c r="BO123" s="4"/>
      <c r="BP123" s="4"/>
      <c r="BQ123" s="13"/>
      <c r="BR123" s="13"/>
      <c r="BS123" s="13"/>
      <c r="BT123" s="13"/>
      <c r="BU123" s="13"/>
      <c r="BV123" s="13"/>
      <c r="BW123" s="4"/>
      <c r="BX123" s="4">
        <v>2</v>
      </c>
      <c r="BY123" s="4"/>
      <c r="BZ123" s="30">
        <f t="shared" si="15"/>
        <v>0</v>
      </c>
      <c r="CA123" s="30">
        <f t="shared" si="16"/>
        <v>3</v>
      </c>
      <c r="CB123" s="30">
        <f t="shared" si="17"/>
        <v>0</v>
      </c>
    </row>
    <row r="124" spans="1:80" ht="15.5" x14ac:dyDescent="0.35">
      <c r="A124" s="31" t="s">
        <v>973</v>
      </c>
      <c r="B124" s="56" t="s">
        <v>759</v>
      </c>
      <c r="C124" s="72" t="s">
        <v>349</v>
      </c>
      <c r="D124" s="141" t="s">
        <v>239</v>
      </c>
      <c r="E124" s="42" t="s">
        <v>8</v>
      </c>
      <c r="F124" s="19"/>
      <c r="G124" s="19">
        <v>1</v>
      </c>
      <c r="H124" s="19"/>
      <c r="I124" s="13"/>
      <c r="J124" s="14">
        <v>4</v>
      </c>
      <c r="K124" s="14"/>
      <c r="L124" s="13"/>
      <c r="M124" s="13">
        <v>2</v>
      </c>
      <c r="N124" s="13"/>
      <c r="O124" s="13">
        <v>1</v>
      </c>
      <c r="P124" s="13">
        <v>3</v>
      </c>
      <c r="Q124" s="13"/>
      <c r="R124" s="13"/>
      <c r="S124" s="13">
        <v>2</v>
      </c>
      <c r="T124" s="13">
        <v>1</v>
      </c>
      <c r="U124" s="13"/>
      <c r="V124" s="13"/>
      <c r="W124" s="13">
        <v>1</v>
      </c>
      <c r="X124" s="30">
        <f t="shared" si="9"/>
        <v>1</v>
      </c>
      <c r="Y124" s="30">
        <f t="shared" si="10"/>
        <v>12</v>
      </c>
      <c r="Z124" s="30">
        <f t="shared" si="11"/>
        <v>2</v>
      </c>
      <c r="AB124" s="31" t="s">
        <v>1056</v>
      </c>
      <c r="AC124" s="56" t="s">
        <v>836</v>
      </c>
      <c r="AD124" s="47" t="s">
        <v>413</v>
      </c>
      <c r="AE124" s="142" t="s">
        <v>1039</v>
      </c>
      <c r="AF124" s="42" t="s">
        <v>8</v>
      </c>
      <c r="AG124" s="4"/>
      <c r="AH124" s="4"/>
      <c r="AI124" s="4"/>
      <c r="AJ124" s="4">
        <v>1</v>
      </c>
      <c r="AK124" s="5">
        <v>1</v>
      </c>
      <c r="AL124" s="4">
        <v>1</v>
      </c>
      <c r="AM124" s="4">
        <v>1</v>
      </c>
      <c r="AN124" s="4">
        <v>2</v>
      </c>
      <c r="AO124" s="4"/>
      <c r="AP124" s="13"/>
      <c r="AQ124" s="13">
        <v>1</v>
      </c>
      <c r="AR124" s="13"/>
      <c r="AS124" s="13"/>
      <c r="AT124" s="13"/>
      <c r="AU124" s="13"/>
      <c r="AV124" s="4"/>
      <c r="AW124" s="4"/>
      <c r="AX124" s="4"/>
      <c r="AY124" s="30">
        <f t="shared" si="12"/>
        <v>2</v>
      </c>
      <c r="AZ124" s="30">
        <f t="shared" si="13"/>
        <v>4</v>
      </c>
      <c r="BA124" s="30">
        <f t="shared" si="14"/>
        <v>1</v>
      </c>
      <c r="BC124" s="31" t="s">
        <v>1050</v>
      </c>
      <c r="BD124" s="56" t="s">
        <v>830</v>
      </c>
      <c r="BE124" s="47" t="s">
        <v>407</v>
      </c>
      <c r="BF124" s="142" t="s">
        <v>1039</v>
      </c>
      <c r="BG124" s="42" t="s">
        <v>8</v>
      </c>
      <c r="BH124" s="4"/>
      <c r="BI124" s="4"/>
      <c r="BJ124" s="4"/>
      <c r="BK124" s="4"/>
      <c r="BL124" s="5"/>
      <c r="BM124" s="5"/>
      <c r="BN124" s="4"/>
      <c r="BO124" s="4"/>
      <c r="BP124" s="4"/>
      <c r="BQ124" s="13"/>
      <c r="BR124" s="13"/>
      <c r="BS124" s="13"/>
      <c r="BT124" s="13"/>
      <c r="BU124" s="13"/>
      <c r="BV124" s="13"/>
      <c r="BW124" s="4"/>
      <c r="BX124" s="4"/>
      <c r="BY124" s="4"/>
      <c r="BZ124" s="30">
        <f t="shared" si="15"/>
        <v>0</v>
      </c>
      <c r="CA124" s="30">
        <f t="shared" si="16"/>
        <v>0</v>
      </c>
      <c r="CB124" s="30">
        <f t="shared" si="17"/>
        <v>0</v>
      </c>
    </row>
    <row r="125" spans="1:80" ht="15.5" x14ac:dyDescent="0.35">
      <c r="A125" s="31" t="s">
        <v>990</v>
      </c>
      <c r="B125" s="56" t="s">
        <v>778</v>
      </c>
      <c r="C125" s="47" t="s">
        <v>364</v>
      </c>
      <c r="D125" s="141" t="s">
        <v>239</v>
      </c>
      <c r="E125" s="42" t="s">
        <v>8</v>
      </c>
      <c r="F125" s="19"/>
      <c r="G125" s="13"/>
      <c r="H125" s="13"/>
      <c r="I125" s="13"/>
      <c r="J125" s="14">
        <v>1</v>
      </c>
      <c r="K125" s="13"/>
      <c r="L125" s="13"/>
      <c r="M125" s="13"/>
      <c r="N125" s="13"/>
      <c r="O125" s="13">
        <v>1</v>
      </c>
      <c r="P125" s="13">
        <v>1</v>
      </c>
      <c r="Q125" s="13"/>
      <c r="R125" s="13"/>
      <c r="S125" s="13">
        <v>2</v>
      </c>
      <c r="T125" s="13"/>
      <c r="U125" s="13"/>
      <c r="V125" s="13"/>
      <c r="W125" s="13"/>
      <c r="X125" s="30">
        <f t="shared" si="9"/>
        <v>1</v>
      </c>
      <c r="Y125" s="30">
        <f t="shared" si="10"/>
        <v>4</v>
      </c>
      <c r="Z125" s="30">
        <f t="shared" si="11"/>
        <v>0</v>
      </c>
      <c r="AB125" s="31" t="s">
        <v>1057</v>
      </c>
      <c r="AC125" s="56" t="s">
        <v>837</v>
      </c>
      <c r="AD125" s="47" t="s">
        <v>414</v>
      </c>
      <c r="AE125" s="142" t="s">
        <v>1039</v>
      </c>
      <c r="AF125" s="42" t="s">
        <v>8</v>
      </c>
      <c r="AG125" s="9"/>
      <c r="AH125" s="9">
        <v>1</v>
      </c>
      <c r="AI125" s="9"/>
      <c r="AJ125" s="9">
        <v>1</v>
      </c>
      <c r="AK125" s="16"/>
      <c r="AL125" s="9"/>
      <c r="AM125" s="9"/>
      <c r="AN125" s="9">
        <v>1</v>
      </c>
      <c r="AO125" s="9"/>
      <c r="AP125" s="15"/>
      <c r="AQ125" s="15">
        <v>1</v>
      </c>
      <c r="AR125" s="15"/>
      <c r="AS125" s="13"/>
      <c r="AT125" s="13">
        <v>1</v>
      </c>
      <c r="AU125" s="13"/>
      <c r="AV125" s="9"/>
      <c r="AW125" s="9"/>
      <c r="AX125" s="9"/>
      <c r="AY125" s="30">
        <f t="shared" si="12"/>
        <v>1</v>
      </c>
      <c r="AZ125" s="30">
        <f t="shared" si="13"/>
        <v>4</v>
      </c>
      <c r="BA125" s="30">
        <f t="shared" si="14"/>
        <v>0</v>
      </c>
      <c r="BC125" s="31" t="s">
        <v>1052</v>
      </c>
      <c r="BD125" s="56" t="s">
        <v>832</v>
      </c>
      <c r="BE125" s="47" t="s">
        <v>409</v>
      </c>
      <c r="BF125" s="142" t="s">
        <v>1039</v>
      </c>
      <c r="BG125" s="42" t="s">
        <v>6</v>
      </c>
      <c r="BH125" s="4"/>
      <c r="BI125" s="4"/>
      <c r="BJ125" s="5"/>
      <c r="BK125" s="4"/>
      <c r="BL125" s="5">
        <v>3</v>
      </c>
      <c r="BM125" s="5"/>
      <c r="BN125" s="4"/>
      <c r="BO125" s="4"/>
      <c r="BP125" s="4"/>
      <c r="BQ125" s="13">
        <v>1</v>
      </c>
      <c r="BR125" s="13">
        <v>1</v>
      </c>
      <c r="BS125" s="13"/>
      <c r="BT125" s="13">
        <v>1</v>
      </c>
      <c r="BU125" s="13"/>
      <c r="BV125" s="13"/>
      <c r="BW125" s="4"/>
      <c r="BX125" s="4"/>
      <c r="BY125" s="4"/>
      <c r="BZ125" s="30">
        <f t="shared" si="15"/>
        <v>2</v>
      </c>
      <c r="CA125" s="30">
        <f t="shared" si="16"/>
        <v>4</v>
      </c>
      <c r="CB125" s="30">
        <f t="shared" si="17"/>
        <v>0</v>
      </c>
    </row>
    <row r="126" spans="1:80" ht="15.5" x14ac:dyDescent="0.35">
      <c r="A126" s="31" t="s">
        <v>994</v>
      </c>
      <c r="B126" s="56" t="s">
        <v>782</v>
      </c>
      <c r="C126" s="47" t="s">
        <v>368</v>
      </c>
      <c r="D126" s="141" t="s">
        <v>239</v>
      </c>
      <c r="E126" s="42" t="s">
        <v>8</v>
      </c>
      <c r="F126" s="19"/>
      <c r="G126" s="13">
        <v>2</v>
      </c>
      <c r="H126" s="13"/>
      <c r="I126" s="13"/>
      <c r="J126" s="14">
        <v>2</v>
      </c>
      <c r="K126" s="13"/>
      <c r="L126" s="13"/>
      <c r="M126" s="13">
        <v>1</v>
      </c>
      <c r="N126" s="13"/>
      <c r="O126" s="13">
        <v>1</v>
      </c>
      <c r="P126" s="13">
        <v>2</v>
      </c>
      <c r="Q126" s="13"/>
      <c r="R126" s="13"/>
      <c r="S126" s="13"/>
      <c r="T126" s="13"/>
      <c r="U126" s="13"/>
      <c r="V126" s="13"/>
      <c r="W126" s="13"/>
      <c r="X126" s="30">
        <f t="shared" si="9"/>
        <v>1</v>
      </c>
      <c r="Y126" s="30">
        <f t="shared" si="10"/>
        <v>7</v>
      </c>
      <c r="Z126" s="30">
        <f t="shared" si="11"/>
        <v>0</v>
      </c>
      <c r="AB126" s="31" t="s">
        <v>1063</v>
      </c>
      <c r="AC126" s="56" t="s">
        <v>844</v>
      </c>
      <c r="AD126" s="47" t="s">
        <v>419</v>
      </c>
      <c r="AE126" s="142" t="s">
        <v>1039</v>
      </c>
      <c r="AF126" s="42" t="s">
        <v>8</v>
      </c>
      <c r="AG126" s="4"/>
      <c r="AH126" s="4">
        <v>3</v>
      </c>
      <c r="AI126" s="4"/>
      <c r="AJ126" s="4"/>
      <c r="AK126" s="5"/>
      <c r="AL126" s="4"/>
      <c r="AM126" s="4"/>
      <c r="AN126" s="4"/>
      <c r="AO126" s="4"/>
      <c r="AP126" s="13"/>
      <c r="AQ126" s="13"/>
      <c r="AR126" s="13"/>
      <c r="AS126" s="13"/>
      <c r="AT126" s="13">
        <v>1</v>
      </c>
      <c r="AU126" s="13"/>
      <c r="AV126" s="4"/>
      <c r="AW126" s="4"/>
      <c r="AX126" s="4"/>
      <c r="AY126" s="30">
        <f t="shared" si="12"/>
        <v>0</v>
      </c>
      <c r="AZ126" s="30">
        <f t="shared" si="13"/>
        <v>4</v>
      </c>
      <c r="BA126" s="30">
        <f t="shared" si="14"/>
        <v>0</v>
      </c>
      <c r="BC126" s="31" t="s">
        <v>1053</v>
      </c>
      <c r="BD126" s="56" t="s">
        <v>833</v>
      </c>
      <c r="BE126" s="47" t="s">
        <v>410</v>
      </c>
      <c r="BF126" s="142" t="s">
        <v>1039</v>
      </c>
      <c r="BG126" s="42" t="s">
        <v>8</v>
      </c>
      <c r="BH126" s="4"/>
      <c r="BI126" s="4"/>
      <c r="BJ126" s="4"/>
      <c r="BK126" s="4"/>
      <c r="BL126" s="5"/>
      <c r="BM126" s="4"/>
      <c r="BN126" s="4"/>
      <c r="BO126" s="4"/>
      <c r="BP126" s="4"/>
      <c r="BQ126" s="13"/>
      <c r="BR126" s="13"/>
      <c r="BS126" s="13"/>
      <c r="BT126" s="13"/>
      <c r="BU126" s="13"/>
      <c r="BV126" s="13"/>
      <c r="BW126" s="4"/>
      <c r="BX126" s="4"/>
      <c r="BY126" s="4"/>
      <c r="BZ126" s="30">
        <f t="shared" si="15"/>
        <v>0</v>
      </c>
      <c r="CA126" s="30">
        <f t="shared" si="16"/>
        <v>0</v>
      </c>
      <c r="CB126" s="30">
        <f t="shared" si="17"/>
        <v>0</v>
      </c>
    </row>
    <row r="127" spans="1:80" ht="15.5" x14ac:dyDescent="0.35">
      <c r="A127" s="31" t="s">
        <v>997</v>
      </c>
      <c r="B127" s="56" t="s">
        <v>785</v>
      </c>
      <c r="C127" s="34" t="s">
        <v>308</v>
      </c>
      <c r="D127" s="141" t="s">
        <v>239</v>
      </c>
      <c r="E127" s="35" t="s">
        <v>6</v>
      </c>
      <c r="F127" s="19"/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1</v>
      </c>
      <c r="Q127" s="13"/>
      <c r="R127" s="13">
        <v>1</v>
      </c>
      <c r="S127" s="13">
        <v>2</v>
      </c>
      <c r="T127" s="13"/>
      <c r="U127" s="13"/>
      <c r="V127" s="13"/>
      <c r="W127" s="13"/>
      <c r="X127" s="30">
        <f t="shared" si="9"/>
        <v>1</v>
      </c>
      <c r="Y127" s="30">
        <f t="shared" si="10"/>
        <v>3</v>
      </c>
      <c r="Z127" s="30">
        <f t="shared" si="11"/>
        <v>0</v>
      </c>
      <c r="AB127" s="31" t="s">
        <v>1065</v>
      </c>
      <c r="AC127" s="56" t="s">
        <v>846</v>
      </c>
      <c r="AD127" s="47" t="s">
        <v>421</v>
      </c>
      <c r="AE127" s="142" t="s">
        <v>1039</v>
      </c>
      <c r="AF127" s="42" t="s">
        <v>8</v>
      </c>
      <c r="AG127" s="4"/>
      <c r="AH127" s="4">
        <v>1</v>
      </c>
      <c r="AI127" s="4"/>
      <c r="AJ127" s="4"/>
      <c r="AK127" s="5">
        <v>1</v>
      </c>
      <c r="AL127" s="4"/>
      <c r="AM127" s="4"/>
      <c r="AN127" s="4"/>
      <c r="AO127" s="4"/>
      <c r="AP127" s="13"/>
      <c r="AQ127" s="13">
        <v>1</v>
      </c>
      <c r="AR127" s="13"/>
      <c r="AS127" s="13"/>
      <c r="AT127" s="13">
        <v>1</v>
      </c>
      <c r="AU127" s="13"/>
      <c r="AV127" s="4"/>
      <c r="AW127" s="4"/>
      <c r="AX127" s="4"/>
      <c r="AY127" s="30">
        <f t="shared" si="12"/>
        <v>0</v>
      </c>
      <c r="AZ127" s="30">
        <f t="shared" si="13"/>
        <v>4</v>
      </c>
      <c r="BA127" s="30">
        <f t="shared" si="14"/>
        <v>0</v>
      </c>
      <c r="BC127" s="31" t="s">
        <v>1055</v>
      </c>
      <c r="BD127" s="56" t="s">
        <v>835</v>
      </c>
      <c r="BE127" s="47" t="s">
        <v>412</v>
      </c>
      <c r="BF127" s="142" t="s">
        <v>1039</v>
      </c>
      <c r="BG127" s="42" t="s">
        <v>8</v>
      </c>
      <c r="BH127" s="4"/>
      <c r="BI127" s="4"/>
      <c r="BJ127" s="4"/>
      <c r="BK127" s="4"/>
      <c r="BL127" s="4"/>
      <c r="BM127" s="4"/>
      <c r="BN127" s="4"/>
      <c r="BO127" s="4"/>
      <c r="BP127" s="4"/>
      <c r="BQ127" s="13">
        <v>1</v>
      </c>
      <c r="BR127" s="13"/>
      <c r="BS127" s="13"/>
      <c r="BT127" s="13"/>
      <c r="BU127" s="13"/>
      <c r="BV127" s="13"/>
      <c r="BW127" s="4"/>
      <c r="BX127" s="4"/>
      <c r="BY127" s="4"/>
      <c r="BZ127" s="30">
        <f t="shared" si="15"/>
        <v>1</v>
      </c>
      <c r="CA127" s="30">
        <f t="shared" si="16"/>
        <v>0</v>
      </c>
      <c r="CB127" s="30">
        <f t="shared" si="17"/>
        <v>0</v>
      </c>
    </row>
    <row r="128" spans="1:80" ht="15.5" x14ac:dyDescent="0.35">
      <c r="A128" s="31" t="s">
        <v>1000</v>
      </c>
      <c r="B128" s="56" t="s">
        <v>788</v>
      </c>
      <c r="C128" s="58" t="s">
        <v>373</v>
      </c>
      <c r="D128" s="161" t="s">
        <v>240</v>
      </c>
      <c r="E128" s="42" t="s">
        <v>6</v>
      </c>
      <c r="F128" s="4"/>
      <c r="G128" s="4"/>
      <c r="H128" s="4"/>
      <c r="I128" s="4"/>
      <c r="J128" s="5"/>
      <c r="K128" s="4"/>
      <c r="L128" s="4"/>
      <c r="M128" s="4">
        <v>2</v>
      </c>
      <c r="N128" s="4"/>
      <c r="O128" s="13"/>
      <c r="P128" s="13"/>
      <c r="Q128" s="13"/>
      <c r="R128" s="13">
        <v>1</v>
      </c>
      <c r="S128" s="13">
        <v>1</v>
      </c>
      <c r="T128" s="13"/>
      <c r="U128" s="4"/>
      <c r="V128" s="4"/>
      <c r="W128" s="4"/>
      <c r="X128" s="30">
        <f t="shared" si="9"/>
        <v>1</v>
      </c>
      <c r="Y128" s="30">
        <f t="shared" si="10"/>
        <v>3</v>
      </c>
      <c r="Z128" s="30">
        <f t="shared" si="11"/>
        <v>0</v>
      </c>
      <c r="AB128" s="31" t="s">
        <v>35</v>
      </c>
      <c r="AC128" s="56" t="s">
        <v>645</v>
      </c>
      <c r="AD128" s="36" t="s">
        <v>258</v>
      </c>
      <c r="AE128" s="127" t="s">
        <v>236</v>
      </c>
      <c r="AF128" s="35" t="s">
        <v>6</v>
      </c>
      <c r="AG128" s="3"/>
      <c r="AH128" s="3"/>
      <c r="AI128" s="3"/>
      <c r="AJ128" s="4"/>
      <c r="AK128" s="5">
        <v>1</v>
      </c>
      <c r="AL128" s="5"/>
      <c r="AM128" s="4"/>
      <c r="AN128" s="5">
        <v>2</v>
      </c>
      <c r="AO128" s="4"/>
      <c r="AP128" s="13"/>
      <c r="AQ128" s="14">
        <v>1</v>
      </c>
      <c r="AR128" s="13"/>
      <c r="AS128" s="13"/>
      <c r="AT128" s="14">
        <v>1</v>
      </c>
      <c r="AU128" s="13"/>
      <c r="AV128" s="4"/>
      <c r="AW128" s="5"/>
      <c r="AX128" s="4"/>
      <c r="AY128" s="30">
        <f t="shared" si="12"/>
        <v>0</v>
      </c>
      <c r="AZ128" s="30">
        <f t="shared" si="13"/>
        <v>5</v>
      </c>
      <c r="BA128" s="30">
        <f t="shared" si="14"/>
        <v>0</v>
      </c>
      <c r="BC128" s="31" t="s">
        <v>1057</v>
      </c>
      <c r="BD128" s="56" t="s">
        <v>837</v>
      </c>
      <c r="BE128" s="47" t="s">
        <v>414</v>
      </c>
      <c r="BF128" s="142" t="s">
        <v>1039</v>
      </c>
      <c r="BG128" s="42" t="s">
        <v>8</v>
      </c>
      <c r="BH128" s="9"/>
      <c r="BI128" s="9">
        <v>1</v>
      </c>
      <c r="BJ128" s="9"/>
      <c r="BK128" s="9">
        <v>1</v>
      </c>
      <c r="BL128" s="16"/>
      <c r="BM128" s="9"/>
      <c r="BN128" s="9"/>
      <c r="BO128" s="9">
        <v>1</v>
      </c>
      <c r="BP128" s="9"/>
      <c r="BQ128" s="15"/>
      <c r="BR128" s="15">
        <v>1</v>
      </c>
      <c r="BS128" s="15"/>
      <c r="BT128" s="13"/>
      <c r="BU128" s="13">
        <v>1</v>
      </c>
      <c r="BV128" s="13"/>
      <c r="BW128" s="9"/>
      <c r="BX128" s="9"/>
      <c r="BY128" s="9"/>
      <c r="BZ128" s="30">
        <f t="shared" si="15"/>
        <v>1</v>
      </c>
      <c r="CA128" s="30">
        <f t="shared" si="16"/>
        <v>4</v>
      </c>
      <c r="CB128" s="30">
        <f t="shared" si="17"/>
        <v>0</v>
      </c>
    </row>
    <row r="129" spans="1:80" ht="15.5" x14ac:dyDescent="0.35">
      <c r="A129" s="31" t="s">
        <v>1001</v>
      </c>
      <c r="B129" s="56" t="s">
        <v>789</v>
      </c>
      <c r="C129" s="47" t="s">
        <v>374</v>
      </c>
      <c r="D129" s="161" t="s">
        <v>240</v>
      </c>
      <c r="E129" s="42" t="s">
        <v>8</v>
      </c>
      <c r="F129" s="4"/>
      <c r="G129" s="4"/>
      <c r="H129" s="4"/>
      <c r="I129" s="5"/>
      <c r="J129" s="5"/>
      <c r="K129" s="4"/>
      <c r="L129" s="4"/>
      <c r="M129" s="4">
        <v>2</v>
      </c>
      <c r="N129" s="4"/>
      <c r="O129" s="13"/>
      <c r="P129" s="13">
        <v>2</v>
      </c>
      <c r="Q129" s="13"/>
      <c r="R129" s="13">
        <v>1</v>
      </c>
      <c r="S129" s="13">
        <v>1</v>
      </c>
      <c r="T129" s="13"/>
      <c r="U129" s="4"/>
      <c r="V129" s="4"/>
      <c r="W129" s="4"/>
      <c r="X129" s="30">
        <f t="shared" si="9"/>
        <v>1</v>
      </c>
      <c r="Y129" s="30">
        <f t="shared" si="10"/>
        <v>5</v>
      </c>
      <c r="Z129" s="30">
        <f t="shared" si="11"/>
        <v>0</v>
      </c>
      <c r="AB129" s="31" t="s">
        <v>49</v>
      </c>
      <c r="AC129" s="56" t="s">
        <v>662</v>
      </c>
      <c r="AD129" s="45" t="s">
        <v>269</v>
      </c>
      <c r="AE129" s="127" t="s">
        <v>236</v>
      </c>
      <c r="AF129" s="35" t="s">
        <v>6</v>
      </c>
      <c r="AG129" s="3"/>
      <c r="AH129" s="4"/>
      <c r="AI129" s="3"/>
      <c r="AJ129" s="5"/>
      <c r="AK129" s="4">
        <v>2</v>
      </c>
      <c r="AL129" s="5"/>
      <c r="AM129" s="4"/>
      <c r="AN129" s="4">
        <v>2</v>
      </c>
      <c r="AO129" s="4"/>
      <c r="AP129" s="13"/>
      <c r="AQ129" s="14"/>
      <c r="AR129" s="13"/>
      <c r="AS129" s="13"/>
      <c r="AT129" s="14">
        <v>1</v>
      </c>
      <c r="AU129" s="13"/>
      <c r="AV129" s="4"/>
      <c r="AW129" s="5"/>
      <c r="AX129" s="4"/>
      <c r="AY129" s="30">
        <f t="shared" si="12"/>
        <v>0</v>
      </c>
      <c r="AZ129" s="30">
        <f t="shared" si="13"/>
        <v>5</v>
      </c>
      <c r="BA129" s="30">
        <f t="shared" si="14"/>
        <v>0</v>
      </c>
      <c r="BC129" s="31" t="s">
        <v>1059</v>
      </c>
      <c r="BD129" s="56" t="s">
        <v>839</v>
      </c>
      <c r="BE129" s="47" t="s">
        <v>416</v>
      </c>
      <c r="BF129" s="142" t="s">
        <v>1039</v>
      </c>
      <c r="BG129" s="42" t="s">
        <v>8</v>
      </c>
      <c r="BH129" s="4"/>
      <c r="BI129" s="4">
        <v>2</v>
      </c>
      <c r="BJ129" s="4"/>
      <c r="BK129" s="5"/>
      <c r="BL129" s="5">
        <v>1</v>
      </c>
      <c r="BM129" s="5"/>
      <c r="BN129" s="4"/>
      <c r="BO129" s="4"/>
      <c r="BP129" s="4"/>
      <c r="BQ129" s="13">
        <v>1</v>
      </c>
      <c r="BR129" s="13"/>
      <c r="BS129" s="13"/>
      <c r="BT129" s="13"/>
      <c r="BU129" s="13"/>
      <c r="BV129" s="13"/>
      <c r="BW129" s="4"/>
      <c r="BX129" s="4">
        <v>2</v>
      </c>
      <c r="BY129" s="4"/>
      <c r="BZ129" s="30">
        <f t="shared" si="15"/>
        <v>1</v>
      </c>
      <c r="CA129" s="30">
        <f t="shared" si="16"/>
        <v>5</v>
      </c>
      <c r="CB129" s="30">
        <f t="shared" si="17"/>
        <v>0</v>
      </c>
    </row>
    <row r="130" spans="1:80" ht="15.5" x14ac:dyDescent="0.35">
      <c r="A130" s="31" t="s">
        <v>1013</v>
      </c>
      <c r="B130" s="56" t="s">
        <v>801</v>
      </c>
      <c r="C130" s="58" t="s">
        <v>386</v>
      </c>
      <c r="D130" s="161" t="s">
        <v>240</v>
      </c>
      <c r="E130" s="42" t="s">
        <v>8</v>
      </c>
      <c r="F130" s="4"/>
      <c r="G130" s="4">
        <v>2</v>
      </c>
      <c r="H130" s="4"/>
      <c r="I130" s="4">
        <v>1</v>
      </c>
      <c r="J130" s="5">
        <v>3</v>
      </c>
      <c r="K130" s="4"/>
      <c r="L130" s="4"/>
      <c r="M130" s="4">
        <v>3</v>
      </c>
      <c r="N130" s="4"/>
      <c r="O130" s="13"/>
      <c r="P130" s="13">
        <v>3</v>
      </c>
      <c r="Q130" s="13"/>
      <c r="R130" s="13"/>
      <c r="S130" s="13">
        <v>1</v>
      </c>
      <c r="T130" s="13"/>
      <c r="U130" s="4"/>
      <c r="V130" s="4">
        <v>1</v>
      </c>
      <c r="W130" s="4"/>
      <c r="X130" s="30">
        <f t="shared" si="9"/>
        <v>1</v>
      </c>
      <c r="Y130" s="30">
        <f t="shared" si="10"/>
        <v>13</v>
      </c>
      <c r="Z130" s="30">
        <f t="shared" si="11"/>
        <v>0</v>
      </c>
      <c r="AB130" s="31" t="s">
        <v>903</v>
      </c>
      <c r="AC130" s="69" t="s">
        <v>679</v>
      </c>
      <c r="AD130" s="54" t="s">
        <v>680</v>
      </c>
      <c r="AE130" s="127" t="s">
        <v>236</v>
      </c>
      <c r="AF130" s="35" t="s">
        <v>6</v>
      </c>
      <c r="AG130" s="3"/>
      <c r="AH130" s="4"/>
      <c r="AI130" s="3">
        <v>1</v>
      </c>
      <c r="AJ130" s="5">
        <v>1</v>
      </c>
      <c r="AK130" s="4">
        <v>1</v>
      </c>
      <c r="AL130" s="5">
        <v>1</v>
      </c>
      <c r="AM130" s="4">
        <v>3</v>
      </c>
      <c r="AN130" s="4">
        <v>1</v>
      </c>
      <c r="AO130" s="4">
        <v>2</v>
      </c>
      <c r="AP130" s="13"/>
      <c r="AQ130" s="14"/>
      <c r="AR130" s="13">
        <v>4</v>
      </c>
      <c r="AS130" s="13"/>
      <c r="AT130" s="14">
        <v>3</v>
      </c>
      <c r="AU130" s="13"/>
      <c r="AV130" s="4"/>
      <c r="AW130" s="5"/>
      <c r="AX130" s="4">
        <v>2</v>
      </c>
      <c r="AY130" s="30">
        <f t="shared" si="12"/>
        <v>4</v>
      </c>
      <c r="AZ130" s="30">
        <f t="shared" si="13"/>
        <v>5</v>
      </c>
      <c r="BA130" s="30">
        <f t="shared" si="14"/>
        <v>10</v>
      </c>
      <c r="BC130" s="31" t="s">
        <v>1060</v>
      </c>
      <c r="BD130" s="56" t="s">
        <v>840</v>
      </c>
      <c r="BE130" s="47" t="s">
        <v>417</v>
      </c>
      <c r="BF130" s="142" t="s">
        <v>1039</v>
      </c>
      <c r="BG130" s="42" t="s">
        <v>8</v>
      </c>
      <c r="BH130" s="4"/>
      <c r="BI130" s="4"/>
      <c r="BJ130" s="4"/>
      <c r="BK130" s="4">
        <v>1</v>
      </c>
      <c r="BL130" s="5"/>
      <c r="BM130" s="5"/>
      <c r="BN130" s="4"/>
      <c r="BO130" s="4"/>
      <c r="BP130" s="4"/>
      <c r="BQ130" s="13"/>
      <c r="BR130" s="13">
        <v>1</v>
      </c>
      <c r="BS130" s="13"/>
      <c r="BT130" s="13">
        <v>1</v>
      </c>
      <c r="BU130" s="13"/>
      <c r="BV130" s="13"/>
      <c r="BW130" s="4"/>
      <c r="BX130" s="4"/>
      <c r="BY130" s="4"/>
      <c r="BZ130" s="30">
        <f t="shared" si="15"/>
        <v>2</v>
      </c>
      <c r="CA130" s="30">
        <f t="shared" si="16"/>
        <v>1</v>
      </c>
      <c r="CB130" s="30">
        <f t="shared" si="17"/>
        <v>0</v>
      </c>
    </row>
    <row r="131" spans="1:80" ht="15.5" x14ac:dyDescent="0.35">
      <c r="A131" s="31" t="s">
        <v>1014</v>
      </c>
      <c r="B131" s="56" t="s">
        <v>802</v>
      </c>
      <c r="C131" s="47" t="s">
        <v>387</v>
      </c>
      <c r="D131" s="161" t="s">
        <v>240</v>
      </c>
      <c r="E131" s="42" t="s">
        <v>6</v>
      </c>
      <c r="F131" s="4">
        <v>1</v>
      </c>
      <c r="G131" s="5"/>
      <c r="H131" s="4"/>
      <c r="I131" s="4"/>
      <c r="J131" s="4"/>
      <c r="K131" s="4"/>
      <c r="L131" s="4"/>
      <c r="M131" s="4"/>
      <c r="N131" s="4"/>
      <c r="O131" s="13"/>
      <c r="P131" s="13"/>
      <c r="Q131" s="13"/>
      <c r="R131" s="13"/>
      <c r="S131" s="13"/>
      <c r="T131" s="13"/>
      <c r="U131" s="4"/>
      <c r="V131" s="4"/>
      <c r="W131" s="4"/>
      <c r="X131" s="30">
        <f t="shared" si="9"/>
        <v>1</v>
      </c>
      <c r="Y131" s="30">
        <f t="shared" si="10"/>
        <v>0</v>
      </c>
      <c r="Z131" s="30">
        <f t="shared" si="11"/>
        <v>0</v>
      </c>
      <c r="AB131" s="31" t="s">
        <v>913</v>
      </c>
      <c r="AC131" s="56" t="s">
        <v>691</v>
      </c>
      <c r="AD131" s="36" t="s">
        <v>293</v>
      </c>
      <c r="AE131" s="127" t="s">
        <v>237</v>
      </c>
      <c r="AF131" s="35" t="s">
        <v>6</v>
      </c>
      <c r="AG131" s="3"/>
      <c r="AH131" s="3"/>
      <c r="AI131" s="3"/>
      <c r="AJ131" s="5"/>
      <c r="AK131" s="5">
        <v>2</v>
      </c>
      <c r="AL131" s="4"/>
      <c r="AM131" s="4"/>
      <c r="AN131" s="5"/>
      <c r="AO131" s="4"/>
      <c r="AP131" s="13"/>
      <c r="AQ131" s="5">
        <v>3</v>
      </c>
      <c r="AR131" s="4"/>
      <c r="AS131" s="13"/>
      <c r="AT131" s="14"/>
      <c r="AU131" s="13"/>
      <c r="AV131" s="4"/>
      <c r="AW131" s="5"/>
      <c r="AX131" s="4"/>
      <c r="AY131" s="30">
        <f t="shared" si="12"/>
        <v>0</v>
      </c>
      <c r="AZ131" s="30">
        <f t="shared" si="13"/>
        <v>5</v>
      </c>
      <c r="BA131" s="30">
        <f t="shared" si="14"/>
        <v>0</v>
      </c>
      <c r="BC131" s="31" t="s">
        <v>1061</v>
      </c>
      <c r="BD131" s="56" t="s">
        <v>841</v>
      </c>
      <c r="BE131" s="47" t="s">
        <v>418</v>
      </c>
      <c r="BF131" s="142" t="s">
        <v>1039</v>
      </c>
      <c r="BG131" s="42" t="s">
        <v>6</v>
      </c>
      <c r="BH131" s="4"/>
      <c r="BI131" s="4"/>
      <c r="BJ131" s="4"/>
      <c r="BK131" s="4"/>
      <c r="BL131" s="4"/>
      <c r="BM131" s="4"/>
      <c r="BN131" s="4"/>
      <c r="BO131" s="4"/>
      <c r="BP131" s="4"/>
      <c r="BQ131" s="13"/>
      <c r="BR131" s="13"/>
      <c r="BS131" s="13"/>
      <c r="BT131" s="13"/>
      <c r="BU131" s="13"/>
      <c r="BV131" s="13"/>
      <c r="BW131" s="4"/>
      <c r="BX131" s="4"/>
      <c r="BY131" s="4"/>
      <c r="BZ131" s="30">
        <f t="shared" si="15"/>
        <v>0</v>
      </c>
      <c r="CA131" s="30">
        <f t="shared" si="16"/>
        <v>0</v>
      </c>
      <c r="CB131" s="30">
        <f t="shared" si="17"/>
        <v>0</v>
      </c>
    </row>
    <row r="132" spans="1:80" ht="15.5" x14ac:dyDescent="0.35">
      <c r="A132" s="31" t="s">
        <v>1015</v>
      </c>
      <c r="B132" s="56" t="s">
        <v>803</v>
      </c>
      <c r="C132" s="47" t="s">
        <v>388</v>
      </c>
      <c r="D132" s="161" t="s">
        <v>240</v>
      </c>
      <c r="E132" s="42" t="s">
        <v>6</v>
      </c>
      <c r="F132" s="4"/>
      <c r="G132" s="4">
        <v>2</v>
      </c>
      <c r="H132" s="4">
        <v>4</v>
      </c>
      <c r="I132" s="4">
        <v>1</v>
      </c>
      <c r="J132" s="5">
        <v>1</v>
      </c>
      <c r="K132" s="4">
        <v>20</v>
      </c>
      <c r="L132" s="4"/>
      <c r="M132" s="4">
        <v>2</v>
      </c>
      <c r="N132" s="4"/>
      <c r="O132" s="13"/>
      <c r="P132" s="13"/>
      <c r="Q132" s="13"/>
      <c r="R132" s="13"/>
      <c r="S132" s="13"/>
      <c r="T132" s="13">
        <v>2</v>
      </c>
      <c r="U132" s="4"/>
      <c r="V132" s="4"/>
      <c r="W132" s="4"/>
      <c r="X132" s="30">
        <f t="shared" ref="X132:X195" si="18">SUM(F132,I132,L132,O132,R132,U132)</f>
        <v>1</v>
      </c>
      <c r="Y132" s="30">
        <f t="shared" ref="Y132:Y195" si="19">SUM(G132,J132,M132,P132,S132,V132)</f>
        <v>5</v>
      </c>
      <c r="Z132" s="30">
        <f t="shared" ref="Z132:Z195" si="20">SUM(H132,K132,N132,Q132,T132,W132)</f>
        <v>26</v>
      </c>
      <c r="AB132" s="31" t="s">
        <v>916</v>
      </c>
      <c r="AC132" s="56" t="s">
        <v>695</v>
      </c>
      <c r="AD132" s="43" t="s">
        <v>296</v>
      </c>
      <c r="AE132" s="127" t="s">
        <v>237</v>
      </c>
      <c r="AF132" s="35" t="s">
        <v>6</v>
      </c>
      <c r="AG132" s="3"/>
      <c r="AH132" s="3"/>
      <c r="AI132" s="3"/>
      <c r="AJ132" s="5"/>
      <c r="AK132" s="5">
        <v>1</v>
      </c>
      <c r="AL132" s="4"/>
      <c r="AM132" s="4"/>
      <c r="AN132" s="5">
        <v>1</v>
      </c>
      <c r="AO132" s="4"/>
      <c r="AP132" s="13"/>
      <c r="AQ132" s="5">
        <v>2</v>
      </c>
      <c r="AR132" s="4"/>
      <c r="AS132" s="13"/>
      <c r="AT132" s="14">
        <v>1</v>
      </c>
      <c r="AU132" s="13"/>
      <c r="AV132" s="4"/>
      <c r="AW132" s="5"/>
      <c r="AX132" s="4"/>
      <c r="AY132" s="30">
        <f t="shared" ref="AY132:AY195" si="21">SUM(AG132,AJ132,AM132,AP132,AS132,AV132)</f>
        <v>0</v>
      </c>
      <c r="AZ132" s="30">
        <f t="shared" ref="AZ132:AZ195" si="22">SUM(AH132,AK132,AN132,AQ132,AT132,AW132)</f>
        <v>5</v>
      </c>
      <c r="BA132" s="30">
        <f t="shared" ref="BA132:BA195" si="23">SUM(AI132,AL132,AO132,AR132,AU132,AX132)</f>
        <v>0</v>
      </c>
      <c r="BC132" s="31" t="s">
        <v>1062</v>
      </c>
      <c r="BD132" s="56" t="s">
        <v>842</v>
      </c>
      <c r="BE132" s="47" t="s">
        <v>843</v>
      </c>
      <c r="BF132" s="142" t="s">
        <v>1039</v>
      </c>
      <c r="BG132" s="42" t="s">
        <v>8</v>
      </c>
      <c r="BH132" s="4"/>
      <c r="BI132" s="4"/>
      <c r="BJ132" s="4"/>
      <c r="BK132" s="4"/>
      <c r="BL132" s="5"/>
      <c r="BM132" s="4"/>
      <c r="BN132" s="4">
        <v>1</v>
      </c>
      <c r="BO132" s="4"/>
      <c r="BP132" s="4"/>
      <c r="BQ132" s="13"/>
      <c r="BR132" s="13">
        <v>1</v>
      </c>
      <c r="BS132" s="13"/>
      <c r="BT132" s="13">
        <v>1</v>
      </c>
      <c r="BU132" s="13"/>
      <c r="BV132" s="13"/>
      <c r="BW132" s="4"/>
      <c r="BX132" s="4"/>
      <c r="BY132" s="4"/>
      <c r="BZ132" s="30">
        <f t="shared" ref="BZ132:BZ195" si="24">SUM(BH132,BK132,BN132,BQ132,BT132,BW132)</f>
        <v>2</v>
      </c>
      <c r="CA132" s="30">
        <f t="shared" ref="CA132:CA195" si="25">SUM(BI132,BL132,BO132,BR132,BU132,BX132)</f>
        <v>1</v>
      </c>
      <c r="CB132" s="30">
        <f t="shared" ref="CB132:CB195" si="26">SUM(BJ132,BM132,BP132,BS132,BV132,BY132)</f>
        <v>0</v>
      </c>
    </row>
    <row r="133" spans="1:80" ht="15.5" x14ac:dyDescent="0.35">
      <c r="A133" s="31" t="s">
        <v>1042</v>
      </c>
      <c r="B133" s="56" t="s">
        <v>740</v>
      </c>
      <c r="C133" s="41" t="s">
        <v>336</v>
      </c>
      <c r="D133" s="161" t="s">
        <v>240</v>
      </c>
      <c r="E133" s="42" t="s">
        <v>8</v>
      </c>
      <c r="F133" s="19"/>
      <c r="G133" s="19">
        <v>1</v>
      </c>
      <c r="H133" s="19"/>
      <c r="I133" s="13">
        <v>1</v>
      </c>
      <c r="J133" s="14">
        <v>2</v>
      </c>
      <c r="K133" s="13"/>
      <c r="L133" s="13"/>
      <c r="M133" s="13"/>
      <c r="N133" s="13"/>
      <c r="O133" s="13"/>
      <c r="P133" s="13"/>
      <c r="Q133" s="13"/>
      <c r="R133" s="13"/>
      <c r="S133" s="13">
        <v>4</v>
      </c>
      <c r="T133" s="13"/>
      <c r="U133" s="13"/>
      <c r="V133" s="13"/>
      <c r="W133" s="13"/>
      <c r="X133" s="30">
        <f t="shared" si="18"/>
        <v>1</v>
      </c>
      <c r="Y133" s="30">
        <f t="shared" si="19"/>
        <v>7</v>
      </c>
      <c r="Z133" s="30">
        <f t="shared" si="20"/>
        <v>0</v>
      </c>
      <c r="AB133" s="31" t="s">
        <v>920</v>
      </c>
      <c r="AC133" s="56" t="s">
        <v>699</v>
      </c>
      <c r="AD133" s="43" t="s">
        <v>300</v>
      </c>
      <c r="AE133" s="127" t="s">
        <v>237</v>
      </c>
      <c r="AF133" s="35" t="s">
        <v>6</v>
      </c>
      <c r="AG133" s="3"/>
      <c r="AH133" s="3">
        <v>1</v>
      </c>
      <c r="AI133" s="3"/>
      <c r="AJ133" s="5"/>
      <c r="AK133" s="5">
        <v>1</v>
      </c>
      <c r="AL133" s="4"/>
      <c r="AM133" s="4"/>
      <c r="AN133" s="5"/>
      <c r="AO133" s="4"/>
      <c r="AP133" s="13"/>
      <c r="AQ133" s="5">
        <v>2</v>
      </c>
      <c r="AR133" s="4"/>
      <c r="AS133" s="13"/>
      <c r="AT133" s="14">
        <v>1</v>
      </c>
      <c r="AU133" s="13"/>
      <c r="AV133" s="4"/>
      <c r="AW133" s="5"/>
      <c r="AX133" s="4"/>
      <c r="AY133" s="30">
        <f t="shared" si="21"/>
        <v>0</v>
      </c>
      <c r="AZ133" s="30">
        <f t="shared" si="22"/>
        <v>5</v>
      </c>
      <c r="BA133" s="30">
        <f t="shared" si="23"/>
        <v>0</v>
      </c>
      <c r="BC133" s="31" t="s">
        <v>1063</v>
      </c>
      <c r="BD133" s="56" t="s">
        <v>844</v>
      </c>
      <c r="BE133" s="47" t="s">
        <v>419</v>
      </c>
      <c r="BF133" s="142" t="s">
        <v>1039</v>
      </c>
      <c r="BG133" s="42" t="s">
        <v>8</v>
      </c>
      <c r="BH133" s="4"/>
      <c r="BI133" s="4">
        <v>3</v>
      </c>
      <c r="BJ133" s="4"/>
      <c r="BK133" s="4"/>
      <c r="BL133" s="5"/>
      <c r="BM133" s="4"/>
      <c r="BN133" s="4"/>
      <c r="BO133" s="4"/>
      <c r="BP133" s="4"/>
      <c r="BQ133" s="13"/>
      <c r="BR133" s="13"/>
      <c r="BS133" s="13"/>
      <c r="BT133" s="13"/>
      <c r="BU133" s="13">
        <v>1</v>
      </c>
      <c r="BV133" s="13"/>
      <c r="BW133" s="4"/>
      <c r="BX133" s="4"/>
      <c r="BY133" s="4"/>
      <c r="BZ133" s="30">
        <f t="shared" si="24"/>
        <v>0</v>
      </c>
      <c r="CA133" s="30">
        <f t="shared" si="25"/>
        <v>4</v>
      </c>
      <c r="CB133" s="30">
        <f t="shared" si="26"/>
        <v>0</v>
      </c>
    </row>
    <row r="134" spans="1:80" ht="15.5" x14ac:dyDescent="0.35">
      <c r="A134" s="31" t="s">
        <v>1044</v>
      </c>
      <c r="B134" s="56" t="s">
        <v>823</v>
      </c>
      <c r="C134" s="47" t="s">
        <v>402</v>
      </c>
      <c r="D134" s="142" t="s">
        <v>1039</v>
      </c>
      <c r="E134" s="42" t="s">
        <v>8</v>
      </c>
      <c r="F134" s="4"/>
      <c r="G134" s="4"/>
      <c r="H134" s="4"/>
      <c r="I134" s="4">
        <v>1</v>
      </c>
      <c r="J134" s="5"/>
      <c r="K134" s="4"/>
      <c r="L134" s="4"/>
      <c r="M134" s="4">
        <v>1</v>
      </c>
      <c r="N134" s="4"/>
      <c r="O134" s="13"/>
      <c r="P134" s="13">
        <v>4</v>
      </c>
      <c r="Q134" s="13"/>
      <c r="R134" s="13"/>
      <c r="S134" s="13"/>
      <c r="T134" s="13"/>
      <c r="U134" s="4"/>
      <c r="V134" s="4"/>
      <c r="W134" s="4"/>
      <c r="X134" s="30">
        <f t="shared" si="18"/>
        <v>1</v>
      </c>
      <c r="Y134" s="30">
        <f t="shared" si="19"/>
        <v>5</v>
      </c>
      <c r="Z134" s="30">
        <f t="shared" si="20"/>
        <v>0</v>
      </c>
      <c r="AB134" s="31" t="s">
        <v>974</v>
      </c>
      <c r="AC134" s="56" t="s">
        <v>760</v>
      </c>
      <c r="AD134" s="73" t="s">
        <v>350</v>
      </c>
      <c r="AE134" s="141" t="s">
        <v>239</v>
      </c>
      <c r="AF134" s="42" t="s">
        <v>6</v>
      </c>
      <c r="AG134" s="19"/>
      <c r="AH134" s="13"/>
      <c r="AI134" s="14"/>
      <c r="AJ134" s="13"/>
      <c r="AK134" s="14"/>
      <c r="AL134" s="14"/>
      <c r="AM134" s="13"/>
      <c r="AN134" s="13"/>
      <c r="AO134" s="13"/>
      <c r="AP134" s="13"/>
      <c r="AQ134" s="13">
        <v>1</v>
      </c>
      <c r="AR134" s="13"/>
      <c r="AS134" s="13"/>
      <c r="AT134" s="13">
        <v>4</v>
      </c>
      <c r="AU134" s="13"/>
      <c r="AV134" s="13"/>
      <c r="AW134" s="13"/>
      <c r="AX134" s="13"/>
      <c r="AY134" s="30">
        <f t="shared" si="21"/>
        <v>0</v>
      </c>
      <c r="AZ134" s="30">
        <f t="shared" si="22"/>
        <v>5</v>
      </c>
      <c r="BA134" s="30">
        <f t="shared" si="23"/>
        <v>0</v>
      </c>
      <c r="BC134" s="31" t="s">
        <v>1064</v>
      </c>
      <c r="BD134" s="56" t="s">
        <v>845</v>
      </c>
      <c r="BE134" s="47" t="s">
        <v>420</v>
      </c>
      <c r="BF134" s="142" t="s">
        <v>1039</v>
      </c>
      <c r="BG134" s="42" t="s">
        <v>8</v>
      </c>
      <c r="BH134" s="4"/>
      <c r="BI134" s="4"/>
      <c r="BJ134" s="4"/>
      <c r="BK134" s="4">
        <v>3</v>
      </c>
      <c r="BL134" s="4">
        <v>1</v>
      </c>
      <c r="BM134" s="4"/>
      <c r="BN134" s="4"/>
      <c r="BO134" s="4"/>
      <c r="BP134" s="4"/>
      <c r="BQ134" s="13"/>
      <c r="BR134" s="13">
        <v>3</v>
      </c>
      <c r="BS134" s="13"/>
      <c r="BT134" s="13"/>
      <c r="BU134" s="13">
        <v>1</v>
      </c>
      <c r="BV134" s="13"/>
      <c r="BW134" s="4">
        <v>1</v>
      </c>
      <c r="BX134" s="4"/>
      <c r="BY134" s="4"/>
      <c r="BZ134" s="30">
        <f t="shared" si="24"/>
        <v>4</v>
      </c>
      <c r="CA134" s="30">
        <f t="shared" si="25"/>
        <v>5</v>
      </c>
      <c r="CB134" s="30">
        <f t="shared" si="26"/>
        <v>0</v>
      </c>
    </row>
    <row r="135" spans="1:80" ht="15.5" x14ac:dyDescent="0.35">
      <c r="A135" s="31" t="s">
        <v>1047</v>
      </c>
      <c r="B135" s="56" t="s">
        <v>826</v>
      </c>
      <c r="C135" s="47" t="s">
        <v>827</v>
      </c>
      <c r="D135" s="142" t="s">
        <v>1039</v>
      </c>
      <c r="E135" s="42" t="s">
        <v>8</v>
      </c>
      <c r="F135" s="4"/>
      <c r="G135" s="4"/>
      <c r="H135" s="4"/>
      <c r="I135" s="4"/>
      <c r="J135" s="5"/>
      <c r="K135" s="5"/>
      <c r="L135" s="4"/>
      <c r="M135" s="4">
        <v>3</v>
      </c>
      <c r="N135" s="4"/>
      <c r="O135" s="13"/>
      <c r="P135" s="13">
        <v>1</v>
      </c>
      <c r="Q135" s="13"/>
      <c r="R135" s="13">
        <v>1</v>
      </c>
      <c r="S135" s="13">
        <v>1</v>
      </c>
      <c r="T135" s="13"/>
      <c r="U135" s="4"/>
      <c r="V135" s="4"/>
      <c r="W135" s="4"/>
      <c r="X135" s="30">
        <f t="shared" si="18"/>
        <v>1</v>
      </c>
      <c r="Y135" s="30">
        <f t="shared" si="19"/>
        <v>5</v>
      </c>
      <c r="Z135" s="30">
        <f t="shared" si="20"/>
        <v>0</v>
      </c>
      <c r="AB135" s="31" t="s">
        <v>1001</v>
      </c>
      <c r="AC135" s="56" t="s">
        <v>789</v>
      </c>
      <c r="AD135" s="47" t="s">
        <v>374</v>
      </c>
      <c r="AE135" s="161" t="s">
        <v>240</v>
      </c>
      <c r="AF135" s="42" t="s">
        <v>8</v>
      </c>
      <c r="AG135" s="4"/>
      <c r="AH135" s="4"/>
      <c r="AI135" s="4"/>
      <c r="AJ135" s="5"/>
      <c r="AK135" s="5"/>
      <c r="AL135" s="4"/>
      <c r="AM135" s="4"/>
      <c r="AN135" s="4">
        <v>2</v>
      </c>
      <c r="AO135" s="4"/>
      <c r="AP135" s="13"/>
      <c r="AQ135" s="13">
        <v>2</v>
      </c>
      <c r="AR135" s="13"/>
      <c r="AS135" s="13">
        <v>1</v>
      </c>
      <c r="AT135" s="13">
        <v>1</v>
      </c>
      <c r="AU135" s="13"/>
      <c r="AV135" s="4"/>
      <c r="AW135" s="4"/>
      <c r="AX135" s="4"/>
      <c r="AY135" s="30">
        <f t="shared" si="21"/>
        <v>1</v>
      </c>
      <c r="AZ135" s="30">
        <f t="shared" si="22"/>
        <v>5</v>
      </c>
      <c r="BA135" s="30">
        <f t="shared" si="23"/>
        <v>0</v>
      </c>
      <c r="BC135" s="31" t="s">
        <v>1065</v>
      </c>
      <c r="BD135" s="56" t="s">
        <v>846</v>
      </c>
      <c r="BE135" s="47" t="s">
        <v>421</v>
      </c>
      <c r="BF135" s="142" t="s">
        <v>1039</v>
      </c>
      <c r="BG135" s="42" t="s">
        <v>8</v>
      </c>
      <c r="BH135" s="4"/>
      <c r="BI135" s="4">
        <v>1</v>
      </c>
      <c r="BJ135" s="4"/>
      <c r="BK135" s="4"/>
      <c r="BL135" s="5">
        <v>1</v>
      </c>
      <c r="BM135" s="4"/>
      <c r="BN135" s="4"/>
      <c r="BO135" s="4"/>
      <c r="BP135" s="4"/>
      <c r="BQ135" s="13"/>
      <c r="BR135" s="13">
        <v>1</v>
      </c>
      <c r="BS135" s="13"/>
      <c r="BT135" s="13"/>
      <c r="BU135" s="13">
        <v>1</v>
      </c>
      <c r="BV135" s="13"/>
      <c r="BW135" s="4"/>
      <c r="BX135" s="4"/>
      <c r="BY135" s="4"/>
      <c r="BZ135" s="30">
        <f t="shared" si="24"/>
        <v>0</v>
      </c>
      <c r="CA135" s="30">
        <f t="shared" si="25"/>
        <v>4</v>
      </c>
      <c r="CB135" s="30">
        <f t="shared" si="26"/>
        <v>0</v>
      </c>
    </row>
    <row r="136" spans="1:80" ht="15.5" x14ac:dyDescent="0.35">
      <c r="A136" s="31" t="s">
        <v>1055</v>
      </c>
      <c r="B136" s="56" t="s">
        <v>835</v>
      </c>
      <c r="C136" s="47" t="s">
        <v>412</v>
      </c>
      <c r="D136" s="142" t="s">
        <v>1039</v>
      </c>
      <c r="E136" s="42" t="s">
        <v>8</v>
      </c>
      <c r="F136" s="4"/>
      <c r="G136" s="4"/>
      <c r="H136" s="4"/>
      <c r="I136" s="4"/>
      <c r="J136" s="4"/>
      <c r="K136" s="4"/>
      <c r="L136" s="4"/>
      <c r="M136" s="4"/>
      <c r="N136" s="4"/>
      <c r="O136" s="13">
        <v>1</v>
      </c>
      <c r="P136" s="13"/>
      <c r="Q136" s="13"/>
      <c r="R136" s="13"/>
      <c r="S136" s="13"/>
      <c r="T136" s="13"/>
      <c r="U136" s="4"/>
      <c r="V136" s="4"/>
      <c r="W136" s="4"/>
      <c r="X136" s="30">
        <f t="shared" si="18"/>
        <v>1</v>
      </c>
      <c r="Y136" s="30">
        <f t="shared" si="19"/>
        <v>0</v>
      </c>
      <c r="Z136" s="30">
        <f t="shared" si="20"/>
        <v>0</v>
      </c>
      <c r="AB136" s="31" t="s">
        <v>1015</v>
      </c>
      <c r="AC136" s="56" t="s">
        <v>803</v>
      </c>
      <c r="AD136" s="47" t="s">
        <v>388</v>
      </c>
      <c r="AE136" s="161" t="s">
        <v>240</v>
      </c>
      <c r="AF136" s="42" t="s">
        <v>6</v>
      </c>
      <c r="AG136" s="4"/>
      <c r="AH136" s="4">
        <v>2</v>
      </c>
      <c r="AI136" s="4">
        <v>4</v>
      </c>
      <c r="AJ136" s="4">
        <v>1</v>
      </c>
      <c r="AK136" s="5">
        <v>1</v>
      </c>
      <c r="AL136" s="4">
        <v>20</v>
      </c>
      <c r="AM136" s="4"/>
      <c r="AN136" s="4">
        <v>2</v>
      </c>
      <c r="AO136" s="4"/>
      <c r="AP136" s="13"/>
      <c r="AQ136" s="13"/>
      <c r="AR136" s="13"/>
      <c r="AS136" s="13"/>
      <c r="AT136" s="13"/>
      <c r="AU136" s="13">
        <v>2</v>
      </c>
      <c r="AV136" s="4"/>
      <c r="AW136" s="4"/>
      <c r="AX136" s="4"/>
      <c r="AY136" s="30">
        <f t="shared" si="21"/>
        <v>1</v>
      </c>
      <c r="AZ136" s="30">
        <f t="shared" si="22"/>
        <v>5</v>
      </c>
      <c r="BA136" s="30">
        <f t="shared" si="23"/>
        <v>26</v>
      </c>
      <c r="BC136" s="31" t="s">
        <v>1066</v>
      </c>
      <c r="BD136" s="56" t="s">
        <v>847</v>
      </c>
      <c r="BE136" s="47" t="s">
        <v>422</v>
      </c>
      <c r="BF136" s="142" t="s">
        <v>1039</v>
      </c>
      <c r="BG136" s="42" t="s">
        <v>8</v>
      </c>
      <c r="BH136" s="4"/>
      <c r="BI136" s="4"/>
      <c r="BJ136" s="4"/>
      <c r="BK136" s="4"/>
      <c r="BL136" s="5"/>
      <c r="BM136" s="4"/>
      <c r="BN136" s="4"/>
      <c r="BO136" s="4"/>
      <c r="BP136" s="4"/>
      <c r="BQ136" s="13"/>
      <c r="BR136" s="13"/>
      <c r="BS136" s="13"/>
      <c r="BT136" s="13"/>
      <c r="BU136" s="13"/>
      <c r="BV136" s="13"/>
      <c r="BW136" s="4"/>
      <c r="BX136" s="4"/>
      <c r="BY136" s="4"/>
      <c r="BZ136" s="30">
        <f t="shared" si="24"/>
        <v>0</v>
      </c>
      <c r="CA136" s="30">
        <f t="shared" si="25"/>
        <v>0</v>
      </c>
      <c r="CB136" s="30">
        <f t="shared" si="26"/>
        <v>0</v>
      </c>
    </row>
    <row r="137" spans="1:80" ht="15.5" x14ac:dyDescent="0.35">
      <c r="A137" s="31" t="s">
        <v>1057</v>
      </c>
      <c r="B137" s="56" t="s">
        <v>837</v>
      </c>
      <c r="C137" s="47" t="s">
        <v>414</v>
      </c>
      <c r="D137" s="142" t="s">
        <v>1039</v>
      </c>
      <c r="E137" s="42" t="s">
        <v>8</v>
      </c>
      <c r="F137" s="9"/>
      <c r="G137" s="9">
        <v>1</v>
      </c>
      <c r="H137" s="9"/>
      <c r="I137" s="9">
        <v>1</v>
      </c>
      <c r="J137" s="16"/>
      <c r="K137" s="9"/>
      <c r="L137" s="9"/>
      <c r="M137" s="9">
        <v>1</v>
      </c>
      <c r="N137" s="9"/>
      <c r="O137" s="15"/>
      <c r="P137" s="15">
        <v>1</v>
      </c>
      <c r="Q137" s="15"/>
      <c r="R137" s="13"/>
      <c r="S137" s="13">
        <v>1</v>
      </c>
      <c r="T137" s="13"/>
      <c r="U137" s="9"/>
      <c r="V137" s="9"/>
      <c r="W137" s="9"/>
      <c r="X137" s="30">
        <f t="shared" si="18"/>
        <v>1</v>
      </c>
      <c r="Y137" s="30">
        <f t="shared" si="19"/>
        <v>4</v>
      </c>
      <c r="Z137" s="30">
        <f t="shared" si="20"/>
        <v>0</v>
      </c>
      <c r="AB137" s="31" t="s">
        <v>1044</v>
      </c>
      <c r="AC137" s="56" t="s">
        <v>823</v>
      </c>
      <c r="AD137" s="47" t="s">
        <v>402</v>
      </c>
      <c r="AE137" s="142" t="s">
        <v>1039</v>
      </c>
      <c r="AF137" s="42" t="s">
        <v>8</v>
      </c>
      <c r="AG137" s="4"/>
      <c r="AH137" s="4"/>
      <c r="AI137" s="4"/>
      <c r="AJ137" s="4">
        <v>1</v>
      </c>
      <c r="AK137" s="5"/>
      <c r="AL137" s="4"/>
      <c r="AM137" s="4"/>
      <c r="AN137" s="4">
        <v>1</v>
      </c>
      <c r="AO137" s="4"/>
      <c r="AP137" s="13"/>
      <c r="AQ137" s="13">
        <v>4</v>
      </c>
      <c r="AR137" s="13"/>
      <c r="AS137" s="13"/>
      <c r="AT137" s="13"/>
      <c r="AU137" s="13"/>
      <c r="AV137" s="4"/>
      <c r="AW137" s="4"/>
      <c r="AX137" s="4"/>
      <c r="AY137" s="30">
        <f t="shared" si="21"/>
        <v>1</v>
      </c>
      <c r="AZ137" s="30">
        <f t="shared" si="22"/>
        <v>5</v>
      </c>
      <c r="BA137" s="30">
        <f t="shared" si="23"/>
        <v>0</v>
      </c>
      <c r="BC137" s="31" t="s">
        <v>1067</v>
      </c>
      <c r="BD137" s="56" t="s">
        <v>848</v>
      </c>
      <c r="BE137" s="47" t="s">
        <v>423</v>
      </c>
      <c r="BF137" s="142" t="s">
        <v>1039</v>
      </c>
      <c r="BG137" s="42" t="s">
        <v>8</v>
      </c>
      <c r="BH137" s="4"/>
      <c r="BI137" s="4"/>
      <c r="BJ137" s="4"/>
      <c r="BK137" s="5"/>
      <c r="BL137" s="4">
        <v>1</v>
      </c>
      <c r="BM137" s="4"/>
      <c r="BN137" s="4">
        <v>1</v>
      </c>
      <c r="BO137" s="4"/>
      <c r="BP137" s="4"/>
      <c r="BQ137" s="13"/>
      <c r="BR137" s="13">
        <v>2</v>
      </c>
      <c r="BS137" s="13"/>
      <c r="BT137" s="13">
        <v>1</v>
      </c>
      <c r="BU137" s="13">
        <v>1</v>
      </c>
      <c r="BV137" s="13"/>
      <c r="BW137" s="4"/>
      <c r="BX137" s="4">
        <v>1</v>
      </c>
      <c r="BY137" s="4"/>
      <c r="BZ137" s="30">
        <f t="shared" si="24"/>
        <v>2</v>
      </c>
      <c r="CA137" s="30">
        <f t="shared" si="25"/>
        <v>5</v>
      </c>
      <c r="CB137" s="30">
        <f t="shared" si="26"/>
        <v>0</v>
      </c>
    </row>
    <row r="138" spans="1:80" ht="15.5" x14ac:dyDescent="0.35">
      <c r="A138" s="31" t="s">
        <v>1059</v>
      </c>
      <c r="B138" s="56" t="s">
        <v>839</v>
      </c>
      <c r="C138" s="47" t="s">
        <v>416</v>
      </c>
      <c r="D138" s="142" t="s">
        <v>1039</v>
      </c>
      <c r="E138" s="42" t="s">
        <v>8</v>
      </c>
      <c r="F138" s="4"/>
      <c r="G138" s="4">
        <v>2</v>
      </c>
      <c r="H138" s="4"/>
      <c r="I138" s="5"/>
      <c r="J138" s="5">
        <v>1</v>
      </c>
      <c r="K138" s="5"/>
      <c r="L138" s="4"/>
      <c r="M138" s="4"/>
      <c r="N138" s="4"/>
      <c r="O138" s="13">
        <v>1</v>
      </c>
      <c r="P138" s="13"/>
      <c r="Q138" s="13"/>
      <c r="R138" s="13"/>
      <c r="S138" s="13"/>
      <c r="T138" s="13"/>
      <c r="U138" s="4"/>
      <c r="V138" s="4">
        <v>2</v>
      </c>
      <c r="W138" s="4"/>
      <c r="X138" s="30">
        <f t="shared" si="18"/>
        <v>1</v>
      </c>
      <c r="Y138" s="30">
        <f t="shared" si="19"/>
        <v>5</v>
      </c>
      <c r="Z138" s="30">
        <f t="shared" si="20"/>
        <v>0</v>
      </c>
      <c r="AB138" s="31" t="s">
        <v>1047</v>
      </c>
      <c r="AC138" s="56" t="s">
        <v>826</v>
      </c>
      <c r="AD138" s="47" t="s">
        <v>827</v>
      </c>
      <c r="AE138" s="142" t="s">
        <v>1039</v>
      </c>
      <c r="AF138" s="42" t="s">
        <v>8</v>
      </c>
      <c r="AG138" s="4"/>
      <c r="AH138" s="4"/>
      <c r="AI138" s="4"/>
      <c r="AJ138" s="4"/>
      <c r="AK138" s="5"/>
      <c r="AL138" s="5"/>
      <c r="AM138" s="4"/>
      <c r="AN138" s="4">
        <v>3</v>
      </c>
      <c r="AO138" s="4"/>
      <c r="AP138" s="13"/>
      <c r="AQ138" s="13">
        <v>1</v>
      </c>
      <c r="AR138" s="13"/>
      <c r="AS138" s="13">
        <v>1</v>
      </c>
      <c r="AT138" s="13">
        <v>1</v>
      </c>
      <c r="AU138" s="13"/>
      <c r="AV138" s="4"/>
      <c r="AW138" s="4"/>
      <c r="AX138" s="4"/>
      <c r="AY138" s="30">
        <f t="shared" si="21"/>
        <v>1</v>
      </c>
      <c r="AZ138" s="30">
        <f t="shared" si="22"/>
        <v>5</v>
      </c>
      <c r="BA138" s="30">
        <f t="shared" si="23"/>
        <v>0</v>
      </c>
      <c r="BC138" s="31" t="s">
        <v>1068</v>
      </c>
      <c r="BD138" s="56" t="s">
        <v>849</v>
      </c>
      <c r="BE138" s="47" t="s">
        <v>424</v>
      </c>
      <c r="BF138" s="142" t="s">
        <v>1039</v>
      </c>
      <c r="BG138" s="42" t="s">
        <v>8</v>
      </c>
      <c r="BH138" s="4"/>
      <c r="BI138" s="4"/>
      <c r="BJ138" s="4"/>
      <c r="BK138" s="5"/>
      <c r="BL138" s="5"/>
      <c r="BM138" s="4"/>
      <c r="BN138" s="4">
        <v>1</v>
      </c>
      <c r="BO138" s="4"/>
      <c r="BP138" s="4"/>
      <c r="BQ138" s="13"/>
      <c r="BR138" s="13"/>
      <c r="BS138" s="13"/>
      <c r="BT138" s="13"/>
      <c r="BU138" s="13"/>
      <c r="BV138" s="13"/>
      <c r="BW138" s="4"/>
      <c r="BX138" s="4"/>
      <c r="BY138" s="4"/>
      <c r="BZ138" s="30">
        <f t="shared" si="24"/>
        <v>1</v>
      </c>
      <c r="CA138" s="30">
        <f t="shared" si="25"/>
        <v>0</v>
      </c>
      <c r="CB138" s="30">
        <f t="shared" si="26"/>
        <v>0</v>
      </c>
    </row>
    <row r="139" spans="1:80" ht="15.5" x14ac:dyDescent="0.35">
      <c r="A139" s="31" t="s">
        <v>1068</v>
      </c>
      <c r="B139" s="56" t="s">
        <v>849</v>
      </c>
      <c r="C139" s="47" t="s">
        <v>424</v>
      </c>
      <c r="D139" s="142" t="s">
        <v>1039</v>
      </c>
      <c r="E139" s="42" t="s">
        <v>8</v>
      </c>
      <c r="F139" s="4"/>
      <c r="G139" s="4"/>
      <c r="H139" s="4"/>
      <c r="I139" s="5"/>
      <c r="J139" s="5"/>
      <c r="K139" s="4"/>
      <c r="L139" s="4">
        <v>1</v>
      </c>
      <c r="M139" s="4"/>
      <c r="N139" s="4"/>
      <c r="O139" s="13"/>
      <c r="P139" s="13"/>
      <c r="Q139" s="13"/>
      <c r="R139" s="13"/>
      <c r="S139" s="13"/>
      <c r="T139" s="13"/>
      <c r="U139" s="4"/>
      <c r="V139" s="4"/>
      <c r="W139" s="4"/>
      <c r="X139" s="30">
        <f t="shared" si="18"/>
        <v>1</v>
      </c>
      <c r="Y139" s="30">
        <f t="shared" si="19"/>
        <v>0</v>
      </c>
      <c r="Z139" s="30">
        <f t="shared" si="20"/>
        <v>0</v>
      </c>
      <c r="AB139" s="31" t="s">
        <v>1059</v>
      </c>
      <c r="AC139" s="56" t="s">
        <v>839</v>
      </c>
      <c r="AD139" s="47" t="s">
        <v>416</v>
      </c>
      <c r="AE139" s="142" t="s">
        <v>1039</v>
      </c>
      <c r="AF139" s="42" t="s">
        <v>8</v>
      </c>
      <c r="AG139" s="4"/>
      <c r="AH139" s="4">
        <v>2</v>
      </c>
      <c r="AI139" s="4"/>
      <c r="AJ139" s="5"/>
      <c r="AK139" s="5">
        <v>1</v>
      </c>
      <c r="AL139" s="5"/>
      <c r="AM139" s="4"/>
      <c r="AN139" s="4"/>
      <c r="AO139" s="4"/>
      <c r="AP139" s="13">
        <v>1</v>
      </c>
      <c r="AQ139" s="13"/>
      <c r="AR139" s="13"/>
      <c r="AS139" s="13"/>
      <c r="AT139" s="13"/>
      <c r="AU139" s="13"/>
      <c r="AV139" s="4"/>
      <c r="AW139" s="4">
        <v>2</v>
      </c>
      <c r="AX139" s="4"/>
      <c r="AY139" s="30">
        <f t="shared" si="21"/>
        <v>1</v>
      </c>
      <c r="AZ139" s="30">
        <f t="shared" si="22"/>
        <v>5</v>
      </c>
      <c r="BA139" s="30">
        <f t="shared" si="23"/>
        <v>0</v>
      </c>
      <c r="BC139" s="31" t="s">
        <v>1069</v>
      </c>
      <c r="BD139" s="56" t="s">
        <v>850</v>
      </c>
      <c r="BE139" s="77" t="s">
        <v>851</v>
      </c>
      <c r="BF139" s="142" t="s">
        <v>1039</v>
      </c>
      <c r="BG139" s="78" t="s">
        <v>8</v>
      </c>
      <c r="BH139" s="4"/>
      <c r="BI139" s="4">
        <v>1</v>
      </c>
      <c r="BJ139" s="4"/>
      <c r="BK139" s="4">
        <v>1</v>
      </c>
      <c r="BL139" s="4">
        <v>1</v>
      </c>
      <c r="BM139" s="4"/>
      <c r="BN139" s="4"/>
      <c r="BO139" s="4"/>
      <c r="BP139" s="4"/>
      <c r="BQ139" s="13"/>
      <c r="BR139" s="13">
        <v>3</v>
      </c>
      <c r="BS139" s="13"/>
      <c r="BT139" s="13">
        <v>1</v>
      </c>
      <c r="BU139" s="13">
        <v>1</v>
      </c>
      <c r="BV139" s="13"/>
      <c r="BW139" s="4"/>
      <c r="BX139" s="4"/>
      <c r="BY139" s="4"/>
      <c r="BZ139" s="30">
        <f t="shared" si="24"/>
        <v>2</v>
      </c>
      <c r="CA139" s="30">
        <f t="shared" si="25"/>
        <v>6</v>
      </c>
      <c r="CB139" s="30">
        <f t="shared" si="26"/>
        <v>0</v>
      </c>
    </row>
    <row r="140" spans="1:80" ht="15.5" x14ac:dyDescent="0.35">
      <c r="A140" s="31" t="s">
        <v>27</v>
      </c>
      <c r="B140" s="56" t="s">
        <v>636</v>
      </c>
      <c r="C140" s="36" t="s">
        <v>251</v>
      </c>
      <c r="D140" s="127" t="s">
        <v>231</v>
      </c>
      <c r="E140" s="35" t="s">
        <v>8</v>
      </c>
      <c r="F140" s="3"/>
      <c r="G140" s="3"/>
      <c r="H140" s="4"/>
      <c r="I140" s="4"/>
      <c r="J140" s="4"/>
      <c r="K140" s="5">
        <v>1</v>
      </c>
      <c r="L140" s="4">
        <v>1</v>
      </c>
      <c r="M140" s="5"/>
      <c r="N140" s="5">
        <v>2</v>
      </c>
      <c r="O140" s="13">
        <v>1</v>
      </c>
      <c r="P140" s="5"/>
      <c r="Q140" s="5">
        <v>1</v>
      </c>
      <c r="R140" s="4"/>
      <c r="S140" s="5"/>
      <c r="T140" s="5">
        <v>2</v>
      </c>
      <c r="U140" s="4"/>
      <c r="V140" s="5"/>
      <c r="W140" s="5"/>
      <c r="X140" s="30">
        <f t="shared" si="18"/>
        <v>2</v>
      </c>
      <c r="Y140" s="30">
        <f t="shared" si="19"/>
        <v>0</v>
      </c>
      <c r="Z140" s="30">
        <f t="shared" si="20"/>
        <v>6</v>
      </c>
      <c r="AB140" s="31" t="s">
        <v>1064</v>
      </c>
      <c r="AC140" s="56" t="s">
        <v>845</v>
      </c>
      <c r="AD140" s="47" t="s">
        <v>420</v>
      </c>
      <c r="AE140" s="142" t="s">
        <v>1039</v>
      </c>
      <c r="AF140" s="42" t="s">
        <v>8</v>
      </c>
      <c r="AG140" s="4"/>
      <c r="AH140" s="4"/>
      <c r="AI140" s="4"/>
      <c r="AJ140" s="4">
        <v>3</v>
      </c>
      <c r="AK140" s="4">
        <v>1</v>
      </c>
      <c r="AL140" s="4"/>
      <c r="AM140" s="4"/>
      <c r="AN140" s="4"/>
      <c r="AO140" s="4"/>
      <c r="AP140" s="13"/>
      <c r="AQ140" s="13">
        <v>3</v>
      </c>
      <c r="AR140" s="13"/>
      <c r="AS140" s="13"/>
      <c r="AT140" s="13">
        <v>1</v>
      </c>
      <c r="AU140" s="13"/>
      <c r="AV140" s="4">
        <v>1</v>
      </c>
      <c r="AW140" s="4"/>
      <c r="AX140" s="4"/>
      <c r="AY140" s="30">
        <f t="shared" si="21"/>
        <v>4</v>
      </c>
      <c r="AZ140" s="30">
        <f t="shared" si="22"/>
        <v>5</v>
      </c>
      <c r="BA140" s="30">
        <f t="shared" si="23"/>
        <v>0</v>
      </c>
      <c r="BC140" s="31" t="s">
        <v>1070</v>
      </c>
      <c r="BD140" s="56" t="s">
        <v>852</v>
      </c>
      <c r="BE140" s="77" t="s">
        <v>425</v>
      </c>
      <c r="BF140" s="142" t="s">
        <v>1039</v>
      </c>
      <c r="BG140" s="78" t="s">
        <v>8</v>
      </c>
      <c r="BH140" s="9"/>
      <c r="BI140" s="16"/>
      <c r="BJ140" s="9"/>
      <c r="BK140" s="9"/>
      <c r="BL140" s="16">
        <v>1</v>
      </c>
      <c r="BM140" s="16"/>
      <c r="BN140" s="9"/>
      <c r="BO140" s="9"/>
      <c r="BP140" s="9"/>
      <c r="BQ140" s="15"/>
      <c r="BR140" s="15"/>
      <c r="BS140" s="15"/>
      <c r="BT140" s="13"/>
      <c r="BU140" s="13"/>
      <c r="BV140" s="13"/>
      <c r="BW140" s="9"/>
      <c r="BX140" s="9">
        <v>1</v>
      </c>
      <c r="BY140" s="9"/>
      <c r="BZ140" s="30">
        <f t="shared" si="24"/>
        <v>0</v>
      </c>
      <c r="CA140" s="30">
        <f t="shared" si="25"/>
        <v>2</v>
      </c>
      <c r="CB140" s="30">
        <f t="shared" si="26"/>
        <v>0</v>
      </c>
    </row>
    <row r="141" spans="1:80" ht="15.5" x14ac:dyDescent="0.35">
      <c r="A141" s="31" t="s">
        <v>33</v>
      </c>
      <c r="B141" s="56" t="s">
        <v>642</v>
      </c>
      <c r="C141" s="36" t="s">
        <v>257</v>
      </c>
      <c r="D141" s="127" t="s">
        <v>231</v>
      </c>
      <c r="E141" s="35" t="s">
        <v>8</v>
      </c>
      <c r="F141" s="3"/>
      <c r="G141" s="3"/>
      <c r="H141" s="3"/>
      <c r="I141" s="4">
        <v>1</v>
      </c>
      <c r="J141" s="4"/>
      <c r="K141" s="4"/>
      <c r="L141" s="4"/>
      <c r="M141" s="4"/>
      <c r="N141" s="4">
        <v>1</v>
      </c>
      <c r="O141" s="13"/>
      <c r="P141" s="4"/>
      <c r="Q141" s="4">
        <v>1</v>
      </c>
      <c r="R141" s="4">
        <v>1</v>
      </c>
      <c r="S141" s="4"/>
      <c r="T141" s="4">
        <v>1</v>
      </c>
      <c r="U141" s="4"/>
      <c r="V141" s="4"/>
      <c r="W141" s="4"/>
      <c r="X141" s="30">
        <f t="shared" si="18"/>
        <v>2</v>
      </c>
      <c r="Y141" s="30">
        <f t="shared" si="19"/>
        <v>0</v>
      </c>
      <c r="Z141" s="30">
        <f t="shared" si="20"/>
        <v>3</v>
      </c>
      <c r="AB141" s="31" t="s">
        <v>1067</v>
      </c>
      <c r="AC141" s="56" t="s">
        <v>848</v>
      </c>
      <c r="AD141" s="47" t="s">
        <v>423</v>
      </c>
      <c r="AE141" s="142" t="s">
        <v>1039</v>
      </c>
      <c r="AF141" s="42" t="s">
        <v>8</v>
      </c>
      <c r="AG141" s="4"/>
      <c r="AH141" s="4"/>
      <c r="AI141" s="4"/>
      <c r="AJ141" s="5"/>
      <c r="AK141" s="4">
        <v>1</v>
      </c>
      <c r="AL141" s="4"/>
      <c r="AM141" s="4">
        <v>1</v>
      </c>
      <c r="AN141" s="4"/>
      <c r="AO141" s="4"/>
      <c r="AP141" s="13"/>
      <c r="AQ141" s="13">
        <v>2</v>
      </c>
      <c r="AR141" s="13"/>
      <c r="AS141" s="13">
        <v>1</v>
      </c>
      <c r="AT141" s="13">
        <v>1</v>
      </c>
      <c r="AU141" s="13"/>
      <c r="AV141" s="4"/>
      <c r="AW141" s="4">
        <v>1</v>
      </c>
      <c r="AX141" s="4"/>
      <c r="AY141" s="30">
        <f t="shared" si="21"/>
        <v>2</v>
      </c>
      <c r="AZ141" s="30">
        <f t="shared" si="22"/>
        <v>5</v>
      </c>
      <c r="BA141" s="30">
        <f t="shared" si="23"/>
        <v>0</v>
      </c>
      <c r="BC141" s="31" t="s">
        <v>1071</v>
      </c>
      <c r="BD141" s="79"/>
      <c r="BE141" s="102" t="s">
        <v>853</v>
      </c>
      <c r="BF141" s="142" t="s">
        <v>1039</v>
      </c>
      <c r="BG141" s="78" t="s">
        <v>8</v>
      </c>
      <c r="BH141" s="4"/>
      <c r="BI141" s="5"/>
      <c r="BJ141" s="4"/>
      <c r="BK141" s="4"/>
      <c r="BL141" s="5">
        <v>5</v>
      </c>
      <c r="BM141" s="4"/>
      <c r="BN141" s="4">
        <v>1</v>
      </c>
      <c r="BO141" s="4"/>
      <c r="BP141" s="4"/>
      <c r="BQ141" s="13"/>
      <c r="BR141" s="13">
        <v>1</v>
      </c>
      <c r="BS141" s="13"/>
      <c r="BT141" s="15">
        <v>1</v>
      </c>
      <c r="BU141" s="15"/>
      <c r="BV141" s="15"/>
      <c r="BW141" s="4"/>
      <c r="BX141" s="4">
        <v>1</v>
      </c>
      <c r="BY141" s="4"/>
      <c r="BZ141" s="30">
        <f t="shared" si="24"/>
        <v>2</v>
      </c>
      <c r="CA141" s="30">
        <f t="shared" si="25"/>
        <v>7</v>
      </c>
      <c r="CB141" s="30">
        <f t="shared" si="26"/>
        <v>0</v>
      </c>
    </row>
    <row r="142" spans="1:80" ht="15.5" x14ac:dyDescent="0.35">
      <c r="A142" s="31" t="s">
        <v>39</v>
      </c>
      <c r="B142" s="56" t="s">
        <v>649</v>
      </c>
      <c r="C142" s="36" t="s">
        <v>262</v>
      </c>
      <c r="D142" s="127" t="s">
        <v>236</v>
      </c>
      <c r="E142" s="35" t="s">
        <v>6</v>
      </c>
      <c r="F142" s="3"/>
      <c r="G142" s="6">
        <v>1</v>
      </c>
      <c r="H142" s="3"/>
      <c r="I142" s="4"/>
      <c r="J142" s="5">
        <v>1</v>
      </c>
      <c r="K142" s="5"/>
      <c r="L142" s="4">
        <v>2</v>
      </c>
      <c r="M142" s="4">
        <v>1</v>
      </c>
      <c r="N142" s="4"/>
      <c r="O142" s="13"/>
      <c r="P142" s="14"/>
      <c r="Q142" s="13"/>
      <c r="R142" s="13"/>
      <c r="S142" s="14">
        <v>2</v>
      </c>
      <c r="T142" s="13"/>
      <c r="U142" s="4"/>
      <c r="V142" s="5">
        <v>1</v>
      </c>
      <c r="W142" s="4">
        <v>1</v>
      </c>
      <c r="X142" s="30">
        <f t="shared" si="18"/>
        <v>2</v>
      </c>
      <c r="Y142" s="30">
        <f t="shared" si="19"/>
        <v>6</v>
      </c>
      <c r="Z142" s="30">
        <f t="shared" si="20"/>
        <v>1</v>
      </c>
      <c r="AB142" s="31" t="s">
        <v>22</v>
      </c>
      <c r="AC142" s="56" t="s">
        <v>631</v>
      </c>
      <c r="AD142" s="36" t="s">
        <v>247</v>
      </c>
      <c r="AE142" s="127" t="s">
        <v>231</v>
      </c>
      <c r="AF142" s="35" t="s">
        <v>6</v>
      </c>
      <c r="AG142" s="3"/>
      <c r="AH142" s="3"/>
      <c r="AI142" s="3"/>
      <c r="AJ142" s="4"/>
      <c r="AK142" s="4">
        <v>4</v>
      </c>
      <c r="AL142" s="4"/>
      <c r="AM142" s="4"/>
      <c r="AN142" s="4"/>
      <c r="AO142" s="4"/>
      <c r="AP142" s="13">
        <v>1</v>
      </c>
      <c r="AQ142" s="4"/>
      <c r="AR142" s="4"/>
      <c r="AS142" s="4"/>
      <c r="AT142" s="4">
        <v>2</v>
      </c>
      <c r="AU142" s="4"/>
      <c r="AV142" s="4"/>
      <c r="AW142" s="4"/>
      <c r="AX142" s="4"/>
      <c r="AY142" s="30">
        <f t="shared" si="21"/>
        <v>1</v>
      </c>
      <c r="AZ142" s="30">
        <f t="shared" si="22"/>
        <v>6</v>
      </c>
      <c r="BA142" s="30">
        <f t="shared" si="23"/>
        <v>0</v>
      </c>
      <c r="BC142" s="31" t="s">
        <v>26</v>
      </c>
      <c r="BD142" s="56" t="s">
        <v>635</v>
      </c>
      <c r="BE142" s="36" t="s">
        <v>250</v>
      </c>
      <c r="BF142" s="127" t="s">
        <v>231</v>
      </c>
      <c r="BG142" s="35" t="s">
        <v>6</v>
      </c>
      <c r="BH142" s="3"/>
      <c r="BI142" s="3"/>
      <c r="BJ142" s="3"/>
      <c r="BK142" s="4"/>
      <c r="BL142" s="4"/>
      <c r="BM142" s="4"/>
      <c r="BN142" s="4"/>
      <c r="BO142" s="4"/>
      <c r="BP142" s="4">
        <v>1</v>
      </c>
      <c r="BQ142" s="13"/>
      <c r="BR142" s="4"/>
      <c r="BS142" s="4"/>
      <c r="BT142" s="4">
        <v>1</v>
      </c>
      <c r="BU142" s="4">
        <v>1</v>
      </c>
      <c r="BV142" s="4"/>
      <c r="BW142" s="4"/>
      <c r="BX142" s="4"/>
      <c r="BY142" s="4"/>
      <c r="BZ142" s="30">
        <f t="shared" si="24"/>
        <v>1</v>
      </c>
      <c r="CA142" s="30">
        <f t="shared" si="25"/>
        <v>1</v>
      </c>
      <c r="CB142" s="30">
        <f t="shared" si="26"/>
        <v>1</v>
      </c>
    </row>
    <row r="143" spans="1:80" ht="15.5" x14ac:dyDescent="0.35">
      <c r="A143" s="31" t="s">
        <v>40</v>
      </c>
      <c r="B143" s="56" t="s">
        <v>650</v>
      </c>
      <c r="C143" s="43" t="s">
        <v>263</v>
      </c>
      <c r="D143" s="127" t="s">
        <v>236</v>
      </c>
      <c r="E143" s="35" t="s">
        <v>6</v>
      </c>
      <c r="F143" s="3"/>
      <c r="G143" s="3"/>
      <c r="H143" s="3"/>
      <c r="I143" s="4">
        <v>1</v>
      </c>
      <c r="J143" s="5"/>
      <c r="K143" s="5"/>
      <c r="L143" s="4"/>
      <c r="M143" s="5">
        <v>1</v>
      </c>
      <c r="N143" s="5"/>
      <c r="O143" s="13"/>
      <c r="P143" s="14"/>
      <c r="Q143" s="14"/>
      <c r="R143" s="13">
        <v>1</v>
      </c>
      <c r="S143" s="14">
        <v>1</v>
      </c>
      <c r="T143" s="14"/>
      <c r="U143" s="4"/>
      <c r="V143" s="5">
        <v>1</v>
      </c>
      <c r="W143" s="5"/>
      <c r="X143" s="30">
        <f t="shared" si="18"/>
        <v>2</v>
      </c>
      <c r="Y143" s="30">
        <f t="shared" si="19"/>
        <v>3</v>
      </c>
      <c r="Z143" s="30">
        <f t="shared" si="20"/>
        <v>0</v>
      </c>
      <c r="AB143" s="31" t="s">
        <v>34</v>
      </c>
      <c r="AC143" s="67" t="s">
        <v>643</v>
      </c>
      <c r="AD143" s="56" t="s">
        <v>644</v>
      </c>
      <c r="AE143" s="127" t="s">
        <v>231</v>
      </c>
      <c r="AF143" s="68" t="s">
        <v>6</v>
      </c>
      <c r="AG143" s="3">
        <v>1</v>
      </c>
      <c r="AH143" s="3"/>
      <c r="AI143" s="3"/>
      <c r="AJ143" s="4"/>
      <c r="AK143" s="5"/>
      <c r="AL143" s="4">
        <v>2</v>
      </c>
      <c r="AM143" s="4"/>
      <c r="AN143" s="4">
        <v>2</v>
      </c>
      <c r="AO143" s="4">
        <v>1</v>
      </c>
      <c r="AP143" s="13"/>
      <c r="AQ143" s="4"/>
      <c r="AR143" s="4">
        <v>1</v>
      </c>
      <c r="AS143" s="4"/>
      <c r="AT143" s="4">
        <v>2</v>
      </c>
      <c r="AU143" s="4">
        <v>3</v>
      </c>
      <c r="AV143" s="4"/>
      <c r="AW143" s="4">
        <v>2</v>
      </c>
      <c r="AX143" s="4">
        <v>1</v>
      </c>
      <c r="AY143" s="30">
        <f t="shared" si="21"/>
        <v>1</v>
      </c>
      <c r="AZ143" s="30">
        <f t="shared" si="22"/>
        <v>6</v>
      </c>
      <c r="BA143" s="30">
        <f t="shared" si="23"/>
        <v>8</v>
      </c>
      <c r="BC143" s="31" t="s">
        <v>39</v>
      </c>
      <c r="BD143" s="56" t="s">
        <v>649</v>
      </c>
      <c r="BE143" s="36" t="s">
        <v>262</v>
      </c>
      <c r="BF143" s="127" t="s">
        <v>236</v>
      </c>
      <c r="BG143" s="35" t="s">
        <v>6</v>
      </c>
      <c r="BH143" s="3"/>
      <c r="BI143" s="6">
        <v>1</v>
      </c>
      <c r="BJ143" s="3"/>
      <c r="BK143" s="4"/>
      <c r="BL143" s="5">
        <v>1</v>
      </c>
      <c r="BM143" s="5"/>
      <c r="BN143" s="4">
        <v>2</v>
      </c>
      <c r="BO143" s="4">
        <v>1</v>
      </c>
      <c r="BP143" s="4"/>
      <c r="BQ143" s="13"/>
      <c r="BR143" s="14"/>
      <c r="BS143" s="13"/>
      <c r="BT143" s="13"/>
      <c r="BU143" s="14">
        <v>2</v>
      </c>
      <c r="BV143" s="13"/>
      <c r="BW143" s="4"/>
      <c r="BX143" s="5">
        <v>1</v>
      </c>
      <c r="BY143" s="4">
        <v>1</v>
      </c>
      <c r="BZ143" s="30">
        <f t="shared" si="24"/>
        <v>2</v>
      </c>
      <c r="CA143" s="30">
        <f t="shared" si="25"/>
        <v>6</v>
      </c>
      <c r="CB143" s="30">
        <f t="shared" si="26"/>
        <v>1</v>
      </c>
    </row>
    <row r="144" spans="1:80" ht="15.5" x14ac:dyDescent="0.35">
      <c r="A144" s="31" t="s">
        <v>901</v>
      </c>
      <c r="B144" s="119" t="s">
        <v>677</v>
      </c>
      <c r="C144" s="126" t="s">
        <v>284</v>
      </c>
      <c r="D144" s="127" t="s">
        <v>236</v>
      </c>
      <c r="E144" s="127" t="s">
        <v>6</v>
      </c>
      <c r="F144" s="130"/>
      <c r="G144" s="108"/>
      <c r="H144" s="130"/>
      <c r="I144" s="113"/>
      <c r="J144" s="108">
        <v>1</v>
      </c>
      <c r="K144" s="113"/>
      <c r="L144" s="108"/>
      <c r="M144" s="108">
        <v>1</v>
      </c>
      <c r="N144" s="108"/>
      <c r="O144" s="122"/>
      <c r="P144" s="128"/>
      <c r="Q144" s="122"/>
      <c r="R144" s="122">
        <v>2</v>
      </c>
      <c r="S144" s="128">
        <v>2</v>
      </c>
      <c r="T144" s="122"/>
      <c r="U144" s="108"/>
      <c r="V144" s="113"/>
      <c r="W144" s="108"/>
      <c r="X144" s="109">
        <f t="shared" si="18"/>
        <v>2</v>
      </c>
      <c r="Y144" s="109">
        <f t="shared" si="19"/>
        <v>4</v>
      </c>
      <c r="Z144" s="109">
        <f t="shared" si="20"/>
        <v>0</v>
      </c>
      <c r="AB144" s="31" t="s">
        <v>39</v>
      </c>
      <c r="AC144" s="119" t="s">
        <v>649</v>
      </c>
      <c r="AD144" s="129" t="s">
        <v>262</v>
      </c>
      <c r="AE144" s="127" t="s">
        <v>236</v>
      </c>
      <c r="AF144" s="127" t="s">
        <v>6</v>
      </c>
      <c r="AG144" s="130"/>
      <c r="AH144" s="147">
        <v>1</v>
      </c>
      <c r="AI144" s="130"/>
      <c r="AJ144" s="108"/>
      <c r="AK144" s="113">
        <v>1</v>
      </c>
      <c r="AL144" s="113"/>
      <c r="AM144" s="108">
        <v>2</v>
      </c>
      <c r="AN144" s="108">
        <v>1</v>
      </c>
      <c r="AO144" s="108"/>
      <c r="AP144" s="122"/>
      <c r="AQ144" s="128"/>
      <c r="AR144" s="122"/>
      <c r="AS144" s="122"/>
      <c r="AT144" s="128">
        <v>2</v>
      </c>
      <c r="AU144" s="122"/>
      <c r="AV144" s="108"/>
      <c r="AW144" s="113">
        <v>1</v>
      </c>
      <c r="AX144" s="108">
        <v>1</v>
      </c>
      <c r="AY144" s="109">
        <f t="shared" si="21"/>
        <v>2</v>
      </c>
      <c r="AZ144" s="109">
        <f t="shared" si="22"/>
        <v>6</v>
      </c>
      <c r="BA144" s="109">
        <f t="shared" si="23"/>
        <v>1</v>
      </c>
      <c r="BC144" s="31" t="s">
        <v>44</v>
      </c>
      <c r="BD144" s="119" t="s">
        <v>655</v>
      </c>
      <c r="BE144" s="126" t="s">
        <v>656</v>
      </c>
      <c r="BF144" s="127" t="s">
        <v>236</v>
      </c>
      <c r="BG144" s="127" t="s">
        <v>6</v>
      </c>
      <c r="BH144" s="130"/>
      <c r="BI144" s="130"/>
      <c r="BJ144" s="130"/>
      <c r="BK144" s="108"/>
      <c r="BL144" s="113"/>
      <c r="BM144" s="108"/>
      <c r="BN144" s="108"/>
      <c r="BO144" s="108">
        <v>1</v>
      </c>
      <c r="BP144" s="108"/>
      <c r="BQ144" s="122"/>
      <c r="BR144" s="122"/>
      <c r="BS144" s="122">
        <v>1</v>
      </c>
      <c r="BT144" s="122"/>
      <c r="BU144" s="122"/>
      <c r="BV144" s="122"/>
      <c r="BW144" s="108"/>
      <c r="BX144" s="108"/>
      <c r="BY144" s="108"/>
      <c r="BZ144" s="109">
        <f t="shared" si="24"/>
        <v>0</v>
      </c>
      <c r="CA144" s="109">
        <f t="shared" si="25"/>
        <v>1</v>
      </c>
      <c r="CB144" s="109">
        <f t="shared" si="26"/>
        <v>1</v>
      </c>
    </row>
    <row r="145" spans="1:80" ht="15.5" x14ac:dyDescent="0.35">
      <c r="A145" s="31" t="s">
        <v>917</v>
      </c>
      <c r="B145" s="56" t="s">
        <v>696</v>
      </c>
      <c r="C145" s="45" t="s">
        <v>297</v>
      </c>
      <c r="D145" s="127" t="s">
        <v>237</v>
      </c>
      <c r="E145" s="35" t="s">
        <v>6</v>
      </c>
      <c r="F145" s="3"/>
      <c r="G145" s="3">
        <v>1</v>
      </c>
      <c r="H145" s="3"/>
      <c r="I145" s="5"/>
      <c r="J145" s="5">
        <v>1</v>
      </c>
      <c r="K145" s="4"/>
      <c r="L145" s="4"/>
      <c r="M145" s="5">
        <v>3</v>
      </c>
      <c r="N145" s="4">
        <v>1</v>
      </c>
      <c r="O145" s="13"/>
      <c r="P145" s="5">
        <v>8</v>
      </c>
      <c r="Q145" s="4"/>
      <c r="R145" s="13">
        <v>1</v>
      </c>
      <c r="S145" s="14">
        <v>2</v>
      </c>
      <c r="T145" s="13">
        <v>4</v>
      </c>
      <c r="U145" s="4">
        <v>1</v>
      </c>
      <c r="V145" s="5">
        <v>2</v>
      </c>
      <c r="W145" s="4"/>
      <c r="X145" s="30">
        <f t="shared" si="18"/>
        <v>2</v>
      </c>
      <c r="Y145" s="30">
        <f t="shared" si="19"/>
        <v>17</v>
      </c>
      <c r="Z145" s="30">
        <f t="shared" si="20"/>
        <v>5</v>
      </c>
      <c r="AB145" s="31" t="s">
        <v>899</v>
      </c>
      <c r="AC145" s="56" t="s">
        <v>675</v>
      </c>
      <c r="AD145" s="43" t="s">
        <v>282</v>
      </c>
      <c r="AE145" s="127" t="s">
        <v>236</v>
      </c>
      <c r="AF145" s="35" t="s">
        <v>6</v>
      </c>
      <c r="AG145" s="3"/>
      <c r="AH145" s="4"/>
      <c r="AI145" s="3"/>
      <c r="AJ145" s="5"/>
      <c r="AK145" s="4">
        <v>3</v>
      </c>
      <c r="AL145" s="5"/>
      <c r="AM145" s="4"/>
      <c r="AN145" s="4">
        <v>1</v>
      </c>
      <c r="AO145" s="4"/>
      <c r="AP145" s="13"/>
      <c r="AQ145" s="14">
        <v>1</v>
      </c>
      <c r="AR145" s="13"/>
      <c r="AS145" s="13"/>
      <c r="AT145" s="14">
        <v>1</v>
      </c>
      <c r="AU145" s="13"/>
      <c r="AV145" s="4"/>
      <c r="AW145" s="5"/>
      <c r="AX145" s="4"/>
      <c r="AY145" s="30">
        <f t="shared" si="21"/>
        <v>0</v>
      </c>
      <c r="AZ145" s="30">
        <f t="shared" si="22"/>
        <v>6</v>
      </c>
      <c r="BA145" s="30">
        <f t="shared" si="23"/>
        <v>0</v>
      </c>
      <c r="BC145" s="31" t="s">
        <v>45</v>
      </c>
      <c r="BD145" s="56" t="s">
        <v>657</v>
      </c>
      <c r="BE145" s="43" t="s">
        <v>266</v>
      </c>
      <c r="BF145" s="127" t="s">
        <v>236</v>
      </c>
      <c r="BG145" s="35" t="s">
        <v>6</v>
      </c>
      <c r="BH145" s="3"/>
      <c r="BI145" s="4"/>
      <c r="BJ145" s="3"/>
      <c r="BK145" s="5"/>
      <c r="BL145" s="4"/>
      <c r="BM145" s="5"/>
      <c r="BN145" s="4"/>
      <c r="BO145" s="4"/>
      <c r="BP145" s="4"/>
      <c r="BQ145" s="13"/>
      <c r="BR145" s="14"/>
      <c r="BS145" s="13"/>
      <c r="BT145" s="13"/>
      <c r="BU145" s="14">
        <v>1</v>
      </c>
      <c r="BV145" s="13">
        <v>1</v>
      </c>
      <c r="BW145" s="4"/>
      <c r="BX145" s="5"/>
      <c r="BY145" s="4"/>
      <c r="BZ145" s="30">
        <f t="shared" si="24"/>
        <v>0</v>
      </c>
      <c r="CA145" s="30">
        <f t="shared" si="25"/>
        <v>1</v>
      </c>
      <c r="CB145" s="30">
        <f t="shared" si="26"/>
        <v>1</v>
      </c>
    </row>
    <row r="146" spans="1:80" ht="15.5" x14ac:dyDescent="0.35">
      <c r="A146" s="31" t="s">
        <v>931</v>
      </c>
      <c r="B146" s="56" t="s">
        <v>710</v>
      </c>
      <c r="C146" s="36" t="s">
        <v>312</v>
      </c>
      <c r="D146" s="127" t="s">
        <v>237</v>
      </c>
      <c r="E146" s="35" t="s">
        <v>6</v>
      </c>
      <c r="F146" s="3"/>
      <c r="G146" s="6">
        <v>2</v>
      </c>
      <c r="H146" s="6">
        <v>1</v>
      </c>
      <c r="I146" s="4"/>
      <c r="J146" s="5">
        <v>3</v>
      </c>
      <c r="K146" s="5"/>
      <c r="L146" s="4"/>
      <c r="M146" s="5">
        <v>5</v>
      </c>
      <c r="N146" s="5"/>
      <c r="O146" s="13"/>
      <c r="P146" s="5">
        <v>3</v>
      </c>
      <c r="Q146" s="5">
        <v>1</v>
      </c>
      <c r="R146" s="13">
        <v>2</v>
      </c>
      <c r="S146" s="14">
        <v>3</v>
      </c>
      <c r="T146" s="14">
        <v>5</v>
      </c>
      <c r="U146" s="4"/>
      <c r="V146" s="5"/>
      <c r="W146" s="5"/>
      <c r="X146" s="30">
        <f t="shared" si="18"/>
        <v>2</v>
      </c>
      <c r="Y146" s="30">
        <f t="shared" si="19"/>
        <v>16</v>
      </c>
      <c r="Z146" s="30">
        <f t="shared" si="20"/>
        <v>7</v>
      </c>
      <c r="AB146" s="31" t="s">
        <v>900</v>
      </c>
      <c r="AC146" s="56" t="s">
        <v>676</v>
      </c>
      <c r="AD146" s="45" t="s">
        <v>283</v>
      </c>
      <c r="AE146" s="127" t="s">
        <v>236</v>
      </c>
      <c r="AF146" s="35" t="s">
        <v>6</v>
      </c>
      <c r="AG146" s="3"/>
      <c r="AH146" s="4">
        <v>1</v>
      </c>
      <c r="AI146" s="3"/>
      <c r="AJ146" s="5"/>
      <c r="AK146" s="4">
        <v>2</v>
      </c>
      <c r="AL146" s="5"/>
      <c r="AM146" s="4">
        <v>1</v>
      </c>
      <c r="AN146" s="4">
        <v>2</v>
      </c>
      <c r="AO146" s="4"/>
      <c r="AP146" s="13"/>
      <c r="AQ146" s="14">
        <v>1</v>
      </c>
      <c r="AR146" s="13"/>
      <c r="AS146" s="13"/>
      <c r="AT146" s="14"/>
      <c r="AU146" s="13"/>
      <c r="AV146" s="4"/>
      <c r="AW146" s="5"/>
      <c r="AX146" s="4"/>
      <c r="AY146" s="30">
        <f t="shared" si="21"/>
        <v>1</v>
      </c>
      <c r="AZ146" s="30">
        <f t="shared" si="22"/>
        <v>6</v>
      </c>
      <c r="BA146" s="30">
        <f t="shared" si="23"/>
        <v>0</v>
      </c>
      <c r="BC146" s="31" t="s">
        <v>125</v>
      </c>
      <c r="BD146" s="56" t="s">
        <v>668</v>
      </c>
      <c r="BE146" s="36" t="s">
        <v>275</v>
      </c>
      <c r="BF146" s="127" t="s">
        <v>236</v>
      </c>
      <c r="BG146" s="35" t="s">
        <v>6</v>
      </c>
      <c r="BH146" s="3"/>
      <c r="BI146" s="4"/>
      <c r="BJ146" s="3"/>
      <c r="BK146" s="5"/>
      <c r="BL146" s="4"/>
      <c r="BM146" s="5"/>
      <c r="BN146" s="4"/>
      <c r="BO146" s="4"/>
      <c r="BP146" s="4"/>
      <c r="BQ146" s="13"/>
      <c r="BR146" s="14"/>
      <c r="BS146" s="13"/>
      <c r="BT146" s="13"/>
      <c r="BU146" s="14"/>
      <c r="BV146" s="13"/>
      <c r="BW146" s="4"/>
      <c r="BX146" s="5"/>
      <c r="BY146" s="4">
        <v>1</v>
      </c>
      <c r="BZ146" s="30">
        <f t="shared" si="24"/>
        <v>0</v>
      </c>
      <c r="CA146" s="30">
        <f t="shared" si="25"/>
        <v>0</v>
      </c>
      <c r="CB146" s="30">
        <f t="shared" si="26"/>
        <v>1</v>
      </c>
    </row>
    <row r="147" spans="1:80" ht="15.5" x14ac:dyDescent="0.35">
      <c r="A147" s="31" t="s">
        <v>934</v>
      </c>
      <c r="B147" s="52"/>
      <c r="C147" s="37" t="s">
        <v>714</v>
      </c>
      <c r="D147" s="127" t="s">
        <v>237</v>
      </c>
      <c r="E147" s="35" t="s">
        <v>6</v>
      </c>
      <c r="F147" s="3"/>
      <c r="G147" s="3">
        <v>2</v>
      </c>
      <c r="H147" s="3"/>
      <c r="I147" s="4">
        <v>1</v>
      </c>
      <c r="J147" s="5">
        <v>1</v>
      </c>
      <c r="K147" s="4"/>
      <c r="L147" s="4"/>
      <c r="M147" s="4">
        <v>2</v>
      </c>
      <c r="N147" s="4">
        <v>3</v>
      </c>
      <c r="O147" s="13"/>
      <c r="P147" s="4">
        <v>1</v>
      </c>
      <c r="Q147" s="4">
        <v>1</v>
      </c>
      <c r="R147" s="13">
        <v>1</v>
      </c>
      <c r="S147" s="13">
        <v>1</v>
      </c>
      <c r="T147" s="13">
        <v>7</v>
      </c>
      <c r="U147" s="4"/>
      <c r="V147" s="4"/>
      <c r="W147" s="4">
        <v>4</v>
      </c>
      <c r="X147" s="30">
        <f t="shared" si="18"/>
        <v>2</v>
      </c>
      <c r="Y147" s="30">
        <f t="shared" si="19"/>
        <v>7</v>
      </c>
      <c r="Z147" s="30">
        <f t="shared" si="20"/>
        <v>15</v>
      </c>
      <c r="AB147" s="31" t="s">
        <v>987</v>
      </c>
      <c r="AC147" s="56" t="s">
        <v>775</v>
      </c>
      <c r="AD147" s="47" t="s">
        <v>361</v>
      </c>
      <c r="AE147" s="141" t="s">
        <v>239</v>
      </c>
      <c r="AF147" s="42" t="s">
        <v>8</v>
      </c>
      <c r="AG147" s="19"/>
      <c r="AH147" s="13"/>
      <c r="AI147" s="13"/>
      <c r="AJ147" s="13"/>
      <c r="AK147" s="14"/>
      <c r="AL147" s="13"/>
      <c r="AM147" s="13"/>
      <c r="AN147" s="13">
        <v>1</v>
      </c>
      <c r="AO147" s="13"/>
      <c r="AP147" s="13"/>
      <c r="AQ147" s="13">
        <v>3</v>
      </c>
      <c r="AR147" s="13"/>
      <c r="AS147" s="13"/>
      <c r="AT147" s="13">
        <v>2</v>
      </c>
      <c r="AU147" s="13"/>
      <c r="AV147" s="13"/>
      <c r="AW147" s="13"/>
      <c r="AX147" s="13"/>
      <c r="AY147" s="30">
        <f t="shared" si="21"/>
        <v>0</v>
      </c>
      <c r="AZ147" s="30">
        <f t="shared" si="22"/>
        <v>6</v>
      </c>
      <c r="BA147" s="30">
        <f t="shared" si="23"/>
        <v>0</v>
      </c>
      <c r="BC147" s="31" t="s">
        <v>127</v>
      </c>
      <c r="BD147" s="56" t="s">
        <v>670</v>
      </c>
      <c r="BE147" s="36" t="s">
        <v>277</v>
      </c>
      <c r="BF147" s="127" t="s">
        <v>236</v>
      </c>
      <c r="BG147" s="35" t="s">
        <v>6</v>
      </c>
      <c r="BH147" s="3"/>
      <c r="BI147" s="4"/>
      <c r="BJ147" s="3"/>
      <c r="BK147" s="5"/>
      <c r="BL147" s="4">
        <v>2</v>
      </c>
      <c r="BM147" s="5"/>
      <c r="BN147" s="4"/>
      <c r="BO147" s="4"/>
      <c r="BP147" s="4"/>
      <c r="BQ147" s="13"/>
      <c r="BR147" s="14"/>
      <c r="BS147" s="13"/>
      <c r="BT147" s="13"/>
      <c r="BU147" s="14">
        <v>2</v>
      </c>
      <c r="BV147" s="13"/>
      <c r="BW147" s="4"/>
      <c r="BX147" s="5"/>
      <c r="BY147" s="4">
        <v>1</v>
      </c>
      <c r="BZ147" s="30">
        <f t="shared" si="24"/>
        <v>0</v>
      </c>
      <c r="CA147" s="30">
        <f t="shared" si="25"/>
        <v>4</v>
      </c>
      <c r="CB147" s="30">
        <f t="shared" si="26"/>
        <v>1</v>
      </c>
    </row>
    <row r="148" spans="1:80" ht="15.5" x14ac:dyDescent="0.35">
      <c r="A148" s="31" t="s">
        <v>942</v>
      </c>
      <c r="B148" s="56" t="s">
        <v>722</v>
      </c>
      <c r="C148" s="41" t="s">
        <v>322</v>
      </c>
      <c r="D148" s="121" t="s">
        <v>238</v>
      </c>
      <c r="E148" s="42" t="s">
        <v>6</v>
      </c>
      <c r="F148" s="19"/>
      <c r="G148" s="19"/>
      <c r="H148" s="19">
        <v>1</v>
      </c>
      <c r="I148" s="13"/>
      <c r="J148" s="14">
        <v>1</v>
      </c>
      <c r="K148" s="14">
        <v>2</v>
      </c>
      <c r="L148" s="13">
        <v>2</v>
      </c>
      <c r="M148" s="13"/>
      <c r="N148" s="13">
        <v>1</v>
      </c>
      <c r="O148" s="13"/>
      <c r="P148" s="13">
        <v>1</v>
      </c>
      <c r="Q148" s="13"/>
      <c r="R148" s="13"/>
      <c r="S148" s="13"/>
      <c r="T148" s="13"/>
      <c r="U148" s="13"/>
      <c r="V148" s="13"/>
      <c r="W148" s="13">
        <v>1</v>
      </c>
      <c r="X148" s="30">
        <f t="shared" si="18"/>
        <v>2</v>
      </c>
      <c r="Y148" s="30">
        <f t="shared" si="19"/>
        <v>2</v>
      </c>
      <c r="Z148" s="30">
        <f t="shared" si="20"/>
        <v>5</v>
      </c>
      <c r="AB148" s="31" t="s">
        <v>988</v>
      </c>
      <c r="AC148" s="56" t="s">
        <v>776</v>
      </c>
      <c r="AD148" s="47" t="s">
        <v>362</v>
      </c>
      <c r="AE148" s="141" t="s">
        <v>239</v>
      </c>
      <c r="AF148" s="42" t="s">
        <v>6</v>
      </c>
      <c r="AG148" s="19"/>
      <c r="AH148" s="13"/>
      <c r="AI148" s="13"/>
      <c r="AJ148" s="13"/>
      <c r="AK148" s="14">
        <v>2</v>
      </c>
      <c r="AL148" s="13"/>
      <c r="AM148" s="13"/>
      <c r="AN148" s="13"/>
      <c r="AO148" s="13"/>
      <c r="AP148" s="13">
        <v>1</v>
      </c>
      <c r="AQ148" s="13">
        <v>2</v>
      </c>
      <c r="AR148" s="13"/>
      <c r="AS148" s="13">
        <v>1</v>
      </c>
      <c r="AT148" s="13">
        <v>2</v>
      </c>
      <c r="AU148" s="13"/>
      <c r="AV148" s="13"/>
      <c r="AW148" s="13"/>
      <c r="AX148" s="13"/>
      <c r="AY148" s="30">
        <f t="shared" si="21"/>
        <v>2</v>
      </c>
      <c r="AZ148" s="30">
        <f t="shared" si="22"/>
        <v>6</v>
      </c>
      <c r="BA148" s="30">
        <f t="shared" si="23"/>
        <v>0</v>
      </c>
      <c r="BC148" s="31" t="s">
        <v>908</v>
      </c>
      <c r="BD148" s="56" t="s">
        <v>686</v>
      </c>
      <c r="BE148" s="36" t="s">
        <v>288</v>
      </c>
      <c r="BF148" s="127" t="s">
        <v>237</v>
      </c>
      <c r="BG148" s="35" t="s">
        <v>6</v>
      </c>
      <c r="BH148" s="3"/>
      <c r="BI148" s="3">
        <v>2</v>
      </c>
      <c r="BJ148" s="3"/>
      <c r="BK148" s="5">
        <v>2</v>
      </c>
      <c r="BL148" s="5">
        <v>4</v>
      </c>
      <c r="BM148" s="4"/>
      <c r="BN148" s="4">
        <v>2</v>
      </c>
      <c r="BO148" s="5">
        <v>2</v>
      </c>
      <c r="BP148" s="4">
        <v>1</v>
      </c>
      <c r="BQ148" s="13"/>
      <c r="BR148" s="5"/>
      <c r="BS148" s="4"/>
      <c r="BT148" s="13"/>
      <c r="BU148" s="14">
        <v>8</v>
      </c>
      <c r="BV148" s="13"/>
      <c r="BW148" s="4">
        <v>1</v>
      </c>
      <c r="BX148" s="5">
        <v>1</v>
      </c>
      <c r="BY148" s="4"/>
      <c r="BZ148" s="30">
        <f t="shared" si="24"/>
        <v>5</v>
      </c>
      <c r="CA148" s="30">
        <f t="shared" si="25"/>
        <v>17</v>
      </c>
      <c r="CB148" s="30">
        <f t="shared" si="26"/>
        <v>1</v>
      </c>
    </row>
    <row r="149" spans="1:80" ht="15.5" x14ac:dyDescent="0.35">
      <c r="A149" s="31" t="s">
        <v>952</v>
      </c>
      <c r="B149" s="56" t="s">
        <v>734</v>
      </c>
      <c r="C149" s="41" t="s">
        <v>330</v>
      </c>
      <c r="D149" s="121" t="s">
        <v>238</v>
      </c>
      <c r="E149" s="42" t="s">
        <v>6</v>
      </c>
      <c r="F149" s="19"/>
      <c r="G149" s="19"/>
      <c r="H149" s="19"/>
      <c r="I149" s="13"/>
      <c r="J149" s="13"/>
      <c r="K149" s="13"/>
      <c r="L149" s="13">
        <v>2</v>
      </c>
      <c r="M149" s="13">
        <v>1</v>
      </c>
      <c r="N149" s="13"/>
      <c r="O149" s="13"/>
      <c r="P149" s="13">
        <v>1</v>
      </c>
      <c r="Q149" s="13"/>
      <c r="R149" s="13"/>
      <c r="S149" s="13"/>
      <c r="T149" s="13">
        <v>3</v>
      </c>
      <c r="U149" s="13"/>
      <c r="V149" s="13">
        <v>1</v>
      </c>
      <c r="W149" s="13"/>
      <c r="X149" s="30">
        <f t="shared" si="18"/>
        <v>2</v>
      </c>
      <c r="Y149" s="30">
        <f t="shared" si="19"/>
        <v>3</v>
      </c>
      <c r="Z149" s="30">
        <f t="shared" si="20"/>
        <v>3</v>
      </c>
      <c r="AB149" s="31" t="s">
        <v>989</v>
      </c>
      <c r="AC149" s="56" t="s">
        <v>777</v>
      </c>
      <c r="AD149" s="58" t="s">
        <v>363</v>
      </c>
      <c r="AE149" s="141" t="s">
        <v>239</v>
      </c>
      <c r="AF149" s="42" t="s">
        <v>6</v>
      </c>
      <c r="AG149" s="19"/>
      <c r="AH149" s="13">
        <v>1</v>
      </c>
      <c r="AI149" s="13"/>
      <c r="AJ149" s="13">
        <v>4</v>
      </c>
      <c r="AK149" s="14">
        <v>1</v>
      </c>
      <c r="AL149" s="13"/>
      <c r="AM149" s="13"/>
      <c r="AN149" s="13"/>
      <c r="AO149" s="13"/>
      <c r="AP149" s="13">
        <v>2</v>
      </c>
      <c r="AQ149" s="13">
        <v>3</v>
      </c>
      <c r="AR149" s="13"/>
      <c r="AS149" s="13"/>
      <c r="AT149" s="13">
        <v>1</v>
      </c>
      <c r="AU149" s="13"/>
      <c r="AV149" s="13"/>
      <c r="AW149" s="13"/>
      <c r="AX149" s="13"/>
      <c r="AY149" s="30">
        <f t="shared" si="21"/>
        <v>6</v>
      </c>
      <c r="AZ149" s="30">
        <f t="shared" si="22"/>
        <v>6</v>
      </c>
      <c r="BA149" s="30">
        <f t="shared" si="23"/>
        <v>0</v>
      </c>
      <c r="BC149" s="31" t="s">
        <v>922</v>
      </c>
      <c r="BD149" s="56" t="s">
        <v>701</v>
      </c>
      <c r="BE149" s="43" t="s">
        <v>302</v>
      </c>
      <c r="BF149" s="127" t="s">
        <v>237</v>
      </c>
      <c r="BG149" s="35" t="s">
        <v>6</v>
      </c>
      <c r="BH149" s="3"/>
      <c r="BI149" s="3">
        <v>1</v>
      </c>
      <c r="BJ149" s="3"/>
      <c r="BK149" s="5"/>
      <c r="BL149" s="5">
        <v>4</v>
      </c>
      <c r="BM149" s="4"/>
      <c r="BN149" s="4"/>
      <c r="BO149" s="5"/>
      <c r="BP149" s="4"/>
      <c r="BQ149" s="13">
        <v>1</v>
      </c>
      <c r="BR149" s="5">
        <v>1</v>
      </c>
      <c r="BS149" s="4"/>
      <c r="BT149" s="13"/>
      <c r="BU149" s="14">
        <v>1</v>
      </c>
      <c r="BV149" s="13"/>
      <c r="BW149" s="4"/>
      <c r="BX149" s="5"/>
      <c r="BY149" s="4">
        <v>1</v>
      </c>
      <c r="BZ149" s="30">
        <f t="shared" si="24"/>
        <v>1</v>
      </c>
      <c r="CA149" s="30">
        <f t="shared" si="25"/>
        <v>7</v>
      </c>
      <c r="CB149" s="30">
        <f t="shared" si="26"/>
        <v>1</v>
      </c>
    </row>
    <row r="150" spans="1:80" ht="15.5" x14ac:dyDescent="0.35">
      <c r="A150" s="31" t="s">
        <v>970</v>
      </c>
      <c r="B150" s="56" t="s">
        <v>756</v>
      </c>
      <c r="C150" s="41" t="s">
        <v>346</v>
      </c>
      <c r="D150" s="141" t="s">
        <v>239</v>
      </c>
      <c r="E150" s="42" t="s">
        <v>6</v>
      </c>
      <c r="F150" s="19"/>
      <c r="G150" s="19">
        <v>1</v>
      </c>
      <c r="H150" s="19"/>
      <c r="I150" s="13"/>
      <c r="J150" s="14">
        <v>1</v>
      </c>
      <c r="K150" s="13"/>
      <c r="L150" s="13">
        <v>1</v>
      </c>
      <c r="M150" s="13">
        <v>1</v>
      </c>
      <c r="N150" s="13"/>
      <c r="O150" s="13">
        <v>1</v>
      </c>
      <c r="P150" s="13">
        <v>2</v>
      </c>
      <c r="Q150" s="13"/>
      <c r="R150" s="13"/>
      <c r="S150" s="13">
        <v>3</v>
      </c>
      <c r="T150" s="13"/>
      <c r="U150" s="13"/>
      <c r="V150" s="13"/>
      <c r="W150" s="13"/>
      <c r="X150" s="30">
        <f t="shared" si="18"/>
        <v>2</v>
      </c>
      <c r="Y150" s="30">
        <f t="shared" si="19"/>
        <v>8</v>
      </c>
      <c r="Z150" s="30">
        <f t="shared" si="20"/>
        <v>0</v>
      </c>
      <c r="AB150" s="31" t="s">
        <v>1007</v>
      </c>
      <c r="AC150" s="56" t="s">
        <v>795</v>
      </c>
      <c r="AD150" s="47" t="s">
        <v>380</v>
      </c>
      <c r="AE150" s="161" t="s">
        <v>240</v>
      </c>
      <c r="AF150" s="42" t="s">
        <v>8</v>
      </c>
      <c r="AG150" s="4"/>
      <c r="AH150" s="4"/>
      <c r="AI150" s="5"/>
      <c r="AJ150" s="5">
        <v>1</v>
      </c>
      <c r="AK150" s="5">
        <v>2</v>
      </c>
      <c r="AL150" s="5"/>
      <c r="AM150" s="4"/>
      <c r="AN150" s="4">
        <v>2</v>
      </c>
      <c r="AO150" s="4"/>
      <c r="AP150" s="13">
        <v>1</v>
      </c>
      <c r="AQ150" s="13">
        <v>1</v>
      </c>
      <c r="AR150" s="13"/>
      <c r="AS150" s="13"/>
      <c r="AT150" s="13">
        <v>1</v>
      </c>
      <c r="AU150" s="13"/>
      <c r="AV150" s="4"/>
      <c r="AW150" s="4"/>
      <c r="AX150" s="4"/>
      <c r="AY150" s="30">
        <f t="shared" si="21"/>
        <v>2</v>
      </c>
      <c r="AZ150" s="30">
        <f t="shared" si="22"/>
        <v>6</v>
      </c>
      <c r="BA150" s="30">
        <f t="shared" si="23"/>
        <v>0</v>
      </c>
      <c r="BC150" s="31" t="s">
        <v>929</v>
      </c>
      <c r="BD150" s="56" t="s">
        <v>708</v>
      </c>
      <c r="BE150" s="43" t="s">
        <v>310</v>
      </c>
      <c r="BF150" s="127" t="s">
        <v>237</v>
      </c>
      <c r="BG150" s="35" t="s">
        <v>6</v>
      </c>
      <c r="BH150" s="3"/>
      <c r="BI150" s="3"/>
      <c r="BJ150" s="3"/>
      <c r="BK150" s="4"/>
      <c r="BL150" s="5"/>
      <c r="BM150" s="5"/>
      <c r="BN150" s="4">
        <v>1</v>
      </c>
      <c r="BO150" s="5"/>
      <c r="BP150" s="5"/>
      <c r="BQ150" s="13"/>
      <c r="BR150" s="5"/>
      <c r="BS150" s="5"/>
      <c r="BT150" s="13">
        <v>2</v>
      </c>
      <c r="BU150" s="14">
        <v>1</v>
      </c>
      <c r="BV150" s="14"/>
      <c r="BW150" s="4"/>
      <c r="BX150" s="5"/>
      <c r="BY150" s="5">
        <v>1</v>
      </c>
      <c r="BZ150" s="30">
        <f t="shared" si="24"/>
        <v>3</v>
      </c>
      <c r="CA150" s="30">
        <f t="shared" si="25"/>
        <v>1</v>
      </c>
      <c r="CB150" s="30">
        <f t="shared" si="26"/>
        <v>1</v>
      </c>
    </row>
    <row r="151" spans="1:80" ht="15.5" x14ac:dyDescent="0.35">
      <c r="A151" s="31" t="s">
        <v>971</v>
      </c>
      <c r="B151" s="56" t="s">
        <v>757</v>
      </c>
      <c r="C151" s="41" t="s">
        <v>347</v>
      </c>
      <c r="D151" s="141" t="s">
        <v>239</v>
      </c>
      <c r="E151" s="42" t="s">
        <v>6</v>
      </c>
      <c r="F151" s="19"/>
      <c r="G151" s="19">
        <v>2</v>
      </c>
      <c r="H151" s="19"/>
      <c r="I151" s="13"/>
      <c r="J151" s="13"/>
      <c r="K151" s="14"/>
      <c r="L151" s="13"/>
      <c r="M151" s="13"/>
      <c r="N151" s="13"/>
      <c r="O151" s="13">
        <v>2</v>
      </c>
      <c r="P151" s="13"/>
      <c r="Q151" s="13"/>
      <c r="R151" s="13"/>
      <c r="S151" s="13">
        <v>1</v>
      </c>
      <c r="T151" s="13"/>
      <c r="U151" s="13"/>
      <c r="V151" s="13"/>
      <c r="W151" s="13"/>
      <c r="X151" s="30">
        <f t="shared" si="18"/>
        <v>2</v>
      </c>
      <c r="Y151" s="30">
        <f t="shared" si="19"/>
        <v>3</v>
      </c>
      <c r="Z151" s="30">
        <f t="shared" si="20"/>
        <v>0</v>
      </c>
      <c r="AB151" s="31" t="s">
        <v>1012</v>
      </c>
      <c r="AC151" s="56" t="s">
        <v>800</v>
      </c>
      <c r="AD151" s="47" t="s">
        <v>385</v>
      </c>
      <c r="AE151" s="161" t="s">
        <v>240</v>
      </c>
      <c r="AF151" s="42" t="s">
        <v>6</v>
      </c>
      <c r="AG151" s="9"/>
      <c r="AH151" s="9"/>
      <c r="AI151" s="9"/>
      <c r="AJ151" s="9"/>
      <c r="AK151" s="9">
        <v>2</v>
      </c>
      <c r="AL151" s="9"/>
      <c r="AM151" s="9"/>
      <c r="AN151" s="9"/>
      <c r="AO151" s="9">
        <v>3</v>
      </c>
      <c r="AP151" s="15"/>
      <c r="AQ151" s="15">
        <v>3</v>
      </c>
      <c r="AR151" s="15"/>
      <c r="AS151" s="15"/>
      <c r="AT151" s="15"/>
      <c r="AU151" s="15"/>
      <c r="AV151" s="9"/>
      <c r="AW151" s="9">
        <v>1</v>
      </c>
      <c r="AX151" s="9">
        <v>1</v>
      </c>
      <c r="AY151" s="30">
        <f t="shared" si="21"/>
        <v>0</v>
      </c>
      <c r="AZ151" s="30">
        <f t="shared" si="22"/>
        <v>6</v>
      </c>
      <c r="BA151" s="30">
        <f t="shared" si="23"/>
        <v>4</v>
      </c>
      <c r="BC151" s="31" t="s">
        <v>937</v>
      </c>
      <c r="BD151" s="56" t="s">
        <v>717</v>
      </c>
      <c r="BE151" s="45" t="s">
        <v>317</v>
      </c>
      <c r="BF151" s="121" t="s">
        <v>238</v>
      </c>
      <c r="BG151" s="35" t="s">
        <v>6</v>
      </c>
      <c r="BH151" s="19">
        <v>3</v>
      </c>
      <c r="BI151" s="20"/>
      <c r="BJ151" s="19">
        <v>1</v>
      </c>
      <c r="BK151" s="13"/>
      <c r="BL151" s="14">
        <v>1</v>
      </c>
      <c r="BM151" s="13"/>
      <c r="BN151" s="13"/>
      <c r="BO151" s="13">
        <v>2</v>
      </c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30">
        <f t="shared" si="24"/>
        <v>3</v>
      </c>
      <c r="CA151" s="30">
        <f t="shared" si="25"/>
        <v>3</v>
      </c>
      <c r="CB151" s="30">
        <f t="shared" si="26"/>
        <v>1</v>
      </c>
    </row>
    <row r="152" spans="1:80" ht="15.5" x14ac:dyDescent="0.35">
      <c r="A152" s="31" t="s">
        <v>978</v>
      </c>
      <c r="B152" s="56" t="s">
        <v>766</v>
      </c>
      <c r="C152" s="58" t="s">
        <v>352</v>
      </c>
      <c r="D152" s="141" t="s">
        <v>239</v>
      </c>
      <c r="E152" s="42" t="s">
        <v>6</v>
      </c>
      <c r="F152" s="19"/>
      <c r="G152" s="13"/>
      <c r="H152" s="13"/>
      <c r="I152" s="13">
        <v>1</v>
      </c>
      <c r="J152" s="14">
        <v>2</v>
      </c>
      <c r="K152" s="13"/>
      <c r="L152" s="13">
        <v>1</v>
      </c>
      <c r="M152" s="13"/>
      <c r="N152" s="13"/>
      <c r="O152" s="13"/>
      <c r="P152" s="13"/>
      <c r="Q152" s="13"/>
      <c r="R152" s="13"/>
      <c r="S152" s="13">
        <v>1</v>
      </c>
      <c r="T152" s="13"/>
      <c r="U152" s="13"/>
      <c r="V152" s="13"/>
      <c r="W152" s="13"/>
      <c r="X152" s="30">
        <f t="shared" si="18"/>
        <v>2</v>
      </c>
      <c r="Y152" s="30">
        <f t="shared" si="19"/>
        <v>3</v>
      </c>
      <c r="Z152" s="30">
        <f t="shared" si="20"/>
        <v>0</v>
      </c>
      <c r="AB152" s="31" t="s">
        <v>1046</v>
      </c>
      <c r="AC152" s="56" t="s">
        <v>825</v>
      </c>
      <c r="AD152" s="47" t="s">
        <v>404</v>
      </c>
      <c r="AE152" s="142" t="s">
        <v>1039</v>
      </c>
      <c r="AF152" s="42" t="s">
        <v>8</v>
      </c>
      <c r="AG152" s="4"/>
      <c r="AH152" s="4"/>
      <c r="AI152" s="4"/>
      <c r="AJ152" s="5"/>
      <c r="AK152" s="5"/>
      <c r="AL152" s="5"/>
      <c r="AM152" s="4"/>
      <c r="AN152" s="4">
        <v>1</v>
      </c>
      <c r="AO152" s="4"/>
      <c r="AP152" s="13"/>
      <c r="AQ152" s="13">
        <v>4</v>
      </c>
      <c r="AR152" s="13"/>
      <c r="AS152" s="13"/>
      <c r="AT152" s="13"/>
      <c r="AU152" s="13"/>
      <c r="AV152" s="4"/>
      <c r="AW152" s="4">
        <v>1</v>
      </c>
      <c r="AX152" s="4"/>
      <c r="AY152" s="30">
        <f t="shared" si="21"/>
        <v>0</v>
      </c>
      <c r="AZ152" s="30">
        <f t="shared" si="22"/>
        <v>6</v>
      </c>
      <c r="BA152" s="30">
        <f t="shared" si="23"/>
        <v>0</v>
      </c>
      <c r="BC152" s="31" t="s">
        <v>939</v>
      </c>
      <c r="BD152" s="56" t="s">
        <v>719</v>
      </c>
      <c r="BE152" s="43" t="s">
        <v>319</v>
      </c>
      <c r="BF152" s="121" t="s">
        <v>238</v>
      </c>
      <c r="BG152" s="35" t="s">
        <v>6</v>
      </c>
      <c r="BH152" s="19"/>
      <c r="BI152" s="20"/>
      <c r="BJ152" s="19"/>
      <c r="BK152" s="14"/>
      <c r="BL152" s="14"/>
      <c r="BM152" s="14"/>
      <c r="BN152" s="13"/>
      <c r="BO152" s="13"/>
      <c r="BP152" s="13"/>
      <c r="BQ152" s="13"/>
      <c r="BR152" s="13"/>
      <c r="BS152" s="13"/>
      <c r="BT152" s="13"/>
      <c r="BU152" s="13">
        <v>1</v>
      </c>
      <c r="BV152" s="13"/>
      <c r="BW152" s="13"/>
      <c r="BX152" s="13"/>
      <c r="BY152" s="13">
        <v>1</v>
      </c>
      <c r="BZ152" s="30">
        <f t="shared" si="24"/>
        <v>0</v>
      </c>
      <c r="CA152" s="30">
        <f t="shared" si="25"/>
        <v>1</v>
      </c>
      <c r="CB152" s="30">
        <f t="shared" si="26"/>
        <v>1</v>
      </c>
    </row>
    <row r="153" spans="1:80" ht="15.5" x14ac:dyDescent="0.35">
      <c r="A153" s="31" t="s">
        <v>988</v>
      </c>
      <c r="B153" s="56" t="s">
        <v>776</v>
      </c>
      <c r="C153" s="47" t="s">
        <v>362</v>
      </c>
      <c r="D153" s="141" t="s">
        <v>239</v>
      </c>
      <c r="E153" s="42" t="s">
        <v>6</v>
      </c>
      <c r="F153" s="19"/>
      <c r="G153" s="13"/>
      <c r="H153" s="13"/>
      <c r="I153" s="13"/>
      <c r="J153" s="14">
        <v>2</v>
      </c>
      <c r="K153" s="13"/>
      <c r="L153" s="13"/>
      <c r="M153" s="13"/>
      <c r="N153" s="13"/>
      <c r="O153" s="13">
        <v>1</v>
      </c>
      <c r="P153" s="13">
        <v>2</v>
      </c>
      <c r="Q153" s="13"/>
      <c r="R153" s="13">
        <v>1</v>
      </c>
      <c r="S153" s="13">
        <v>2</v>
      </c>
      <c r="T153" s="13"/>
      <c r="U153" s="13"/>
      <c r="V153" s="13"/>
      <c r="W153" s="13"/>
      <c r="X153" s="30">
        <f t="shared" si="18"/>
        <v>2</v>
      </c>
      <c r="Y153" s="30">
        <f t="shared" si="19"/>
        <v>6</v>
      </c>
      <c r="Z153" s="30">
        <f t="shared" si="20"/>
        <v>0</v>
      </c>
      <c r="AB153" s="31" t="s">
        <v>1069</v>
      </c>
      <c r="AC153" s="56" t="s">
        <v>850</v>
      </c>
      <c r="AD153" s="77" t="s">
        <v>851</v>
      </c>
      <c r="AE153" s="142" t="s">
        <v>1039</v>
      </c>
      <c r="AF153" s="78" t="s">
        <v>8</v>
      </c>
      <c r="AG153" s="4"/>
      <c r="AH153" s="4">
        <v>1</v>
      </c>
      <c r="AI153" s="4"/>
      <c r="AJ153" s="4">
        <v>1</v>
      </c>
      <c r="AK153" s="4">
        <v>1</v>
      </c>
      <c r="AL153" s="4"/>
      <c r="AM153" s="4"/>
      <c r="AN153" s="4"/>
      <c r="AO153" s="4"/>
      <c r="AP153" s="13"/>
      <c r="AQ153" s="13">
        <v>3</v>
      </c>
      <c r="AR153" s="13"/>
      <c r="AS153" s="13">
        <v>1</v>
      </c>
      <c r="AT153" s="13">
        <v>1</v>
      </c>
      <c r="AU153" s="13"/>
      <c r="AV153" s="4"/>
      <c r="AW153" s="4"/>
      <c r="AX153" s="4"/>
      <c r="AY153" s="30">
        <f t="shared" si="21"/>
        <v>2</v>
      </c>
      <c r="AZ153" s="30">
        <f t="shared" si="22"/>
        <v>6</v>
      </c>
      <c r="BA153" s="30">
        <f t="shared" si="23"/>
        <v>0</v>
      </c>
      <c r="BC153" s="31" t="s">
        <v>963</v>
      </c>
      <c r="BD153" s="56" t="s">
        <v>747</v>
      </c>
      <c r="BE153" s="41" t="s">
        <v>748</v>
      </c>
      <c r="BF153" s="121" t="s">
        <v>238</v>
      </c>
      <c r="BG153" s="42" t="s">
        <v>8</v>
      </c>
      <c r="BH153" s="19"/>
      <c r="BI153" s="19"/>
      <c r="BJ153" s="19"/>
      <c r="BK153" s="13"/>
      <c r="BL153" s="14"/>
      <c r="BM153" s="13"/>
      <c r="BN153" s="13"/>
      <c r="BO153" s="13"/>
      <c r="BP153" s="13">
        <v>1</v>
      </c>
      <c r="BQ153" s="13"/>
      <c r="BR153" s="13"/>
      <c r="BS153" s="13"/>
      <c r="BT153" s="13"/>
      <c r="BU153" s="13"/>
      <c r="BV153" s="13"/>
      <c r="BW153" s="13"/>
      <c r="BX153" s="13"/>
      <c r="BY153" s="13"/>
      <c r="BZ153" s="30">
        <f t="shared" si="24"/>
        <v>0</v>
      </c>
      <c r="CA153" s="30">
        <f t="shared" si="25"/>
        <v>0</v>
      </c>
      <c r="CB153" s="30">
        <f t="shared" si="26"/>
        <v>1</v>
      </c>
    </row>
    <row r="154" spans="1:80" ht="15.5" x14ac:dyDescent="0.35">
      <c r="A154" s="31" t="s">
        <v>995</v>
      </c>
      <c r="B154" s="56" t="s">
        <v>783</v>
      </c>
      <c r="C154" s="47" t="s">
        <v>369</v>
      </c>
      <c r="D154" s="141" t="s">
        <v>239</v>
      </c>
      <c r="E154" s="42" t="s">
        <v>8</v>
      </c>
      <c r="F154" s="19"/>
      <c r="G154" s="13">
        <v>1</v>
      </c>
      <c r="H154" s="13"/>
      <c r="I154" s="13">
        <v>1</v>
      </c>
      <c r="J154" s="13">
        <v>2</v>
      </c>
      <c r="K154" s="13"/>
      <c r="L154" s="13"/>
      <c r="M154" s="13">
        <v>2</v>
      </c>
      <c r="N154" s="13"/>
      <c r="O154" s="13"/>
      <c r="P154" s="13">
        <v>2</v>
      </c>
      <c r="Q154" s="13"/>
      <c r="R154" s="13">
        <v>1</v>
      </c>
      <c r="S154" s="13">
        <v>2</v>
      </c>
      <c r="T154" s="13"/>
      <c r="U154" s="13"/>
      <c r="V154" s="13"/>
      <c r="W154" s="13"/>
      <c r="X154" s="30">
        <f t="shared" si="18"/>
        <v>2</v>
      </c>
      <c r="Y154" s="30">
        <f t="shared" si="19"/>
        <v>9</v>
      </c>
      <c r="Z154" s="30">
        <f t="shared" si="20"/>
        <v>0</v>
      </c>
      <c r="AB154" s="31" t="s">
        <v>37</v>
      </c>
      <c r="AC154" s="56" t="s">
        <v>647</v>
      </c>
      <c r="AD154" s="43" t="s">
        <v>260</v>
      </c>
      <c r="AE154" s="127" t="s">
        <v>236</v>
      </c>
      <c r="AF154" s="35" t="s">
        <v>6</v>
      </c>
      <c r="AG154" s="3"/>
      <c r="AH154" s="3"/>
      <c r="AI154" s="3"/>
      <c r="AJ154" s="4"/>
      <c r="AK154" s="5">
        <v>4</v>
      </c>
      <c r="AL154" s="5"/>
      <c r="AM154" s="4"/>
      <c r="AN154" s="4">
        <v>2</v>
      </c>
      <c r="AO154" s="5"/>
      <c r="AP154" s="13"/>
      <c r="AQ154" s="13"/>
      <c r="AR154" s="13"/>
      <c r="AS154" s="13"/>
      <c r="AT154" s="13">
        <v>1</v>
      </c>
      <c r="AU154" s="13"/>
      <c r="AV154" s="4"/>
      <c r="AW154" s="4"/>
      <c r="AX154" s="4"/>
      <c r="AY154" s="30">
        <f t="shared" si="21"/>
        <v>0</v>
      </c>
      <c r="AZ154" s="30">
        <f t="shared" si="22"/>
        <v>7</v>
      </c>
      <c r="BA154" s="30">
        <f t="shared" si="23"/>
        <v>0</v>
      </c>
      <c r="BC154" s="31" t="s">
        <v>969</v>
      </c>
      <c r="BD154" s="56" t="s">
        <v>755</v>
      </c>
      <c r="BE154" s="41" t="s">
        <v>345</v>
      </c>
      <c r="BF154" s="141" t="s">
        <v>239</v>
      </c>
      <c r="BG154" s="42" t="s">
        <v>8</v>
      </c>
      <c r="BH154" s="19"/>
      <c r="BI154" s="19">
        <v>1</v>
      </c>
      <c r="BJ154" s="19"/>
      <c r="BK154" s="13">
        <v>4</v>
      </c>
      <c r="BL154" s="14">
        <v>2</v>
      </c>
      <c r="BM154" s="13">
        <v>1</v>
      </c>
      <c r="BN154" s="13"/>
      <c r="BO154" s="13">
        <v>2</v>
      </c>
      <c r="BP154" s="13"/>
      <c r="BQ154" s="13">
        <v>1</v>
      </c>
      <c r="BR154" s="13">
        <v>5</v>
      </c>
      <c r="BS154" s="13"/>
      <c r="BT154" s="13"/>
      <c r="BU154" s="13">
        <v>1</v>
      </c>
      <c r="BV154" s="13"/>
      <c r="BW154" s="13"/>
      <c r="BX154" s="13">
        <v>2</v>
      </c>
      <c r="BY154" s="13"/>
      <c r="BZ154" s="30">
        <f t="shared" si="24"/>
        <v>5</v>
      </c>
      <c r="CA154" s="30">
        <f t="shared" si="25"/>
        <v>13</v>
      </c>
      <c r="CB154" s="30">
        <f t="shared" si="26"/>
        <v>1</v>
      </c>
    </row>
    <row r="155" spans="1:80" ht="15.5" x14ac:dyDescent="0.35">
      <c r="A155" s="31" t="s">
        <v>1007</v>
      </c>
      <c r="B155" s="56" t="s">
        <v>795</v>
      </c>
      <c r="C155" s="47" t="s">
        <v>380</v>
      </c>
      <c r="D155" s="161" t="s">
        <v>240</v>
      </c>
      <c r="E155" s="42" t="s">
        <v>8</v>
      </c>
      <c r="F155" s="4"/>
      <c r="G155" s="4"/>
      <c r="H155" s="5"/>
      <c r="I155" s="5">
        <v>1</v>
      </c>
      <c r="J155" s="5">
        <v>2</v>
      </c>
      <c r="K155" s="5"/>
      <c r="L155" s="4"/>
      <c r="M155" s="4">
        <v>2</v>
      </c>
      <c r="N155" s="4"/>
      <c r="O155" s="13">
        <v>1</v>
      </c>
      <c r="P155" s="13">
        <v>1</v>
      </c>
      <c r="Q155" s="13"/>
      <c r="R155" s="13"/>
      <c r="S155" s="13">
        <v>1</v>
      </c>
      <c r="T155" s="13"/>
      <c r="U155" s="4"/>
      <c r="V155" s="4"/>
      <c r="W155" s="4"/>
      <c r="X155" s="30">
        <f t="shared" si="18"/>
        <v>2</v>
      </c>
      <c r="Y155" s="30">
        <f t="shared" si="19"/>
        <v>6</v>
      </c>
      <c r="Z155" s="30">
        <f t="shared" si="20"/>
        <v>0</v>
      </c>
      <c r="AB155" s="31" t="s">
        <v>906</v>
      </c>
      <c r="AC155" s="56" t="s">
        <v>683</v>
      </c>
      <c r="AD155" s="43" t="s">
        <v>287</v>
      </c>
      <c r="AE155" s="127" t="s">
        <v>237</v>
      </c>
      <c r="AF155" s="35" t="s">
        <v>6</v>
      </c>
      <c r="AG155" s="3"/>
      <c r="AH155" s="3"/>
      <c r="AI155" s="3"/>
      <c r="AJ155" s="5"/>
      <c r="AK155" s="5">
        <v>2</v>
      </c>
      <c r="AL155" s="4"/>
      <c r="AM155" s="4"/>
      <c r="AN155" s="5">
        <v>2</v>
      </c>
      <c r="AO155" s="4"/>
      <c r="AP155" s="13"/>
      <c r="AQ155" s="5">
        <v>3</v>
      </c>
      <c r="AR155" s="4"/>
      <c r="AS155" s="13"/>
      <c r="AT155" s="14"/>
      <c r="AU155" s="13"/>
      <c r="AV155" s="4"/>
      <c r="AW155" s="5"/>
      <c r="AX155" s="4"/>
      <c r="AY155" s="30">
        <f t="shared" si="21"/>
        <v>0</v>
      </c>
      <c r="AZ155" s="30">
        <f t="shared" si="22"/>
        <v>7</v>
      </c>
      <c r="BA155" s="30">
        <f t="shared" si="23"/>
        <v>0</v>
      </c>
      <c r="BC155" s="31" t="s">
        <v>993</v>
      </c>
      <c r="BD155" s="56" t="s">
        <v>781</v>
      </c>
      <c r="BE155" s="47" t="s">
        <v>367</v>
      </c>
      <c r="BF155" s="141" t="s">
        <v>239</v>
      </c>
      <c r="BG155" s="42" t="s">
        <v>8</v>
      </c>
      <c r="BH155" s="27"/>
      <c r="BI155" s="15"/>
      <c r="BJ155" s="15"/>
      <c r="BK155" s="15"/>
      <c r="BL155" s="15"/>
      <c r="BM155" s="15"/>
      <c r="BN155" s="15"/>
      <c r="BO155" s="15">
        <v>1</v>
      </c>
      <c r="BP155" s="15"/>
      <c r="BQ155" s="15">
        <v>3</v>
      </c>
      <c r="BR155" s="15">
        <v>1</v>
      </c>
      <c r="BS155" s="15"/>
      <c r="BT155" s="15"/>
      <c r="BU155" s="15"/>
      <c r="BV155" s="15"/>
      <c r="BW155" s="15"/>
      <c r="BX155" s="15"/>
      <c r="BY155" s="15">
        <v>1</v>
      </c>
      <c r="BZ155" s="30">
        <f t="shared" si="24"/>
        <v>3</v>
      </c>
      <c r="CA155" s="30">
        <f t="shared" si="25"/>
        <v>2</v>
      </c>
      <c r="CB155" s="30">
        <f t="shared" si="26"/>
        <v>1</v>
      </c>
    </row>
    <row r="156" spans="1:80" ht="15.5" x14ac:dyDescent="0.35">
      <c r="A156" s="31" t="s">
        <v>1009</v>
      </c>
      <c r="B156" s="56" t="s">
        <v>797</v>
      </c>
      <c r="C156" s="47" t="s">
        <v>382</v>
      </c>
      <c r="D156" s="161" t="s">
        <v>240</v>
      </c>
      <c r="E156" s="42" t="s">
        <v>8</v>
      </c>
      <c r="F156" s="4"/>
      <c r="G156" s="4">
        <v>2</v>
      </c>
      <c r="H156" s="4"/>
      <c r="I156" s="4"/>
      <c r="J156" s="5">
        <v>1</v>
      </c>
      <c r="K156" s="5">
        <v>1</v>
      </c>
      <c r="L156" s="4">
        <v>1</v>
      </c>
      <c r="M156" s="4">
        <v>6</v>
      </c>
      <c r="N156" s="4">
        <v>1</v>
      </c>
      <c r="O156" s="13"/>
      <c r="P156" s="13">
        <v>2</v>
      </c>
      <c r="Q156" s="13"/>
      <c r="R156" s="13">
        <v>1</v>
      </c>
      <c r="S156" s="13">
        <v>3</v>
      </c>
      <c r="T156" s="13"/>
      <c r="U156" s="4"/>
      <c r="V156" s="4">
        <v>1</v>
      </c>
      <c r="W156" s="4"/>
      <c r="X156" s="30">
        <f t="shared" si="18"/>
        <v>2</v>
      </c>
      <c r="Y156" s="30">
        <f t="shared" si="19"/>
        <v>15</v>
      </c>
      <c r="Z156" s="30">
        <f t="shared" si="20"/>
        <v>2</v>
      </c>
      <c r="AB156" s="31" t="s">
        <v>922</v>
      </c>
      <c r="AC156" s="56" t="s">
        <v>701</v>
      </c>
      <c r="AD156" s="43" t="s">
        <v>302</v>
      </c>
      <c r="AE156" s="127" t="s">
        <v>237</v>
      </c>
      <c r="AF156" s="35" t="s">
        <v>6</v>
      </c>
      <c r="AG156" s="3"/>
      <c r="AH156" s="3">
        <v>1</v>
      </c>
      <c r="AI156" s="3"/>
      <c r="AJ156" s="5"/>
      <c r="AK156" s="5">
        <v>4</v>
      </c>
      <c r="AL156" s="4"/>
      <c r="AM156" s="4"/>
      <c r="AN156" s="5"/>
      <c r="AO156" s="4"/>
      <c r="AP156" s="13">
        <v>1</v>
      </c>
      <c r="AQ156" s="5">
        <v>1</v>
      </c>
      <c r="AR156" s="4"/>
      <c r="AS156" s="13"/>
      <c r="AT156" s="14">
        <v>1</v>
      </c>
      <c r="AU156" s="13"/>
      <c r="AV156" s="4"/>
      <c r="AW156" s="5"/>
      <c r="AX156" s="4">
        <v>1</v>
      </c>
      <c r="AY156" s="30">
        <f t="shared" si="21"/>
        <v>1</v>
      </c>
      <c r="AZ156" s="30">
        <f t="shared" si="22"/>
        <v>7</v>
      </c>
      <c r="BA156" s="30">
        <f t="shared" si="23"/>
        <v>1</v>
      </c>
      <c r="BC156" s="31" t="s">
        <v>1021</v>
      </c>
      <c r="BD156" s="56" t="s">
        <v>810</v>
      </c>
      <c r="BE156" s="58" t="s">
        <v>393</v>
      </c>
      <c r="BF156" s="161" t="s">
        <v>240</v>
      </c>
      <c r="BG156" s="42" t="s">
        <v>6</v>
      </c>
      <c r="BH156" s="4"/>
      <c r="BI156" s="4"/>
      <c r="BJ156" s="4"/>
      <c r="BK156" s="4"/>
      <c r="BL156" s="4"/>
      <c r="BM156" s="4">
        <v>1</v>
      </c>
      <c r="BN156" s="4"/>
      <c r="BO156" s="4"/>
      <c r="BP156" s="4"/>
      <c r="BQ156" s="13"/>
      <c r="BR156" s="13"/>
      <c r="BS156" s="13"/>
      <c r="BT156" s="13"/>
      <c r="BU156" s="13">
        <v>2</v>
      </c>
      <c r="BV156" s="13"/>
      <c r="BW156" s="4"/>
      <c r="BX156" s="4"/>
      <c r="BY156" s="4"/>
      <c r="BZ156" s="30">
        <f t="shared" si="24"/>
        <v>0</v>
      </c>
      <c r="CA156" s="30">
        <f t="shared" si="25"/>
        <v>2</v>
      </c>
      <c r="CB156" s="30">
        <f t="shared" si="26"/>
        <v>1</v>
      </c>
    </row>
    <row r="157" spans="1:80" ht="15.5" x14ac:dyDescent="0.35">
      <c r="A157" s="31" t="s">
        <v>1011</v>
      </c>
      <c r="B157" s="56" t="s">
        <v>799</v>
      </c>
      <c r="C157" s="58" t="s">
        <v>384</v>
      </c>
      <c r="D157" s="161" t="s">
        <v>240</v>
      </c>
      <c r="E157" s="42" t="s">
        <v>8</v>
      </c>
      <c r="F157" s="4"/>
      <c r="G157" s="4"/>
      <c r="H157" s="4"/>
      <c r="I157" s="4"/>
      <c r="J157" s="5">
        <v>1</v>
      </c>
      <c r="K157" s="5"/>
      <c r="L157" s="4">
        <v>1</v>
      </c>
      <c r="M157" s="4">
        <v>1</v>
      </c>
      <c r="N157" s="4"/>
      <c r="O157" s="13"/>
      <c r="P157" s="13"/>
      <c r="Q157" s="13"/>
      <c r="R157" s="13">
        <v>1</v>
      </c>
      <c r="S157" s="13">
        <v>1</v>
      </c>
      <c r="T157" s="13"/>
      <c r="U157" s="4"/>
      <c r="V157" s="4"/>
      <c r="W157" s="4"/>
      <c r="X157" s="30">
        <f t="shared" si="18"/>
        <v>2</v>
      </c>
      <c r="Y157" s="30">
        <f t="shared" si="19"/>
        <v>3</v>
      </c>
      <c r="Z157" s="30">
        <f t="shared" si="20"/>
        <v>0</v>
      </c>
      <c r="AB157" s="31" t="s">
        <v>924</v>
      </c>
      <c r="AC157" s="56" t="s">
        <v>703</v>
      </c>
      <c r="AD157" s="43" t="s">
        <v>304</v>
      </c>
      <c r="AE157" s="127" t="s">
        <v>237</v>
      </c>
      <c r="AF157" s="35" t="s">
        <v>6</v>
      </c>
      <c r="AG157" s="3"/>
      <c r="AH157" s="3"/>
      <c r="AI157" s="6"/>
      <c r="AJ157" s="5"/>
      <c r="AK157" s="5">
        <v>3</v>
      </c>
      <c r="AL157" s="5"/>
      <c r="AM157" s="4"/>
      <c r="AN157" s="4">
        <v>2</v>
      </c>
      <c r="AO157" s="5"/>
      <c r="AP157" s="13"/>
      <c r="AQ157" s="4"/>
      <c r="AR157" s="5"/>
      <c r="AS157" s="13"/>
      <c r="AT157" s="13">
        <v>1</v>
      </c>
      <c r="AU157" s="14"/>
      <c r="AV157" s="4"/>
      <c r="AW157" s="4">
        <v>1</v>
      </c>
      <c r="AX157" s="5"/>
      <c r="AY157" s="30">
        <f t="shared" si="21"/>
        <v>0</v>
      </c>
      <c r="AZ157" s="30">
        <f t="shared" si="22"/>
        <v>7</v>
      </c>
      <c r="BA157" s="30">
        <f t="shared" si="23"/>
        <v>0</v>
      </c>
      <c r="BC157" s="31" t="s">
        <v>1022</v>
      </c>
      <c r="BD157" s="56" t="s">
        <v>811</v>
      </c>
      <c r="BE157" s="47" t="s">
        <v>812</v>
      </c>
      <c r="BF157" s="161" t="s">
        <v>240</v>
      </c>
      <c r="BG157" s="42" t="s">
        <v>6</v>
      </c>
      <c r="BH157" s="4"/>
      <c r="BI157" s="4"/>
      <c r="BJ157" s="4"/>
      <c r="BK157" s="4"/>
      <c r="BL157" s="5"/>
      <c r="BM157" s="4">
        <v>1</v>
      </c>
      <c r="BN157" s="4"/>
      <c r="BO157" s="4"/>
      <c r="BP157" s="4"/>
      <c r="BQ157" s="13"/>
      <c r="BR157" s="13">
        <v>1</v>
      </c>
      <c r="BS157" s="13"/>
      <c r="BT157" s="13"/>
      <c r="BU157" s="13"/>
      <c r="BV157" s="13"/>
      <c r="BW157" s="4"/>
      <c r="BX157" s="4"/>
      <c r="BY157" s="4"/>
      <c r="BZ157" s="30">
        <f t="shared" si="24"/>
        <v>0</v>
      </c>
      <c r="CA157" s="30">
        <f t="shared" si="25"/>
        <v>1</v>
      </c>
      <c r="CB157" s="30">
        <f t="shared" si="26"/>
        <v>1</v>
      </c>
    </row>
    <row r="158" spans="1:80" ht="15.5" x14ac:dyDescent="0.35">
      <c r="A158" s="31" t="s">
        <v>1043</v>
      </c>
      <c r="B158" s="56" t="s">
        <v>822</v>
      </c>
      <c r="C158" s="47" t="s">
        <v>401</v>
      </c>
      <c r="D158" s="142" t="s">
        <v>1039</v>
      </c>
      <c r="E158" s="42" t="s">
        <v>8</v>
      </c>
      <c r="F158" s="4">
        <v>1</v>
      </c>
      <c r="G158" s="4"/>
      <c r="H158" s="4"/>
      <c r="I158" s="5"/>
      <c r="J158" s="5">
        <v>1</v>
      </c>
      <c r="K158" s="4"/>
      <c r="L158" s="4">
        <v>1</v>
      </c>
      <c r="M158" s="4">
        <v>1</v>
      </c>
      <c r="N158" s="4"/>
      <c r="O158" s="13"/>
      <c r="P158" s="13">
        <v>1</v>
      </c>
      <c r="Q158" s="13"/>
      <c r="R158" s="148"/>
      <c r="S158" s="148">
        <v>1</v>
      </c>
      <c r="T158" s="148"/>
      <c r="U158" s="4"/>
      <c r="V158" s="4"/>
      <c r="W158" s="4"/>
      <c r="X158" s="30">
        <f t="shared" si="18"/>
        <v>2</v>
      </c>
      <c r="Y158" s="30">
        <f t="shared" si="19"/>
        <v>4</v>
      </c>
      <c r="Z158" s="30">
        <f t="shared" si="20"/>
        <v>0</v>
      </c>
      <c r="AB158" s="31" t="s">
        <v>934</v>
      </c>
      <c r="AC158" s="52"/>
      <c r="AD158" s="37" t="s">
        <v>714</v>
      </c>
      <c r="AE158" s="127" t="s">
        <v>237</v>
      </c>
      <c r="AF158" s="35" t="s">
        <v>6</v>
      </c>
      <c r="AG158" s="3"/>
      <c r="AH158" s="3">
        <v>2</v>
      </c>
      <c r="AI158" s="3"/>
      <c r="AJ158" s="4">
        <v>1</v>
      </c>
      <c r="AK158" s="5">
        <v>1</v>
      </c>
      <c r="AL158" s="4"/>
      <c r="AM158" s="4"/>
      <c r="AN158" s="4">
        <v>2</v>
      </c>
      <c r="AO158" s="4">
        <v>3</v>
      </c>
      <c r="AP158" s="13"/>
      <c r="AQ158" s="4">
        <v>1</v>
      </c>
      <c r="AR158" s="4">
        <v>1</v>
      </c>
      <c r="AS158" s="13">
        <v>1</v>
      </c>
      <c r="AT158" s="13">
        <v>1</v>
      </c>
      <c r="AU158" s="13">
        <v>7</v>
      </c>
      <c r="AV158" s="4"/>
      <c r="AW158" s="4"/>
      <c r="AX158" s="4">
        <v>4</v>
      </c>
      <c r="AY158" s="30">
        <f t="shared" si="21"/>
        <v>2</v>
      </c>
      <c r="AZ158" s="30">
        <f t="shared" si="22"/>
        <v>7</v>
      </c>
      <c r="BA158" s="30">
        <f t="shared" si="23"/>
        <v>15</v>
      </c>
      <c r="BC158" s="31" t="s">
        <v>1027</v>
      </c>
      <c r="BD158" s="56" t="s">
        <v>817</v>
      </c>
      <c r="BE158" s="47" t="s">
        <v>398</v>
      </c>
      <c r="BF158" s="161" t="s">
        <v>240</v>
      </c>
      <c r="BG158" s="42" t="s">
        <v>8</v>
      </c>
      <c r="BH158" s="4"/>
      <c r="BI158" s="4"/>
      <c r="BJ158" s="4"/>
      <c r="BK158" s="4"/>
      <c r="BL158" s="4"/>
      <c r="BM158" s="4">
        <v>1</v>
      </c>
      <c r="BN158" s="4"/>
      <c r="BO158" s="4"/>
      <c r="BP158" s="4"/>
      <c r="BQ158" s="13"/>
      <c r="BR158" s="13">
        <v>1</v>
      </c>
      <c r="BS158" s="13"/>
      <c r="BT158" s="13"/>
      <c r="BU158" s="13">
        <v>1</v>
      </c>
      <c r="BV158" s="13"/>
      <c r="BW158" s="4"/>
      <c r="BX158" s="4"/>
      <c r="BY158" s="4"/>
      <c r="BZ158" s="30">
        <f t="shared" si="24"/>
        <v>0</v>
      </c>
      <c r="CA158" s="30">
        <f t="shared" si="25"/>
        <v>2</v>
      </c>
      <c r="CB158" s="30">
        <f t="shared" si="26"/>
        <v>1</v>
      </c>
    </row>
    <row r="159" spans="1:80" ht="15.5" x14ac:dyDescent="0.35">
      <c r="A159" s="31" t="s">
        <v>1052</v>
      </c>
      <c r="B159" s="56" t="s">
        <v>832</v>
      </c>
      <c r="C159" s="47" t="s">
        <v>409</v>
      </c>
      <c r="D159" s="142" t="s">
        <v>1039</v>
      </c>
      <c r="E159" s="42" t="s">
        <v>6</v>
      </c>
      <c r="F159" s="4"/>
      <c r="G159" s="4"/>
      <c r="H159" s="5"/>
      <c r="I159" s="4"/>
      <c r="J159" s="5">
        <v>3</v>
      </c>
      <c r="K159" s="5"/>
      <c r="L159" s="4"/>
      <c r="M159" s="4"/>
      <c r="N159" s="4"/>
      <c r="O159" s="13">
        <v>1</v>
      </c>
      <c r="P159" s="13">
        <v>1</v>
      </c>
      <c r="Q159" s="13"/>
      <c r="R159" s="13">
        <v>1</v>
      </c>
      <c r="S159" s="13"/>
      <c r="T159" s="13"/>
      <c r="U159" s="4"/>
      <c r="V159" s="4"/>
      <c r="W159" s="4"/>
      <c r="X159" s="30">
        <f t="shared" si="18"/>
        <v>2</v>
      </c>
      <c r="Y159" s="30">
        <f t="shared" si="19"/>
        <v>4</v>
      </c>
      <c r="Z159" s="30">
        <f t="shared" si="20"/>
        <v>0</v>
      </c>
      <c r="AB159" s="31" t="s">
        <v>946</v>
      </c>
      <c r="AC159" s="56" t="s">
        <v>726</v>
      </c>
      <c r="AD159" s="51" t="s">
        <v>326</v>
      </c>
      <c r="AE159" s="121" t="s">
        <v>238</v>
      </c>
      <c r="AF159" s="42" t="s">
        <v>8</v>
      </c>
      <c r="AG159" s="19"/>
      <c r="AH159" s="19"/>
      <c r="AI159" s="19"/>
      <c r="AJ159" s="13">
        <v>2</v>
      </c>
      <c r="AK159" s="14"/>
      <c r="AL159" s="14"/>
      <c r="AM159" s="13">
        <v>1</v>
      </c>
      <c r="AN159" s="13">
        <v>1</v>
      </c>
      <c r="AO159" s="13"/>
      <c r="AP159" s="13"/>
      <c r="AQ159" s="13">
        <v>3</v>
      </c>
      <c r="AR159" s="13"/>
      <c r="AS159" s="13"/>
      <c r="AT159" s="13">
        <v>2</v>
      </c>
      <c r="AU159" s="13"/>
      <c r="AV159" s="13"/>
      <c r="AW159" s="13">
        <v>1</v>
      </c>
      <c r="AX159" s="13"/>
      <c r="AY159" s="30">
        <f t="shared" si="21"/>
        <v>3</v>
      </c>
      <c r="AZ159" s="30">
        <f t="shared" si="22"/>
        <v>7</v>
      </c>
      <c r="BA159" s="30">
        <f t="shared" si="23"/>
        <v>0</v>
      </c>
      <c r="BC159" s="31" t="s">
        <v>1056</v>
      </c>
      <c r="BD159" s="56" t="s">
        <v>836</v>
      </c>
      <c r="BE159" s="47" t="s">
        <v>413</v>
      </c>
      <c r="BF159" s="142" t="s">
        <v>1039</v>
      </c>
      <c r="BG159" s="42" t="s">
        <v>8</v>
      </c>
      <c r="BH159" s="4"/>
      <c r="BI159" s="4"/>
      <c r="BJ159" s="4"/>
      <c r="BK159" s="4">
        <v>1</v>
      </c>
      <c r="BL159" s="5">
        <v>1</v>
      </c>
      <c r="BM159" s="4">
        <v>1</v>
      </c>
      <c r="BN159" s="4">
        <v>1</v>
      </c>
      <c r="BO159" s="4">
        <v>2</v>
      </c>
      <c r="BP159" s="4"/>
      <c r="BQ159" s="13"/>
      <c r="BR159" s="13">
        <v>1</v>
      </c>
      <c r="BS159" s="13"/>
      <c r="BT159" s="13"/>
      <c r="BU159" s="13"/>
      <c r="BV159" s="13"/>
      <c r="BW159" s="4"/>
      <c r="BX159" s="4"/>
      <c r="BY159" s="4"/>
      <c r="BZ159" s="30">
        <f t="shared" si="24"/>
        <v>2</v>
      </c>
      <c r="CA159" s="30">
        <f t="shared" si="25"/>
        <v>4</v>
      </c>
      <c r="CB159" s="30">
        <f t="shared" si="26"/>
        <v>1</v>
      </c>
    </row>
    <row r="160" spans="1:80" ht="15.5" x14ac:dyDescent="0.35">
      <c r="A160" s="31" t="s">
        <v>1054</v>
      </c>
      <c r="B160" s="56" t="s">
        <v>834</v>
      </c>
      <c r="C160" s="58" t="s">
        <v>411</v>
      </c>
      <c r="D160" s="142" t="s">
        <v>1039</v>
      </c>
      <c r="E160" s="42" t="s">
        <v>8</v>
      </c>
      <c r="F160" s="4"/>
      <c r="G160" s="4"/>
      <c r="H160" s="4"/>
      <c r="I160" s="5">
        <v>1</v>
      </c>
      <c r="J160" s="5">
        <v>5</v>
      </c>
      <c r="K160" s="5"/>
      <c r="L160" s="4"/>
      <c r="M160" s="4">
        <v>5</v>
      </c>
      <c r="N160" s="4">
        <v>1</v>
      </c>
      <c r="O160" s="13">
        <v>1</v>
      </c>
      <c r="P160" s="13">
        <v>7</v>
      </c>
      <c r="Q160" s="13">
        <v>3</v>
      </c>
      <c r="R160" s="13"/>
      <c r="S160" s="13">
        <v>2</v>
      </c>
      <c r="T160" s="13">
        <v>1</v>
      </c>
      <c r="U160" s="4"/>
      <c r="V160" s="4"/>
      <c r="W160" s="4"/>
      <c r="X160" s="30">
        <f t="shared" si="18"/>
        <v>2</v>
      </c>
      <c r="Y160" s="30">
        <f t="shared" si="19"/>
        <v>19</v>
      </c>
      <c r="Z160" s="30">
        <f t="shared" si="20"/>
        <v>5</v>
      </c>
      <c r="AB160" s="31" t="s">
        <v>994</v>
      </c>
      <c r="AC160" s="56" t="s">
        <v>782</v>
      </c>
      <c r="AD160" s="47" t="s">
        <v>368</v>
      </c>
      <c r="AE160" s="141" t="s">
        <v>239</v>
      </c>
      <c r="AF160" s="42" t="s">
        <v>8</v>
      </c>
      <c r="AG160" s="19"/>
      <c r="AH160" s="13">
        <v>2</v>
      </c>
      <c r="AI160" s="13"/>
      <c r="AJ160" s="13"/>
      <c r="AK160" s="14">
        <v>2</v>
      </c>
      <c r="AL160" s="13"/>
      <c r="AM160" s="13"/>
      <c r="AN160" s="13">
        <v>1</v>
      </c>
      <c r="AO160" s="13"/>
      <c r="AP160" s="13">
        <v>1</v>
      </c>
      <c r="AQ160" s="13">
        <v>2</v>
      </c>
      <c r="AR160" s="13"/>
      <c r="AS160" s="13"/>
      <c r="AT160" s="13"/>
      <c r="AU160" s="13"/>
      <c r="AV160" s="13"/>
      <c r="AW160" s="13"/>
      <c r="AX160" s="13"/>
      <c r="AY160" s="30">
        <f t="shared" si="21"/>
        <v>1</v>
      </c>
      <c r="AZ160" s="30">
        <f t="shared" si="22"/>
        <v>7</v>
      </c>
      <c r="BA160" s="30">
        <f t="shared" si="23"/>
        <v>0</v>
      </c>
      <c r="BC160" s="31" t="s">
        <v>41</v>
      </c>
      <c r="BD160" s="56" t="s">
        <v>651</v>
      </c>
      <c r="BE160" s="43" t="s">
        <v>264</v>
      </c>
      <c r="BF160" s="127" t="s">
        <v>236</v>
      </c>
      <c r="BG160" s="35" t="s">
        <v>6</v>
      </c>
      <c r="BH160" s="3"/>
      <c r="BI160" s="3"/>
      <c r="BJ160" s="3"/>
      <c r="BK160" s="4"/>
      <c r="BL160" s="5">
        <v>1</v>
      </c>
      <c r="BM160" s="5">
        <v>2</v>
      </c>
      <c r="BN160" s="4"/>
      <c r="BO160" s="4"/>
      <c r="BP160" s="4"/>
      <c r="BQ160" s="13"/>
      <c r="BR160" s="14"/>
      <c r="BS160" s="14"/>
      <c r="BT160" s="13"/>
      <c r="BU160" s="14"/>
      <c r="BV160" s="14"/>
      <c r="BW160" s="4"/>
      <c r="BX160" s="5"/>
      <c r="BY160" s="5"/>
      <c r="BZ160" s="30">
        <f t="shared" si="24"/>
        <v>0</v>
      </c>
      <c r="CA160" s="30">
        <f t="shared" si="25"/>
        <v>1</v>
      </c>
      <c r="CB160" s="30">
        <f t="shared" si="26"/>
        <v>2</v>
      </c>
    </row>
    <row r="161" spans="1:80" ht="15.5" x14ac:dyDescent="0.35">
      <c r="A161" s="31" t="s">
        <v>1056</v>
      </c>
      <c r="B161" s="56" t="s">
        <v>836</v>
      </c>
      <c r="C161" s="47" t="s">
        <v>413</v>
      </c>
      <c r="D161" s="142" t="s">
        <v>1039</v>
      </c>
      <c r="E161" s="42" t="s">
        <v>8</v>
      </c>
      <c r="F161" s="4"/>
      <c r="G161" s="4"/>
      <c r="H161" s="4"/>
      <c r="I161" s="4">
        <v>1</v>
      </c>
      <c r="J161" s="5">
        <v>1</v>
      </c>
      <c r="K161" s="4">
        <v>1</v>
      </c>
      <c r="L161" s="4">
        <v>1</v>
      </c>
      <c r="M161" s="4">
        <v>2</v>
      </c>
      <c r="N161" s="4"/>
      <c r="O161" s="13"/>
      <c r="P161" s="13">
        <v>1</v>
      </c>
      <c r="Q161" s="13"/>
      <c r="R161" s="13"/>
      <c r="S161" s="13"/>
      <c r="T161" s="13"/>
      <c r="U161" s="4"/>
      <c r="V161" s="4"/>
      <c r="W161" s="4"/>
      <c r="X161" s="30">
        <f t="shared" si="18"/>
        <v>2</v>
      </c>
      <c r="Y161" s="30">
        <f t="shared" si="19"/>
        <v>4</v>
      </c>
      <c r="Z161" s="30">
        <f t="shared" si="20"/>
        <v>1</v>
      </c>
      <c r="AB161" s="31" t="s">
        <v>1042</v>
      </c>
      <c r="AC161" s="56" t="s">
        <v>740</v>
      </c>
      <c r="AD161" s="41" t="s">
        <v>336</v>
      </c>
      <c r="AE161" s="161" t="s">
        <v>240</v>
      </c>
      <c r="AF161" s="42" t="s">
        <v>8</v>
      </c>
      <c r="AG161" s="19"/>
      <c r="AH161" s="19">
        <v>1</v>
      </c>
      <c r="AI161" s="19"/>
      <c r="AJ161" s="13">
        <v>1</v>
      </c>
      <c r="AK161" s="14">
        <v>2</v>
      </c>
      <c r="AL161" s="13"/>
      <c r="AM161" s="13"/>
      <c r="AN161" s="13"/>
      <c r="AO161" s="13"/>
      <c r="AP161" s="13"/>
      <c r="AQ161" s="13"/>
      <c r="AR161" s="13"/>
      <c r="AS161" s="13"/>
      <c r="AT161" s="13">
        <v>4</v>
      </c>
      <c r="AU161" s="13"/>
      <c r="AV161" s="13"/>
      <c r="AW161" s="13"/>
      <c r="AX161" s="13"/>
      <c r="AY161" s="30">
        <f t="shared" si="21"/>
        <v>1</v>
      </c>
      <c r="AZ161" s="30">
        <f t="shared" si="22"/>
        <v>7</v>
      </c>
      <c r="BA161" s="30">
        <f t="shared" si="23"/>
        <v>0</v>
      </c>
      <c r="BC161" s="31" t="s">
        <v>43</v>
      </c>
      <c r="BD161" s="56" t="s">
        <v>654</v>
      </c>
      <c r="BE161" s="43" t="s">
        <v>265</v>
      </c>
      <c r="BF161" s="127" t="s">
        <v>236</v>
      </c>
      <c r="BG161" s="35" t="s">
        <v>6</v>
      </c>
      <c r="BH161" s="3"/>
      <c r="BI161" s="3"/>
      <c r="BJ161" s="6"/>
      <c r="BK161" s="4"/>
      <c r="BL161" s="4"/>
      <c r="BM161" s="5"/>
      <c r="BN161" s="4"/>
      <c r="BO161" s="4">
        <v>1</v>
      </c>
      <c r="BP161" s="4">
        <v>1</v>
      </c>
      <c r="BQ161" s="13"/>
      <c r="BR161" s="14"/>
      <c r="BS161" s="13"/>
      <c r="BT161" s="13"/>
      <c r="BU161" s="14">
        <v>1</v>
      </c>
      <c r="BV161" s="13"/>
      <c r="BW161" s="4"/>
      <c r="BX161" s="5"/>
      <c r="BY161" s="4">
        <v>1</v>
      </c>
      <c r="BZ161" s="30">
        <f t="shared" si="24"/>
        <v>0</v>
      </c>
      <c r="CA161" s="30">
        <f t="shared" si="25"/>
        <v>2</v>
      </c>
      <c r="CB161" s="30">
        <f t="shared" si="26"/>
        <v>2</v>
      </c>
    </row>
    <row r="162" spans="1:80" ht="15.5" x14ac:dyDescent="0.35">
      <c r="A162" s="31" t="s">
        <v>1060</v>
      </c>
      <c r="B162" s="56" t="s">
        <v>840</v>
      </c>
      <c r="C162" s="47" t="s">
        <v>417</v>
      </c>
      <c r="D162" s="142" t="s">
        <v>1039</v>
      </c>
      <c r="E162" s="42" t="s">
        <v>8</v>
      </c>
      <c r="F162" s="4"/>
      <c r="G162" s="4"/>
      <c r="H162" s="4"/>
      <c r="I162" s="4">
        <v>1</v>
      </c>
      <c r="J162" s="5"/>
      <c r="K162" s="5"/>
      <c r="L162" s="4"/>
      <c r="M162" s="4"/>
      <c r="N162" s="4"/>
      <c r="O162" s="13"/>
      <c r="P162" s="13">
        <v>1</v>
      </c>
      <c r="Q162" s="13"/>
      <c r="R162" s="13">
        <v>1</v>
      </c>
      <c r="S162" s="13"/>
      <c r="T162" s="13"/>
      <c r="U162" s="4"/>
      <c r="V162" s="4"/>
      <c r="W162" s="4"/>
      <c r="X162" s="30">
        <f t="shared" si="18"/>
        <v>2</v>
      </c>
      <c r="Y162" s="30">
        <f t="shared" si="19"/>
        <v>1</v>
      </c>
      <c r="Z162" s="30">
        <f t="shared" si="20"/>
        <v>0</v>
      </c>
      <c r="AB162" s="31" t="s">
        <v>1071</v>
      </c>
      <c r="AC162" s="79"/>
      <c r="AD162" s="102" t="s">
        <v>853</v>
      </c>
      <c r="AE162" s="142" t="s">
        <v>1039</v>
      </c>
      <c r="AF162" s="78" t="s">
        <v>8</v>
      </c>
      <c r="AG162" s="4"/>
      <c r="AH162" s="5"/>
      <c r="AI162" s="4"/>
      <c r="AJ162" s="4"/>
      <c r="AK162" s="5">
        <v>5</v>
      </c>
      <c r="AL162" s="4"/>
      <c r="AM162" s="4">
        <v>1</v>
      </c>
      <c r="AN162" s="4"/>
      <c r="AO162" s="4"/>
      <c r="AP162" s="13"/>
      <c r="AQ162" s="13">
        <v>1</v>
      </c>
      <c r="AR162" s="13"/>
      <c r="AS162" s="15">
        <v>1</v>
      </c>
      <c r="AT162" s="15"/>
      <c r="AU162" s="15"/>
      <c r="AV162" s="4"/>
      <c r="AW162" s="4">
        <v>1</v>
      </c>
      <c r="AX162" s="4"/>
      <c r="AY162" s="30">
        <f t="shared" si="21"/>
        <v>2</v>
      </c>
      <c r="AZ162" s="30">
        <f t="shared" si="22"/>
        <v>7</v>
      </c>
      <c r="BA162" s="30">
        <f t="shared" si="23"/>
        <v>0</v>
      </c>
      <c r="BC162" s="31" t="s">
        <v>124</v>
      </c>
      <c r="BD162" s="56" t="s">
        <v>667</v>
      </c>
      <c r="BE162" s="47" t="s">
        <v>274</v>
      </c>
      <c r="BF162" s="127" t="s">
        <v>236</v>
      </c>
      <c r="BG162" s="35" t="s">
        <v>6</v>
      </c>
      <c r="BH162" s="3"/>
      <c r="BI162" s="4">
        <v>2</v>
      </c>
      <c r="BJ162" s="3"/>
      <c r="BK162" s="5"/>
      <c r="BL162" s="4">
        <v>2</v>
      </c>
      <c r="BM162" s="5"/>
      <c r="BN162" s="4"/>
      <c r="BO162" s="4">
        <v>1</v>
      </c>
      <c r="BP162" s="4"/>
      <c r="BQ162" s="13"/>
      <c r="BR162" s="14"/>
      <c r="BS162" s="13"/>
      <c r="BT162" s="13"/>
      <c r="BU162" s="14">
        <v>3</v>
      </c>
      <c r="BV162" s="13">
        <v>1</v>
      </c>
      <c r="BW162" s="4">
        <v>1</v>
      </c>
      <c r="BX162" s="5"/>
      <c r="BY162" s="4">
        <v>1</v>
      </c>
      <c r="BZ162" s="30">
        <f t="shared" si="24"/>
        <v>1</v>
      </c>
      <c r="CA162" s="30">
        <f t="shared" si="25"/>
        <v>8</v>
      </c>
      <c r="CB162" s="30">
        <f t="shared" si="26"/>
        <v>2</v>
      </c>
    </row>
    <row r="163" spans="1:80" ht="15.5" x14ac:dyDescent="0.35">
      <c r="A163" s="31" t="s">
        <v>1062</v>
      </c>
      <c r="B163" s="56" t="s">
        <v>842</v>
      </c>
      <c r="C163" s="47" t="s">
        <v>843</v>
      </c>
      <c r="D163" s="142" t="s">
        <v>1039</v>
      </c>
      <c r="E163" s="42" t="s">
        <v>8</v>
      </c>
      <c r="F163" s="4"/>
      <c r="G163" s="4"/>
      <c r="H163" s="4"/>
      <c r="I163" s="4"/>
      <c r="J163" s="5"/>
      <c r="K163" s="4"/>
      <c r="L163" s="4">
        <v>1</v>
      </c>
      <c r="M163" s="4"/>
      <c r="N163" s="4"/>
      <c r="O163" s="13"/>
      <c r="P163" s="13">
        <v>1</v>
      </c>
      <c r="Q163" s="13"/>
      <c r="R163" s="13">
        <v>1</v>
      </c>
      <c r="S163" s="13"/>
      <c r="T163" s="13"/>
      <c r="U163" s="4"/>
      <c r="V163" s="4"/>
      <c r="W163" s="4"/>
      <c r="X163" s="30">
        <f t="shared" si="18"/>
        <v>2</v>
      </c>
      <c r="Y163" s="30">
        <f t="shared" si="19"/>
        <v>1</v>
      </c>
      <c r="Z163" s="30">
        <f t="shared" si="20"/>
        <v>0</v>
      </c>
      <c r="AB163" s="31" t="s">
        <v>124</v>
      </c>
      <c r="AC163" s="56" t="s">
        <v>667</v>
      </c>
      <c r="AD163" s="47" t="s">
        <v>274</v>
      </c>
      <c r="AE163" s="127" t="s">
        <v>236</v>
      </c>
      <c r="AF163" s="35" t="s">
        <v>6</v>
      </c>
      <c r="AG163" s="3"/>
      <c r="AH163" s="4">
        <v>2</v>
      </c>
      <c r="AI163" s="3"/>
      <c r="AJ163" s="5"/>
      <c r="AK163" s="4">
        <v>2</v>
      </c>
      <c r="AL163" s="5"/>
      <c r="AM163" s="4"/>
      <c r="AN163" s="4">
        <v>1</v>
      </c>
      <c r="AO163" s="4"/>
      <c r="AP163" s="13"/>
      <c r="AQ163" s="14"/>
      <c r="AR163" s="13"/>
      <c r="AS163" s="13"/>
      <c r="AT163" s="14">
        <v>3</v>
      </c>
      <c r="AU163" s="13">
        <v>1</v>
      </c>
      <c r="AV163" s="4">
        <v>1</v>
      </c>
      <c r="AW163" s="5"/>
      <c r="AX163" s="4">
        <v>1</v>
      </c>
      <c r="AY163" s="30">
        <f t="shared" si="21"/>
        <v>1</v>
      </c>
      <c r="AZ163" s="30">
        <f t="shared" si="22"/>
        <v>8</v>
      </c>
      <c r="BA163" s="30">
        <f t="shared" si="23"/>
        <v>2</v>
      </c>
      <c r="BC163" s="31" t="s">
        <v>126</v>
      </c>
      <c r="BD163" s="56" t="s">
        <v>669</v>
      </c>
      <c r="BE163" s="36" t="s">
        <v>276</v>
      </c>
      <c r="BF163" s="127" t="s">
        <v>236</v>
      </c>
      <c r="BG163" s="35" t="s">
        <v>6</v>
      </c>
      <c r="BH163" s="3"/>
      <c r="BI163" s="4"/>
      <c r="BJ163" s="3"/>
      <c r="BK163" s="5"/>
      <c r="BL163" s="4"/>
      <c r="BM163" s="5"/>
      <c r="BN163" s="4"/>
      <c r="BO163" s="4"/>
      <c r="BP163" s="4"/>
      <c r="BQ163" s="13"/>
      <c r="BR163" s="14"/>
      <c r="BS163" s="13"/>
      <c r="BT163" s="13">
        <v>1</v>
      </c>
      <c r="BU163" s="14">
        <v>2</v>
      </c>
      <c r="BV163" s="13"/>
      <c r="BW163" s="4"/>
      <c r="BX163" s="5">
        <v>1</v>
      </c>
      <c r="BY163" s="4">
        <v>2</v>
      </c>
      <c r="BZ163" s="30">
        <f t="shared" si="24"/>
        <v>1</v>
      </c>
      <c r="CA163" s="30">
        <f t="shared" si="25"/>
        <v>3</v>
      </c>
      <c r="CB163" s="30">
        <f t="shared" si="26"/>
        <v>2</v>
      </c>
    </row>
    <row r="164" spans="1:80" ht="15.5" x14ac:dyDescent="0.35">
      <c r="A164" s="31" t="s">
        <v>1067</v>
      </c>
      <c r="B164" s="56" t="s">
        <v>848</v>
      </c>
      <c r="C164" s="47" t="s">
        <v>423</v>
      </c>
      <c r="D164" s="142" t="s">
        <v>1039</v>
      </c>
      <c r="E164" s="42" t="s">
        <v>8</v>
      </c>
      <c r="F164" s="4"/>
      <c r="G164" s="4"/>
      <c r="H164" s="4"/>
      <c r="I164" s="5"/>
      <c r="J164" s="4">
        <v>1</v>
      </c>
      <c r="K164" s="4"/>
      <c r="L164" s="4">
        <v>1</v>
      </c>
      <c r="M164" s="4"/>
      <c r="N164" s="4"/>
      <c r="O164" s="13"/>
      <c r="P164" s="13">
        <v>2</v>
      </c>
      <c r="Q164" s="13"/>
      <c r="R164" s="13">
        <v>1</v>
      </c>
      <c r="S164" s="13">
        <v>1</v>
      </c>
      <c r="T164" s="13"/>
      <c r="U164" s="4"/>
      <c r="V164" s="4">
        <v>1</v>
      </c>
      <c r="W164" s="4"/>
      <c r="X164" s="30">
        <f t="shared" si="18"/>
        <v>2</v>
      </c>
      <c r="Y164" s="30">
        <f t="shared" si="19"/>
        <v>5</v>
      </c>
      <c r="Z164" s="30">
        <f t="shared" si="20"/>
        <v>0</v>
      </c>
      <c r="AB164" s="31" t="s">
        <v>933</v>
      </c>
      <c r="AC164" s="39" t="s">
        <v>712</v>
      </c>
      <c r="AD164" s="54" t="s">
        <v>713</v>
      </c>
      <c r="AE164" s="127" t="s">
        <v>237</v>
      </c>
      <c r="AF164" s="35" t="s">
        <v>6</v>
      </c>
      <c r="AG164" s="3"/>
      <c r="AH164" s="3"/>
      <c r="AI164" s="3">
        <v>1</v>
      </c>
      <c r="AJ164" s="4"/>
      <c r="AK164" s="5">
        <v>2</v>
      </c>
      <c r="AL164" s="4"/>
      <c r="AM164" s="4"/>
      <c r="AN164" s="4">
        <v>3</v>
      </c>
      <c r="AO164" s="4"/>
      <c r="AP164" s="13"/>
      <c r="AQ164" s="4">
        <v>1</v>
      </c>
      <c r="AR164" s="4">
        <v>1</v>
      </c>
      <c r="AS164" s="13">
        <v>3</v>
      </c>
      <c r="AT164" s="13">
        <v>2</v>
      </c>
      <c r="AU164" s="13">
        <v>2</v>
      </c>
      <c r="AV164" s="4"/>
      <c r="AW164" s="4"/>
      <c r="AX164" s="4"/>
      <c r="AY164" s="30">
        <f t="shared" si="21"/>
        <v>3</v>
      </c>
      <c r="AZ164" s="30">
        <f t="shared" si="22"/>
        <v>8</v>
      </c>
      <c r="BA164" s="30">
        <f t="shared" si="23"/>
        <v>4</v>
      </c>
      <c r="BC164" s="31" t="s">
        <v>925</v>
      </c>
      <c r="BD164" s="56" t="s">
        <v>704</v>
      </c>
      <c r="BE164" s="36" t="s">
        <v>305</v>
      </c>
      <c r="BF164" s="127" t="s">
        <v>237</v>
      </c>
      <c r="BG164" s="35" t="s">
        <v>6</v>
      </c>
      <c r="BH164" s="3"/>
      <c r="BI164" s="3">
        <v>1</v>
      </c>
      <c r="BJ164" s="3"/>
      <c r="BK164" s="4"/>
      <c r="BL164" s="5">
        <v>2</v>
      </c>
      <c r="BM164" s="4"/>
      <c r="BN164" s="4"/>
      <c r="BO164" s="4"/>
      <c r="BP164" s="4"/>
      <c r="BQ164" s="13"/>
      <c r="BR164" s="4"/>
      <c r="BS164" s="4"/>
      <c r="BT164" s="13"/>
      <c r="BU164" s="13">
        <v>1</v>
      </c>
      <c r="BV164" s="13">
        <v>2</v>
      </c>
      <c r="BW164" s="4"/>
      <c r="BX164" s="4"/>
      <c r="BY164" s="4"/>
      <c r="BZ164" s="30">
        <f t="shared" si="24"/>
        <v>0</v>
      </c>
      <c r="CA164" s="30">
        <f t="shared" si="25"/>
        <v>4</v>
      </c>
      <c r="CB164" s="30">
        <f t="shared" si="26"/>
        <v>2</v>
      </c>
    </row>
    <row r="165" spans="1:80" ht="15.5" x14ac:dyDescent="0.35">
      <c r="A165" s="31" t="s">
        <v>1069</v>
      </c>
      <c r="B165" s="56" t="s">
        <v>850</v>
      </c>
      <c r="C165" s="77" t="s">
        <v>851</v>
      </c>
      <c r="D165" s="142" t="s">
        <v>1039</v>
      </c>
      <c r="E165" s="78" t="s">
        <v>8</v>
      </c>
      <c r="F165" s="4"/>
      <c r="G165" s="4">
        <v>1</v>
      </c>
      <c r="H165" s="4"/>
      <c r="I165" s="4">
        <v>1</v>
      </c>
      <c r="J165" s="4">
        <v>1</v>
      </c>
      <c r="K165" s="4"/>
      <c r="L165" s="4"/>
      <c r="M165" s="4"/>
      <c r="N165" s="4"/>
      <c r="O165" s="13"/>
      <c r="P165" s="13">
        <v>3</v>
      </c>
      <c r="Q165" s="13"/>
      <c r="R165" s="13">
        <v>1</v>
      </c>
      <c r="S165" s="13">
        <v>1</v>
      </c>
      <c r="T165" s="13"/>
      <c r="U165" s="4"/>
      <c r="V165" s="4"/>
      <c r="W165" s="4"/>
      <c r="X165" s="30">
        <f t="shared" si="18"/>
        <v>2</v>
      </c>
      <c r="Y165" s="30">
        <f t="shared" si="19"/>
        <v>6</v>
      </c>
      <c r="Z165" s="30">
        <f t="shared" si="20"/>
        <v>0</v>
      </c>
      <c r="AB165" s="31" t="s">
        <v>935</v>
      </c>
      <c r="AC165" s="56" t="s">
        <v>715</v>
      </c>
      <c r="AD165" s="43" t="s">
        <v>315</v>
      </c>
      <c r="AE165" s="121" t="s">
        <v>238</v>
      </c>
      <c r="AF165" s="35" t="s">
        <v>6</v>
      </c>
      <c r="AG165" s="19">
        <v>2</v>
      </c>
      <c r="AH165" s="19">
        <v>1</v>
      </c>
      <c r="AI165" s="19"/>
      <c r="AJ165" s="13">
        <v>1</v>
      </c>
      <c r="AK165" s="14">
        <v>2</v>
      </c>
      <c r="AL165" s="13"/>
      <c r="AM165" s="13"/>
      <c r="AN165" s="13">
        <v>1</v>
      </c>
      <c r="AO165" s="13">
        <v>1</v>
      </c>
      <c r="AP165" s="13">
        <v>1</v>
      </c>
      <c r="AQ165" s="13">
        <v>2</v>
      </c>
      <c r="AR165" s="13">
        <v>1</v>
      </c>
      <c r="AS165" s="13">
        <v>1</v>
      </c>
      <c r="AT165" s="13">
        <v>1</v>
      </c>
      <c r="AU165" s="13">
        <v>1</v>
      </c>
      <c r="AV165" s="13"/>
      <c r="AW165" s="13">
        <v>1</v>
      </c>
      <c r="AX165" s="13">
        <v>1</v>
      </c>
      <c r="AY165" s="30">
        <f t="shared" si="21"/>
        <v>5</v>
      </c>
      <c r="AZ165" s="30">
        <f t="shared" si="22"/>
        <v>8</v>
      </c>
      <c r="BA165" s="30">
        <f t="shared" si="23"/>
        <v>4</v>
      </c>
      <c r="BC165" s="31" t="s">
        <v>945</v>
      </c>
      <c r="BD165" s="56" t="s">
        <v>725</v>
      </c>
      <c r="BE165" s="41" t="s">
        <v>325</v>
      </c>
      <c r="BF165" s="121" t="s">
        <v>238</v>
      </c>
      <c r="BG165" s="42" t="s">
        <v>8</v>
      </c>
      <c r="BH165" s="19"/>
      <c r="BI165" s="19">
        <v>2</v>
      </c>
      <c r="BJ165" s="19"/>
      <c r="BK165" s="13">
        <v>1</v>
      </c>
      <c r="BL165" s="13">
        <v>4</v>
      </c>
      <c r="BM165" s="14"/>
      <c r="BN165" s="13">
        <v>1</v>
      </c>
      <c r="BO165" s="13">
        <v>1</v>
      </c>
      <c r="BP165" s="13"/>
      <c r="BQ165" s="13">
        <v>1</v>
      </c>
      <c r="BR165" s="13">
        <v>1</v>
      </c>
      <c r="BS165" s="13"/>
      <c r="BT165" s="13"/>
      <c r="BU165" s="13">
        <v>1</v>
      </c>
      <c r="BV165" s="13">
        <v>2</v>
      </c>
      <c r="BW165" s="13"/>
      <c r="BX165" s="13"/>
      <c r="BY165" s="13"/>
      <c r="BZ165" s="30">
        <f t="shared" si="24"/>
        <v>3</v>
      </c>
      <c r="CA165" s="30">
        <f t="shared" si="25"/>
        <v>9</v>
      </c>
      <c r="CB165" s="30">
        <f t="shared" si="26"/>
        <v>2</v>
      </c>
    </row>
    <row r="166" spans="1:80" ht="15.5" x14ac:dyDescent="0.35">
      <c r="A166" s="31" t="s">
        <v>1071</v>
      </c>
      <c r="B166" s="79"/>
      <c r="C166" s="102" t="s">
        <v>853</v>
      </c>
      <c r="D166" s="142" t="s">
        <v>1039</v>
      </c>
      <c r="E166" s="78" t="s">
        <v>8</v>
      </c>
      <c r="F166" s="4"/>
      <c r="G166" s="5"/>
      <c r="H166" s="4"/>
      <c r="I166" s="4"/>
      <c r="J166" s="5">
        <v>5</v>
      </c>
      <c r="K166" s="4"/>
      <c r="L166" s="4">
        <v>1</v>
      </c>
      <c r="M166" s="4"/>
      <c r="N166" s="4"/>
      <c r="O166" s="13"/>
      <c r="P166" s="13">
        <v>1</v>
      </c>
      <c r="Q166" s="13"/>
      <c r="R166" s="15">
        <v>1</v>
      </c>
      <c r="S166" s="15"/>
      <c r="T166" s="15"/>
      <c r="U166" s="4"/>
      <c r="V166" s="4">
        <v>1</v>
      </c>
      <c r="W166" s="4"/>
      <c r="X166" s="30">
        <f t="shared" si="18"/>
        <v>2</v>
      </c>
      <c r="Y166" s="30">
        <f t="shared" si="19"/>
        <v>7</v>
      </c>
      <c r="Z166" s="30">
        <f t="shared" si="20"/>
        <v>0</v>
      </c>
      <c r="AB166" s="31" t="s">
        <v>941</v>
      </c>
      <c r="AC166" s="56" t="s">
        <v>721</v>
      </c>
      <c r="AD166" s="36" t="s">
        <v>321</v>
      </c>
      <c r="AE166" s="121" t="s">
        <v>238</v>
      </c>
      <c r="AF166" s="35" t="s">
        <v>8</v>
      </c>
      <c r="AG166" s="19">
        <v>1</v>
      </c>
      <c r="AH166" s="19">
        <v>2</v>
      </c>
      <c r="AI166" s="19"/>
      <c r="AJ166" s="13">
        <v>2</v>
      </c>
      <c r="AK166" s="13">
        <v>2</v>
      </c>
      <c r="AL166" s="14"/>
      <c r="AM166" s="13">
        <v>1</v>
      </c>
      <c r="AN166" s="13">
        <v>1</v>
      </c>
      <c r="AO166" s="13">
        <v>2</v>
      </c>
      <c r="AP166" s="13">
        <v>2</v>
      </c>
      <c r="AQ166" s="13">
        <v>1</v>
      </c>
      <c r="AR166" s="13">
        <v>2</v>
      </c>
      <c r="AS166" s="13">
        <v>1</v>
      </c>
      <c r="AT166" s="13">
        <v>1</v>
      </c>
      <c r="AU166" s="13">
        <v>1</v>
      </c>
      <c r="AV166" s="13"/>
      <c r="AW166" s="13">
        <v>1</v>
      </c>
      <c r="AX166" s="13"/>
      <c r="AY166" s="30">
        <f t="shared" si="21"/>
        <v>7</v>
      </c>
      <c r="AZ166" s="30">
        <f t="shared" si="22"/>
        <v>8</v>
      </c>
      <c r="BA166" s="30">
        <f t="shared" si="23"/>
        <v>5</v>
      </c>
      <c r="BC166" s="31" t="s">
        <v>964</v>
      </c>
      <c r="BD166" s="39" t="s">
        <v>749</v>
      </c>
      <c r="BE166" s="54" t="s">
        <v>750</v>
      </c>
      <c r="BF166" s="121" t="s">
        <v>238</v>
      </c>
      <c r="BG166" s="71" t="s">
        <v>8</v>
      </c>
      <c r="BH166" s="19"/>
      <c r="BI166" s="19"/>
      <c r="BJ166" s="19"/>
      <c r="BK166" s="13">
        <v>1</v>
      </c>
      <c r="BL166" s="14"/>
      <c r="BM166" s="13">
        <v>2</v>
      </c>
      <c r="BN166" s="13"/>
      <c r="BO166" s="13">
        <v>3</v>
      </c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30">
        <f t="shared" si="24"/>
        <v>1</v>
      </c>
      <c r="CA166" s="30">
        <f t="shared" si="25"/>
        <v>3</v>
      </c>
      <c r="CB166" s="30">
        <f t="shared" si="26"/>
        <v>2</v>
      </c>
    </row>
    <row r="167" spans="1:80" ht="15.5" x14ac:dyDescent="0.35">
      <c r="A167" s="31" t="s">
        <v>24</v>
      </c>
      <c r="B167" s="56" t="s">
        <v>633</v>
      </c>
      <c r="C167" s="36" t="s">
        <v>249</v>
      </c>
      <c r="D167" s="127" t="s">
        <v>231</v>
      </c>
      <c r="E167" s="35" t="s">
        <v>6</v>
      </c>
      <c r="F167" s="3">
        <v>1</v>
      </c>
      <c r="G167" s="3"/>
      <c r="H167" s="3"/>
      <c r="I167" s="4"/>
      <c r="J167" s="5"/>
      <c r="K167" s="4">
        <v>2</v>
      </c>
      <c r="L167" s="4"/>
      <c r="M167" s="4">
        <v>2</v>
      </c>
      <c r="N167" s="4">
        <v>3</v>
      </c>
      <c r="O167" s="13"/>
      <c r="P167" s="4">
        <v>1</v>
      </c>
      <c r="Q167" s="4">
        <v>1</v>
      </c>
      <c r="R167" s="4">
        <v>2</v>
      </c>
      <c r="S167" s="4"/>
      <c r="T167" s="4">
        <v>5</v>
      </c>
      <c r="U167" s="4"/>
      <c r="V167" s="4"/>
      <c r="W167" s="4"/>
      <c r="X167" s="30">
        <f t="shared" si="18"/>
        <v>3</v>
      </c>
      <c r="Y167" s="30">
        <f t="shared" si="19"/>
        <v>3</v>
      </c>
      <c r="Z167" s="30">
        <f t="shared" si="20"/>
        <v>11</v>
      </c>
      <c r="AB167" s="31" t="s">
        <v>970</v>
      </c>
      <c r="AC167" s="56" t="s">
        <v>756</v>
      </c>
      <c r="AD167" s="41" t="s">
        <v>346</v>
      </c>
      <c r="AE167" s="141" t="s">
        <v>239</v>
      </c>
      <c r="AF167" s="42" t="s">
        <v>6</v>
      </c>
      <c r="AG167" s="19"/>
      <c r="AH167" s="19">
        <v>1</v>
      </c>
      <c r="AI167" s="19"/>
      <c r="AJ167" s="13"/>
      <c r="AK167" s="14">
        <v>1</v>
      </c>
      <c r="AL167" s="13"/>
      <c r="AM167" s="13">
        <v>1</v>
      </c>
      <c r="AN167" s="13">
        <v>1</v>
      </c>
      <c r="AO167" s="13"/>
      <c r="AP167" s="13">
        <v>1</v>
      </c>
      <c r="AQ167" s="13">
        <v>2</v>
      </c>
      <c r="AR167" s="13"/>
      <c r="AS167" s="13"/>
      <c r="AT167" s="13">
        <v>3</v>
      </c>
      <c r="AU167" s="13"/>
      <c r="AV167" s="13"/>
      <c r="AW167" s="13"/>
      <c r="AX167" s="13"/>
      <c r="AY167" s="30">
        <f t="shared" si="21"/>
        <v>2</v>
      </c>
      <c r="AZ167" s="30">
        <f t="shared" si="22"/>
        <v>8</v>
      </c>
      <c r="BA167" s="30">
        <f t="shared" si="23"/>
        <v>0</v>
      </c>
      <c r="BC167" s="31" t="s">
        <v>973</v>
      </c>
      <c r="BD167" s="56" t="s">
        <v>759</v>
      </c>
      <c r="BE167" s="72" t="s">
        <v>349</v>
      </c>
      <c r="BF167" s="141" t="s">
        <v>239</v>
      </c>
      <c r="BG167" s="42" t="s">
        <v>8</v>
      </c>
      <c r="BH167" s="19"/>
      <c r="BI167" s="19">
        <v>1</v>
      </c>
      <c r="BJ167" s="19"/>
      <c r="BK167" s="13"/>
      <c r="BL167" s="14">
        <v>4</v>
      </c>
      <c r="BM167" s="14"/>
      <c r="BN167" s="13"/>
      <c r="BO167" s="13">
        <v>2</v>
      </c>
      <c r="BP167" s="13"/>
      <c r="BQ167" s="13">
        <v>1</v>
      </c>
      <c r="BR167" s="13">
        <v>3</v>
      </c>
      <c r="BS167" s="13"/>
      <c r="BT167" s="13"/>
      <c r="BU167" s="13">
        <v>2</v>
      </c>
      <c r="BV167" s="13">
        <v>1</v>
      </c>
      <c r="BW167" s="13"/>
      <c r="BX167" s="13"/>
      <c r="BY167" s="13">
        <v>1</v>
      </c>
      <c r="BZ167" s="30">
        <f t="shared" si="24"/>
        <v>1</v>
      </c>
      <c r="CA167" s="30">
        <f t="shared" si="25"/>
        <v>12</v>
      </c>
      <c r="CB167" s="30">
        <f t="shared" si="26"/>
        <v>2</v>
      </c>
    </row>
    <row r="168" spans="1:80" ht="15.5" x14ac:dyDescent="0.35">
      <c r="A168" s="31" t="s">
        <v>928</v>
      </c>
      <c r="B168" s="56" t="s">
        <v>707</v>
      </c>
      <c r="C168" s="36" t="s">
        <v>309</v>
      </c>
      <c r="D168" s="127" t="s">
        <v>237</v>
      </c>
      <c r="E168" s="35" t="s">
        <v>6</v>
      </c>
      <c r="F168" s="3"/>
      <c r="G168" s="3"/>
      <c r="H168" s="3"/>
      <c r="I168" s="4">
        <v>1</v>
      </c>
      <c r="J168" s="5">
        <v>2</v>
      </c>
      <c r="K168" s="4"/>
      <c r="L168" s="4"/>
      <c r="M168" s="5"/>
      <c r="N168" s="4"/>
      <c r="O168" s="13">
        <v>1</v>
      </c>
      <c r="P168" s="5"/>
      <c r="Q168" s="4"/>
      <c r="R168" s="13">
        <v>1</v>
      </c>
      <c r="S168" s="14"/>
      <c r="T168" s="13"/>
      <c r="U168" s="4"/>
      <c r="V168" s="5"/>
      <c r="W168" s="4"/>
      <c r="X168" s="30">
        <f t="shared" si="18"/>
        <v>3</v>
      </c>
      <c r="Y168" s="30">
        <f t="shared" si="19"/>
        <v>2</v>
      </c>
      <c r="Z168" s="30">
        <f t="shared" si="20"/>
        <v>0</v>
      </c>
      <c r="AB168" s="31" t="s">
        <v>981</v>
      </c>
      <c r="AC168" s="56" t="s">
        <v>769</v>
      </c>
      <c r="AD168" s="47" t="s">
        <v>355</v>
      </c>
      <c r="AE168" s="141" t="s">
        <v>239</v>
      </c>
      <c r="AF168" s="42" t="s">
        <v>8</v>
      </c>
      <c r="AG168" s="19"/>
      <c r="AH168" s="13"/>
      <c r="AI168" s="13"/>
      <c r="AJ168" s="13">
        <v>1</v>
      </c>
      <c r="AK168" s="14"/>
      <c r="AL168" s="13"/>
      <c r="AM168" s="13">
        <v>1</v>
      </c>
      <c r="AN168" s="13"/>
      <c r="AO168" s="13"/>
      <c r="AP168" s="13"/>
      <c r="AQ168" s="13">
        <v>7</v>
      </c>
      <c r="AR168" s="13"/>
      <c r="AS168" s="13">
        <v>3</v>
      </c>
      <c r="AT168" s="13"/>
      <c r="AU168" s="13"/>
      <c r="AV168" s="13"/>
      <c r="AW168" s="13">
        <v>1</v>
      </c>
      <c r="AX168" s="13"/>
      <c r="AY168" s="30">
        <f t="shared" si="21"/>
        <v>5</v>
      </c>
      <c r="AZ168" s="30">
        <f t="shared" si="22"/>
        <v>8</v>
      </c>
      <c r="BA168" s="30">
        <f t="shared" si="23"/>
        <v>0</v>
      </c>
      <c r="BC168" s="31" t="s">
        <v>991</v>
      </c>
      <c r="BD168" s="56" t="s">
        <v>779</v>
      </c>
      <c r="BE168" s="47" t="s">
        <v>365</v>
      </c>
      <c r="BF168" s="141" t="s">
        <v>239</v>
      </c>
      <c r="BG168" s="42" t="s">
        <v>8</v>
      </c>
      <c r="BH168" s="19"/>
      <c r="BI168" s="13">
        <v>2</v>
      </c>
      <c r="BJ168" s="13"/>
      <c r="BK168" s="13"/>
      <c r="BL168" s="14">
        <v>7</v>
      </c>
      <c r="BM168" s="13"/>
      <c r="BN168" s="13">
        <v>3</v>
      </c>
      <c r="BO168" s="13">
        <v>5</v>
      </c>
      <c r="BP168" s="13">
        <v>1</v>
      </c>
      <c r="BQ168" s="13">
        <v>1</v>
      </c>
      <c r="BR168" s="13">
        <v>7</v>
      </c>
      <c r="BS168" s="13">
        <v>1</v>
      </c>
      <c r="BT168" s="13">
        <v>1</v>
      </c>
      <c r="BU168" s="13">
        <v>4</v>
      </c>
      <c r="BV168" s="13"/>
      <c r="BW168" s="13"/>
      <c r="BX168" s="13">
        <v>1</v>
      </c>
      <c r="BY168" s="13"/>
      <c r="BZ168" s="30">
        <f t="shared" si="24"/>
        <v>5</v>
      </c>
      <c r="CA168" s="30">
        <f t="shared" si="25"/>
        <v>26</v>
      </c>
      <c r="CB168" s="30">
        <f t="shared" si="26"/>
        <v>2</v>
      </c>
    </row>
    <row r="169" spans="1:80" ht="15.5" x14ac:dyDescent="0.35">
      <c r="A169" s="31" t="s">
        <v>929</v>
      </c>
      <c r="B169" s="56" t="s">
        <v>708</v>
      </c>
      <c r="C169" s="43" t="s">
        <v>310</v>
      </c>
      <c r="D169" s="127" t="s">
        <v>237</v>
      </c>
      <c r="E169" s="35" t="s">
        <v>6</v>
      </c>
      <c r="F169" s="3"/>
      <c r="G169" s="3"/>
      <c r="H169" s="3"/>
      <c r="I169" s="4"/>
      <c r="J169" s="5"/>
      <c r="K169" s="5"/>
      <c r="L169" s="4">
        <v>1</v>
      </c>
      <c r="M169" s="5"/>
      <c r="N169" s="5"/>
      <c r="O169" s="13"/>
      <c r="P169" s="5"/>
      <c r="Q169" s="5"/>
      <c r="R169" s="13">
        <v>2</v>
      </c>
      <c r="S169" s="14">
        <v>1</v>
      </c>
      <c r="T169" s="14"/>
      <c r="U169" s="4"/>
      <c r="V169" s="5"/>
      <c r="W169" s="5">
        <v>1</v>
      </c>
      <c r="X169" s="30">
        <f t="shared" si="18"/>
        <v>3</v>
      </c>
      <c r="Y169" s="30">
        <f t="shared" si="19"/>
        <v>1</v>
      </c>
      <c r="Z169" s="30">
        <f t="shared" si="20"/>
        <v>1</v>
      </c>
      <c r="AB169" s="31" t="s">
        <v>985</v>
      </c>
      <c r="AC169" s="56" t="s">
        <v>773</v>
      </c>
      <c r="AD169" s="47" t="s">
        <v>359</v>
      </c>
      <c r="AE169" s="141" t="s">
        <v>239</v>
      </c>
      <c r="AF169" s="42" t="s">
        <v>8</v>
      </c>
      <c r="AG169" s="19"/>
      <c r="AH169" s="14">
        <v>2</v>
      </c>
      <c r="AI169" s="13"/>
      <c r="AJ169" s="13">
        <v>2</v>
      </c>
      <c r="AK169" s="14">
        <v>2</v>
      </c>
      <c r="AL169" s="14"/>
      <c r="AM169" s="13"/>
      <c r="AN169" s="13">
        <v>2</v>
      </c>
      <c r="AO169" s="13"/>
      <c r="AP169" s="13">
        <v>3</v>
      </c>
      <c r="AQ169" s="13"/>
      <c r="AR169" s="13"/>
      <c r="AS169" s="13">
        <v>2</v>
      </c>
      <c r="AT169" s="13">
        <v>2</v>
      </c>
      <c r="AU169" s="13"/>
      <c r="AV169" s="13"/>
      <c r="AW169" s="13"/>
      <c r="AX169" s="13"/>
      <c r="AY169" s="30">
        <f t="shared" si="21"/>
        <v>7</v>
      </c>
      <c r="AZ169" s="30">
        <f t="shared" si="22"/>
        <v>8</v>
      </c>
      <c r="BA169" s="30">
        <f t="shared" si="23"/>
        <v>0</v>
      </c>
      <c r="BC169" s="31" t="s">
        <v>1002</v>
      </c>
      <c r="BD169" s="56" t="s">
        <v>790</v>
      </c>
      <c r="BE169" s="47" t="s">
        <v>375</v>
      </c>
      <c r="BF169" s="161" t="s">
        <v>240</v>
      </c>
      <c r="BG169" s="42" t="s">
        <v>6</v>
      </c>
      <c r="BH169" s="4"/>
      <c r="BI169" s="4"/>
      <c r="BJ169" s="4"/>
      <c r="BK169" s="4"/>
      <c r="BL169" s="5">
        <v>2</v>
      </c>
      <c r="BM169" s="4">
        <v>2</v>
      </c>
      <c r="BN169" s="4"/>
      <c r="BO169" s="4"/>
      <c r="BP169" s="4"/>
      <c r="BQ169" s="13"/>
      <c r="BR169" s="13"/>
      <c r="BS169" s="13"/>
      <c r="BT169" s="13"/>
      <c r="BU169" s="13">
        <v>1</v>
      </c>
      <c r="BV169" s="13"/>
      <c r="BW169" s="4"/>
      <c r="BX169" s="4"/>
      <c r="BY169" s="4"/>
      <c r="BZ169" s="30">
        <f t="shared" si="24"/>
        <v>0</v>
      </c>
      <c r="CA169" s="30">
        <f t="shared" si="25"/>
        <v>3</v>
      </c>
      <c r="CB169" s="30">
        <f t="shared" si="26"/>
        <v>2</v>
      </c>
    </row>
    <row r="170" spans="1:80" ht="15.5" x14ac:dyDescent="0.35">
      <c r="A170" s="31" t="s">
        <v>933</v>
      </c>
      <c r="B170" s="39" t="s">
        <v>712</v>
      </c>
      <c r="C170" s="54" t="s">
        <v>713</v>
      </c>
      <c r="D170" s="127" t="s">
        <v>237</v>
      </c>
      <c r="E170" s="35" t="s">
        <v>6</v>
      </c>
      <c r="F170" s="3"/>
      <c r="G170" s="3"/>
      <c r="H170" s="3">
        <v>1</v>
      </c>
      <c r="I170" s="4"/>
      <c r="J170" s="5">
        <v>2</v>
      </c>
      <c r="K170" s="4"/>
      <c r="L170" s="4"/>
      <c r="M170" s="4">
        <v>3</v>
      </c>
      <c r="N170" s="4"/>
      <c r="O170" s="13"/>
      <c r="P170" s="4">
        <v>1</v>
      </c>
      <c r="Q170" s="4">
        <v>1</v>
      </c>
      <c r="R170" s="13">
        <v>3</v>
      </c>
      <c r="S170" s="13">
        <v>2</v>
      </c>
      <c r="T170" s="13">
        <v>2</v>
      </c>
      <c r="U170" s="4"/>
      <c r="V170" s="4"/>
      <c r="W170" s="4"/>
      <c r="X170" s="30">
        <f t="shared" si="18"/>
        <v>3</v>
      </c>
      <c r="Y170" s="30">
        <f t="shared" si="19"/>
        <v>8</v>
      </c>
      <c r="Z170" s="30">
        <f t="shared" si="20"/>
        <v>4</v>
      </c>
      <c r="AB170" s="31" t="s">
        <v>909</v>
      </c>
      <c r="AC170" s="56" t="s">
        <v>687</v>
      </c>
      <c r="AD170" s="43" t="s">
        <v>289</v>
      </c>
      <c r="AE170" s="127" t="s">
        <v>237</v>
      </c>
      <c r="AF170" s="35" t="s">
        <v>6</v>
      </c>
      <c r="AG170" s="3"/>
      <c r="AH170" s="3"/>
      <c r="AI170" s="3"/>
      <c r="AJ170" s="5"/>
      <c r="AK170" s="5">
        <v>3</v>
      </c>
      <c r="AL170" s="4"/>
      <c r="AM170" s="4"/>
      <c r="AN170" s="5">
        <v>2</v>
      </c>
      <c r="AO170" s="4"/>
      <c r="AP170" s="13"/>
      <c r="AQ170" s="5">
        <v>2</v>
      </c>
      <c r="AR170" s="4"/>
      <c r="AS170" s="13"/>
      <c r="AT170" s="14">
        <v>2</v>
      </c>
      <c r="AU170" s="13"/>
      <c r="AV170" s="4"/>
      <c r="AW170" s="5"/>
      <c r="AX170" s="4"/>
      <c r="AY170" s="30">
        <f t="shared" si="21"/>
        <v>0</v>
      </c>
      <c r="AZ170" s="30">
        <f t="shared" si="22"/>
        <v>9</v>
      </c>
      <c r="BA170" s="30">
        <f t="shared" si="23"/>
        <v>0</v>
      </c>
      <c r="BC170" s="31" t="s">
        <v>1003</v>
      </c>
      <c r="BD170" s="56" t="s">
        <v>791</v>
      </c>
      <c r="BE170" s="47" t="s">
        <v>376</v>
      </c>
      <c r="BF170" s="161" t="s">
        <v>240</v>
      </c>
      <c r="BG170" s="42" t="s">
        <v>8</v>
      </c>
      <c r="BH170" s="4">
        <v>1</v>
      </c>
      <c r="BI170" s="4"/>
      <c r="BJ170" s="4"/>
      <c r="BK170" s="4">
        <v>1</v>
      </c>
      <c r="BL170" s="4">
        <v>4</v>
      </c>
      <c r="BM170" s="4">
        <v>1</v>
      </c>
      <c r="BN170" s="4"/>
      <c r="BO170" s="4">
        <v>1</v>
      </c>
      <c r="BP170" s="4"/>
      <c r="BQ170" s="13">
        <v>1</v>
      </c>
      <c r="BR170" s="13">
        <v>3</v>
      </c>
      <c r="BS170" s="13">
        <v>1</v>
      </c>
      <c r="BT170" s="13">
        <v>1</v>
      </c>
      <c r="BU170" s="13">
        <v>2</v>
      </c>
      <c r="BV170" s="13"/>
      <c r="BW170" s="4"/>
      <c r="BX170" s="4">
        <v>1</v>
      </c>
      <c r="BY170" s="4"/>
      <c r="BZ170" s="30">
        <f t="shared" si="24"/>
        <v>4</v>
      </c>
      <c r="CA170" s="30">
        <f t="shared" si="25"/>
        <v>11</v>
      </c>
      <c r="CB170" s="30">
        <f t="shared" si="26"/>
        <v>2</v>
      </c>
    </row>
    <row r="171" spans="1:80" ht="15.5" x14ac:dyDescent="0.35">
      <c r="A171" s="31" t="s">
        <v>937</v>
      </c>
      <c r="B171" s="56" t="s">
        <v>717</v>
      </c>
      <c r="C171" s="45" t="s">
        <v>317</v>
      </c>
      <c r="D171" s="121" t="s">
        <v>238</v>
      </c>
      <c r="E171" s="35" t="s">
        <v>6</v>
      </c>
      <c r="F171" s="19">
        <v>3</v>
      </c>
      <c r="G171" s="20"/>
      <c r="H171" s="19">
        <v>1</v>
      </c>
      <c r="I171" s="13"/>
      <c r="J171" s="14">
        <v>1</v>
      </c>
      <c r="K171" s="13"/>
      <c r="L171" s="13"/>
      <c r="M171" s="13">
        <v>2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30">
        <f t="shared" si="18"/>
        <v>3</v>
      </c>
      <c r="Y171" s="30">
        <f t="shared" si="19"/>
        <v>3</v>
      </c>
      <c r="Z171" s="30">
        <f t="shared" si="20"/>
        <v>1</v>
      </c>
      <c r="AB171" s="31" t="s">
        <v>945</v>
      </c>
      <c r="AC171" s="56" t="s">
        <v>725</v>
      </c>
      <c r="AD171" s="41" t="s">
        <v>325</v>
      </c>
      <c r="AE171" s="121" t="s">
        <v>238</v>
      </c>
      <c r="AF171" s="42" t="s">
        <v>8</v>
      </c>
      <c r="AG171" s="19"/>
      <c r="AH171" s="19">
        <v>2</v>
      </c>
      <c r="AI171" s="19"/>
      <c r="AJ171" s="13">
        <v>1</v>
      </c>
      <c r="AK171" s="13">
        <v>4</v>
      </c>
      <c r="AL171" s="14"/>
      <c r="AM171" s="13">
        <v>1</v>
      </c>
      <c r="AN171" s="13">
        <v>1</v>
      </c>
      <c r="AO171" s="13"/>
      <c r="AP171" s="13">
        <v>1</v>
      </c>
      <c r="AQ171" s="13">
        <v>1</v>
      </c>
      <c r="AR171" s="13"/>
      <c r="AS171" s="13"/>
      <c r="AT171" s="13">
        <v>1</v>
      </c>
      <c r="AU171" s="13">
        <v>2</v>
      </c>
      <c r="AV171" s="13"/>
      <c r="AW171" s="13"/>
      <c r="AX171" s="13"/>
      <c r="AY171" s="30">
        <f t="shared" si="21"/>
        <v>3</v>
      </c>
      <c r="AZ171" s="30">
        <f t="shared" si="22"/>
        <v>9</v>
      </c>
      <c r="BA171" s="30">
        <f t="shared" si="23"/>
        <v>2</v>
      </c>
      <c r="BC171" s="31" t="s">
        <v>1009</v>
      </c>
      <c r="BD171" s="56" t="s">
        <v>797</v>
      </c>
      <c r="BE171" s="47" t="s">
        <v>382</v>
      </c>
      <c r="BF171" s="161" t="s">
        <v>240</v>
      </c>
      <c r="BG171" s="42" t="s">
        <v>8</v>
      </c>
      <c r="BH171" s="4"/>
      <c r="BI171" s="4">
        <v>2</v>
      </c>
      <c r="BJ171" s="4"/>
      <c r="BK171" s="4"/>
      <c r="BL171" s="5">
        <v>1</v>
      </c>
      <c r="BM171" s="5">
        <v>1</v>
      </c>
      <c r="BN171" s="4">
        <v>1</v>
      </c>
      <c r="BO171" s="4">
        <v>6</v>
      </c>
      <c r="BP171" s="4">
        <v>1</v>
      </c>
      <c r="BQ171" s="13"/>
      <c r="BR171" s="13">
        <v>2</v>
      </c>
      <c r="BS171" s="13"/>
      <c r="BT171" s="13">
        <v>1</v>
      </c>
      <c r="BU171" s="13">
        <v>3</v>
      </c>
      <c r="BV171" s="13"/>
      <c r="BW171" s="4"/>
      <c r="BX171" s="4">
        <v>1</v>
      </c>
      <c r="BY171" s="4"/>
      <c r="BZ171" s="30">
        <f t="shared" si="24"/>
        <v>2</v>
      </c>
      <c r="CA171" s="30">
        <f t="shared" si="25"/>
        <v>15</v>
      </c>
      <c r="CB171" s="30">
        <f t="shared" si="26"/>
        <v>2</v>
      </c>
    </row>
    <row r="172" spans="1:80" ht="15.5" x14ac:dyDescent="0.35">
      <c r="A172" s="31" t="s">
        <v>945</v>
      </c>
      <c r="B172" s="56" t="s">
        <v>725</v>
      </c>
      <c r="C172" s="41" t="s">
        <v>325</v>
      </c>
      <c r="D172" s="121" t="s">
        <v>238</v>
      </c>
      <c r="E172" s="42" t="s">
        <v>8</v>
      </c>
      <c r="F172" s="19"/>
      <c r="G172" s="19">
        <v>2</v>
      </c>
      <c r="H172" s="19"/>
      <c r="I172" s="13">
        <v>1</v>
      </c>
      <c r="J172" s="13">
        <v>4</v>
      </c>
      <c r="K172" s="14"/>
      <c r="L172" s="13">
        <v>1</v>
      </c>
      <c r="M172" s="13">
        <v>1</v>
      </c>
      <c r="N172" s="13"/>
      <c r="O172" s="13">
        <v>1</v>
      </c>
      <c r="P172" s="13">
        <v>1</v>
      </c>
      <c r="Q172" s="13"/>
      <c r="R172" s="13"/>
      <c r="S172" s="13">
        <v>1</v>
      </c>
      <c r="T172" s="13">
        <v>2</v>
      </c>
      <c r="U172" s="13"/>
      <c r="V172" s="13"/>
      <c r="W172" s="13"/>
      <c r="X172" s="30">
        <f t="shared" si="18"/>
        <v>3</v>
      </c>
      <c r="Y172" s="30">
        <f t="shared" si="19"/>
        <v>9</v>
      </c>
      <c r="Z172" s="30">
        <f t="shared" si="20"/>
        <v>2</v>
      </c>
      <c r="AB172" s="31" t="s">
        <v>951</v>
      </c>
      <c r="AC172" s="56" t="s">
        <v>732</v>
      </c>
      <c r="AD172" s="41" t="s">
        <v>733</v>
      </c>
      <c r="AE172" s="121" t="s">
        <v>238</v>
      </c>
      <c r="AF172" s="42" t="s">
        <v>6</v>
      </c>
      <c r="AG172" s="19"/>
      <c r="AH172" s="19">
        <v>3</v>
      </c>
      <c r="AI172" s="19"/>
      <c r="AJ172" s="13">
        <v>1</v>
      </c>
      <c r="AK172" s="14">
        <v>4</v>
      </c>
      <c r="AL172" s="13"/>
      <c r="AM172" s="13">
        <v>2</v>
      </c>
      <c r="AN172" s="13"/>
      <c r="AO172" s="13"/>
      <c r="AP172" s="13">
        <v>2</v>
      </c>
      <c r="AQ172" s="13">
        <v>1</v>
      </c>
      <c r="AR172" s="13">
        <v>2</v>
      </c>
      <c r="AS172" s="13">
        <v>2</v>
      </c>
      <c r="AT172" s="13"/>
      <c r="AU172" s="13">
        <v>3</v>
      </c>
      <c r="AV172" s="13"/>
      <c r="AW172" s="13">
        <v>1</v>
      </c>
      <c r="AX172" s="13"/>
      <c r="AY172" s="30">
        <f t="shared" si="21"/>
        <v>7</v>
      </c>
      <c r="AZ172" s="30">
        <f t="shared" si="22"/>
        <v>9</v>
      </c>
      <c r="BA172" s="30">
        <f t="shared" si="23"/>
        <v>5</v>
      </c>
      <c r="BC172" s="31" t="s">
        <v>1058</v>
      </c>
      <c r="BD172" s="56" t="s">
        <v>838</v>
      </c>
      <c r="BE172" s="76" t="s">
        <v>415</v>
      </c>
      <c r="BF172" s="142" t="s">
        <v>1039</v>
      </c>
      <c r="BG172" s="42" t="s">
        <v>8</v>
      </c>
      <c r="BH172" s="4"/>
      <c r="BI172" s="4">
        <v>2</v>
      </c>
      <c r="BJ172" s="4"/>
      <c r="BK172" s="4">
        <v>3</v>
      </c>
      <c r="BL172" s="4">
        <v>2</v>
      </c>
      <c r="BM172" s="4"/>
      <c r="BN172" s="4">
        <v>1</v>
      </c>
      <c r="BO172" s="4">
        <v>2</v>
      </c>
      <c r="BP172" s="4">
        <v>1</v>
      </c>
      <c r="BQ172" s="13"/>
      <c r="BR172" s="13">
        <v>1</v>
      </c>
      <c r="BS172" s="13">
        <v>1</v>
      </c>
      <c r="BT172" s="15">
        <v>1</v>
      </c>
      <c r="BU172" s="15">
        <v>2</v>
      </c>
      <c r="BV172" s="15"/>
      <c r="BW172" s="4"/>
      <c r="BX172" s="4">
        <v>2</v>
      </c>
      <c r="BY172" s="4"/>
      <c r="BZ172" s="30">
        <f t="shared" si="24"/>
        <v>5</v>
      </c>
      <c r="CA172" s="30">
        <f t="shared" si="25"/>
        <v>11</v>
      </c>
      <c r="CB172" s="30">
        <f t="shared" si="26"/>
        <v>2</v>
      </c>
    </row>
    <row r="173" spans="1:80" ht="15.5" x14ac:dyDescent="0.35">
      <c r="A173" s="31" t="s">
        <v>946</v>
      </c>
      <c r="B173" s="56" t="s">
        <v>726</v>
      </c>
      <c r="C173" s="51" t="s">
        <v>326</v>
      </c>
      <c r="D173" s="121" t="s">
        <v>238</v>
      </c>
      <c r="E173" s="42" t="s">
        <v>8</v>
      </c>
      <c r="F173" s="19"/>
      <c r="G173" s="19"/>
      <c r="H173" s="19"/>
      <c r="I173" s="13">
        <v>2</v>
      </c>
      <c r="J173" s="14"/>
      <c r="K173" s="14"/>
      <c r="L173" s="13">
        <v>1</v>
      </c>
      <c r="M173" s="13">
        <v>1</v>
      </c>
      <c r="N173" s="13"/>
      <c r="O173" s="13"/>
      <c r="P173" s="13">
        <v>3</v>
      </c>
      <c r="Q173" s="13"/>
      <c r="R173" s="13"/>
      <c r="S173" s="13">
        <v>2</v>
      </c>
      <c r="T173" s="13"/>
      <c r="U173" s="13"/>
      <c r="V173" s="13">
        <v>1</v>
      </c>
      <c r="W173" s="13"/>
      <c r="X173" s="30">
        <f t="shared" si="18"/>
        <v>3</v>
      </c>
      <c r="Y173" s="30">
        <f t="shared" si="19"/>
        <v>7</v>
      </c>
      <c r="Z173" s="30">
        <f t="shared" si="20"/>
        <v>0</v>
      </c>
      <c r="AB173" s="31" t="s">
        <v>995</v>
      </c>
      <c r="AC173" s="56" t="s">
        <v>783</v>
      </c>
      <c r="AD173" s="47" t="s">
        <v>369</v>
      </c>
      <c r="AE173" s="141" t="s">
        <v>239</v>
      </c>
      <c r="AF173" s="42" t="s">
        <v>8</v>
      </c>
      <c r="AG173" s="19"/>
      <c r="AH173" s="13">
        <v>1</v>
      </c>
      <c r="AI173" s="13"/>
      <c r="AJ173" s="13">
        <v>1</v>
      </c>
      <c r="AK173" s="13">
        <v>2</v>
      </c>
      <c r="AL173" s="13"/>
      <c r="AM173" s="13"/>
      <c r="AN173" s="13">
        <v>2</v>
      </c>
      <c r="AO173" s="13"/>
      <c r="AP173" s="13"/>
      <c r="AQ173" s="13">
        <v>2</v>
      </c>
      <c r="AR173" s="13"/>
      <c r="AS173" s="13">
        <v>1</v>
      </c>
      <c r="AT173" s="13">
        <v>2</v>
      </c>
      <c r="AU173" s="13"/>
      <c r="AV173" s="13"/>
      <c r="AW173" s="13"/>
      <c r="AX173" s="13"/>
      <c r="AY173" s="30">
        <f t="shared" si="21"/>
        <v>2</v>
      </c>
      <c r="AZ173" s="30">
        <f t="shared" si="22"/>
        <v>9</v>
      </c>
      <c r="BA173" s="30">
        <f t="shared" si="23"/>
        <v>0</v>
      </c>
      <c r="BC173" s="31" t="s">
        <v>28</v>
      </c>
      <c r="BD173" s="56" t="s">
        <v>637</v>
      </c>
      <c r="BE173" s="36" t="s">
        <v>252</v>
      </c>
      <c r="BF173" s="127" t="s">
        <v>231</v>
      </c>
      <c r="BG173" s="35" t="s">
        <v>6</v>
      </c>
      <c r="BH173" s="3"/>
      <c r="BI173" s="3"/>
      <c r="BJ173" s="3"/>
      <c r="BK173" s="4"/>
      <c r="BL173" s="5"/>
      <c r="BM173" s="5"/>
      <c r="BN173" s="4"/>
      <c r="BO173" s="4"/>
      <c r="BP173" s="4">
        <v>1</v>
      </c>
      <c r="BQ173" s="13"/>
      <c r="BR173" s="4"/>
      <c r="BS173" s="4">
        <v>1</v>
      </c>
      <c r="BT173" s="4"/>
      <c r="BU173" s="4"/>
      <c r="BV173" s="4">
        <v>1</v>
      </c>
      <c r="BW173" s="4"/>
      <c r="BX173" s="4"/>
      <c r="BY173" s="4"/>
      <c r="BZ173" s="30">
        <f t="shared" si="24"/>
        <v>0</v>
      </c>
      <c r="CA173" s="30">
        <f t="shared" si="25"/>
        <v>0</v>
      </c>
      <c r="CB173" s="30">
        <f t="shared" si="26"/>
        <v>3</v>
      </c>
    </row>
    <row r="174" spans="1:80" ht="15.5" x14ac:dyDescent="0.35">
      <c r="A174" s="31" t="s">
        <v>961</v>
      </c>
      <c r="B174" s="56" t="s">
        <v>744</v>
      </c>
      <c r="C174" s="41" t="s">
        <v>745</v>
      </c>
      <c r="D174" s="121" t="s">
        <v>238</v>
      </c>
      <c r="E174" s="42" t="s">
        <v>8</v>
      </c>
      <c r="F174" s="19"/>
      <c r="G174" s="19"/>
      <c r="H174" s="19"/>
      <c r="I174" s="14">
        <v>1</v>
      </c>
      <c r="J174" s="14"/>
      <c r="K174" s="14"/>
      <c r="L174" s="13"/>
      <c r="M174" s="13"/>
      <c r="N174" s="13"/>
      <c r="O174" s="13">
        <v>2</v>
      </c>
      <c r="P174" s="13"/>
      <c r="Q174" s="13"/>
      <c r="R174" s="13"/>
      <c r="S174" s="13"/>
      <c r="T174" s="13"/>
      <c r="U174" s="13"/>
      <c r="V174" s="13"/>
      <c r="W174" s="13"/>
      <c r="X174" s="30">
        <f t="shared" si="18"/>
        <v>3</v>
      </c>
      <c r="Y174" s="30">
        <f t="shared" si="19"/>
        <v>0</v>
      </c>
      <c r="Z174" s="30">
        <f t="shared" si="20"/>
        <v>0</v>
      </c>
      <c r="AB174" s="31" t="s">
        <v>1019</v>
      </c>
      <c r="AC174" s="56" t="s">
        <v>808</v>
      </c>
      <c r="AD174" s="58" t="s">
        <v>391</v>
      </c>
      <c r="AE174" s="161" t="s">
        <v>240</v>
      </c>
      <c r="AF174" s="42" t="s">
        <v>8</v>
      </c>
      <c r="AG174" s="4"/>
      <c r="AH174" s="4">
        <v>2</v>
      </c>
      <c r="AI174" s="4"/>
      <c r="AJ174" s="4">
        <v>2</v>
      </c>
      <c r="AK174" s="5">
        <v>1</v>
      </c>
      <c r="AL174" s="4"/>
      <c r="AM174" s="4">
        <v>3</v>
      </c>
      <c r="AN174" s="4"/>
      <c r="AO174" s="4"/>
      <c r="AP174" s="13">
        <v>2</v>
      </c>
      <c r="AQ174" s="13">
        <v>3</v>
      </c>
      <c r="AR174" s="13"/>
      <c r="AS174" s="13">
        <v>1</v>
      </c>
      <c r="AT174" s="13">
        <v>2</v>
      </c>
      <c r="AU174" s="13"/>
      <c r="AV174" s="4"/>
      <c r="AW174" s="4">
        <v>1</v>
      </c>
      <c r="AX174" s="4"/>
      <c r="AY174" s="30">
        <f t="shared" si="21"/>
        <v>8</v>
      </c>
      <c r="AZ174" s="30">
        <f t="shared" si="22"/>
        <v>9</v>
      </c>
      <c r="BA174" s="30">
        <f t="shared" si="23"/>
        <v>0</v>
      </c>
      <c r="BC174" s="31" t="s">
        <v>30</v>
      </c>
      <c r="BD174" s="56" t="s">
        <v>639</v>
      </c>
      <c r="BE174" s="36" t="s">
        <v>254</v>
      </c>
      <c r="BF174" s="127" t="s">
        <v>231</v>
      </c>
      <c r="BG174" s="35" t="s">
        <v>8</v>
      </c>
      <c r="BH174" s="3"/>
      <c r="BI174" s="3"/>
      <c r="BJ174" s="6"/>
      <c r="BK174" s="4"/>
      <c r="BL174" s="4">
        <v>1</v>
      </c>
      <c r="BM174" s="5">
        <v>1</v>
      </c>
      <c r="BN174" s="4"/>
      <c r="BO174" s="4"/>
      <c r="BP174" s="5">
        <v>1</v>
      </c>
      <c r="BQ174" s="13">
        <v>1</v>
      </c>
      <c r="BR174" s="4"/>
      <c r="BS174" s="5"/>
      <c r="BT174" s="4"/>
      <c r="BU174" s="4">
        <v>1</v>
      </c>
      <c r="BV174" s="5">
        <v>1</v>
      </c>
      <c r="BW174" s="4"/>
      <c r="BX174" s="4"/>
      <c r="BY174" s="5"/>
      <c r="BZ174" s="30">
        <f t="shared" si="24"/>
        <v>1</v>
      </c>
      <c r="CA174" s="30">
        <f t="shared" si="25"/>
        <v>2</v>
      </c>
      <c r="CB174" s="30">
        <f t="shared" si="26"/>
        <v>3</v>
      </c>
    </row>
    <row r="175" spans="1:80" ht="15.5" x14ac:dyDescent="0.35">
      <c r="A175" s="31" t="s">
        <v>976</v>
      </c>
      <c r="B175" s="56" t="s">
        <v>763</v>
      </c>
      <c r="C175" s="47" t="s">
        <v>764</v>
      </c>
      <c r="D175" s="141" t="s">
        <v>239</v>
      </c>
      <c r="E175" s="42" t="s">
        <v>8</v>
      </c>
      <c r="F175" s="19">
        <v>1</v>
      </c>
      <c r="G175" s="13">
        <v>1</v>
      </c>
      <c r="H175" s="13">
        <v>1</v>
      </c>
      <c r="I175" s="13"/>
      <c r="J175" s="13">
        <v>7</v>
      </c>
      <c r="K175" s="14">
        <v>2</v>
      </c>
      <c r="L175" s="13"/>
      <c r="M175" s="13">
        <v>3</v>
      </c>
      <c r="N175" s="13">
        <v>1</v>
      </c>
      <c r="O175" s="13">
        <v>1</v>
      </c>
      <c r="P175" s="13">
        <v>7</v>
      </c>
      <c r="Q175" s="13">
        <v>3</v>
      </c>
      <c r="R175" s="13">
        <v>1</v>
      </c>
      <c r="S175" s="13">
        <v>7</v>
      </c>
      <c r="T175" s="13">
        <v>1</v>
      </c>
      <c r="U175" s="13"/>
      <c r="V175" s="13"/>
      <c r="W175" s="13"/>
      <c r="X175" s="30">
        <f t="shared" si="18"/>
        <v>3</v>
      </c>
      <c r="Y175" s="30">
        <f t="shared" si="19"/>
        <v>25</v>
      </c>
      <c r="Z175" s="30">
        <f t="shared" si="20"/>
        <v>8</v>
      </c>
      <c r="AB175" s="31" t="s">
        <v>890</v>
      </c>
      <c r="AC175" s="56" t="s">
        <v>672</v>
      </c>
      <c r="AD175" s="43" t="s">
        <v>279</v>
      </c>
      <c r="AE175" s="127" t="s">
        <v>236</v>
      </c>
      <c r="AF175" s="35" t="s">
        <v>6</v>
      </c>
      <c r="AG175" s="3"/>
      <c r="AH175" s="4"/>
      <c r="AI175" s="3">
        <v>1</v>
      </c>
      <c r="AJ175" s="5"/>
      <c r="AK175" s="4">
        <v>4</v>
      </c>
      <c r="AL175" s="5">
        <v>2</v>
      </c>
      <c r="AM175" s="4">
        <v>1</v>
      </c>
      <c r="AN175" s="4">
        <v>1</v>
      </c>
      <c r="AO175" s="4">
        <v>2</v>
      </c>
      <c r="AP175" s="13"/>
      <c r="AQ175" s="14">
        <v>2</v>
      </c>
      <c r="AR175" s="13">
        <v>4</v>
      </c>
      <c r="AS175" s="13"/>
      <c r="AT175" s="14">
        <v>3</v>
      </c>
      <c r="AU175" s="13"/>
      <c r="AV175" s="4"/>
      <c r="AW175" s="5"/>
      <c r="AX175" s="4">
        <v>2</v>
      </c>
      <c r="AY175" s="30">
        <f t="shared" si="21"/>
        <v>1</v>
      </c>
      <c r="AZ175" s="30">
        <f t="shared" si="22"/>
        <v>10</v>
      </c>
      <c r="BA175" s="30">
        <f t="shared" si="23"/>
        <v>11</v>
      </c>
      <c r="BC175" s="31" t="s">
        <v>33</v>
      </c>
      <c r="BD175" s="56" t="s">
        <v>642</v>
      </c>
      <c r="BE175" s="36" t="s">
        <v>257</v>
      </c>
      <c r="BF175" s="127" t="s">
        <v>231</v>
      </c>
      <c r="BG175" s="35" t="s">
        <v>8</v>
      </c>
      <c r="BH175" s="3"/>
      <c r="BI175" s="3"/>
      <c r="BJ175" s="3"/>
      <c r="BK175" s="4">
        <v>1</v>
      </c>
      <c r="BL175" s="4"/>
      <c r="BM175" s="4"/>
      <c r="BN175" s="4"/>
      <c r="BO175" s="4"/>
      <c r="BP175" s="4">
        <v>1</v>
      </c>
      <c r="BQ175" s="13"/>
      <c r="BR175" s="4"/>
      <c r="BS175" s="4">
        <v>1</v>
      </c>
      <c r="BT175" s="4">
        <v>1</v>
      </c>
      <c r="BU175" s="4"/>
      <c r="BV175" s="4">
        <v>1</v>
      </c>
      <c r="BW175" s="4"/>
      <c r="BX175" s="4"/>
      <c r="BY175" s="4"/>
      <c r="BZ175" s="30">
        <f t="shared" si="24"/>
        <v>2</v>
      </c>
      <c r="CA175" s="30">
        <f t="shared" si="25"/>
        <v>0</v>
      </c>
      <c r="CB175" s="30">
        <f t="shared" si="26"/>
        <v>3</v>
      </c>
    </row>
    <row r="176" spans="1:80" ht="15.5" x14ac:dyDescent="0.35">
      <c r="A176" s="31" t="s">
        <v>993</v>
      </c>
      <c r="B176" s="56" t="s">
        <v>781</v>
      </c>
      <c r="C176" s="163" t="s">
        <v>367</v>
      </c>
      <c r="D176" s="141" t="s">
        <v>239</v>
      </c>
      <c r="E176" s="42" t="s">
        <v>8</v>
      </c>
      <c r="F176" s="27"/>
      <c r="G176" s="15"/>
      <c r="H176" s="15"/>
      <c r="I176" s="15"/>
      <c r="J176" s="15"/>
      <c r="K176" s="15"/>
      <c r="L176" s="15"/>
      <c r="M176" s="15">
        <v>1</v>
      </c>
      <c r="N176" s="15"/>
      <c r="O176" s="15">
        <v>3</v>
      </c>
      <c r="P176" s="15">
        <v>1</v>
      </c>
      <c r="Q176" s="15"/>
      <c r="R176" s="15"/>
      <c r="S176" s="15"/>
      <c r="T176" s="15"/>
      <c r="U176" s="15"/>
      <c r="V176" s="15"/>
      <c r="W176" s="15">
        <v>1</v>
      </c>
      <c r="X176" s="30">
        <f t="shared" si="18"/>
        <v>3</v>
      </c>
      <c r="Y176" s="30">
        <f t="shared" si="19"/>
        <v>2</v>
      </c>
      <c r="Z176" s="30">
        <f t="shared" si="20"/>
        <v>1</v>
      </c>
      <c r="AB176" s="31" t="s">
        <v>911</v>
      </c>
      <c r="AC176" s="56" t="s">
        <v>689</v>
      </c>
      <c r="AD176" s="167" t="s">
        <v>291</v>
      </c>
      <c r="AE176" s="127" t="s">
        <v>237</v>
      </c>
      <c r="AF176" s="35" t="s">
        <v>6</v>
      </c>
      <c r="AG176" s="3"/>
      <c r="AH176" s="3">
        <v>1</v>
      </c>
      <c r="AI176" s="3"/>
      <c r="AJ176" s="5"/>
      <c r="AK176" s="5">
        <v>3</v>
      </c>
      <c r="AL176" s="4"/>
      <c r="AM176" s="4"/>
      <c r="AN176" s="5">
        <v>1</v>
      </c>
      <c r="AO176" s="4"/>
      <c r="AP176" s="13"/>
      <c r="AQ176" s="5"/>
      <c r="AR176" s="4"/>
      <c r="AS176" s="13"/>
      <c r="AT176" s="14">
        <v>4</v>
      </c>
      <c r="AU176" s="13"/>
      <c r="AV176" s="4">
        <v>1</v>
      </c>
      <c r="AW176" s="5">
        <v>1</v>
      </c>
      <c r="AX176" s="4"/>
      <c r="AY176" s="30">
        <f t="shared" si="21"/>
        <v>1</v>
      </c>
      <c r="AZ176" s="30">
        <f t="shared" si="22"/>
        <v>10</v>
      </c>
      <c r="BA176" s="30">
        <f t="shared" si="23"/>
        <v>0</v>
      </c>
      <c r="BC176" s="31" t="s">
        <v>952</v>
      </c>
      <c r="BD176" s="56" t="s">
        <v>734</v>
      </c>
      <c r="BE176" s="169" t="s">
        <v>330</v>
      </c>
      <c r="BF176" s="121" t="s">
        <v>238</v>
      </c>
      <c r="BG176" s="42" t="s">
        <v>6</v>
      </c>
      <c r="BH176" s="19"/>
      <c r="BI176" s="19"/>
      <c r="BJ176" s="19"/>
      <c r="BK176" s="13"/>
      <c r="BL176" s="13"/>
      <c r="BM176" s="13"/>
      <c r="BN176" s="13">
        <v>2</v>
      </c>
      <c r="BO176" s="13">
        <v>1</v>
      </c>
      <c r="BP176" s="13"/>
      <c r="BQ176" s="13"/>
      <c r="BR176" s="13">
        <v>1</v>
      </c>
      <c r="BS176" s="13"/>
      <c r="BT176" s="13"/>
      <c r="BU176" s="13"/>
      <c r="BV176" s="13">
        <v>3</v>
      </c>
      <c r="BW176" s="13"/>
      <c r="BX176" s="13">
        <v>1</v>
      </c>
      <c r="BY176" s="13"/>
      <c r="BZ176" s="30">
        <f t="shared" si="24"/>
        <v>2</v>
      </c>
      <c r="CA176" s="30">
        <f t="shared" si="25"/>
        <v>3</v>
      </c>
      <c r="CB176" s="30">
        <f t="shared" si="26"/>
        <v>3</v>
      </c>
    </row>
    <row r="177" spans="1:80" ht="15.5" x14ac:dyDescent="0.35">
      <c r="A177" s="31" t="s">
        <v>1029</v>
      </c>
      <c r="B177" s="56" t="s">
        <v>818</v>
      </c>
      <c r="C177" s="47" t="s">
        <v>399</v>
      </c>
      <c r="D177" s="161" t="s">
        <v>240</v>
      </c>
      <c r="E177" s="42" t="s">
        <v>6</v>
      </c>
      <c r="F177" s="4"/>
      <c r="G177" s="5"/>
      <c r="H177" s="4"/>
      <c r="I177" s="4"/>
      <c r="J177" s="5">
        <v>1</v>
      </c>
      <c r="K177" s="4"/>
      <c r="L177" s="4"/>
      <c r="M177" s="4">
        <v>1</v>
      </c>
      <c r="N177" s="4"/>
      <c r="O177" s="13"/>
      <c r="P177" s="13"/>
      <c r="Q177" s="13"/>
      <c r="R177" s="13">
        <v>3</v>
      </c>
      <c r="S177" s="13"/>
      <c r="T177" s="13"/>
      <c r="U177" s="4"/>
      <c r="V177" s="4"/>
      <c r="W177" s="4"/>
      <c r="X177" s="30">
        <f t="shared" si="18"/>
        <v>3</v>
      </c>
      <c r="Y177" s="30">
        <f t="shared" si="19"/>
        <v>2</v>
      </c>
      <c r="Z177" s="30">
        <f t="shared" si="20"/>
        <v>0</v>
      </c>
      <c r="AB177" s="31" t="s">
        <v>921</v>
      </c>
      <c r="AC177" s="56" t="s">
        <v>700</v>
      </c>
      <c r="AD177" s="43" t="s">
        <v>301</v>
      </c>
      <c r="AE177" s="127" t="s">
        <v>237</v>
      </c>
      <c r="AF177" s="35" t="s">
        <v>6</v>
      </c>
      <c r="AG177" s="3"/>
      <c r="AH177" s="3">
        <v>1</v>
      </c>
      <c r="AI177" s="3"/>
      <c r="AJ177" s="5">
        <v>1</v>
      </c>
      <c r="AK177" s="5">
        <v>3</v>
      </c>
      <c r="AL177" s="4"/>
      <c r="AM177" s="4"/>
      <c r="AN177" s="5">
        <v>1</v>
      </c>
      <c r="AO177" s="4"/>
      <c r="AP177" s="13"/>
      <c r="AQ177" s="5">
        <v>1</v>
      </c>
      <c r="AR177" s="4"/>
      <c r="AS177" s="13"/>
      <c r="AT177" s="14">
        <v>4</v>
      </c>
      <c r="AU177" s="13">
        <v>4</v>
      </c>
      <c r="AV177" s="4"/>
      <c r="AW177" s="5"/>
      <c r="AX177" s="4"/>
      <c r="AY177" s="30">
        <f t="shared" si="21"/>
        <v>1</v>
      </c>
      <c r="AZ177" s="30">
        <f t="shared" si="22"/>
        <v>10</v>
      </c>
      <c r="BA177" s="30">
        <f t="shared" si="23"/>
        <v>4</v>
      </c>
      <c r="BC177" s="31" t="s">
        <v>921</v>
      </c>
      <c r="BD177" s="56" t="s">
        <v>700</v>
      </c>
      <c r="BE177" s="43" t="s">
        <v>301</v>
      </c>
      <c r="BF177" s="127" t="s">
        <v>237</v>
      </c>
      <c r="BG177" s="35" t="s">
        <v>6</v>
      </c>
      <c r="BH177" s="3"/>
      <c r="BI177" s="3">
        <v>1</v>
      </c>
      <c r="BJ177" s="3"/>
      <c r="BK177" s="5">
        <v>1</v>
      </c>
      <c r="BL177" s="5">
        <v>3</v>
      </c>
      <c r="BM177" s="4"/>
      <c r="BN177" s="4"/>
      <c r="BO177" s="5">
        <v>1</v>
      </c>
      <c r="BP177" s="4"/>
      <c r="BQ177" s="13"/>
      <c r="BR177" s="5">
        <v>1</v>
      </c>
      <c r="BS177" s="4"/>
      <c r="BT177" s="13"/>
      <c r="BU177" s="14">
        <v>4</v>
      </c>
      <c r="BV177" s="13">
        <v>4</v>
      </c>
      <c r="BW177" s="4"/>
      <c r="BX177" s="5"/>
      <c r="BY177" s="4"/>
      <c r="BZ177" s="30">
        <f t="shared" si="24"/>
        <v>1</v>
      </c>
      <c r="CA177" s="30">
        <f t="shared" si="25"/>
        <v>10</v>
      </c>
      <c r="CB177" s="30">
        <f t="shared" si="26"/>
        <v>4</v>
      </c>
    </row>
    <row r="178" spans="1:80" ht="15.5" x14ac:dyDescent="0.35">
      <c r="A178" s="31" t="s">
        <v>1040</v>
      </c>
      <c r="B178" s="119" t="s">
        <v>819</v>
      </c>
      <c r="C178" s="123" t="s">
        <v>400</v>
      </c>
      <c r="D178" s="161" t="s">
        <v>240</v>
      </c>
      <c r="E178" s="121" t="s">
        <v>6</v>
      </c>
      <c r="F178" s="108"/>
      <c r="G178" s="108"/>
      <c r="H178" s="108"/>
      <c r="I178" s="108"/>
      <c r="J178" s="108">
        <v>2</v>
      </c>
      <c r="K178" s="108"/>
      <c r="L178" s="108"/>
      <c r="M178" s="108"/>
      <c r="N178" s="108"/>
      <c r="O178" s="122"/>
      <c r="P178" s="122"/>
      <c r="Q178" s="122"/>
      <c r="R178" s="122">
        <v>3</v>
      </c>
      <c r="S178" s="122"/>
      <c r="T178" s="122"/>
      <c r="U178" s="108"/>
      <c r="V178" s="108"/>
      <c r="W178" s="108"/>
      <c r="X178" s="109">
        <f t="shared" si="18"/>
        <v>3</v>
      </c>
      <c r="Y178" s="109">
        <f t="shared" si="19"/>
        <v>2</v>
      </c>
      <c r="Z178" s="109">
        <f t="shared" si="20"/>
        <v>0</v>
      </c>
      <c r="AB178" s="31" t="s">
        <v>1048</v>
      </c>
      <c r="AC178" s="119" t="s">
        <v>828</v>
      </c>
      <c r="AD178" s="120" t="s">
        <v>405</v>
      </c>
      <c r="AE178" s="142" t="s">
        <v>1039</v>
      </c>
      <c r="AF178" s="121" t="s">
        <v>8</v>
      </c>
      <c r="AG178" s="108"/>
      <c r="AH178" s="108">
        <v>3</v>
      </c>
      <c r="AI178" s="108"/>
      <c r="AJ178" s="108">
        <v>1</v>
      </c>
      <c r="AK178" s="113">
        <v>1</v>
      </c>
      <c r="AL178" s="108"/>
      <c r="AM178" s="108">
        <v>1</v>
      </c>
      <c r="AN178" s="108"/>
      <c r="AO178" s="108"/>
      <c r="AP178" s="122">
        <v>1</v>
      </c>
      <c r="AQ178" s="122">
        <v>3</v>
      </c>
      <c r="AR178" s="122"/>
      <c r="AS178" s="122"/>
      <c r="AT178" s="122">
        <v>2</v>
      </c>
      <c r="AU178" s="122"/>
      <c r="AV178" s="108"/>
      <c r="AW178" s="108">
        <v>1</v>
      </c>
      <c r="AX178" s="108"/>
      <c r="AY178" s="109">
        <f t="shared" si="21"/>
        <v>3</v>
      </c>
      <c r="AZ178" s="109">
        <f t="shared" si="22"/>
        <v>10</v>
      </c>
      <c r="BA178" s="109">
        <f t="shared" si="23"/>
        <v>0</v>
      </c>
      <c r="BC178" s="31" t="s">
        <v>933</v>
      </c>
      <c r="BD178" s="168" t="s">
        <v>712</v>
      </c>
      <c r="BE178" s="138" t="s">
        <v>713</v>
      </c>
      <c r="BF178" s="127" t="s">
        <v>237</v>
      </c>
      <c r="BG178" s="127" t="s">
        <v>6</v>
      </c>
      <c r="BH178" s="130"/>
      <c r="BI178" s="130"/>
      <c r="BJ178" s="130">
        <v>1</v>
      </c>
      <c r="BK178" s="108"/>
      <c r="BL178" s="113">
        <v>2</v>
      </c>
      <c r="BM178" s="108"/>
      <c r="BN178" s="108"/>
      <c r="BO178" s="108">
        <v>3</v>
      </c>
      <c r="BP178" s="108"/>
      <c r="BQ178" s="122"/>
      <c r="BR178" s="108">
        <v>1</v>
      </c>
      <c r="BS178" s="108">
        <v>1</v>
      </c>
      <c r="BT178" s="122">
        <v>3</v>
      </c>
      <c r="BU178" s="122">
        <v>2</v>
      </c>
      <c r="BV178" s="122">
        <v>2</v>
      </c>
      <c r="BW178" s="108"/>
      <c r="BX178" s="108"/>
      <c r="BY178" s="108"/>
      <c r="BZ178" s="109">
        <f t="shared" si="24"/>
        <v>3</v>
      </c>
      <c r="CA178" s="109">
        <f t="shared" si="25"/>
        <v>8</v>
      </c>
      <c r="CB178" s="109">
        <f t="shared" si="26"/>
        <v>4</v>
      </c>
    </row>
    <row r="179" spans="1:80" ht="15.5" x14ac:dyDescent="0.35">
      <c r="A179" s="31" t="s">
        <v>1048</v>
      </c>
      <c r="B179" s="56" t="s">
        <v>828</v>
      </c>
      <c r="C179" s="47" t="s">
        <v>405</v>
      </c>
      <c r="D179" s="142" t="s">
        <v>1039</v>
      </c>
      <c r="E179" s="42" t="s">
        <v>8</v>
      </c>
      <c r="F179" s="4"/>
      <c r="G179" s="4">
        <v>3</v>
      </c>
      <c r="H179" s="4"/>
      <c r="I179" s="4">
        <v>1</v>
      </c>
      <c r="J179" s="5">
        <v>1</v>
      </c>
      <c r="K179" s="4"/>
      <c r="L179" s="4">
        <v>1</v>
      </c>
      <c r="M179" s="4"/>
      <c r="N179" s="4"/>
      <c r="O179" s="13">
        <v>1</v>
      </c>
      <c r="P179" s="13">
        <v>3</v>
      </c>
      <c r="Q179" s="13"/>
      <c r="R179" s="13"/>
      <c r="S179" s="13">
        <v>2</v>
      </c>
      <c r="T179" s="13"/>
      <c r="U179" s="4"/>
      <c r="V179" s="4">
        <v>1</v>
      </c>
      <c r="W179" s="4"/>
      <c r="X179" s="30">
        <f t="shared" si="18"/>
        <v>3</v>
      </c>
      <c r="Y179" s="30">
        <f t="shared" si="19"/>
        <v>10</v>
      </c>
      <c r="Z179" s="30">
        <f t="shared" si="20"/>
        <v>0</v>
      </c>
      <c r="AB179" s="31" t="s">
        <v>1051</v>
      </c>
      <c r="AC179" s="56" t="s">
        <v>831</v>
      </c>
      <c r="AD179" s="47" t="s">
        <v>408</v>
      </c>
      <c r="AE179" s="142" t="s">
        <v>1039</v>
      </c>
      <c r="AF179" s="42" t="s">
        <v>8</v>
      </c>
      <c r="AG179" s="4"/>
      <c r="AH179" s="4">
        <v>4</v>
      </c>
      <c r="AI179" s="4"/>
      <c r="AJ179" s="5"/>
      <c r="AK179" s="5">
        <v>1</v>
      </c>
      <c r="AL179" s="5">
        <v>1</v>
      </c>
      <c r="AM179" s="4"/>
      <c r="AN179" s="4">
        <v>2</v>
      </c>
      <c r="AO179" s="4">
        <v>1</v>
      </c>
      <c r="AP179" s="13">
        <v>2</v>
      </c>
      <c r="AQ179" s="13">
        <v>1</v>
      </c>
      <c r="AR179" s="13"/>
      <c r="AS179" s="13">
        <v>1</v>
      </c>
      <c r="AT179" s="13">
        <v>2</v>
      </c>
      <c r="AU179" s="13">
        <v>1</v>
      </c>
      <c r="AV179" s="4"/>
      <c r="AW179" s="4"/>
      <c r="AX179" s="4">
        <v>1</v>
      </c>
      <c r="AY179" s="30">
        <f t="shared" si="21"/>
        <v>3</v>
      </c>
      <c r="AZ179" s="30">
        <f t="shared" si="22"/>
        <v>10</v>
      </c>
      <c r="BA179" s="30">
        <f t="shared" si="23"/>
        <v>4</v>
      </c>
      <c r="BC179" s="31" t="s">
        <v>935</v>
      </c>
      <c r="BD179" s="56" t="s">
        <v>715</v>
      </c>
      <c r="BE179" s="43" t="s">
        <v>315</v>
      </c>
      <c r="BF179" s="121" t="s">
        <v>238</v>
      </c>
      <c r="BG179" s="35" t="s">
        <v>6</v>
      </c>
      <c r="BH179" s="19">
        <v>2</v>
      </c>
      <c r="BI179" s="19">
        <v>1</v>
      </c>
      <c r="BJ179" s="19"/>
      <c r="BK179" s="13">
        <v>1</v>
      </c>
      <c r="BL179" s="14">
        <v>2</v>
      </c>
      <c r="BM179" s="13"/>
      <c r="BN179" s="13"/>
      <c r="BO179" s="13">
        <v>1</v>
      </c>
      <c r="BP179" s="13">
        <v>1</v>
      </c>
      <c r="BQ179" s="13">
        <v>1</v>
      </c>
      <c r="BR179" s="13">
        <v>2</v>
      </c>
      <c r="BS179" s="13">
        <v>1</v>
      </c>
      <c r="BT179" s="13">
        <v>1</v>
      </c>
      <c r="BU179" s="13">
        <v>1</v>
      </c>
      <c r="BV179" s="13">
        <v>1</v>
      </c>
      <c r="BW179" s="13"/>
      <c r="BX179" s="13">
        <v>1</v>
      </c>
      <c r="BY179" s="13">
        <v>1</v>
      </c>
      <c r="BZ179" s="30">
        <f t="shared" si="24"/>
        <v>5</v>
      </c>
      <c r="CA179" s="30">
        <f t="shared" si="25"/>
        <v>8</v>
      </c>
      <c r="CB179" s="30">
        <f t="shared" si="26"/>
        <v>4</v>
      </c>
    </row>
    <row r="180" spans="1:80" ht="15.5" x14ac:dyDescent="0.35">
      <c r="A180" s="31" t="s">
        <v>1051</v>
      </c>
      <c r="B180" s="56" t="s">
        <v>831</v>
      </c>
      <c r="C180" s="47" t="s">
        <v>408</v>
      </c>
      <c r="D180" s="142" t="s">
        <v>1039</v>
      </c>
      <c r="E180" s="42" t="s">
        <v>8</v>
      </c>
      <c r="F180" s="4"/>
      <c r="G180" s="4">
        <v>4</v>
      </c>
      <c r="H180" s="4"/>
      <c r="I180" s="5"/>
      <c r="J180" s="5">
        <v>1</v>
      </c>
      <c r="K180" s="5">
        <v>1</v>
      </c>
      <c r="L180" s="4"/>
      <c r="M180" s="4">
        <v>2</v>
      </c>
      <c r="N180" s="4">
        <v>1</v>
      </c>
      <c r="O180" s="13">
        <v>2</v>
      </c>
      <c r="P180" s="13">
        <v>1</v>
      </c>
      <c r="Q180" s="13"/>
      <c r="R180" s="13">
        <v>1</v>
      </c>
      <c r="S180" s="13">
        <v>2</v>
      </c>
      <c r="T180" s="13">
        <v>1</v>
      </c>
      <c r="U180" s="4"/>
      <c r="V180" s="4"/>
      <c r="W180" s="4">
        <v>1</v>
      </c>
      <c r="X180" s="30">
        <f t="shared" si="18"/>
        <v>3</v>
      </c>
      <c r="Y180" s="30">
        <f t="shared" si="19"/>
        <v>10</v>
      </c>
      <c r="Z180" s="30">
        <f t="shared" si="20"/>
        <v>4</v>
      </c>
      <c r="AB180" s="31" t="s">
        <v>32</v>
      </c>
      <c r="AC180" s="56" t="s">
        <v>641</v>
      </c>
      <c r="AD180" s="36" t="s">
        <v>256</v>
      </c>
      <c r="AE180" s="127" t="s">
        <v>231</v>
      </c>
      <c r="AF180" s="35" t="s">
        <v>6</v>
      </c>
      <c r="AG180" s="3"/>
      <c r="AH180" s="3"/>
      <c r="AI180" s="3"/>
      <c r="AJ180" s="4"/>
      <c r="AK180" s="4">
        <v>2</v>
      </c>
      <c r="AL180" s="5">
        <v>3</v>
      </c>
      <c r="AM180" s="4"/>
      <c r="AN180" s="4">
        <v>2</v>
      </c>
      <c r="AO180" s="4">
        <v>2</v>
      </c>
      <c r="AP180" s="13">
        <v>1</v>
      </c>
      <c r="AQ180" s="4">
        <v>2</v>
      </c>
      <c r="AR180" s="4">
        <v>1</v>
      </c>
      <c r="AS180" s="4"/>
      <c r="AT180" s="4">
        <v>5</v>
      </c>
      <c r="AU180" s="4">
        <v>1</v>
      </c>
      <c r="AV180" s="4"/>
      <c r="AW180" s="4"/>
      <c r="AX180" s="4"/>
      <c r="AY180" s="30">
        <f t="shared" si="21"/>
        <v>1</v>
      </c>
      <c r="AZ180" s="30">
        <f t="shared" si="22"/>
        <v>11</v>
      </c>
      <c r="BA180" s="30">
        <f t="shared" si="23"/>
        <v>7</v>
      </c>
      <c r="BC180" s="31" t="s">
        <v>962</v>
      </c>
      <c r="BD180" s="56" t="s">
        <v>746</v>
      </c>
      <c r="BE180" s="41" t="s">
        <v>340</v>
      </c>
      <c r="BF180" s="121" t="s">
        <v>238</v>
      </c>
      <c r="BG180" s="42" t="s">
        <v>6</v>
      </c>
      <c r="BH180" s="19"/>
      <c r="BI180" s="20"/>
      <c r="BJ180" s="19">
        <v>1</v>
      </c>
      <c r="BK180" s="13"/>
      <c r="BL180" s="13"/>
      <c r="BM180" s="13">
        <v>1</v>
      </c>
      <c r="BN180" s="13"/>
      <c r="BO180" s="13">
        <v>2</v>
      </c>
      <c r="BP180" s="13"/>
      <c r="BQ180" s="13"/>
      <c r="BR180" s="13"/>
      <c r="BS180" s="13">
        <v>1</v>
      </c>
      <c r="BT180" s="13"/>
      <c r="BU180" s="13"/>
      <c r="BV180" s="13">
        <v>1</v>
      </c>
      <c r="BW180" s="13"/>
      <c r="BX180" s="15"/>
      <c r="BY180" s="15"/>
      <c r="BZ180" s="30">
        <f t="shared" si="24"/>
        <v>0</v>
      </c>
      <c r="CA180" s="30">
        <f t="shared" si="25"/>
        <v>2</v>
      </c>
      <c r="CB180" s="30">
        <f t="shared" si="26"/>
        <v>4</v>
      </c>
    </row>
    <row r="181" spans="1:80" ht="15.5" x14ac:dyDescent="0.35">
      <c r="A181" s="31" t="s">
        <v>21</v>
      </c>
      <c r="B181" s="56" t="s">
        <v>630</v>
      </c>
      <c r="C181" s="36" t="s">
        <v>246</v>
      </c>
      <c r="D181" s="127" t="s">
        <v>231</v>
      </c>
      <c r="E181" s="35" t="s">
        <v>6</v>
      </c>
      <c r="F181" s="3">
        <v>1</v>
      </c>
      <c r="G181" s="3"/>
      <c r="H181" s="3"/>
      <c r="I181" s="4"/>
      <c r="J181" s="4"/>
      <c r="K181" s="4">
        <v>2</v>
      </c>
      <c r="L181" s="4"/>
      <c r="M181" s="4"/>
      <c r="N181" s="4">
        <v>2</v>
      </c>
      <c r="O181" s="13">
        <v>2</v>
      </c>
      <c r="P181" s="4"/>
      <c r="Q181" s="4">
        <v>1</v>
      </c>
      <c r="R181" s="4">
        <v>1</v>
      </c>
      <c r="S181" s="4">
        <v>1</v>
      </c>
      <c r="T181" s="4">
        <v>3</v>
      </c>
      <c r="U181" s="4"/>
      <c r="V181" s="4"/>
      <c r="W181" s="4"/>
      <c r="X181" s="30">
        <f t="shared" si="18"/>
        <v>4</v>
      </c>
      <c r="Y181" s="30">
        <f t="shared" si="19"/>
        <v>1</v>
      </c>
      <c r="Z181" s="30">
        <f t="shared" si="20"/>
        <v>8</v>
      </c>
      <c r="AB181" s="31" t="s">
        <v>972</v>
      </c>
      <c r="AC181" s="56" t="s">
        <v>758</v>
      </c>
      <c r="AD181" s="41" t="s">
        <v>348</v>
      </c>
      <c r="AE181" s="141" t="s">
        <v>239</v>
      </c>
      <c r="AF181" s="42" t="s">
        <v>6</v>
      </c>
      <c r="AG181" s="19"/>
      <c r="AH181" s="19">
        <v>2</v>
      </c>
      <c r="AI181" s="19"/>
      <c r="AJ181" s="13"/>
      <c r="AK181" s="14">
        <v>1</v>
      </c>
      <c r="AL181" s="14"/>
      <c r="AM181" s="13"/>
      <c r="AN181" s="13"/>
      <c r="AO181" s="13"/>
      <c r="AP181" s="13">
        <v>1</v>
      </c>
      <c r="AQ181" s="13">
        <v>4</v>
      </c>
      <c r="AR181" s="13"/>
      <c r="AS181" s="13"/>
      <c r="AT181" s="13">
        <v>4</v>
      </c>
      <c r="AU181" s="13"/>
      <c r="AV181" s="13"/>
      <c r="AW181" s="13"/>
      <c r="AX181" s="13"/>
      <c r="AY181" s="30">
        <f t="shared" si="21"/>
        <v>1</v>
      </c>
      <c r="AZ181" s="30">
        <f t="shared" si="22"/>
        <v>11</v>
      </c>
      <c r="BA181" s="30">
        <f t="shared" si="23"/>
        <v>0</v>
      </c>
      <c r="BC181" s="31" t="s">
        <v>1012</v>
      </c>
      <c r="BD181" s="56" t="s">
        <v>800</v>
      </c>
      <c r="BE181" s="47" t="s">
        <v>385</v>
      </c>
      <c r="BF181" s="161" t="s">
        <v>240</v>
      </c>
      <c r="BG181" s="42" t="s">
        <v>6</v>
      </c>
      <c r="BH181" s="9"/>
      <c r="BI181" s="9"/>
      <c r="BJ181" s="9"/>
      <c r="BK181" s="9"/>
      <c r="BL181" s="9">
        <v>2</v>
      </c>
      <c r="BM181" s="9"/>
      <c r="BN181" s="9"/>
      <c r="BO181" s="9"/>
      <c r="BP181" s="9">
        <v>3</v>
      </c>
      <c r="BQ181" s="15"/>
      <c r="BR181" s="15">
        <v>3</v>
      </c>
      <c r="BS181" s="15"/>
      <c r="BT181" s="15"/>
      <c r="BU181" s="15"/>
      <c r="BV181" s="15"/>
      <c r="BW181" s="9"/>
      <c r="BX181" s="9">
        <v>1</v>
      </c>
      <c r="BY181" s="9">
        <v>1</v>
      </c>
      <c r="BZ181" s="30">
        <f t="shared" si="24"/>
        <v>0</v>
      </c>
      <c r="CA181" s="30">
        <f t="shared" si="25"/>
        <v>6</v>
      </c>
      <c r="CB181" s="30">
        <f t="shared" si="26"/>
        <v>4</v>
      </c>
    </row>
    <row r="182" spans="1:80" ht="15.5" x14ac:dyDescent="0.35">
      <c r="A182" s="31" t="s">
        <v>903</v>
      </c>
      <c r="B182" s="69" t="s">
        <v>679</v>
      </c>
      <c r="C182" s="54" t="s">
        <v>680</v>
      </c>
      <c r="D182" s="127" t="s">
        <v>236</v>
      </c>
      <c r="E182" s="35" t="s">
        <v>6</v>
      </c>
      <c r="F182" s="3"/>
      <c r="G182" s="4"/>
      <c r="H182" s="3">
        <v>1</v>
      </c>
      <c r="I182" s="5">
        <v>1</v>
      </c>
      <c r="J182" s="4">
        <v>1</v>
      </c>
      <c r="K182" s="5">
        <v>1</v>
      </c>
      <c r="L182" s="4">
        <v>3</v>
      </c>
      <c r="M182" s="4">
        <v>1</v>
      </c>
      <c r="N182" s="4">
        <v>2</v>
      </c>
      <c r="O182" s="13"/>
      <c r="P182" s="14"/>
      <c r="Q182" s="13">
        <v>4</v>
      </c>
      <c r="R182" s="13"/>
      <c r="S182" s="14">
        <v>3</v>
      </c>
      <c r="T182" s="13"/>
      <c r="U182" s="4"/>
      <c r="V182" s="5"/>
      <c r="W182" s="4">
        <v>2</v>
      </c>
      <c r="X182" s="30">
        <f t="shared" si="18"/>
        <v>4</v>
      </c>
      <c r="Y182" s="30">
        <f t="shared" si="19"/>
        <v>5</v>
      </c>
      <c r="Z182" s="30">
        <f t="shared" si="20"/>
        <v>10</v>
      </c>
      <c r="AB182" s="31" t="s">
        <v>983</v>
      </c>
      <c r="AC182" s="56" t="s">
        <v>771</v>
      </c>
      <c r="AD182" s="47" t="s">
        <v>357</v>
      </c>
      <c r="AE182" s="141" t="s">
        <v>239</v>
      </c>
      <c r="AF182" s="42" t="s">
        <v>8</v>
      </c>
      <c r="AG182" s="19">
        <v>1</v>
      </c>
      <c r="AH182" s="13">
        <v>1</v>
      </c>
      <c r="AI182" s="13"/>
      <c r="AJ182" s="14">
        <v>4</v>
      </c>
      <c r="AK182" s="14">
        <v>3</v>
      </c>
      <c r="AL182" s="13"/>
      <c r="AM182" s="13"/>
      <c r="AN182" s="13">
        <v>1</v>
      </c>
      <c r="AO182" s="13"/>
      <c r="AP182" s="13"/>
      <c r="AQ182" s="13">
        <v>2</v>
      </c>
      <c r="AR182" s="13"/>
      <c r="AS182" s="13"/>
      <c r="AT182" s="13">
        <v>4</v>
      </c>
      <c r="AU182" s="13"/>
      <c r="AV182" s="13"/>
      <c r="AW182" s="13"/>
      <c r="AX182" s="13"/>
      <c r="AY182" s="30">
        <f t="shared" si="21"/>
        <v>5</v>
      </c>
      <c r="AZ182" s="30">
        <f t="shared" si="22"/>
        <v>11</v>
      </c>
      <c r="BA182" s="30">
        <f t="shared" si="23"/>
        <v>0</v>
      </c>
      <c r="BC182" s="31" t="s">
        <v>1051</v>
      </c>
      <c r="BD182" s="56" t="s">
        <v>831</v>
      </c>
      <c r="BE182" s="47" t="s">
        <v>408</v>
      </c>
      <c r="BF182" s="142" t="s">
        <v>1039</v>
      </c>
      <c r="BG182" s="42" t="s">
        <v>8</v>
      </c>
      <c r="BH182" s="4"/>
      <c r="BI182" s="4">
        <v>4</v>
      </c>
      <c r="BJ182" s="4"/>
      <c r="BK182" s="5"/>
      <c r="BL182" s="5">
        <v>1</v>
      </c>
      <c r="BM182" s="5">
        <v>1</v>
      </c>
      <c r="BN182" s="4"/>
      <c r="BO182" s="4">
        <v>2</v>
      </c>
      <c r="BP182" s="4">
        <v>1</v>
      </c>
      <c r="BQ182" s="13">
        <v>2</v>
      </c>
      <c r="BR182" s="13">
        <v>1</v>
      </c>
      <c r="BS182" s="13"/>
      <c r="BT182" s="13">
        <v>1</v>
      </c>
      <c r="BU182" s="13">
        <v>2</v>
      </c>
      <c r="BV182" s="13">
        <v>1</v>
      </c>
      <c r="BW182" s="4"/>
      <c r="BX182" s="4"/>
      <c r="BY182" s="4">
        <v>1</v>
      </c>
      <c r="BZ182" s="30">
        <f t="shared" si="24"/>
        <v>3</v>
      </c>
      <c r="CA182" s="30">
        <f t="shared" si="25"/>
        <v>10</v>
      </c>
      <c r="CB182" s="30">
        <f t="shared" si="26"/>
        <v>4</v>
      </c>
    </row>
    <row r="183" spans="1:80" ht="15.5" x14ac:dyDescent="0.35">
      <c r="A183" s="31" t="s">
        <v>915</v>
      </c>
      <c r="B183" s="56" t="s">
        <v>693</v>
      </c>
      <c r="C183" s="36" t="s">
        <v>694</v>
      </c>
      <c r="D183" s="127" t="s">
        <v>237</v>
      </c>
      <c r="E183" s="35" t="s">
        <v>6</v>
      </c>
      <c r="F183" s="3">
        <v>1</v>
      </c>
      <c r="G183" s="3"/>
      <c r="H183" s="3">
        <v>1</v>
      </c>
      <c r="I183" s="5">
        <v>2</v>
      </c>
      <c r="J183" s="5">
        <v>1</v>
      </c>
      <c r="K183" s="4">
        <v>1</v>
      </c>
      <c r="L183" s="4">
        <v>1</v>
      </c>
      <c r="M183" s="5">
        <v>1</v>
      </c>
      <c r="N183" s="4">
        <v>1</v>
      </c>
      <c r="O183" s="13"/>
      <c r="P183" s="5"/>
      <c r="Q183" s="4">
        <v>2</v>
      </c>
      <c r="R183" s="13"/>
      <c r="S183" s="14"/>
      <c r="T183" s="13">
        <v>3</v>
      </c>
      <c r="U183" s="4"/>
      <c r="V183" s="5"/>
      <c r="W183" s="4"/>
      <c r="X183" s="30">
        <f t="shared" si="18"/>
        <v>4</v>
      </c>
      <c r="Y183" s="30">
        <f t="shared" si="19"/>
        <v>2</v>
      </c>
      <c r="Z183" s="30">
        <f t="shared" si="20"/>
        <v>8</v>
      </c>
      <c r="AB183" s="31" t="s">
        <v>1003</v>
      </c>
      <c r="AC183" s="56" t="s">
        <v>791</v>
      </c>
      <c r="AD183" s="47" t="s">
        <v>376</v>
      </c>
      <c r="AE183" s="161" t="s">
        <v>240</v>
      </c>
      <c r="AF183" s="42" t="s">
        <v>8</v>
      </c>
      <c r="AG183" s="4">
        <v>1</v>
      </c>
      <c r="AH183" s="4"/>
      <c r="AI183" s="4"/>
      <c r="AJ183" s="4">
        <v>1</v>
      </c>
      <c r="AK183" s="4">
        <v>4</v>
      </c>
      <c r="AL183" s="4">
        <v>1</v>
      </c>
      <c r="AM183" s="4"/>
      <c r="AN183" s="4">
        <v>1</v>
      </c>
      <c r="AO183" s="4"/>
      <c r="AP183" s="13">
        <v>1</v>
      </c>
      <c r="AQ183" s="13">
        <v>3</v>
      </c>
      <c r="AR183" s="13">
        <v>1</v>
      </c>
      <c r="AS183" s="13">
        <v>1</v>
      </c>
      <c r="AT183" s="13">
        <v>2</v>
      </c>
      <c r="AU183" s="13"/>
      <c r="AV183" s="4"/>
      <c r="AW183" s="4">
        <v>1</v>
      </c>
      <c r="AX183" s="4"/>
      <c r="AY183" s="30">
        <f t="shared" si="21"/>
        <v>4</v>
      </c>
      <c r="AZ183" s="30">
        <f t="shared" si="22"/>
        <v>11</v>
      </c>
      <c r="BA183" s="30">
        <f t="shared" si="23"/>
        <v>2</v>
      </c>
      <c r="BC183" s="31" t="s">
        <v>917</v>
      </c>
      <c r="BD183" s="56" t="s">
        <v>696</v>
      </c>
      <c r="BE183" s="45" t="s">
        <v>297</v>
      </c>
      <c r="BF183" s="127" t="s">
        <v>237</v>
      </c>
      <c r="BG183" s="35" t="s">
        <v>6</v>
      </c>
      <c r="BH183" s="3"/>
      <c r="BI183" s="3">
        <v>1</v>
      </c>
      <c r="BJ183" s="3"/>
      <c r="BK183" s="5"/>
      <c r="BL183" s="5">
        <v>1</v>
      </c>
      <c r="BM183" s="4"/>
      <c r="BN183" s="4"/>
      <c r="BO183" s="5">
        <v>3</v>
      </c>
      <c r="BP183" s="4">
        <v>1</v>
      </c>
      <c r="BQ183" s="13"/>
      <c r="BR183" s="5">
        <v>8</v>
      </c>
      <c r="BS183" s="4"/>
      <c r="BT183" s="13">
        <v>1</v>
      </c>
      <c r="BU183" s="14">
        <v>2</v>
      </c>
      <c r="BV183" s="13">
        <v>4</v>
      </c>
      <c r="BW183" s="4">
        <v>1</v>
      </c>
      <c r="BX183" s="5">
        <v>2</v>
      </c>
      <c r="BY183" s="4"/>
      <c r="BZ183" s="30">
        <f t="shared" si="24"/>
        <v>2</v>
      </c>
      <c r="CA183" s="30">
        <f t="shared" si="25"/>
        <v>17</v>
      </c>
      <c r="CB183" s="30">
        <f t="shared" si="26"/>
        <v>5</v>
      </c>
    </row>
    <row r="184" spans="1:80" ht="15.5" x14ac:dyDescent="0.35">
      <c r="A184" s="31" t="s">
        <v>966</v>
      </c>
      <c r="B184" s="56" t="s">
        <v>752</v>
      </c>
      <c r="C184" s="41" t="s">
        <v>342</v>
      </c>
      <c r="D184" s="141" t="s">
        <v>239</v>
      </c>
      <c r="E184" s="42" t="s">
        <v>6</v>
      </c>
      <c r="F184" s="19"/>
      <c r="G184" s="19">
        <v>2</v>
      </c>
      <c r="H184" s="19"/>
      <c r="I184" s="13">
        <v>4</v>
      </c>
      <c r="J184" s="13">
        <v>3</v>
      </c>
      <c r="K184" s="13"/>
      <c r="L184" s="13"/>
      <c r="M184" s="13">
        <v>2</v>
      </c>
      <c r="N184" s="13"/>
      <c r="O184" s="13"/>
      <c r="P184" s="13">
        <v>2</v>
      </c>
      <c r="Q184" s="13"/>
      <c r="R184" s="13"/>
      <c r="S184" s="13">
        <v>4</v>
      </c>
      <c r="T184" s="13"/>
      <c r="U184" s="13"/>
      <c r="V184" s="13"/>
      <c r="W184" s="13"/>
      <c r="X184" s="30">
        <f t="shared" si="18"/>
        <v>4</v>
      </c>
      <c r="Y184" s="30">
        <f t="shared" si="19"/>
        <v>13</v>
      </c>
      <c r="Z184" s="30">
        <f t="shared" si="20"/>
        <v>0</v>
      </c>
      <c r="AB184" s="31" t="s">
        <v>1025</v>
      </c>
      <c r="AC184" s="56" t="s">
        <v>815</v>
      </c>
      <c r="AD184" s="47" t="s">
        <v>396</v>
      </c>
      <c r="AE184" s="161" t="s">
        <v>240</v>
      </c>
      <c r="AF184" s="42" t="s">
        <v>8</v>
      </c>
      <c r="AG184" s="4"/>
      <c r="AH184" s="5">
        <v>1</v>
      </c>
      <c r="AI184" s="4"/>
      <c r="AJ184" s="4"/>
      <c r="AK184" s="5">
        <v>3</v>
      </c>
      <c r="AL184" s="4"/>
      <c r="AM184" s="4"/>
      <c r="AN184" s="4">
        <v>1</v>
      </c>
      <c r="AO184" s="4"/>
      <c r="AP184" s="13"/>
      <c r="AQ184" s="13">
        <v>3</v>
      </c>
      <c r="AR184" s="13"/>
      <c r="AS184" s="13"/>
      <c r="AT184" s="13">
        <v>3</v>
      </c>
      <c r="AU184" s="13"/>
      <c r="AV184" s="4"/>
      <c r="AW184" s="4"/>
      <c r="AX184" s="4"/>
      <c r="AY184" s="30">
        <f t="shared" si="21"/>
        <v>0</v>
      </c>
      <c r="AZ184" s="30">
        <f t="shared" si="22"/>
        <v>11</v>
      </c>
      <c r="BA184" s="30">
        <f t="shared" si="23"/>
        <v>0</v>
      </c>
      <c r="BC184" s="31" t="s">
        <v>941</v>
      </c>
      <c r="BD184" s="56" t="s">
        <v>721</v>
      </c>
      <c r="BE184" s="36" t="s">
        <v>321</v>
      </c>
      <c r="BF184" s="121" t="s">
        <v>238</v>
      </c>
      <c r="BG184" s="35" t="s">
        <v>8</v>
      </c>
      <c r="BH184" s="19">
        <v>1</v>
      </c>
      <c r="BI184" s="19">
        <v>2</v>
      </c>
      <c r="BJ184" s="19"/>
      <c r="BK184" s="13">
        <v>2</v>
      </c>
      <c r="BL184" s="13">
        <v>2</v>
      </c>
      <c r="BM184" s="14"/>
      <c r="BN184" s="13">
        <v>1</v>
      </c>
      <c r="BO184" s="13">
        <v>1</v>
      </c>
      <c r="BP184" s="13">
        <v>2</v>
      </c>
      <c r="BQ184" s="13">
        <v>2</v>
      </c>
      <c r="BR184" s="13">
        <v>1</v>
      </c>
      <c r="BS184" s="13">
        <v>2</v>
      </c>
      <c r="BT184" s="13">
        <v>1</v>
      </c>
      <c r="BU184" s="13">
        <v>1</v>
      </c>
      <c r="BV184" s="13">
        <v>1</v>
      </c>
      <c r="BW184" s="13"/>
      <c r="BX184" s="13">
        <v>1</v>
      </c>
      <c r="BY184" s="13"/>
      <c r="BZ184" s="30">
        <f t="shared" si="24"/>
        <v>7</v>
      </c>
      <c r="CA184" s="30">
        <f t="shared" si="25"/>
        <v>8</v>
      </c>
      <c r="CB184" s="30">
        <f t="shared" si="26"/>
        <v>5</v>
      </c>
    </row>
    <row r="185" spans="1:80" ht="15.5" x14ac:dyDescent="0.35">
      <c r="A185" s="31" t="s">
        <v>975</v>
      </c>
      <c r="B185" s="56" t="s">
        <v>761</v>
      </c>
      <c r="C185" s="47" t="s">
        <v>762</v>
      </c>
      <c r="D185" s="141" t="s">
        <v>239</v>
      </c>
      <c r="E185" s="42" t="s">
        <v>6</v>
      </c>
      <c r="F185" s="19"/>
      <c r="G185" s="13"/>
      <c r="H185" s="13"/>
      <c r="I185" s="13">
        <v>4</v>
      </c>
      <c r="J185" s="14">
        <v>1</v>
      </c>
      <c r="K185" s="13"/>
      <c r="L185" s="13"/>
      <c r="M185" s="13"/>
      <c r="N185" s="13"/>
      <c r="O185" s="13"/>
      <c r="P185" s="13"/>
      <c r="Q185" s="13"/>
      <c r="R185" s="13"/>
      <c r="S185" s="13">
        <v>2</v>
      </c>
      <c r="T185" s="13"/>
      <c r="U185" s="13"/>
      <c r="V185" s="13"/>
      <c r="W185" s="13"/>
      <c r="X185" s="30">
        <f t="shared" si="18"/>
        <v>4</v>
      </c>
      <c r="Y185" s="30">
        <f t="shared" si="19"/>
        <v>3</v>
      </c>
      <c r="Z185" s="30">
        <f t="shared" si="20"/>
        <v>0</v>
      </c>
      <c r="AB185" s="31" t="s">
        <v>1058</v>
      </c>
      <c r="AC185" s="56" t="s">
        <v>838</v>
      </c>
      <c r="AD185" s="76" t="s">
        <v>415</v>
      </c>
      <c r="AE185" s="142" t="s">
        <v>1039</v>
      </c>
      <c r="AF185" s="42" t="s">
        <v>8</v>
      </c>
      <c r="AG185" s="4"/>
      <c r="AH185" s="4">
        <v>2</v>
      </c>
      <c r="AI185" s="4"/>
      <c r="AJ185" s="4">
        <v>3</v>
      </c>
      <c r="AK185" s="4">
        <v>2</v>
      </c>
      <c r="AL185" s="4"/>
      <c r="AM185" s="4">
        <v>1</v>
      </c>
      <c r="AN185" s="4">
        <v>2</v>
      </c>
      <c r="AO185" s="4">
        <v>1</v>
      </c>
      <c r="AP185" s="13"/>
      <c r="AQ185" s="13">
        <v>1</v>
      </c>
      <c r="AR185" s="13">
        <v>1</v>
      </c>
      <c r="AS185" s="15">
        <v>1</v>
      </c>
      <c r="AT185" s="15">
        <v>2</v>
      </c>
      <c r="AU185" s="15"/>
      <c r="AV185" s="4"/>
      <c r="AW185" s="4">
        <v>2</v>
      </c>
      <c r="AX185" s="4"/>
      <c r="AY185" s="30">
        <f t="shared" si="21"/>
        <v>5</v>
      </c>
      <c r="AZ185" s="30">
        <f t="shared" si="22"/>
        <v>11</v>
      </c>
      <c r="BA185" s="30">
        <f t="shared" si="23"/>
        <v>2</v>
      </c>
      <c r="BC185" s="31" t="s">
        <v>942</v>
      </c>
      <c r="BD185" s="56" t="s">
        <v>722</v>
      </c>
      <c r="BE185" s="41" t="s">
        <v>322</v>
      </c>
      <c r="BF185" s="121" t="s">
        <v>238</v>
      </c>
      <c r="BG185" s="42" t="s">
        <v>6</v>
      </c>
      <c r="BH185" s="19"/>
      <c r="BI185" s="19"/>
      <c r="BJ185" s="19">
        <v>1</v>
      </c>
      <c r="BK185" s="13"/>
      <c r="BL185" s="14">
        <v>1</v>
      </c>
      <c r="BM185" s="14">
        <v>2</v>
      </c>
      <c r="BN185" s="13">
        <v>2</v>
      </c>
      <c r="BO185" s="13"/>
      <c r="BP185" s="13">
        <v>1</v>
      </c>
      <c r="BQ185" s="13"/>
      <c r="BR185" s="13">
        <v>1</v>
      </c>
      <c r="BS185" s="13"/>
      <c r="BT185" s="13"/>
      <c r="BU185" s="13"/>
      <c r="BV185" s="13"/>
      <c r="BW185" s="13"/>
      <c r="BX185" s="13"/>
      <c r="BY185" s="13">
        <v>1</v>
      </c>
      <c r="BZ185" s="30">
        <f t="shared" si="24"/>
        <v>2</v>
      </c>
      <c r="CA185" s="30">
        <f t="shared" si="25"/>
        <v>2</v>
      </c>
      <c r="CB185" s="30">
        <f t="shared" si="26"/>
        <v>5</v>
      </c>
    </row>
    <row r="186" spans="1:80" ht="15.5" x14ac:dyDescent="0.35">
      <c r="A186" s="31" t="s">
        <v>996</v>
      </c>
      <c r="B186" s="56" t="s">
        <v>784</v>
      </c>
      <c r="C186" s="58" t="s">
        <v>370</v>
      </c>
      <c r="D186" s="141" t="s">
        <v>239</v>
      </c>
      <c r="E186" s="42" t="s">
        <v>8</v>
      </c>
      <c r="F186" s="19"/>
      <c r="G186" s="13">
        <v>4</v>
      </c>
      <c r="H186" s="13"/>
      <c r="I186" s="13">
        <v>1</v>
      </c>
      <c r="J186" s="14">
        <v>3</v>
      </c>
      <c r="K186" s="14"/>
      <c r="L186" s="13">
        <v>2</v>
      </c>
      <c r="M186" s="13">
        <v>1</v>
      </c>
      <c r="N186" s="13"/>
      <c r="O186" s="13">
        <v>1</v>
      </c>
      <c r="P186" s="13">
        <v>1</v>
      </c>
      <c r="Q186" s="13"/>
      <c r="R186" s="13"/>
      <c r="S186" s="13">
        <v>4</v>
      </c>
      <c r="T186" s="13"/>
      <c r="U186" s="13"/>
      <c r="V186" s="13"/>
      <c r="W186" s="13"/>
      <c r="X186" s="30">
        <f t="shared" si="18"/>
        <v>4</v>
      </c>
      <c r="Y186" s="30">
        <f t="shared" si="19"/>
        <v>13</v>
      </c>
      <c r="Z186" s="30">
        <f t="shared" si="20"/>
        <v>0</v>
      </c>
      <c r="AB186" s="31" t="s">
        <v>905</v>
      </c>
      <c r="AC186" s="56" t="s">
        <v>682</v>
      </c>
      <c r="AD186" s="43" t="s">
        <v>286</v>
      </c>
      <c r="AE186" s="127" t="s">
        <v>237</v>
      </c>
      <c r="AF186" s="35" t="s">
        <v>6</v>
      </c>
      <c r="AG186" s="3"/>
      <c r="AH186" s="3">
        <v>1</v>
      </c>
      <c r="AI186" s="3"/>
      <c r="AJ186" s="5"/>
      <c r="AK186" s="5">
        <v>2</v>
      </c>
      <c r="AL186" s="4"/>
      <c r="AM186" s="4"/>
      <c r="AN186" s="5">
        <v>2</v>
      </c>
      <c r="AO186" s="4"/>
      <c r="AP186" s="13"/>
      <c r="AQ186" s="5">
        <v>3</v>
      </c>
      <c r="AR186" s="4"/>
      <c r="AS186" s="13"/>
      <c r="AT186" s="14">
        <v>4</v>
      </c>
      <c r="AU186" s="13"/>
      <c r="AV186" s="4"/>
      <c r="AW186" s="5"/>
      <c r="AX186" s="4"/>
      <c r="AY186" s="30">
        <f t="shared" si="21"/>
        <v>0</v>
      </c>
      <c r="AZ186" s="30">
        <f t="shared" si="22"/>
        <v>12</v>
      </c>
      <c r="BA186" s="30">
        <f t="shared" si="23"/>
        <v>0</v>
      </c>
      <c r="BC186" s="31" t="s">
        <v>951</v>
      </c>
      <c r="BD186" s="56" t="s">
        <v>732</v>
      </c>
      <c r="BE186" s="41" t="s">
        <v>733</v>
      </c>
      <c r="BF186" s="121" t="s">
        <v>238</v>
      </c>
      <c r="BG186" s="42" t="s">
        <v>6</v>
      </c>
      <c r="BH186" s="19"/>
      <c r="BI186" s="19">
        <v>3</v>
      </c>
      <c r="BJ186" s="19"/>
      <c r="BK186" s="13">
        <v>1</v>
      </c>
      <c r="BL186" s="14">
        <v>4</v>
      </c>
      <c r="BM186" s="13"/>
      <c r="BN186" s="13">
        <v>2</v>
      </c>
      <c r="BO186" s="13"/>
      <c r="BP186" s="13"/>
      <c r="BQ186" s="13">
        <v>2</v>
      </c>
      <c r="BR186" s="13">
        <v>1</v>
      </c>
      <c r="BS186" s="13">
        <v>2</v>
      </c>
      <c r="BT186" s="13">
        <v>2</v>
      </c>
      <c r="BU186" s="13"/>
      <c r="BV186" s="13">
        <v>3</v>
      </c>
      <c r="BW186" s="13"/>
      <c r="BX186" s="13">
        <v>1</v>
      </c>
      <c r="BY186" s="13"/>
      <c r="BZ186" s="30">
        <f t="shared" si="24"/>
        <v>7</v>
      </c>
      <c r="CA186" s="30">
        <f t="shared" si="25"/>
        <v>9</v>
      </c>
      <c r="CB186" s="30">
        <f t="shared" si="26"/>
        <v>5</v>
      </c>
    </row>
    <row r="187" spans="1:80" ht="15.5" x14ac:dyDescent="0.35">
      <c r="A187" s="31" t="s">
        <v>1003</v>
      </c>
      <c r="B187" s="56" t="s">
        <v>791</v>
      </c>
      <c r="C187" s="47" t="s">
        <v>376</v>
      </c>
      <c r="D187" s="161" t="s">
        <v>240</v>
      </c>
      <c r="E187" s="42" t="s">
        <v>8</v>
      </c>
      <c r="F187" s="4">
        <v>1</v>
      </c>
      <c r="G187" s="4"/>
      <c r="H187" s="4"/>
      <c r="I187" s="4">
        <v>1</v>
      </c>
      <c r="J187" s="4">
        <v>4</v>
      </c>
      <c r="K187" s="4">
        <v>1</v>
      </c>
      <c r="L187" s="4"/>
      <c r="M187" s="4">
        <v>1</v>
      </c>
      <c r="N187" s="4"/>
      <c r="O187" s="13">
        <v>1</v>
      </c>
      <c r="P187" s="13">
        <v>3</v>
      </c>
      <c r="Q187" s="13">
        <v>1</v>
      </c>
      <c r="R187" s="13">
        <v>1</v>
      </c>
      <c r="S187" s="13">
        <v>2</v>
      </c>
      <c r="T187" s="13"/>
      <c r="U187" s="4"/>
      <c r="V187" s="4">
        <v>1</v>
      </c>
      <c r="W187" s="4"/>
      <c r="X187" s="30">
        <f t="shared" si="18"/>
        <v>4</v>
      </c>
      <c r="Y187" s="30">
        <f t="shared" si="19"/>
        <v>11</v>
      </c>
      <c r="Z187" s="30">
        <f t="shared" si="20"/>
        <v>2</v>
      </c>
      <c r="AB187" s="31" t="s">
        <v>973</v>
      </c>
      <c r="AC187" s="56" t="s">
        <v>759</v>
      </c>
      <c r="AD187" s="72" t="s">
        <v>349</v>
      </c>
      <c r="AE187" s="141" t="s">
        <v>239</v>
      </c>
      <c r="AF187" s="42" t="s">
        <v>8</v>
      </c>
      <c r="AG187" s="19"/>
      <c r="AH187" s="19">
        <v>1</v>
      </c>
      <c r="AI187" s="19"/>
      <c r="AJ187" s="13"/>
      <c r="AK187" s="14">
        <v>4</v>
      </c>
      <c r="AL187" s="14"/>
      <c r="AM187" s="13"/>
      <c r="AN187" s="13">
        <v>2</v>
      </c>
      <c r="AO187" s="13"/>
      <c r="AP187" s="13">
        <v>1</v>
      </c>
      <c r="AQ187" s="13">
        <v>3</v>
      </c>
      <c r="AR187" s="13"/>
      <c r="AS187" s="13"/>
      <c r="AT187" s="13">
        <v>2</v>
      </c>
      <c r="AU187" s="13">
        <v>1</v>
      </c>
      <c r="AV187" s="13"/>
      <c r="AW187" s="13"/>
      <c r="AX187" s="13">
        <v>1</v>
      </c>
      <c r="AY187" s="30">
        <f t="shared" si="21"/>
        <v>1</v>
      </c>
      <c r="AZ187" s="30">
        <f t="shared" si="22"/>
        <v>12</v>
      </c>
      <c r="BA187" s="30">
        <f t="shared" si="23"/>
        <v>2</v>
      </c>
      <c r="BC187" s="31" t="s">
        <v>954</v>
      </c>
      <c r="BD187" s="56" t="s">
        <v>736</v>
      </c>
      <c r="BE187" s="41" t="s">
        <v>332</v>
      </c>
      <c r="BF187" s="121" t="s">
        <v>238</v>
      </c>
      <c r="BG187" s="42" t="s">
        <v>6</v>
      </c>
      <c r="BH187" s="19"/>
      <c r="BI187" s="19"/>
      <c r="BJ187" s="19">
        <v>1</v>
      </c>
      <c r="BK187" s="13"/>
      <c r="BL187" s="14">
        <v>3</v>
      </c>
      <c r="BM187" s="13">
        <v>1</v>
      </c>
      <c r="BN187" s="13"/>
      <c r="BO187" s="13"/>
      <c r="BP187" s="13"/>
      <c r="BQ187" s="13"/>
      <c r="BR187" s="13"/>
      <c r="BS187" s="13"/>
      <c r="BT187" s="13">
        <v>1</v>
      </c>
      <c r="BU187" s="13"/>
      <c r="BV187" s="13">
        <v>2</v>
      </c>
      <c r="BW187" s="13"/>
      <c r="BX187" s="13"/>
      <c r="BY187" s="13">
        <v>1</v>
      </c>
      <c r="BZ187" s="30">
        <f t="shared" si="24"/>
        <v>1</v>
      </c>
      <c r="CA187" s="30">
        <f t="shared" si="25"/>
        <v>3</v>
      </c>
      <c r="CB187" s="30">
        <f t="shared" si="26"/>
        <v>5</v>
      </c>
    </row>
    <row r="188" spans="1:80" ht="15.5" x14ac:dyDescent="0.35">
      <c r="A188" s="31" t="s">
        <v>1041</v>
      </c>
      <c r="B188" s="74" t="s">
        <v>820</v>
      </c>
      <c r="C188" s="162" t="s">
        <v>821</v>
      </c>
      <c r="D188" s="161" t="s">
        <v>240</v>
      </c>
      <c r="E188" s="42" t="s">
        <v>8</v>
      </c>
      <c r="F188" s="4"/>
      <c r="G188" s="4"/>
      <c r="H188" s="4"/>
      <c r="I188" s="4"/>
      <c r="J188" s="4">
        <v>8</v>
      </c>
      <c r="K188" s="4"/>
      <c r="L188" s="4"/>
      <c r="M188" s="4"/>
      <c r="N188" s="4"/>
      <c r="O188" s="13">
        <v>1</v>
      </c>
      <c r="P188" s="13">
        <v>4</v>
      </c>
      <c r="Q188" s="13"/>
      <c r="R188" s="13">
        <v>3</v>
      </c>
      <c r="S188" s="13"/>
      <c r="T188" s="13"/>
      <c r="U188" s="4"/>
      <c r="V188" s="4"/>
      <c r="W188" s="4"/>
      <c r="X188" s="30">
        <f t="shared" si="18"/>
        <v>4</v>
      </c>
      <c r="Y188" s="30">
        <f t="shared" si="19"/>
        <v>12</v>
      </c>
      <c r="Z188" s="30">
        <f t="shared" si="20"/>
        <v>0</v>
      </c>
      <c r="AB188" s="31" t="s">
        <v>986</v>
      </c>
      <c r="AC188" s="56" t="s">
        <v>774</v>
      </c>
      <c r="AD188" s="47" t="s">
        <v>360</v>
      </c>
      <c r="AE188" s="141" t="s">
        <v>239</v>
      </c>
      <c r="AF188" s="42" t="s">
        <v>8</v>
      </c>
      <c r="AG188" s="19"/>
      <c r="AH188" s="13">
        <v>1</v>
      </c>
      <c r="AI188" s="13"/>
      <c r="AJ188" s="13"/>
      <c r="AK188" s="13">
        <v>1</v>
      </c>
      <c r="AL188" s="13"/>
      <c r="AM188" s="13"/>
      <c r="AN188" s="13">
        <v>1</v>
      </c>
      <c r="AO188" s="13"/>
      <c r="AP188" s="13"/>
      <c r="AQ188" s="13">
        <v>5</v>
      </c>
      <c r="AR188" s="13"/>
      <c r="AS188" s="13"/>
      <c r="AT188" s="13">
        <v>4</v>
      </c>
      <c r="AU188" s="13">
        <v>11</v>
      </c>
      <c r="AV188" s="13"/>
      <c r="AW188" s="13"/>
      <c r="AX188" s="13">
        <v>5</v>
      </c>
      <c r="AY188" s="30">
        <f t="shared" si="21"/>
        <v>0</v>
      </c>
      <c r="AZ188" s="30">
        <f t="shared" si="22"/>
        <v>12</v>
      </c>
      <c r="BA188" s="30">
        <f t="shared" si="23"/>
        <v>16</v>
      </c>
      <c r="BC188" s="31" t="s">
        <v>1054</v>
      </c>
      <c r="BD188" s="56" t="s">
        <v>834</v>
      </c>
      <c r="BE188" s="58" t="s">
        <v>411</v>
      </c>
      <c r="BF188" s="142" t="s">
        <v>1039</v>
      </c>
      <c r="BG188" s="42" t="s">
        <v>8</v>
      </c>
      <c r="BH188" s="4"/>
      <c r="BI188" s="4"/>
      <c r="BJ188" s="4"/>
      <c r="BK188" s="5">
        <v>1</v>
      </c>
      <c r="BL188" s="5">
        <v>5</v>
      </c>
      <c r="BM188" s="5"/>
      <c r="BN188" s="4"/>
      <c r="BO188" s="4">
        <v>5</v>
      </c>
      <c r="BP188" s="4">
        <v>1</v>
      </c>
      <c r="BQ188" s="13">
        <v>1</v>
      </c>
      <c r="BR188" s="13">
        <v>7</v>
      </c>
      <c r="BS188" s="13">
        <v>3</v>
      </c>
      <c r="BT188" s="13"/>
      <c r="BU188" s="13">
        <v>2</v>
      </c>
      <c r="BV188" s="13">
        <v>1</v>
      </c>
      <c r="BW188" s="4"/>
      <c r="BX188" s="4"/>
      <c r="BY188" s="4"/>
      <c r="BZ188" s="30">
        <f t="shared" si="24"/>
        <v>2</v>
      </c>
      <c r="CA188" s="30">
        <f t="shared" si="25"/>
        <v>19</v>
      </c>
      <c r="CB188" s="30">
        <f t="shared" si="26"/>
        <v>5</v>
      </c>
    </row>
    <row r="189" spans="1:80" ht="15.5" x14ac:dyDescent="0.35">
      <c r="A189" s="31" t="s">
        <v>1064</v>
      </c>
      <c r="B189" s="56" t="s">
        <v>845</v>
      </c>
      <c r="C189" s="47" t="s">
        <v>420</v>
      </c>
      <c r="D189" s="142" t="s">
        <v>1039</v>
      </c>
      <c r="E189" s="42" t="s">
        <v>8</v>
      </c>
      <c r="F189" s="4"/>
      <c r="G189" s="4"/>
      <c r="H189" s="4"/>
      <c r="I189" s="4">
        <v>3</v>
      </c>
      <c r="J189" s="4">
        <v>1</v>
      </c>
      <c r="K189" s="4"/>
      <c r="L189" s="4"/>
      <c r="M189" s="4"/>
      <c r="N189" s="4"/>
      <c r="O189" s="13"/>
      <c r="P189" s="13">
        <v>3</v>
      </c>
      <c r="Q189" s="13"/>
      <c r="R189" s="13"/>
      <c r="S189" s="13">
        <v>1</v>
      </c>
      <c r="T189" s="13"/>
      <c r="U189" s="4">
        <v>1</v>
      </c>
      <c r="V189" s="4"/>
      <c r="W189" s="4"/>
      <c r="X189" s="30">
        <f t="shared" si="18"/>
        <v>4</v>
      </c>
      <c r="Y189" s="30">
        <f t="shared" si="19"/>
        <v>5</v>
      </c>
      <c r="Z189" s="30">
        <f t="shared" si="20"/>
        <v>0</v>
      </c>
      <c r="AB189" s="31" t="s">
        <v>998</v>
      </c>
      <c r="AC189" s="56" t="s">
        <v>786</v>
      </c>
      <c r="AD189" s="58" t="s">
        <v>371</v>
      </c>
      <c r="AE189" s="161" t="s">
        <v>240</v>
      </c>
      <c r="AF189" s="42" t="s">
        <v>6</v>
      </c>
      <c r="AG189" s="4"/>
      <c r="AH189" s="4"/>
      <c r="AI189" s="4"/>
      <c r="AJ189" s="4"/>
      <c r="AK189" s="4">
        <v>8</v>
      </c>
      <c r="AL189" s="4"/>
      <c r="AM189" s="4"/>
      <c r="AN189" s="4">
        <v>1</v>
      </c>
      <c r="AO189" s="4"/>
      <c r="AP189" s="13"/>
      <c r="AQ189" s="13"/>
      <c r="AR189" s="13"/>
      <c r="AS189" s="13"/>
      <c r="AT189" s="13">
        <v>3</v>
      </c>
      <c r="AU189" s="13"/>
      <c r="AV189" s="4"/>
      <c r="AW189" s="4"/>
      <c r="AX189" s="4"/>
      <c r="AY189" s="30">
        <f t="shared" si="21"/>
        <v>0</v>
      </c>
      <c r="AZ189" s="30">
        <f t="shared" si="22"/>
        <v>12</v>
      </c>
      <c r="BA189" s="30">
        <f t="shared" si="23"/>
        <v>0</v>
      </c>
      <c r="BC189" s="31" t="s">
        <v>23</v>
      </c>
      <c r="BD189" s="56" t="s">
        <v>632</v>
      </c>
      <c r="BE189" s="36" t="s">
        <v>248</v>
      </c>
      <c r="BF189" s="127" t="s">
        <v>231</v>
      </c>
      <c r="BG189" s="35" t="s">
        <v>8</v>
      </c>
      <c r="BH189" s="3">
        <v>1</v>
      </c>
      <c r="BI189" s="3"/>
      <c r="BJ189" s="3"/>
      <c r="BK189" s="4">
        <v>2</v>
      </c>
      <c r="BL189" s="4">
        <v>1</v>
      </c>
      <c r="BM189" s="4">
        <v>1</v>
      </c>
      <c r="BN189" s="4">
        <v>1</v>
      </c>
      <c r="BO189" s="5"/>
      <c r="BP189" s="4">
        <v>2</v>
      </c>
      <c r="BQ189" s="13">
        <v>1</v>
      </c>
      <c r="BR189" s="5">
        <v>1</v>
      </c>
      <c r="BS189" s="4"/>
      <c r="BT189" s="4"/>
      <c r="BU189" s="5">
        <v>1</v>
      </c>
      <c r="BV189" s="4">
        <v>3</v>
      </c>
      <c r="BW189" s="4"/>
      <c r="BX189" s="5"/>
      <c r="BY189" s="4"/>
      <c r="BZ189" s="30">
        <f t="shared" si="24"/>
        <v>5</v>
      </c>
      <c r="CA189" s="30">
        <f t="shared" si="25"/>
        <v>3</v>
      </c>
      <c r="CB189" s="30">
        <f t="shared" si="26"/>
        <v>6</v>
      </c>
    </row>
    <row r="190" spans="1:80" ht="15.5" x14ac:dyDescent="0.35">
      <c r="A190" s="31" t="s">
        <v>23</v>
      </c>
      <c r="B190" s="56" t="s">
        <v>632</v>
      </c>
      <c r="C190" s="36" t="s">
        <v>248</v>
      </c>
      <c r="D190" s="127" t="s">
        <v>231</v>
      </c>
      <c r="E190" s="35" t="s">
        <v>8</v>
      </c>
      <c r="F190" s="3">
        <v>1</v>
      </c>
      <c r="G190" s="3"/>
      <c r="H190" s="3"/>
      <c r="I190" s="4">
        <v>2</v>
      </c>
      <c r="J190" s="4">
        <v>1</v>
      </c>
      <c r="K190" s="4">
        <v>1</v>
      </c>
      <c r="L190" s="4">
        <v>1</v>
      </c>
      <c r="M190" s="5"/>
      <c r="N190" s="4">
        <v>2</v>
      </c>
      <c r="O190" s="13">
        <v>1</v>
      </c>
      <c r="P190" s="5">
        <v>1</v>
      </c>
      <c r="Q190" s="4"/>
      <c r="R190" s="4"/>
      <c r="S190" s="5">
        <v>1</v>
      </c>
      <c r="T190" s="4">
        <v>3</v>
      </c>
      <c r="U190" s="4"/>
      <c r="V190" s="5"/>
      <c r="W190" s="4"/>
      <c r="X190" s="30">
        <f t="shared" si="18"/>
        <v>5</v>
      </c>
      <c r="Y190" s="30">
        <f t="shared" si="19"/>
        <v>3</v>
      </c>
      <c r="Z190" s="30">
        <f t="shared" si="20"/>
        <v>6</v>
      </c>
      <c r="AB190" s="31" t="s">
        <v>1041</v>
      </c>
      <c r="AC190" s="74" t="s">
        <v>820</v>
      </c>
      <c r="AD190" s="162" t="s">
        <v>821</v>
      </c>
      <c r="AE190" s="161" t="s">
        <v>240</v>
      </c>
      <c r="AF190" s="42" t="s">
        <v>8</v>
      </c>
      <c r="AG190" s="4"/>
      <c r="AH190" s="4"/>
      <c r="AI190" s="4"/>
      <c r="AJ190" s="4"/>
      <c r="AK190" s="4">
        <v>8</v>
      </c>
      <c r="AL190" s="4"/>
      <c r="AM190" s="4"/>
      <c r="AN190" s="4"/>
      <c r="AO190" s="4"/>
      <c r="AP190" s="13">
        <v>1</v>
      </c>
      <c r="AQ190" s="13">
        <v>4</v>
      </c>
      <c r="AR190" s="13"/>
      <c r="AS190" s="13">
        <v>3</v>
      </c>
      <c r="AT190" s="13"/>
      <c r="AU190" s="13"/>
      <c r="AV190" s="4"/>
      <c r="AW190" s="4"/>
      <c r="AX190" s="4"/>
      <c r="AY190" s="30">
        <f t="shared" si="21"/>
        <v>4</v>
      </c>
      <c r="AZ190" s="30">
        <f t="shared" si="22"/>
        <v>12</v>
      </c>
      <c r="BA190" s="30">
        <f t="shared" si="23"/>
        <v>0</v>
      </c>
      <c r="BC190" s="31" t="s">
        <v>27</v>
      </c>
      <c r="BD190" s="56" t="s">
        <v>636</v>
      </c>
      <c r="BE190" s="36" t="s">
        <v>251</v>
      </c>
      <c r="BF190" s="127" t="s">
        <v>231</v>
      </c>
      <c r="BG190" s="35" t="s">
        <v>8</v>
      </c>
      <c r="BH190" s="3"/>
      <c r="BI190" s="3"/>
      <c r="BJ190" s="4"/>
      <c r="BK190" s="4"/>
      <c r="BL190" s="4"/>
      <c r="BM190" s="5">
        <v>1</v>
      </c>
      <c r="BN190" s="4">
        <v>1</v>
      </c>
      <c r="BO190" s="5"/>
      <c r="BP190" s="5">
        <v>2</v>
      </c>
      <c r="BQ190" s="13">
        <v>1</v>
      </c>
      <c r="BR190" s="5"/>
      <c r="BS190" s="5">
        <v>1</v>
      </c>
      <c r="BT190" s="4"/>
      <c r="BU190" s="5"/>
      <c r="BV190" s="5">
        <v>2</v>
      </c>
      <c r="BW190" s="4"/>
      <c r="BX190" s="5"/>
      <c r="BY190" s="5"/>
      <c r="BZ190" s="30">
        <f t="shared" si="24"/>
        <v>2</v>
      </c>
      <c r="CA190" s="30">
        <f t="shared" si="25"/>
        <v>0</v>
      </c>
      <c r="CB190" s="30">
        <f t="shared" si="26"/>
        <v>6</v>
      </c>
    </row>
    <row r="191" spans="1:80" ht="15.5" x14ac:dyDescent="0.35">
      <c r="A191" s="31" t="s">
        <v>908</v>
      </c>
      <c r="B191" s="56" t="s">
        <v>686</v>
      </c>
      <c r="C191" s="36" t="s">
        <v>288</v>
      </c>
      <c r="D191" s="127" t="s">
        <v>237</v>
      </c>
      <c r="E191" s="35" t="s">
        <v>6</v>
      </c>
      <c r="F191" s="3"/>
      <c r="G191" s="3">
        <v>2</v>
      </c>
      <c r="H191" s="3"/>
      <c r="I191" s="5">
        <v>2</v>
      </c>
      <c r="J191" s="5">
        <v>4</v>
      </c>
      <c r="K191" s="4"/>
      <c r="L191" s="4">
        <v>2</v>
      </c>
      <c r="M191" s="5">
        <v>2</v>
      </c>
      <c r="N191" s="4">
        <v>1</v>
      </c>
      <c r="O191" s="13"/>
      <c r="P191" s="5"/>
      <c r="Q191" s="4"/>
      <c r="R191" s="13"/>
      <c r="S191" s="14">
        <v>8</v>
      </c>
      <c r="T191" s="13"/>
      <c r="U191" s="4">
        <v>1</v>
      </c>
      <c r="V191" s="5">
        <v>1</v>
      </c>
      <c r="W191" s="4"/>
      <c r="X191" s="30">
        <f t="shared" si="18"/>
        <v>5</v>
      </c>
      <c r="Y191" s="30">
        <f t="shared" si="19"/>
        <v>17</v>
      </c>
      <c r="Z191" s="30">
        <f t="shared" si="20"/>
        <v>1</v>
      </c>
      <c r="AB191" s="31" t="s">
        <v>966</v>
      </c>
      <c r="AC191" s="56" t="s">
        <v>752</v>
      </c>
      <c r="AD191" s="41" t="s">
        <v>342</v>
      </c>
      <c r="AE191" s="141" t="s">
        <v>239</v>
      </c>
      <c r="AF191" s="42" t="s">
        <v>6</v>
      </c>
      <c r="AG191" s="19"/>
      <c r="AH191" s="19">
        <v>2</v>
      </c>
      <c r="AI191" s="19"/>
      <c r="AJ191" s="13">
        <v>4</v>
      </c>
      <c r="AK191" s="13">
        <v>3</v>
      </c>
      <c r="AL191" s="13"/>
      <c r="AM191" s="13"/>
      <c r="AN191" s="13">
        <v>2</v>
      </c>
      <c r="AO191" s="13"/>
      <c r="AP191" s="13"/>
      <c r="AQ191" s="13">
        <v>2</v>
      </c>
      <c r="AR191" s="13"/>
      <c r="AS191" s="13"/>
      <c r="AT191" s="13">
        <v>4</v>
      </c>
      <c r="AU191" s="13"/>
      <c r="AV191" s="13"/>
      <c r="AW191" s="13"/>
      <c r="AX191" s="13"/>
      <c r="AY191" s="30">
        <f t="shared" si="21"/>
        <v>4</v>
      </c>
      <c r="AZ191" s="30">
        <f t="shared" si="22"/>
        <v>13</v>
      </c>
      <c r="BA191" s="30">
        <f t="shared" si="23"/>
        <v>0</v>
      </c>
      <c r="BC191" s="31" t="s">
        <v>980</v>
      </c>
      <c r="BD191" s="56" t="s">
        <v>768</v>
      </c>
      <c r="BE191" s="47" t="s">
        <v>354</v>
      </c>
      <c r="BF191" s="141" t="s">
        <v>239</v>
      </c>
      <c r="BG191" s="42" t="s">
        <v>6</v>
      </c>
      <c r="BH191" s="19"/>
      <c r="BI191" s="13"/>
      <c r="BJ191" s="13">
        <v>3</v>
      </c>
      <c r="BK191" s="13"/>
      <c r="BL191" s="14">
        <v>1</v>
      </c>
      <c r="BM191" s="13">
        <v>1</v>
      </c>
      <c r="BN191" s="13"/>
      <c r="BO191" s="13">
        <v>5</v>
      </c>
      <c r="BP191" s="13"/>
      <c r="BQ191" s="13">
        <v>2</v>
      </c>
      <c r="BR191" s="13">
        <v>5</v>
      </c>
      <c r="BS191" s="13">
        <v>1</v>
      </c>
      <c r="BT191" s="13">
        <v>2</v>
      </c>
      <c r="BU191" s="13">
        <v>2</v>
      </c>
      <c r="BV191" s="13">
        <v>1</v>
      </c>
      <c r="BW191" s="13">
        <v>2</v>
      </c>
      <c r="BX191" s="13"/>
      <c r="BY191" s="13"/>
      <c r="BZ191" s="30">
        <f t="shared" si="24"/>
        <v>6</v>
      </c>
      <c r="CA191" s="30">
        <f t="shared" si="25"/>
        <v>13</v>
      </c>
      <c r="CB191" s="30">
        <f t="shared" si="26"/>
        <v>6</v>
      </c>
    </row>
    <row r="192" spans="1:80" ht="15.5" x14ac:dyDescent="0.35">
      <c r="A192" s="31" t="s">
        <v>935</v>
      </c>
      <c r="B192" s="56" t="s">
        <v>715</v>
      </c>
      <c r="C192" s="43" t="s">
        <v>315</v>
      </c>
      <c r="D192" s="121" t="s">
        <v>238</v>
      </c>
      <c r="E192" s="35" t="s">
        <v>6</v>
      </c>
      <c r="F192" s="19">
        <v>2</v>
      </c>
      <c r="G192" s="19">
        <v>1</v>
      </c>
      <c r="H192" s="19"/>
      <c r="I192" s="13">
        <v>1</v>
      </c>
      <c r="J192" s="14">
        <v>2</v>
      </c>
      <c r="K192" s="13"/>
      <c r="L192" s="13"/>
      <c r="M192" s="13">
        <v>1</v>
      </c>
      <c r="N192" s="13">
        <v>1</v>
      </c>
      <c r="O192" s="13">
        <v>1</v>
      </c>
      <c r="P192" s="13">
        <v>2</v>
      </c>
      <c r="Q192" s="13">
        <v>1</v>
      </c>
      <c r="R192" s="13">
        <v>1</v>
      </c>
      <c r="S192" s="13">
        <v>1</v>
      </c>
      <c r="T192" s="13">
        <v>1</v>
      </c>
      <c r="U192" s="13"/>
      <c r="V192" s="13">
        <v>1</v>
      </c>
      <c r="W192" s="13">
        <v>1</v>
      </c>
      <c r="X192" s="30">
        <f t="shared" si="18"/>
        <v>5</v>
      </c>
      <c r="Y192" s="30">
        <f t="shared" si="19"/>
        <v>8</v>
      </c>
      <c r="Z192" s="30">
        <f t="shared" si="20"/>
        <v>4</v>
      </c>
      <c r="AB192" s="31" t="s">
        <v>969</v>
      </c>
      <c r="AC192" s="56" t="s">
        <v>755</v>
      </c>
      <c r="AD192" s="41" t="s">
        <v>345</v>
      </c>
      <c r="AE192" s="141" t="s">
        <v>239</v>
      </c>
      <c r="AF192" s="42" t="s">
        <v>8</v>
      </c>
      <c r="AG192" s="19"/>
      <c r="AH192" s="19">
        <v>1</v>
      </c>
      <c r="AI192" s="19"/>
      <c r="AJ192" s="13">
        <v>4</v>
      </c>
      <c r="AK192" s="14">
        <v>2</v>
      </c>
      <c r="AL192" s="13">
        <v>1</v>
      </c>
      <c r="AM192" s="13"/>
      <c r="AN192" s="13">
        <v>2</v>
      </c>
      <c r="AO192" s="13"/>
      <c r="AP192" s="13">
        <v>1</v>
      </c>
      <c r="AQ192" s="13">
        <v>5</v>
      </c>
      <c r="AR192" s="13"/>
      <c r="AS192" s="13"/>
      <c r="AT192" s="13">
        <v>1</v>
      </c>
      <c r="AU192" s="13"/>
      <c r="AV192" s="13"/>
      <c r="AW192" s="13">
        <v>2</v>
      </c>
      <c r="AX192" s="13"/>
      <c r="AY192" s="30">
        <f t="shared" si="21"/>
        <v>5</v>
      </c>
      <c r="AZ192" s="30">
        <f t="shared" si="22"/>
        <v>13</v>
      </c>
      <c r="BA192" s="30">
        <f t="shared" si="23"/>
        <v>1</v>
      </c>
      <c r="BC192" s="31" t="s">
        <v>31</v>
      </c>
      <c r="BD192" s="56" t="s">
        <v>640</v>
      </c>
      <c r="BE192" s="36" t="s">
        <v>255</v>
      </c>
      <c r="BF192" s="127" t="s">
        <v>231</v>
      </c>
      <c r="BG192" s="35" t="s">
        <v>8</v>
      </c>
      <c r="BH192" s="3"/>
      <c r="BI192" s="3"/>
      <c r="BJ192" s="3"/>
      <c r="BK192" s="4">
        <v>1</v>
      </c>
      <c r="BL192" s="5"/>
      <c r="BM192" s="4">
        <v>1</v>
      </c>
      <c r="BN192" s="4"/>
      <c r="BO192" s="4"/>
      <c r="BP192" s="5">
        <v>2</v>
      </c>
      <c r="BQ192" s="13"/>
      <c r="BR192" s="4"/>
      <c r="BS192" s="5">
        <v>1</v>
      </c>
      <c r="BT192" s="4"/>
      <c r="BU192" s="4"/>
      <c r="BV192" s="5">
        <v>3</v>
      </c>
      <c r="BW192" s="4"/>
      <c r="BX192" s="4"/>
      <c r="BY192" s="5"/>
      <c r="BZ192" s="30">
        <f t="shared" si="24"/>
        <v>1</v>
      </c>
      <c r="CA192" s="30">
        <f t="shared" si="25"/>
        <v>0</v>
      </c>
      <c r="CB192" s="30">
        <f t="shared" si="26"/>
        <v>7</v>
      </c>
    </row>
    <row r="193" spans="1:80" ht="15.5" customHeight="1" x14ac:dyDescent="0.35">
      <c r="A193" s="31" t="s">
        <v>949</v>
      </c>
      <c r="B193" s="56" t="s">
        <v>730</v>
      </c>
      <c r="C193" s="41" t="s">
        <v>328</v>
      </c>
      <c r="D193" s="121" t="s">
        <v>238</v>
      </c>
      <c r="E193" s="42" t="s">
        <v>8</v>
      </c>
      <c r="F193" s="19"/>
      <c r="G193" s="19"/>
      <c r="H193" s="19"/>
      <c r="I193" s="13"/>
      <c r="J193" s="14"/>
      <c r="K193" s="13"/>
      <c r="L193" s="13">
        <v>4</v>
      </c>
      <c r="M193" s="13">
        <v>1</v>
      </c>
      <c r="N193" s="13"/>
      <c r="O193" s="13"/>
      <c r="P193" s="13">
        <v>1</v>
      </c>
      <c r="Q193" s="13"/>
      <c r="R193" s="13">
        <v>1</v>
      </c>
      <c r="S193" s="13"/>
      <c r="T193" s="13"/>
      <c r="U193" s="13" t="s">
        <v>896</v>
      </c>
      <c r="V193" s="13"/>
      <c r="W193" s="13"/>
      <c r="X193" s="30">
        <f t="shared" si="18"/>
        <v>5</v>
      </c>
      <c r="Y193" s="30">
        <f t="shared" si="19"/>
        <v>2</v>
      </c>
      <c r="Z193" s="30">
        <f t="shared" si="20"/>
        <v>0</v>
      </c>
      <c r="AB193" s="31" t="s">
        <v>980</v>
      </c>
      <c r="AC193" s="56" t="s">
        <v>768</v>
      </c>
      <c r="AD193" s="47" t="s">
        <v>354</v>
      </c>
      <c r="AE193" s="141" t="s">
        <v>239</v>
      </c>
      <c r="AF193" s="42" t="s">
        <v>6</v>
      </c>
      <c r="AG193" s="19"/>
      <c r="AH193" s="13"/>
      <c r="AI193" s="13">
        <v>3</v>
      </c>
      <c r="AJ193" s="13"/>
      <c r="AK193" s="14">
        <v>1</v>
      </c>
      <c r="AL193" s="13">
        <v>1</v>
      </c>
      <c r="AM193" s="13"/>
      <c r="AN193" s="13">
        <v>5</v>
      </c>
      <c r="AO193" s="13"/>
      <c r="AP193" s="13">
        <v>2</v>
      </c>
      <c r="AQ193" s="13">
        <v>5</v>
      </c>
      <c r="AR193" s="13">
        <v>1</v>
      </c>
      <c r="AS193" s="13">
        <v>2</v>
      </c>
      <c r="AT193" s="13">
        <v>2</v>
      </c>
      <c r="AU193" s="13">
        <v>1</v>
      </c>
      <c r="AV193" s="13">
        <v>2</v>
      </c>
      <c r="AW193" s="13"/>
      <c r="AX193" s="13"/>
      <c r="AY193" s="30">
        <f t="shared" si="21"/>
        <v>6</v>
      </c>
      <c r="AZ193" s="30">
        <f t="shared" si="22"/>
        <v>13</v>
      </c>
      <c r="BA193" s="30">
        <f t="shared" si="23"/>
        <v>6</v>
      </c>
      <c r="BC193" s="31" t="s">
        <v>32</v>
      </c>
      <c r="BD193" s="56" t="s">
        <v>641</v>
      </c>
      <c r="BE193" s="36" t="s">
        <v>256</v>
      </c>
      <c r="BF193" s="127" t="s">
        <v>231</v>
      </c>
      <c r="BG193" s="35" t="s">
        <v>6</v>
      </c>
      <c r="BH193" s="3"/>
      <c r="BI193" s="3"/>
      <c r="BJ193" s="3"/>
      <c r="BK193" s="4"/>
      <c r="BL193" s="4">
        <v>2</v>
      </c>
      <c r="BM193" s="5">
        <v>3</v>
      </c>
      <c r="BN193" s="4"/>
      <c r="BO193" s="4">
        <v>2</v>
      </c>
      <c r="BP193" s="4">
        <v>2</v>
      </c>
      <c r="BQ193" s="13">
        <v>1</v>
      </c>
      <c r="BR193" s="4">
        <v>2</v>
      </c>
      <c r="BS193" s="4">
        <v>1</v>
      </c>
      <c r="BT193" s="4"/>
      <c r="BU193" s="4">
        <v>5</v>
      </c>
      <c r="BV193" s="4">
        <v>1</v>
      </c>
      <c r="BW193" s="4"/>
      <c r="BX193" s="4"/>
      <c r="BY193" s="4"/>
      <c r="BZ193" s="30">
        <f t="shared" si="24"/>
        <v>1</v>
      </c>
      <c r="CA193" s="30">
        <f t="shared" si="25"/>
        <v>11</v>
      </c>
      <c r="CB193" s="30">
        <f t="shared" si="26"/>
        <v>7</v>
      </c>
    </row>
    <row r="194" spans="1:80" ht="15.5" x14ac:dyDescent="0.35">
      <c r="A194" s="31" t="s">
        <v>969</v>
      </c>
      <c r="B194" s="56" t="s">
        <v>755</v>
      </c>
      <c r="C194" s="41" t="s">
        <v>345</v>
      </c>
      <c r="D194" s="141" t="s">
        <v>239</v>
      </c>
      <c r="E194" s="42" t="s">
        <v>8</v>
      </c>
      <c r="F194" s="19"/>
      <c r="G194" s="19">
        <v>1</v>
      </c>
      <c r="H194" s="19"/>
      <c r="I194" s="13">
        <v>4</v>
      </c>
      <c r="J194" s="14">
        <v>2</v>
      </c>
      <c r="K194" s="13">
        <v>1</v>
      </c>
      <c r="L194" s="13"/>
      <c r="M194" s="13">
        <v>2</v>
      </c>
      <c r="N194" s="13"/>
      <c r="O194" s="13">
        <v>1</v>
      </c>
      <c r="P194" s="13">
        <v>5</v>
      </c>
      <c r="Q194" s="13"/>
      <c r="R194" s="13"/>
      <c r="S194" s="13">
        <v>1</v>
      </c>
      <c r="T194" s="13"/>
      <c r="U194" s="13"/>
      <c r="V194" s="13">
        <v>2</v>
      </c>
      <c r="W194" s="13"/>
      <c r="X194" s="30">
        <f t="shared" si="18"/>
        <v>5</v>
      </c>
      <c r="Y194" s="30">
        <f t="shared" si="19"/>
        <v>13</v>
      </c>
      <c r="Z194" s="30">
        <f t="shared" si="20"/>
        <v>1</v>
      </c>
      <c r="AB194" s="31" t="s">
        <v>982</v>
      </c>
      <c r="AC194" s="56" t="s">
        <v>770</v>
      </c>
      <c r="AD194" s="47" t="s">
        <v>356</v>
      </c>
      <c r="AE194" s="141" t="s">
        <v>239</v>
      </c>
      <c r="AF194" s="42" t="s">
        <v>6</v>
      </c>
      <c r="AG194" s="19"/>
      <c r="AH194" s="13">
        <v>1</v>
      </c>
      <c r="AI194" s="13"/>
      <c r="AJ194" s="13"/>
      <c r="AK194" s="14">
        <v>1</v>
      </c>
      <c r="AL194" s="13"/>
      <c r="AM194" s="13"/>
      <c r="AN194" s="13">
        <v>2</v>
      </c>
      <c r="AO194" s="13"/>
      <c r="AP194" s="13"/>
      <c r="AQ194" s="13">
        <v>4</v>
      </c>
      <c r="AR194" s="13"/>
      <c r="AS194" s="13"/>
      <c r="AT194" s="13">
        <v>4</v>
      </c>
      <c r="AU194" s="13"/>
      <c r="AV194" s="13"/>
      <c r="AW194" s="13">
        <v>1</v>
      </c>
      <c r="AX194" s="13"/>
      <c r="AY194" s="30">
        <f t="shared" si="21"/>
        <v>0</v>
      </c>
      <c r="AZ194" s="30">
        <f t="shared" si="22"/>
        <v>13</v>
      </c>
      <c r="BA194" s="30">
        <f t="shared" si="23"/>
        <v>0</v>
      </c>
      <c r="BC194" s="31" t="s">
        <v>931</v>
      </c>
      <c r="BD194" s="56" t="s">
        <v>710</v>
      </c>
      <c r="BE194" s="36" t="s">
        <v>312</v>
      </c>
      <c r="BF194" s="127" t="s">
        <v>237</v>
      </c>
      <c r="BG194" s="35" t="s">
        <v>6</v>
      </c>
      <c r="BH194" s="3"/>
      <c r="BI194" s="6">
        <v>2</v>
      </c>
      <c r="BJ194" s="6">
        <v>1</v>
      </c>
      <c r="BK194" s="4"/>
      <c r="BL194" s="5">
        <v>3</v>
      </c>
      <c r="BM194" s="5"/>
      <c r="BN194" s="4"/>
      <c r="BO194" s="5">
        <v>5</v>
      </c>
      <c r="BP194" s="5"/>
      <c r="BQ194" s="13"/>
      <c r="BR194" s="5">
        <v>3</v>
      </c>
      <c r="BS194" s="5">
        <v>1</v>
      </c>
      <c r="BT194" s="13">
        <v>2</v>
      </c>
      <c r="BU194" s="14">
        <v>3</v>
      </c>
      <c r="BV194" s="14">
        <v>5</v>
      </c>
      <c r="BW194" s="4"/>
      <c r="BX194" s="5"/>
      <c r="BY194" s="5"/>
      <c r="BZ194" s="30">
        <f t="shared" si="24"/>
        <v>2</v>
      </c>
      <c r="CA194" s="30">
        <f t="shared" si="25"/>
        <v>16</v>
      </c>
      <c r="CB194" s="30">
        <f t="shared" si="26"/>
        <v>7</v>
      </c>
    </row>
    <row r="195" spans="1:80" ht="15.5" x14ac:dyDescent="0.35">
      <c r="A195" s="31" t="s">
        <v>981</v>
      </c>
      <c r="B195" s="56" t="s">
        <v>769</v>
      </c>
      <c r="C195" s="47" t="s">
        <v>355</v>
      </c>
      <c r="D195" s="141" t="s">
        <v>239</v>
      </c>
      <c r="E195" s="42" t="s">
        <v>8</v>
      </c>
      <c r="F195" s="19"/>
      <c r="G195" s="13"/>
      <c r="H195" s="13"/>
      <c r="I195" s="13">
        <v>1</v>
      </c>
      <c r="J195" s="14"/>
      <c r="K195" s="13"/>
      <c r="L195" s="13">
        <v>1</v>
      </c>
      <c r="M195" s="13"/>
      <c r="N195" s="13"/>
      <c r="O195" s="13"/>
      <c r="P195" s="13">
        <v>7</v>
      </c>
      <c r="Q195" s="13"/>
      <c r="R195" s="13">
        <v>3</v>
      </c>
      <c r="S195" s="13"/>
      <c r="T195" s="13"/>
      <c r="U195" s="13"/>
      <c r="V195" s="13">
        <v>1</v>
      </c>
      <c r="W195" s="13"/>
      <c r="X195" s="30">
        <f t="shared" si="18"/>
        <v>5</v>
      </c>
      <c r="Y195" s="30">
        <f t="shared" si="19"/>
        <v>8</v>
      </c>
      <c r="Z195" s="30">
        <f t="shared" si="20"/>
        <v>0</v>
      </c>
      <c r="AB195" s="31" t="s">
        <v>996</v>
      </c>
      <c r="AC195" s="56" t="s">
        <v>784</v>
      </c>
      <c r="AD195" s="58" t="s">
        <v>370</v>
      </c>
      <c r="AE195" s="141" t="s">
        <v>239</v>
      </c>
      <c r="AF195" s="42" t="s">
        <v>8</v>
      </c>
      <c r="AG195" s="19"/>
      <c r="AH195" s="13">
        <v>4</v>
      </c>
      <c r="AI195" s="13"/>
      <c r="AJ195" s="13">
        <v>1</v>
      </c>
      <c r="AK195" s="14">
        <v>3</v>
      </c>
      <c r="AL195" s="14"/>
      <c r="AM195" s="13">
        <v>2</v>
      </c>
      <c r="AN195" s="13">
        <v>1</v>
      </c>
      <c r="AO195" s="13"/>
      <c r="AP195" s="13">
        <v>1</v>
      </c>
      <c r="AQ195" s="13">
        <v>1</v>
      </c>
      <c r="AR195" s="13"/>
      <c r="AS195" s="13"/>
      <c r="AT195" s="13">
        <v>4</v>
      </c>
      <c r="AU195" s="13"/>
      <c r="AV195" s="13"/>
      <c r="AW195" s="13"/>
      <c r="AX195" s="13"/>
      <c r="AY195" s="30">
        <f t="shared" si="21"/>
        <v>4</v>
      </c>
      <c r="AZ195" s="30">
        <f t="shared" si="22"/>
        <v>13</v>
      </c>
      <c r="BA195" s="30">
        <f t="shared" si="23"/>
        <v>0</v>
      </c>
      <c r="BC195" s="31" t="s">
        <v>21</v>
      </c>
      <c r="BD195" s="56" t="s">
        <v>630</v>
      </c>
      <c r="BE195" s="36" t="s">
        <v>246</v>
      </c>
      <c r="BF195" s="127" t="s">
        <v>231</v>
      </c>
      <c r="BG195" s="35" t="s">
        <v>6</v>
      </c>
      <c r="BH195" s="3">
        <v>1</v>
      </c>
      <c r="BI195" s="3"/>
      <c r="BJ195" s="3"/>
      <c r="BK195" s="4"/>
      <c r="BL195" s="4"/>
      <c r="BM195" s="4">
        <v>2</v>
      </c>
      <c r="BN195" s="4"/>
      <c r="BO195" s="4"/>
      <c r="BP195" s="4">
        <v>2</v>
      </c>
      <c r="BQ195" s="13">
        <v>2</v>
      </c>
      <c r="BR195" s="4"/>
      <c r="BS195" s="4">
        <v>1</v>
      </c>
      <c r="BT195" s="4">
        <v>1</v>
      </c>
      <c r="BU195" s="4">
        <v>1</v>
      </c>
      <c r="BV195" s="4">
        <v>3</v>
      </c>
      <c r="BW195" s="4"/>
      <c r="BX195" s="4"/>
      <c r="BY195" s="4"/>
      <c r="BZ195" s="30">
        <f t="shared" si="24"/>
        <v>4</v>
      </c>
      <c r="CA195" s="30">
        <f t="shared" si="25"/>
        <v>1</v>
      </c>
      <c r="CB195" s="30">
        <f t="shared" si="26"/>
        <v>8</v>
      </c>
    </row>
    <row r="196" spans="1:80" ht="15.5" x14ac:dyDescent="0.35">
      <c r="A196" s="31" t="s">
        <v>983</v>
      </c>
      <c r="B196" s="56" t="s">
        <v>771</v>
      </c>
      <c r="C196" s="47" t="s">
        <v>357</v>
      </c>
      <c r="D196" s="141" t="s">
        <v>239</v>
      </c>
      <c r="E196" s="42" t="s">
        <v>8</v>
      </c>
      <c r="F196" s="19">
        <v>1</v>
      </c>
      <c r="G196" s="13">
        <v>1</v>
      </c>
      <c r="H196" s="13"/>
      <c r="I196" s="14">
        <v>4</v>
      </c>
      <c r="J196" s="14">
        <v>3</v>
      </c>
      <c r="K196" s="13"/>
      <c r="L196" s="13"/>
      <c r="M196" s="13">
        <v>1</v>
      </c>
      <c r="N196" s="13"/>
      <c r="O196" s="13"/>
      <c r="P196" s="13">
        <v>2</v>
      </c>
      <c r="Q196" s="13"/>
      <c r="R196" s="13"/>
      <c r="S196" s="13">
        <v>4</v>
      </c>
      <c r="T196" s="13"/>
      <c r="U196" s="13"/>
      <c r="V196" s="13"/>
      <c r="W196" s="13"/>
      <c r="X196" s="30">
        <f t="shared" ref="X196:X206" si="27">SUM(F196,I196,L196,O196,R196,U196)</f>
        <v>5</v>
      </c>
      <c r="Y196" s="30">
        <f t="shared" ref="Y196:Y206" si="28">SUM(G196,J196,M196,P196,S196,V196)</f>
        <v>11</v>
      </c>
      <c r="Z196" s="30">
        <f t="shared" ref="Z196:Z206" si="29">SUM(H196,K196,N196,Q196,T196,W196)</f>
        <v>0</v>
      </c>
      <c r="AB196" s="31" t="s">
        <v>1013</v>
      </c>
      <c r="AC196" s="56" t="s">
        <v>801</v>
      </c>
      <c r="AD196" s="58" t="s">
        <v>386</v>
      </c>
      <c r="AE196" s="161" t="s">
        <v>240</v>
      </c>
      <c r="AF196" s="42" t="s">
        <v>8</v>
      </c>
      <c r="AG196" s="4"/>
      <c r="AH196" s="4">
        <v>2</v>
      </c>
      <c r="AI196" s="4"/>
      <c r="AJ196" s="4">
        <v>1</v>
      </c>
      <c r="AK196" s="5">
        <v>3</v>
      </c>
      <c r="AL196" s="4"/>
      <c r="AM196" s="4"/>
      <c r="AN196" s="4">
        <v>3</v>
      </c>
      <c r="AO196" s="4"/>
      <c r="AP196" s="13"/>
      <c r="AQ196" s="13">
        <v>3</v>
      </c>
      <c r="AR196" s="13"/>
      <c r="AS196" s="13"/>
      <c r="AT196" s="13">
        <v>1</v>
      </c>
      <c r="AU196" s="13"/>
      <c r="AV196" s="4"/>
      <c r="AW196" s="4">
        <v>1</v>
      </c>
      <c r="AX196" s="4"/>
      <c r="AY196" s="30">
        <f t="shared" ref="AY196:AY206" si="30">SUM(AG196,AJ196,AM196,AP196,AS196,AV196)</f>
        <v>1</v>
      </c>
      <c r="AZ196" s="30">
        <f t="shared" ref="AZ196:AZ206" si="31">SUM(AH196,AK196,AN196,AQ196,AT196,AW196)</f>
        <v>13</v>
      </c>
      <c r="BA196" s="30">
        <f t="shared" ref="BA196:BA206" si="32">SUM(AI196,AL196,AO196,AR196,AU196,AX196)</f>
        <v>0</v>
      </c>
      <c r="BC196" s="31" t="s">
        <v>34</v>
      </c>
      <c r="BD196" s="67" t="s">
        <v>643</v>
      </c>
      <c r="BE196" s="56" t="s">
        <v>644</v>
      </c>
      <c r="BF196" s="127" t="s">
        <v>231</v>
      </c>
      <c r="BG196" s="68" t="s">
        <v>6</v>
      </c>
      <c r="BH196" s="3">
        <v>1</v>
      </c>
      <c r="BI196" s="3"/>
      <c r="BJ196" s="3"/>
      <c r="BK196" s="4"/>
      <c r="BL196" s="5"/>
      <c r="BM196" s="4">
        <v>2</v>
      </c>
      <c r="BN196" s="4"/>
      <c r="BO196" s="4">
        <v>2</v>
      </c>
      <c r="BP196" s="4">
        <v>1</v>
      </c>
      <c r="BQ196" s="13"/>
      <c r="BR196" s="4"/>
      <c r="BS196" s="4">
        <v>1</v>
      </c>
      <c r="BT196" s="4"/>
      <c r="BU196" s="4">
        <v>2</v>
      </c>
      <c r="BV196" s="4">
        <v>3</v>
      </c>
      <c r="BW196" s="4"/>
      <c r="BX196" s="4">
        <v>2</v>
      </c>
      <c r="BY196" s="4">
        <v>1</v>
      </c>
      <c r="BZ196" s="30">
        <f t="shared" ref="BZ196:BZ206" si="33">SUM(BH196,BK196,BN196,BQ196,BT196,BW196)</f>
        <v>1</v>
      </c>
      <c r="CA196" s="30">
        <f t="shared" ref="CA196:CA206" si="34">SUM(BI196,BL196,BO196,BR196,BU196,BX196)</f>
        <v>6</v>
      </c>
      <c r="CB196" s="30">
        <f t="shared" ref="CB196:CB206" si="35">SUM(BJ196,BM196,BP196,BS196,BV196,BY196)</f>
        <v>8</v>
      </c>
    </row>
    <row r="197" spans="1:80" ht="15.5" x14ac:dyDescent="0.35">
      <c r="A197" s="31" t="s">
        <v>991</v>
      </c>
      <c r="B197" s="56" t="s">
        <v>779</v>
      </c>
      <c r="C197" s="47" t="s">
        <v>365</v>
      </c>
      <c r="D197" s="141" t="s">
        <v>239</v>
      </c>
      <c r="E197" s="42" t="s">
        <v>8</v>
      </c>
      <c r="F197" s="19"/>
      <c r="G197" s="13">
        <v>2</v>
      </c>
      <c r="H197" s="13"/>
      <c r="I197" s="13"/>
      <c r="J197" s="14">
        <v>7</v>
      </c>
      <c r="K197" s="13"/>
      <c r="L197" s="13">
        <v>3</v>
      </c>
      <c r="M197" s="13">
        <v>5</v>
      </c>
      <c r="N197" s="13">
        <v>1</v>
      </c>
      <c r="O197" s="13">
        <v>1</v>
      </c>
      <c r="P197" s="13">
        <v>7</v>
      </c>
      <c r="Q197" s="13">
        <v>1</v>
      </c>
      <c r="R197" s="13">
        <v>1</v>
      </c>
      <c r="S197" s="13">
        <v>4</v>
      </c>
      <c r="T197" s="13"/>
      <c r="U197" s="13"/>
      <c r="V197" s="13">
        <v>1</v>
      </c>
      <c r="W197" s="13"/>
      <c r="X197" s="30">
        <f t="shared" si="27"/>
        <v>5</v>
      </c>
      <c r="Y197" s="30">
        <f t="shared" si="28"/>
        <v>26</v>
      </c>
      <c r="Z197" s="30">
        <f t="shared" si="29"/>
        <v>2</v>
      </c>
      <c r="AB197" s="31" t="s">
        <v>918</v>
      </c>
      <c r="AC197" s="56" t="s">
        <v>697</v>
      </c>
      <c r="AD197" s="43" t="s">
        <v>298</v>
      </c>
      <c r="AE197" s="127" t="s">
        <v>237</v>
      </c>
      <c r="AF197" s="35" t="s">
        <v>6</v>
      </c>
      <c r="AG197" s="3">
        <v>1</v>
      </c>
      <c r="AH197" s="3">
        <v>2</v>
      </c>
      <c r="AI197" s="3"/>
      <c r="AJ197" s="5">
        <v>1</v>
      </c>
      <c r="AK197" s="5">
        <v>7</v>
      </c>
      <c r="AL197" s="4">
        <v>1</v>
      </c>
      <c r="AM197" s="4">
        <v>1</v>
      </c>
      <c r="AN197" s="5">
        <v>1</v>
      </c>
      <c r="AO197" s="4">
        <v>3</v>
      </c>
      <c r="AP197" s="13">
        <v>2</v>
      </c>
      <c r="AQ197" s="5"/>
      <c r="AR197" s="4">
        <v>1</v>
      </c>
      <c r="AS197" s="13">
        <v>3</v>
      </c>
      <c r="AT197" s="14">
        <v>3</v>
      </c>
      <c r="AU197" s="13">
        <v>3</v>
      </c>
      <c r="AV197" s="4"/>
      <c r="AW197" s="5">
        <v>1</v>
      </c>
      <c r="AX197" s="4">
        <v>1</v>
      </c>
      <c r="AY197" s="30">
        <f t="shared" si="30"/>
        <v>8</v>
      </c>
      <c r="AZ197" s="30">
        <f t="shared" si="31"/>
        <v>14</v>
      </c>
      <c r="BA197" s="30">
        <f t="shared" si="32"/>
        <v>9</v>
      </c>
      <c r="BC197" s="31" t="s">
        <v>915</v>
      </c>
      <c r="BD197" s="56" t="s">
        <v>693</v>
      </c>
      <c r="BE197" s="36" t="s">
        <v>694</v>
      </c>
      <c r="BF197" s="127" t="s">
        <v>237</v>
      </c>
      <c r="BG197" s="35" t="s">
        <v>6</v>
      </c>
      <c r="BH197" s="3">
        <v>1</v>
      </c>
      <c r="BI197" s="3"/>
      <c r="BJ197" s="3">
        <v>1</v>
      </c>
      <c r="BK197" s="5">
        <v>2</v>
      </c>
      <c r="BL197" s="5">
        <v>1</v>
      </c>
      <c r="BM197" s="4">
        <v>1</v>
      </c>
      <c r="BN197" s="4">
        <v>1</v>
      </c>
      <c r="BO197" s="5">
        <v>1</v>
      </c>
      <c r="BP197" s="4">
        <v>1</v>
      </c>
      <c r="BQ197" s="13"/>
      <c r="BR197" s="5"/>
      <c r="BS197" s="4">
        <v>2</v>
      </c>
      <c r="BT197" s="13"/>
      <c r="BU197" s="14"/>
      <c r="BV197" s="13">
        <v>3</v>
      </c>
      <c r="BW197" s="4"/>
      <c r="BX197" s="5"/>
      <c r="BY197" s="4"/>
      <c r="BZ197" s="30">
        <f t="shared" si="33"/>
        <v>4</v>
      </c>
      <c r="CA197" s="30">
        <f t="shared" si="34"/>
        <v>2</v>
      </c>
      <c r="CB197" s="30">
        <f t="shared" si="35"/>
        <v>8</v>
      </c>
    </row>
    <row r="198" spans="1:80" ht="15.5" x14ac:dyDescent="0.35">
      <c r="A198" s="31" t="s">
        <v>1026</v>
      </c>
      <c r="B198" s="56" t="s">
        <v>816</v>
      </c>
      <c r="C198" s="47" t="s">
        <v>397</v>
      </c>
      <c r="D198" s="161" t="s">
        <v>240</v>
      </c>
      <c r="E198" s="42" t="s">
        <v>8</v>
      </c>
      <c r="F198" s="9">
        <v>1</v>
      </c>
      <c r="G198" s="9"/>
      <c r="H198" s="9"/>
      <c r="I198" s="9"/>
      <c r="J198" s="16"/>
      <c r="K198" s="9"/>
      <c r="L198" s="9">
        <v>3</v>
      </c>
      <c r="M198" s="9">
        <v>2</v>
      </c>
      <c r="N198" s="9"/>
      <c r="O198" s="15">
        <v>1</v>
      </c>
      <c r="P198" s="15"/>
      <c r="Q198" s="15"/>
      <c r="R198" s="15"/>
      <c r="S198" s="15">
        <v>2</v>
      </c>
      <c r="T198" s="15"/>
      <c r="U198" s="9"/>
      <c r="V198" s="9"/>
      <c r="W198" s="9"/>
      <c r="X198" s="30">
        <f t="shared" si="27"/>
        <v>5</v>
      </c>
      <c r="Y198" s="30">
        <f t="shared" si="28"/>
        <v>4</v>
      </c>
      <c r="Z198" s="30">
        <f t="shared" si="29"/>
        <v>0</v>
      </c>
      <c r="AB198" s="31" t="s">
        <v>968</v>
      </c>
      <c r="AC198" s="56" t="s">
        <v>754</v>
      </c>
      <c r="AD198" s="41" t="s">
        <v>344</v>
      </c>
      <c r="AE198" s="141" t="s">
        <v>239</v>
      </c>
      <c r="AF198" s="42" t="s">
        <v>6</v>
      </c>
      <c r="AG198" s="19"/>
      <c r="AH198" s="19">
        <v>2</v>
      </c>
      <c r="AI198" s="19"/>
      <c r="AJ198" s="13"/>
      <c r="AK198" s="14">
        <v>4</v>
      </c>
      <c r="AL198" s="13"/>
      <c r="AM198" s="13"/>
      <c r="AN198" s="13">
        <v>1</v>
      </c>
      <c r="AO198" s="13"/>
      <c r="AP198" s="13"/>
      <c r="AQ198" s="13">
        <v>4</v>
      </c>
      <c r="AR198" s="13"/>
      <c r="AS198" s="13"/>
      <c r="AT198" s="13">
        <v>3</v>
      </c>
      <c r="AU198" s="13"/>
      <c r="AV198" s="13">
        <v>1</v>
      </c>
      <c r="AW198" s="13"/>
      <c r="AX198" s="13"/>
      <c r="AY198" s="30">
        <f t="shared" si="30"/>
        <v>1</v>
      </c>
      <c r="AZ198" s="30">
        <f t="shared" si="31"/>
        <v>14</v>
      </c>
      <c r="BA198" s="30">
        <f t="shared" si="32"/>
        <v>0</v>
      </c>
      <c r="BC198" s="31" t="s">
        <v>976</v>
      </c>
      <c r="BD198" s="56" t="s">
        <v>763</v>
      </c>
      <c r="BE198" s="47" t="s">
        <v>764</v>
      </c>
      <c r="BF198" s="141" t="s">
        <v>239</v>
      </c>
      <c r="BG198" s="42" t="s">
        <v>8</v>
      </c>
      <c r="BH198" s="19">
        <v>1</v>
      </c>
      <c r="BI198" s="13">
        <v>1</v>
      </c>
      <c r="BJ198" s="13">
        <v>1</v>
      </c>
      <c r="BK198" s="13"/>
      <c r="BL198" s="13">
        <v>7</v>
      </c>
      <c r="BM198" s="14">
        <v>2</v>
      </c>
      <c r="BN198" s="13"/>
      <c r="BO198" s="13">
        <v>3</v>
      </c>
      <c r="BP198" s="13">
        <v>1</v>
      </c>
      <c r="BQ198" s="13">
        <v>1</v>
      </c>
      <c r="BR198" s="13">
        <v>7</v>
      </c>
      <c r="BS198" s="13">
        <v>3</v>
      </c>
      <c r="BT198" s="13">
        <v>1</v>
      </c>
      <c r="BU198" s="13">
        <v>7</v>
      </c>
      <c r="BV198" s="13">
        <v>1</v>
      </c>
      <c r="BW198" s="13"/>
      <c r="BX198" s="13"/>
      <c r="BY198" s="13"/>
      <c r="BZ198" s="30">
        <f t="shared" si="33"/>
        <v>3</v>
      </c>
      <c r="CA198" s="30">
        <f t="shared" si="34"/>
        <v>25</v>
      </c>
      <c r="CB198" s="30">
        <f t="shared" si="35"/>
        <v>8</v>
      </c>
    </row>
    <row r="199" spans="1:80" ht="15.5" x14ac:dyDescent="0.35">
      <c r="A199" s="31" t="s">
        <v>1058</v>
      </c>
      <c r="B199" s="56" t="s">
        <v>838</v>
      </c>
      <c r="C199" s="76" t="s">
        <v>415</v>
      </c>
      <c r="D199" s="142" t="s">
        <v>1039</v>
      </c>
      <c r="E199" s="42" t="s">
        <v>8</v>
      </c>
      <c r="F199" s="4"/>
      <c r="G199" s="4">
        <v>2</v>
      </c>
      <c r="H199" s="4"/>
      <c r="I199" s="4">
        <v>3</v>
      </c>
      <c r="J199" s="4">
        <v>2</v>
      </c>
      <c r="K199" s="4"/>
      <c r="L199" s="4">
        <v>1</v>
      </c>
      <c r="M199" s="4">
        <v>2</v>
      </c>
      <c r="N199" s="4">
        <v>1</v>
      </c>
      <c r="O199" s="13"/>
      <c r="P199" s="13">
        <v>1</v>
      </c>
      <c r="Q199" s="13">
        <v>1</v>
      </c>
      <c r="R199" s="15">
        <v>1</v>
      </c>
      <c r="S199" s="15">
        <v>2</v>
      </c>
      <c r="T199" s="15"/>
      <c r="U199" s="4"/>
      <c r="V199" s="4">
        <v>2</v>
      </c>
      <c r="W199" s="4"/>
      <c r="X199" s="30">
        <f t="shared" si="27"/>
        <v>5</v>
      </c>
      <c r="Y199" s="30">
        <f t="shared" si="28"/>
        <v>11</v>
      </c>
      <c r="Z199" s="30">
        <f t="shared" si="29"/>
        <v>2</v>
      </c>
      <c r="AB199" s="31" t="s">
        <v>967</v>
      </c>
      <c r="AC199" s="56" t="s">
        <v>753</v>
      </c>
      <c r="AD199" s="41" t="s">
        <v>343</v>
      </c>
      <c r="AE199" s="141" t="s">
        <v>239</v>
      </c>
      <c r="AF199" s="42" t="s">
        <v>6</v>
      </c>
      <c r="AG199" s="19">
        <v>1</v>
      </c>
      <c r="AH199" s="19">
        <v>2</v>
      </c>
      <c r="AI199" s="19"/>
      <c r="AJ199" s="13"/>
      <c r="AK199" s="13">
        <v>5</v>
      </c>
      <c r="AL199" s="13"/>
      <c r="AM199" s="13"/>
      <c r="AN199" s="13">
        <v>2</v>
      </c>
      <c r="AO199" s="13"/>
      <c r="AP199" s="13"/>
      <c r="AQ199" s="13">
        <v>3</v>
      </c>
      <c r="AR199" s="13"/>
      <c r="AS199" s="13"/>
      <c r="AT199" s="13">
        <v>3</v>
      </c>
      <c r="AU199" s="13"/>
      <c r="AV199" s="13"/>
      <c r="AW199" s="13"/>
      <c r="AX199" s="13"/>
      <c r="AY199" s="30">
        <f t="shared" si="30"/>
        <v>1</v>
      </c>
      <c r="AZ199" s="30">
        <f t="shared" si="31"/>
        <v>15</v>
      </c>
      <c r="BA199" s="30">
        <f t="shared" si="32"/>
        <v>0</v>
      </c>
      <c r="BC199" s="31" t="s">
        <v>918</v>
      </c>
      <c r="BD199" s="56" t="s">
        <v>697</v>
      </c>
      <c r="BE199" s="43" t="s">
        <v>298</v>
      </c>
      <c r="BF199" s="127" t="s">
        <v>237</v>
      </c>
      <c r="BG199" s="35" t="s">
        <v>6</v>
      </c>
      <c r="BH199" s="3">
        <v>1</v>
      </c>
      <c r="BI199" s="3">
        <v>2</v>
      </c>
      <c r="BJ199" s="3"/>
      <c r="BK199" s="5">
        <v>1</v>
      </c>
      <c r="BL199" s="5">
        <v>7</v>
      </c>
      <c r="BM199" s="4">
        <v>1</v>
      </c>
      <c r="BN199" s="4">
        <v>1</v>
      </c>
      <c r="BO199" s="5">
        <v>1</v>
      </c>
      <c r="BP199" s="4">
        <v>3</v>
      </c>
      <c r="BQ199" s="13">
        <v>2</v>
      </c>
      <c r="BR199" s="5"/>
      <c r="BS199" s="4">
        <v>1</v>
      </c>
      <c r="BT199" s="13">
        <v>3</v>
      </c>
      <c r="BU199" s="14">
        <v>3</v>
      </c>
      <c r="BV199" s="13">
        <v>3</v>
      </c>
      <c r="BW199" s="4"/>
      <c r="BX199" s="5">
        <v>1</v>
      </c>
      <c r="BY199" s="4">
        <v>1</v>
      </c>
      <c r="BZ199" s="30">
        <f t="shared" si="33"/>
        <v>8</v>
      </c>
      <c r="CA199" s="30">
        <f t="shared" si="34"/>
        <v>14</v>
      </c>
      <c r="CB199" s="30">
        <f t="shared" si="35"/>
        <v>9</v>
      </c>
    </row>
    <row r="200" spans="1:80" ht="15.5" x14ac:dyDescent="0.35">
      <c r="A200" s="31" t="s">
        <v>980</v>
      </c>
      <c r="B200" s="56" t="s">
        <v>768</v>
      </c>
      <c r="C200" s="47" t="s">
        <v>354</v>
      </c>
      <c r="D200" s="141" t="s">
        <v>239</v>
      </c>
      <c r="E200" s="42" t="s">
        <v>6</v>
      </c>
      <c r="F200" s="19"/>
      <c r="G200" s="13"/>
      <c r="H200" s="13">
        <v>3</v>
      </c>
      <c r="I200" s="13"/>
      <c r="J200" s="14">
        <v>1</v>
      </c>
      <c r="K200" s="13">
        <v>1</v>
      </c>
      <c r="L200" s="13"/>
      <c r="M200" s="13">
        <v>5</v>
      </c>
      <c r="N200" s="13"/>
      <c r="O200" s="13">
        <v>2</v>
      </c>
      <c r="P200" s="13">
        <v>5</v>
      </c>
      <c r="Q200" s="13">
        <v>1</v>
      </c>
      <c r="R200" s="13">
        <v>2</v>
      </c>
      <c r="S200" s="13">
        <v>2</v>
      </c>
      <c r="T200" s="13">
        <v>1</v>
      </c>
      <c r="U200" s="13">
        <v>2</v>
      </c>
      <c r="V200" s="13"/>
      <c r="W200" s="13"/>
      <c r="X200" s="30">
        <f t="shared" si="27"/>
        <v>6</v>
      </c>
      <c r="Y200" s="30">
        <f t="shared" si="28"/>
        <v>13</v>
      </c>
      <c r="Z200" s="30">
        <f t="shared" si="29"/>
        <v>6</v>
      </c>
      <c r="AB200" s="31" t="s">
        <v>1009</v>
      </c>
      <c r="AC200" s="56" t="s">
        <v>797</v>
      </c>
      <c r="AD200" s="47" t="s">
        <v>382</v>
      </c>
      <c r="AE200" s="161" t="s">
        <v>240</v>
      </c>
      <c r="AF200" s="42" t="s">
        <v>8</v>
      </c>
      <c r="AG200" s="4"/>
      <c r="AH200" s="4">
        <v>2</v>
      </c>
      <c r="AI200" s="4"/>
      <c r="AJ200" s="4"/>
      <c r="AK200" s="5">
        <v>1</v>
      </c>
      <c r="AL200" s="5">
        <v>1</v>
      </c>
      <c r="AM200" s="4">
        <v>1</v>
      </c>
      <c r="AN200" s="4">
        <v>6</v>
      </c>
      <c r="AO200" s="4">
        <v>1</v>
      </c>
      <c r="AP200" s="13"/>
      <c r="AQ200" s="13">
        <v>2</v>
      </c>
      <c r="AR200" s="13"/>
      <c r="AS200" s="13">
        <v>1</v>
      </c>
      <c r="AT200" s="13">
        <v>3</v>
      </c>
      <c r="AU200" s="13"/>
      <c r="AV200" s="4"/>
      <c r="AW200" s="4">
        <v>1</v>
      </c>
      <c r="AX200" s="4"/>
      <c r="AY200" s="30">
        <f t="shared" si="30"/>
        <v>2</v>
      </c>
      <c r="AZ200" s="30">
        <f t="shared" si="31"/>
        <v>15</v>
      </c>
      <c r="BA200" s="30">
        <f t="shared" si="32"/>
        <v>2</v>
      </c>
      <c r="BC200" s="31" t="s">
        <v>903</v>
      </c>
      <c r="BD200" s="69" t="s">
        <v>679</v>
      </c>
      <c r="BE200" s="54" t="s">
        <v>680</v>
      </c>
      <c r="BF200" s="127" t="s">
        <v>236</v>
      </c>
      <c r="BG200" s="35" t="s">
        <v>6</v>
      </c>
      <c r="BH200" s="3"/>
      <c r="BI200" s="4"/>
      <c r="BJ200" s="3">
        <v>1</v>
      </c>
      <c r="BK200" s="5">
        <v>1</v>
      </c>
      <c r="BL200" s="4">
        <v>1</v>
      </c>
      <c r="BM200" s="5">
        <v>1</v>
      </c>
      <c r="BN200" s="4">
        <v>3</v>
      </c>
      <c r="BO200" s="4">
        <v>1</v>
      </c>
      <c r="BP200" s="4">
        <v>2</v>
      </c>
      <c r="BQ200" s="13"/>
      <c r="BR200" s="14"/>
      <c r="BS200" s="13">
        <v>4</v>
      </c>
      <c r="BT200" s="13"/>
      <c r="BU200" s="14">
        <v>3</v>
      </c>
      <c r="BV200" s="13"/>
      <c r="BW200" s="4"/>
      <c r="BX200" s="5"/>
      <c r="BY200" s="4">
        <v>2</v>
      </c>
      <c r="BZ200" s="30">
        <f t="shared" si="33"/>
        <v>4</v>
      </c>
      <c r="CA200" s="30">
        <f t="shared" si="34"/>
        <v>5</v>
      </c>
      <c r="CB200" s="30">
        <f t="shared" si="35"/>
        <v>10</v>
      </c>
    </row>
    <row r="201" spans="1:80" ht="15.5" x14ac:dyDescent="0.35">
      <c r="A201" s="31" t="s">
        <v>989</v>
      </c>
      <c r="B201" s="56" t="s">
        <v>777</v>
      </c>
      <c r="C201" s="58" t="s">
        <v>363</v>
      </c>
      <c r="D201" s="141" t="s">
        <v>239</v>
      </c>
      <c r="E201" s="42" t="s">
        <v>6</v>
      </c>
      <c r="F201" s="19"/>
      <c r="G201" s="13">
        <v>1</v>
      </c>
      <c r="H201" s="13"/>
      <c r="I201" s="13">
        <v>4</v>
      </c>
      <c r="J201" s="14">
        <v>1</v>
      </c>
      <c r="K201" s="13"/>
      <c r="L201" s="13"/>
      <c r="M201" s="13"/>
      <c r="N201" s="13"/>
      <c r="O201" s="13">
        <v>2</v>
      </c>
      <c r="P201" s="13">
        <v>3</v>
      </c>
      <c r="Q201" s="13"/>
      <c r="R201" s="13"/>
      <c r="S201" s="13">
        <v>1</v>
      </c>
      <c r="T201" s="13"/>
      <c r="U201" s="13"/>
      <c r="V201" s="13"/>
      <c r="W201" s="13"/>
      <c r="X201" s="30">
        <f t="shared" si="27"/>
        <v>6</v>
      </c>
      <c r="Y201" s="30">
        <f t="shared" si="28"/>
        <v>6</v>
      </c>
      <c r="Z201" s="30">
        <f t="shared" si="29"/>
        <v>0</v>
      </c>
      <c r="AB201" s="31" t="s">
        <v>931</v>
      </c>
      <c r="AC201" s="56" t="s">
        <v>710</v>
      </c>
      <c r="AD201" s="36" t="s">
        <v>312</v>
      </c>
      <c r="AE201" s="127" t="s">
        <v>237</v>
      </c>
      <c r="AF201" s="35" t="s">
        <v>6</v>
      </c>
      <c r="AG201" s="3"/>
      <c r="AH201" s="6">
        <v>2</v>
      </c>
      <c r="AI201" s="6">
        <v>1</v>
      </c>
      <c r="AJ201" s="4"/>
      <c r="AK201" s="5">
        <v>3</v>
      </c>
      <c r="AL201" s="5"/>
      <c r="AM201" s="4"/>
      <c r="AN201" s="5">
        <v>5</v>
      </c>
      <c r="AO201" s="5"/>
      <c r="AP201" s="13"/>
      <c r="AQ201" s="5">
        <v>3</v>
      </c>
      <c r="AR201" s="5">
        <v>1</v>
      </c>
      <c r="AS201" s="13">
        <v>2</v>
      </c>
      <c r="AT201" s="14">
        <v>3</v>
      </c>
      <c r="AU201" s="14">
        <v>5</v>
      </c>
      <c r="AV201" s="4"/>
      <c r="AW201" s="5"/>
      <c r="AX201" s="5"/>
      <c r="AY201" s="30">
        <f t="shared" si="30"/>
        <v>2</v>
      </c>
      <c r="AZ201" s="30">
        <f t="shared" si="31"/>
        <v>16</v>
      </c>
      <c r="BA201" s="30">
        <f t="shared" si="32"/>
        <v>7</v>
      </c>
      <c r="BC201" s="31" t="s">
        <v>24</v>
      </c>
      <c r="BD201" s="56" t="s">
        <v>633</v>
      </c>
      <c r="BE201" s="36" t="s">
        <v>249</v>
      </c>
      <c r="BF201" s="127" t="s">
        <v>231</v>
      </c>
      <c r="BG201" s="35" t="s">
        <v>6</v>
      </c>
      <c r="BH201" s="3">
        <v>1</v>
      </c>
      <c r="BI201" s="3"/>
      <c r="BJ201" s="3"/>
      <c r="BK201" s="4"/>
      <c r="BL201" s="5"/>
      <c r="BM201" s="4">
        <v>2</v>
      </c>
      <c r="BN201" s="4"/>
      <c r="BO201" s="4">
        <v>2</v>
      </c>
      <c r="BP201" s="4">
        <v>3</v>
      </c>
      <c r="BQ201" s="13"/>
      <c r="BR201" s="4">
        <v>1</v>
      </c>
      <c r="BS201" s="4">
        <v>1</v>
      </c>
      <c r="BT201" s="4">
        <v>2</v>
      </c>
      <c r="BU201" s="4"/>
      <c r="BV201" s="4">
        <v>5</v>
      </c>
      <c r="BW201" s="4"/>
      <c r="BX201" s="4"/>
      <c r="BY201" s="4"/>
      <c r="BZ201" s="30">
        <f t="shared" si="33"/>
        <v>3</v>
      </c>
      <c r="CA201" s="30">
        <f t="shared" si="34"/>
        <v>3</v>
      </c>
      <c r="CB201" s="30">
        <f t="shared" si="35"/>
        <v>11</v>
      </c>
    </row>
    <row r="202" spans="1:80" ht="15.5" x14ac:dyDescent="0.35">
      <c r="A202" s="31" t="s">
        <v>941</v>
      </c>
      <c r="B202" s="56" t="s">
        <v>721</v>
      </c>
      <c r="C202" s="36" t="s">
        <v>321</v>
      </c>
      <c r="D202" s="121" t="s">
        <v>238</v>
      </c>
      <c r="E202" s="35" t="s">
        <v>8</v>
      </c>
      <c r="F202" s="19">
        <v>1</v>
      </c>
      <c r="G202" s="19">
        <v>2</v>
      </c>
      <c r="H202" s="19"/>
      <c r="I202" s="13">
        <v>2</v>
      </c>
      <c r="J202" s="13">
        <v>2</v>
      </c>
      <c r="K202" s="14"/>
      <c r="L202" s="13">
        <v>1</v>
      </c>
      <c r="M202" s="13">
        <v>1</v>
      </c>
      <c r="N202" s="13">
        <v>2</v>
      </c>
      <c r="O202" s="13">
        <v>2</v>
      </c>
      <c r="P202" s="13">
        <v>1</v>
      </c>
      <c r="Q202" s="13">
        <v>2</v>
      </c>
      <c r="R202" s="13">
        <v>1</v>
      </c>
      <c r="S202" s="13">
        <v>1</v>
      </c>
      <c r="T202" s="13">
        <v>1</v>
      </c>
      <c r="U202" s="13"/>
      <c r="V202" s="13">
        <v>1</v>
      </c>
      <c r="W202" s="13"/>
      <c r="X202" s="30">
        <f t="shared" si="27"/>
        <v>7</v>
      </c>
      <c r="Y202" s="30">
        <f t="shared" si="28"/>
        <v>8</v>
      </c>
      <c r="Z202" s="30">
        <f t="shared" si="29"/>
        <v>5</v>
      </c>
      <c r="AB202" s="31" t="s">
        <v>908</v>
      </c>
      <c r="AC202" s="56" t="s">
        <v>686</v>
      </c>
      <c r="AD202" s="36" t="s">
        <v>288</v>
      </c>
      <c r="AE202" s="127" t="s">
        <v>237</v>
      </c>
      <c r="AF202" s="35" t="s">
        <v>6</v>
      </c>
      <c r="AG202" s="3"/>
      <c r="AH202" s="3">
        <v>2</v>
      </c>
      <c r="AI202" s="3"/>
      <c r="AJ202" s="5">
        <v>2</v>
      </c>
      <c r="AK202" s="5">
        <v>4</v>
      </c>
      <c r="AL202" s="4"/>
      <c r="AM202" s="4">
        <v>2</v>
      </c>
      <c r="AN202" s="5">
        <v>2</v>
      </c>
      <c r="AO202" s="4">
        <v>1</v>
      </c>
      <c r="AP202" s="13"/>
      <c r="AQ202" s="5"/>
      <c r="AR202" s="4"/>
      <c r="AS202" s="13"/>
      <c r="AT202" s="14">
        <v>8</v>
      </c>
      <c r="AU202" s="13"/>
      <c r="AV202" s="4">
        <v>1</v>
      </c>
      <c r="AW202" s="5">
        <v>1</v>
      </c>
      <c r="AX202" s="4"/>
      <c r="AY202" s="30">
        <f t="shared" si="30"/>
        <v>5</v>
      </c>
      <c r="AZ202" s="30">
        <f t="shared" si="31"/>
        <v>17</v>
      </c>
      <c r="BA202" s="30">
        <f t="shared" si="32"/>
        <v>1</v>
      </c>
      <c r="BC202" s="31" t="s">
        <v>890</v>
      </c>
      <c r="BD202" s="56" t="s">
        <v>672</v>
      </c>
      <c r="BE202" s="43" t="s">
        <v>279</v>
      </c>
      <c r="BF202" s="127" t="s">
        <v>236</v>
      </c>
      <c r="BG202" s="35" t="s">
        <v>6</v>
      </c>
      <c r="BH202" s="3"/>
      <c r="BI202" s="4"/>
      <c r="BJ202" s="3">
        <v>1</v>
      </c>
      <c r="BK202" s="5"/>
      <c r="BL202" s="4">
        <v>4</v>
      </c>
      <c r="BM202" s="5">
        <v>2</v>
      </c>
      <c r="BN202" s="4">
        <v>1</v>
      </c>
      <c r="BO202" s="4">
        <v>1</v>
      </c>
      <c r="BP202" s="4">
        <v>2</v>
      </c>
      <c r="BQ202" s="13"/>
      <c r="BR202" s="14">
        <v>2</v>
      </c>
      <c r="BS202" s="13">
        <v>4</v>
      </c>
      <c r="BT202" s="13"/>
      <c r="BU202" s="14">
        <v>3</v>
      </c>
      <c r="BV202" s="13"/>
      <c r="BW202" s="4"/>
      <c r="BX202" s="5"/>
      <c r="BY202" s="4">
        <v>2</v>
      </c>
      <c r="BZ202" s="30">
        <f t="shared" si="33"/>
        <v>1</v>
      </c>
      <c r="CA202" s="30">
        <f t="shared" si="34"/>
        <v>10</v>
      </c>
      <c r="CB202" s="30">
        <f t="shared" si="35"/>
        <v>11</v>
      </c>
    </row>
    <row r="203" spans="1:80" ht="15.5" x14ac:dyDescent="0.35">
      <c r="A203" s="31" t="s">
        <v>951</v>
      </c>
      <c r="B203" s="56" t="s">
        <v>732</v>
      </c>
      <c r="C203" s="41" t="s">
        <v>733</v>
      </c>
      <c r="D203" s="121" t="s">
        <v>238</v>
      </c>
      <c r="E203" s="42" t="s">
        <v>6</v>
      </c>
      <c r="F203" s="19"/>
      <c r="G203" s="19">
        <v>3</v>
      </c>
      <c r="H203" s="19"/>
      <c r="I203" s="13">
        <v>1</v>
      </c>
      <c r="J203" s="14">
        <v>4</v>
      </c>
      <c r="K203" s="13"/>
      <c r="L203" s="13">
        <v>2</v>
      </c>
      <c r="M203" s="13"/>
      <c r="N203" s="13"/>
      <c r="O203" s="13">
        <v>2</v>
      </c>
      <c r="P203" s="13">
        <v>1</v>
      </c>
      <c r="Q203" s="13">
        <v>2</v>
      </c>
      <c r="R203" s="13">
        <v>2</v>
      </c>
      <c r="S203" s="13"/>
      <c r="T203" s="13">
        <v>3</v>
      </c>
      <c r="U203" s="13"/>
      <c r="V203" s="13">
        <v>1</v>
      </c>
      <c r="W203" s="13"/>
      <c r="X203" s="30">
        <f t="shared" si="27"/>
        <v>7</v>
      </c>
      <c r="Y203" s="30">
        <f t="shared" si="28"/>
        <v>9</v>
      </c>
      <c r="Z203" s="30">
        <f t="shared" si="29"/>
        <v>5</v>
      </c>
      <c r="AB203" s="31" t="s">
        <v>917</v>
      </c>
      <c r="AC203" s="56" t="s">
        <v>696</v>
      </c>
      <c r="AD203" s="45" t="s">
        <v>297</v>
      </c>
      <c r="AE203" s="127" t="s">
        <v>237</v>
      </c>
      <c r="AF203" s="35" t="s">
        <v>6</v>
      </c>
      <c r="AG203" s="3"/>
      <c r="AH203" s="3">
        <v>1</v>
      </c>
      <c r="AI203" s="3"/>
      <c r="AJ203" s="5"/>
      <c r="AK203" s="5">
        <v>1</v>
      </c>
      <c r="AL203" s="4"/>
      <c r="AM203" s="4"/>
      <c r="AN203" s="5">
        <v>3</v>
      </c>
      <c r="AO203" s="4">
        <v>1</v>
      </c>
      <c r="AP203" s="13"/>
      <c r="AQ203" s="5">
        <v>8</v>
      </c>
      <c r="AR203" s="4"/>
      <c r="AS203" s="13">
        <v>1</v>
      </c>
      <c r="AT203" s="14">
        <v>2</v>
      </c>
      <c r="AU203" s="13">
        <v>4</v>
      </c>
      <c r="AV203" s="4">
        <v>1</v>
      </c>
      <c r="AW203" s="5">
        <v>2</v>
      </c>
      <c r="AX203" s="4"/>
      <c r="AY203" s="30">
        <f t="shared" si="30"/>
        <v>2</v>
      </c>
      <c r="AZ203" s="30">
        <f t="shared" si="31"/>
        <v>17</v>
      </c>
      <c r="BA203" s="30">
        <f t="shared" si="32"/>
        <v>5</v>
      </c>
      <c r="BC203" s="31" t="s">
        <v>934</v>
      </c>
      <c r="BD203" s="52"/>
      <c r="BE203" s="37" t="s">
        <v>714</v>
      </c>
      <c r="BF203" s="127" t="s">
        <v>237</v>
      </c>
      <c r="BG203" s="35" t="s">
        <v>6</v>
      </c>
      <c r="BH203" s="3"/>
      <c r="BI203" s="3">
        <v>2</v>
      </c>
      <c r="BJ203" s="3"/>
      <c r="BK203" s="4">
        <v>1</v>
      </c>
      <c r="BL203" s="5">
        <v>1</v>
      </c>
      <c r="BM203" s="4"/>
      <c r="BN203" s="4"/>
      <c r="BO203" s="4">
        <v>2</v>
      </c>
      <c r="BP203" s="4">
        <v>3</v>
      </c>
      <c r="BQ203" s="13"/>
      <c r="BR203" s="4">
        <v>1</v>
      </c>
      <c r="BS203" s="4">
        <v>1</v>
      </c>
      <c r="BT203" s="13">
        <v>1</v>
      </c>
      <c r="BU203" s="13">
        <v>1</v>
      </c>
      <c r="BV203" s="13">
        <v>7</v>
      </c>
      <c r="BW203" s="4"/>
      <c r="BX203" s="4"/>
      <c r="BY203" s="4">
        <v>4</v>
      </c>
      <c r="BZ203" s="30">
        <f t="shared" si="33"/>
        <v>2</v>
      </c>
      <c r="CA203" s="30">
        <f t="shared" si="34"/>
        <v>7</v>
      </c>
      <c r="CB203" s="30">
        <f t="shared" si="35"/>
        <v>15</v>
      </c>
    </row>
    <row r="204" spans="1:80" ht="15.5" x14ac:dyDescent="0.35">
      <c r="A204" s="31" t="s">
        <v>985</v>
      </c>
      <c r="B204" s="56" t="s">
        <v>773</v>
      </c>
      <c r="C204" s="47" t="s">
        <v>359</v>
      </c>
      <c r="D204" s="141" t="s">
        <v>239</v>
      </c>
      <c r="E204" s="42" t="s">
        <v>8</v>
      </c>
      <c r="F204" s="19"/>
      <c r="G204" s="14">
        <v>2</v>
      </c>
      <c r="H204" s="13"/>
      <c r="I204" s="13">
        <v>2</v>
      </c>
      <c r="J204" s="14">
        <v>2</v>
      </c>
      <c r="K204" s="14"/>
      <c r="L204" s="13"/>
      <c r="M204" s="13">
        <v>2</v>
      </c>
      <c r="N204" s="13"/>
      <c r="O204" s="13">
        <v>3</v>
      </c>
      <c r="P204" s="13"/>
      <c r="Q204" s="13"/>
      <c r="R204" s="13">
        <v>2</v>
      </c>
      <c r="S204" s="13">
        <v>2</v>
      </c>
      <c r="T204" s="13"/>
      <c r="U204" s="13"/>
      <c r="V204" s="13"/>
      <c r="W204" s="13"/>
      <c r="X204" s="135">
        <f t="shared" si="27"/>
        <v>7</v>
      </c>
      <c r="Y204" s="30">
        <f t="shared" si="28"/>
        <v>8</v>
      </c>
      <c r="Z204" s="30">
        <f t="shared" si="29"/>
        <v>0</v>
      </c>
      <c r="AB204" s="31" t="s">
        <v>1054</v>
      </c>
      <c r="AC204" s="56" t="s">
        <v>834</v>
      </c>
      <c r="AD204" s="58" t="s">
        <v>411</v>
      </c>
      <c r="AE204" s="142" t="s">
        <v>1039</v>
      </c>
      <c r="AF204" s="42" t="s">
        <v>8</v>
      </c>
      <c r="AG204" s="4"/>
      <c r="AH204" s="4"/>
      <c r="AI204" s="4"/>
      <c r="AJ204" s="5">
        <v>1</v>
      </c>
      <c r="AK204" s="5">
        <v>5</v>
      </c>
      <c r="AL204" s="5"/>
      <c r="AM204" s="4"/>
      <c r="AN204" s="4">
        <v>5</v>
      </c>
      <c r="AO204" s="4">
        <v>1</v>
      </c>
      <c r="AP204" s="13">
        <v>1</v>
      </c>
      <c r="AQ204" s="13">
        <v>7</v>
      </c>
      <c r="AR204" s="13">
        <v>3</v>
      </c>
      <c r="AS204" s="13"/>
      <c r="AT204" s="13">
        <v>2</v>
      </c>
      <c r="AU204" s="13">
        <v>1</v>
      </c>
      <c r="AV204" s="4"/>
      <c r="AW204" s="4"/>
      <c r="AX204" s="4"/>
      <c r="AY204" s="30">
        <f t="shared" si="30"/>
        <v>2</v>
      </c>
      <c r="AZ204" s="135">
        <f t="shared" si="31"/>
        <v>19</v>
      </c>
      <c r="BA204" s="30">
        <f t="shared" si="32"/>
        <v>5</v>
      </c>
      <c r="BC204" s="31" t="s">
        <v>986</v>
      </c>
      <c r="BD204" s="56" t="s">
        <v>774</v>
      </c>
      <c r="BE204" s="47" t="s">
        <v>360</v>
      </c>
      <c r="BF204" s="141" t="s">
        <v>239</v>
      </c>
      <c r="BG204" s="42" t="s">
        <v>8</v>
      </c>
      <c r="BH204" s="19"/>
      <c r="BI204" s="13">
        <v>1</v>
      </c>
      <c r="BJ204" s="13"/>
      <c r="BK204" s="13"/>
      <c r="BL204" s="13">
        <v>1</v>
      </c>
      <c r="BM204" s="13"/>
      <c r="BN204" s="13"/>
      <c r="BO204" s="13">
        <v>1</v>
      </c>
      <c r="BP204" s="13"/>
      <c r="BQ204" s="13"/>
      <c r="BR204" s="13">
        <v>5</v>
      </c>
      <c r="BS204" s="13"/>
      <c r="BT204" s="13"/>
      <c r="BU204" s="13">
        <v>4</v>
      </c>
      <c r="BV204" s="13">
        <v>11</v>
      </c>
      <c r="BW204" s="13"/>
      <c r="BX204" s="13"/>
      <c r="BY204" s="13">
        <v>5</v>
      </c>
      <c r="BZ204" s="30">
        <f t="shared" si="33"/>
        <v>0</v>
      </c>
      <c r="CA204" s="30">
        <f t="shared" si="34"/>
        <v>12</v>
      </c>
      <c r="CB204" s="30">
        <f t="shared" si="35"/>
        <v>16</v>
      </c>
    </row>
    <row r="205" spans="1:80" ht="15.5" x14ac:dyDescent="0.35">
      <c r="A205" s="31" t="s">
        <v>918</v>
      </c>
      <c r="B205" s="56" t="s">
        <v>697</v>
      </c>
      <c r="C205" s="43" t="s">
        <v>298</v>
      </c>
      <c r="D205" s="127" t="s">
        <v>237</v>
      </c>
      <c r="E205" s="35" t="s">
        <v>6</v>
      </c>
      <c r="F205" s="3">
        <v>1</v>
      </c>
      <c r="G205" s="3">
        <v>2</v>
      </c>
      <c r="H205" s="3"/>
      <c r="I205" s="5">
        <v>1</v>
      </c>
      <c r="J205" s="5">
        <v>7</v>
      </c>
      <c r="K205" s="4">
        <v>1</v>
      </c>
      <c r="L205" s="4">
        <v>1</v>
      </c>
      <c r="M205" s="5">
        <v>1</v>
      </c>
      <c r="N205" s="4">
        <v>3</v>
      </c>
      <c r="O205" s="13">
        <v>2</v>
      </c>
      <c r="P205" s="5"/>
      <c r="Q205" s="4">
        <v>1</v>
      </c>
      <c r="R205" s="13">
        <v>3</v>
      </c>
      <c r="S205" s="14">
        <v>3</v>
      </c>
      <c r="T205" s="13">
        <v>3</v>
      </c>
      <c r="U205" s="4"/>
      <c r="V205" s="5">
        <v>1</v>
      </c>
      <c r="W205" s="4">
        <v>1</v>
      </c>
      <c r="X205" s="135">
        <f t="shared" si="27"/>
        <v>8</v>
      </c>
      <c r="Y205" s="30">
        <f t="shared" si="28"/>
        <v>14</v>
      </c>
      <c r="Z205" s="30">
        <f t="shared" si="29"/>
        <v>9</v>
      </c>
      <c r="AB205" s="31" t="s">
        <v>976</v>
      </c>
      <c r="AC205" s="56" t="s">
        <v>763</v>
      </c>
      <c r="AD205" s="47" t="s">
        <v>764</v>
      </c>
      <c r="AE205" s="141" t="s">
        <v>239</v>
      </c>
      <c r="AF205" s="42" t="s">
        <v>8</v>
      </c>
      <c r="AG205" s="19">
        <v>1</v>
      </c>
      <c r="AH205" s="13">
        <v>1</v>
      </c>
      <c r="AI205" s="13">
        <v>1</v>
      </c>
      <c r="AJ205" s="13"/>
      <c r="AK205" s="13">
        <v>7</v>
      </c>
      <c r="AL205" s="14">
        <v>2</v>
      </c>
      <c r="AM205" s="13"/>
      <c r="AN205" s="13">
        <v>3</v>
      </c>
      <c r="AO205" s="13">
        <v>1</v>
      </c>
      <c r="AP205" s="13">
        <v>1</v>
      </c>
      <c r="AQ205" s="13">
        <v>7</v>
      </c>
      <c r="AR205" s="13">
        <v>3</v>
      </c>
      <c r="AS205" s="13">
        <v>1</v>
      </c>
      <c r="AT205" s="13">
        <v>7</v>
      </c>
      <c r="AU205" s="13">
        <v>1</v>
      </c>
      <c r="AV205" s="13"/>
      <c r="AW205" s="13"/>
      <c r="AX205" s="13"/>
      <c r="AY205" s="30">
        <f t="shared" si="30"/>
        <v>3</v>
      </c>
      <c r="AZ205" s="135">
        <f t="shared" si="31"/>
        <v>25</v>
      </c>
      <c r="BA205" s="30">
        <f t="shared" si="32"/>
        <v>8</v>
      </c>
      <c r="BC205" s="31" t="s">
        <v>1015</v>
      </c>
      <c r="BD205" s="56" t="s">
        <v>803</v>
      </c>
      <c r="BE205" s="47" t="s">
        <v>388</v>
      </c>
      <c r="BF205" s="161" t="s">
        <v>240</v>
      </c>
      <c r="BG205" s="42" t="s">
        <v>6</v>
      </c>
      <c r="BH205" s="4"/>
      <c r="BI205" s="4">
        <v>2</v>
      </c>
      <c r="BJ205" s="4">
        <v>4</v>
      </c>
      <c r="BK205" s="4">
        <v>1</v>
      </c>
      <c r="BL205" s="5">
        <v>1</v>
      </c>
      <c r="BM205" s="4">
        <v>20</v>
      </c>
      <c r="BN205" s="4"/>
      <c r="BO205" s="4">
        <v>2</v>
      </c>
      <c r="BP205" s="4"/>
      <c r="BQ205" s="13"/>
      <c r="BR205" s="13"/>
      <c r="BS205" s="13"/>
      <c r="BT205" s="13"/>
      <c r="BU205" s="13"/>
      <c r="BV205" s="13">
        <v>2</v>
      </c>
      <c r="BW205" s="4"/>
      <c r="BX205" s="4"/>
      <c r="BY205" s="4"/>
      <c r="BZ205" s="30">
        <f t="shared" si="33"/>
        <v>1</v>
      </c>
      <c r="CA205" s="30">
        <f t="shared" si="34"/>
        <v>5</v>
      </c>
      <c r="CB205" s="30">
        <f t="shared" si="35"/>
        <v>26</v>
      </c>
    </row>
    <row r="206" spans="1:80" ht="15.5" x14ac:dyDescent="0.35">
      <c r="A206" s="31" t="s">
        <v>1019</v>
      </c>
      <c r="B206" s="56" t="s">
        <v>808</v>
      </c>
      <c r="C206" s="58" t="s">
        <v>391</v>
      </c>
      <c r="D206" s="161" t="s">
        <v>240</v>
      </c>
      <c r="E206" s="42" t="s">
        <v>8</v>
      </c>
      <c r="F206" s="4"/>
      <c r="G206" s="4">
        <v>2</v>
      </c>
      <c r="H206" s="4"/>
      <c r="I206" s="4">
        <v>2</v>
      </c>
      <c r="J206" s="5">
        <v>1</v>
      </c>
      <c r="K206" s="4"/>
      <c r="L206" s="4">
        <v>3</v>
      </c>
      <c r="M206" s="4"/>
      <c r="N206" s="4"/>
      <c r="O206" s="13">
        <v>2</v>
      </c>
      <c r="P206" s="13">
        <v>3</v>
      </c>
      <c r="Q206" s="13"/>
      <c r="R206" s="13">
        <v>1</v>
      </c>
      <c r="S206" s="13">
        <v>2</v>
      </c>
      <c r="T206" s="13"/>
      <c r="U206" s="4"/>
      <c r="V206" s="4">
        <v>1</v>
      </c>
      <c r="W206" s="4"/>
      <c r="X206" s="135">
        <f t="shared" si="27"/>
        <v>8</v>
      </c>
      <c r="Y206" s="30">
        <f t="shared" si="28"/>
        <v>9</v>
      </c>
      <c r="Z206" s="30">
        <f t="shared" si="29"/>
        <v>0</v>
      </c>
      <c r="AB206" s="31" t="s">
        <v>991</v>
      </c>
      <c r="AC206" s="56" t="s">
        <v>779</v>
      </c>
      <c r="AD206" s="47" t="s">
        <v>365</v>
      </c>
      <c r="AE206" s="141" t="s">
        <v>239</v>
      </c>
      <c r="AF206" s="42" t="s">
        <v>8</v>
      </c>
      <c r="AG206" s="19"/>
      <c r="AH206" s="13">
        <v>2</v>
      </c>
      <c r="AI206" s="13"/>
      <c r="AJ206" s="13"/>
      <c r="AK206" s="14">
        <v>7</v>
      </c>
      <c r="AL206" s="13"/>
      <c r="AM206" s="13">
        <v>3</v>
      </c>
      <c r="AN206" s="13">
        <v>5</v>
      </c>
      <c r="AO206" s="13">
        <v>1</v>
      </c>
      <c r="AP206" s="13">
        <v>1</v>
      </c>
      <c r="AQ206" s="13">
        <v>7</v>
      </c>
      <c r="AR206" s="13">
        <v>1</v>
      </c>
      <c r="AS206" s="13">
        <v>1</v>
      </c>
      <c r="AT206" s="13">
        <v>4</v>
      </c>
      <c r="AU206" s="13"/>
      <c r="AV206" s="13"/>
      <c r="AW206" s="13">
        <v>1</v>
      </c>
      <c r="AX206" s="13"/>
      <c r="AY206" s="30">
        <f t="shared" si="30"/>
        <v>5</v>
      </c>
      <c r="AZ206" s="135">
        <f t="shared" si="31"/>
        <v>26</v>
      </c>
      <c r="BA206" s="30">
        <f t="shared" si="32"/>
        <v>2</v>
      </c>
      <c r="BC206" s="31" t="s">
        <v>902</v>
      </c>
      <c r="BD206" s="56" t="s">
        <v>678</v>
      </c>
      <c r="BE206" s="43" t="s">
        <v>313</v>
      </c>
      <c r="BF206" s="127" t="s">
        <v>236</v>
      </c>
      <c r="BG206" s="35" t="s">
        <v>6</v>
      </c>
      <c r="BH206" s="3"/>
      <c r="BI206" s="4"/>
      <c r="BJ206" s="3">
        <v>1</v>
      </c>
      <c r="BK206" s="5"/>
      <c r="BL206" s="4"/>
      <c r="BM206" s="5">
        <v>7</v>
      </c>
      <c r="BN206" s="4"/>
      <c r="BO206" s="4">
        <v>1</v>
      </c>
      <c r="BP206" s="4">
        <v>9</v>
      </c>
      <c r="BQ206" s="13"/>
      <c r="BR206" s="14"/>
      <c r="BS206" s="13">
        <v>31</v>
      </c>
      <c r="BT206" s="13"/>
      <c r="BU206" s="14"/>
      <c r="BV206" s="13">
        <v>30</v>
      </c>
      <c r="BW206" s="4"/>
      <c r="BX206" s="5"/>
      <c r="BY206" s="4"/>
      <c r="BZ206" s="30">
        <f t="shared" si="33"/>
        <v>0</v>
      </c>
      <c r="CA206" s="30">
        <f t="shared" si="34"/>
        <v>1</v>
      </c>
      <c r="CB206" s="30">
        <f t="shared" si="35"/>
        <v>78</v>
      </c>
    </row>
    <row r="209" spans="2:8" ht="15.5" customHeight="1" x14ac:dyDescent="0.35">
      <c r="B209" s="478" t="s">
        <v>1072</v>
      </c>
      <c r="C209" s="456" t="s">
        <v>1073</v>
      </c>
      <c r="D209" s="456" t="s">
        <v>897</v>
      </c>
      <c r="E209" s="480" t="s">
        <v>4</v>
      </c>
      <c r="F209" s="477" t="s">
        <v>1037</v>
      </c>
      <c r="G209" s="477"/>
      <c r="H209" s="477"/>
    </row>
    <row r="210" spans="2:8" ht="15.5" customHeight="1" x14ac:dyDescent="0.35">
      <c r="B210" s="479"/>
      <c r="C210" s="457"/>
      <c r="D210" s="457"/>
      <c r="E210" s="481"/>
      <c r="F210" s="23" t="s">
        <v>20</v>
      </c>
      <c r="G210" s="23" t="s">
        <v>19</v>
      </c>
      <c r="H210" s="23" t="s">
        <v>52</v>
      </c>
    </row>
    <row r="211" spans="2:8" ht="15.5" x14ac:dyDescent="0.35">
      <c r="B211" s="160" t="s">
        <v>21</v>
      </c>
      <c r="C211" s="58" t="s">
        <v>391</v>
      </c>
      <c r="D211" s="171" t="s">
        <v>240</v>
      </c>
      <c r="E211" s="42" t="s">
        <v>8</v>
      </c>
      <c r="F211" s="23">
        <v>8</v>
      </c>
      <c r="G211" s="23"/>
      <c r="H211" s="23"/>
    </row>
    <row r="212" spans="2:8" ht="15.5" x14ac:dyDescent="0.35">
      <c r="B212" s="160" t="s">
        <v>22</v>
      </c>
      <c r="C212" s="43" t="s">
        <v>298</v>
      </c>
      <c r="D212" s="35" t="s">
        <v>237</v>
      </c>
      <c r="E212" s="35" t="s">
        <v>6</v>
      </c>
      <c r="F212" s="23">
        <v>8</v>
      </c>
      <c r="G212" s="23"/>
      <c r="H212" s="23"/>
    </row>
    <row r="213" spans="2:8" ht="15.5" x14ac:dyDescent="0.35">
      <c r="B213" s="160" t="s">
        <v>23</v>
      </c>
      <c r="C213" s="47" t="s">
        <v>359</v>
      </c>
      <c r="D213" s="159" t="s">
        <v>239</v>
      </c>
      <c r="E213" s="42" t="s">
        <v>8</v>
      </c>
      <c r="F213" s="23">
        <v>7</v>
      </c>
      <c r="G213" s="23"/>
      <c r="H213" s="23"/>
    </row>
    <row r="214" spans="2:8" ht="15.5" x14ac:dyDescent="0.35">
      <c r="B214" s="160" t="s">
        <v>24</v>
      </c>
      <c r="C214" s="47" t="s">
        <v>365</v>
      </c>
      <c r="D214" s="159" t="s">
        <v>239</v>
      </c>
      <c r="E214" s="42" t="s">
        <v>8</v>
      </c>
      <c r="F214" s="23"/>
      <c r="G214" s="23">
        <v>26</v>
      </c>
      <c r="H214" s="23"/>
    </row>
    <row r="215" spans="2:8" ht="15.5" x14ac:dyDescent="0.35">
      <c r="B215" s="160" t="s">
        <v>25</v>
      </c>
      <c r="C215" s="47" t="s">
        <v>764</v>
      </c>
      <c r="D215" s="159" t="s">
        <v>239</v>
      </c>
      <c r="E215" s="42" t="s">
        <v>8</v>
      </c>
      <c r="F215" s="23"/>
      <c r="G215" s="23">
        <v>25</v>
      </c>
      <c r="H215" s="23"/>
    </row>
    <row r="216" spans="2:8" ht="15.5" x14ac:dyDescent="0.35">
      <c r="B216" s="160" t="s">
        <v>26</v>
      </c>
      <c r="C216" s="58" t="s">
        <v>411</v>
      </c>
      <c r="D216" s="52" t="s">
        <v>1039</v>
      </c>
      <c r="E216" s="42" t="s">
        <v>8</v>
      </c>
      <c r="F216" s="23"/>
      <c r="G216" s="23">
        <v>19</v>
      </c>
      <c r="H216" s="23"/>
    </row>
    <row r="217" spans="2:8" ht="15.5" x14ac:dyDescent="0.35">
      <c r="B217" s="160" t="s">
        <v>27</v>
      </c>
      <c r="C217" s="43" t="s">
        <v>313</v>
      </c>
      <c r="D217" s="35" t="s">
        <v>236</v>
      </c>
      <c r="E217" s="35" t="s">
        <v>6</v>
      </c>
      <c r="F217" s="23"/>
      <c r="G217" s="23"/>
      <c r="H217" s="23">
        <v>78</v>
      </c>
    </row>
    <row r="218" spans="2:8" ht="15.5" x14ac:dyDescent="0.35">
      <c r="B218" s="160" t="s">
        <v>28</v>
      </c>
      <c r="C218" s="47" t="s">
        <v>388</v>
      </c>
      <c r="D218" s="171" t="s">
        <v>240</v>
      </c>
      <c r="E218" s="42" t="s">
        <v>6</v>
      </c>
      <c r="F218" s="23"/>
      <c r="G218" s="23"/>
      <c r="H218" s="23">
        <v>26</v>
      </c>
    </row>
    <row r="219" spans="2:8" ht="15.5" x14ac:dyDescent="0.35">
      <c r="B219" s="160" t="s">
        <v>29</v>
      </c>
      <c r="C219" s="47" t="s">
        <v>360</v>
      </c>
      <c r="D219" s="159" t="s">
        <v>239</v>
      </c>
      <c r="E219" s="42" t="s">
        <v>8</v>
      </c>
      <c r="F219" s="23"/>
      <c r="G219" s="23"/>
      <c r="H219" s="23">
        <v>19</v>
      </c>
    </row>
  </sheetData>
  <sortState xmlns:xlrd2="http://schemas.microsoft.com/office/spreadsheetml/2017/richdata2" ref="BC4:CB206">
    <sortCondition ref="CB4:CB206" customList="A"/>
  </sortState>
  <mergeCells count="41">
    <mergeCell ref="R2:T2"/>
    <mergeCell ref="U2:W2"/>
    <mergeCell ref="X2:Z2"/>
    <mergeCell ref="A2:A3"/>
    <mergeCell ref="B2:B3"/>
    <mergeCell ref="C2:C3"/>
    <mergeCell ref="E2:E3"/>
    <mergeCell ref="F2:H2"/>
    <mergeCell ref="I2:K2"/>
    <mergeCell ref="L2:N2"/>
    <mergeCell ref="O2:Q2"/>
    <mergeCell ref="D2:D3"/>
    <mergeCell ref="AY2:BA2"/>
    <mergeCell ref="AB2:AB3"/>
    <mergeCell ref="AC2:AC3"/>
    <mergeCell ref="AD2:AD3"/>
    <mergeCell ref="AE2:AE3"/>
    <mergeCell ref="AF2:AF3"/>
    <mergeCell ref="AG2:AI2"/>
    <mergeCell ref="AJ2:AL2"/>
    <mergeCell ref="AM2:AO2"/>
    <mergeCell ref="AP2:AR2"/>
    <mergeCell ref="AS2:AU2"/>
    <mergeCell ref="AV2:AX2"/>
    <mergeCell ref="BZ2:CB2"/>
    <mergeCell ref="BC2:BC3"/>
    <mergeCell ref="BD2:BD3"/>
    <mergeCell ref="BE2:BE3"/>
    <mergeCell ref="BF2:BF3"/>
    <mergeCell ref="BG2:BG3"/>
    <mergeCell ref="BH2:BJ2"/>
    <mergeCell ref="BK2:BM2"/>
    <mergeCell ref="BN2:BP2"/>
    <mergeCell ref="BQ2:BS2"/>
    <mergeCell ref="BT2:BV2"/>
    <mergeCell ref="BW2:BY2"/>
    <mergeCell ref="F209:H209"/>
    <mergeCell ref="B209:B210"/>
    <mergeCell ref="C209:C210"/>
    <mergeCell ref="D209:D210"/>
    <mergeCell ref="E209:E210"/>
  </mergeCells>
  <phoneticPr fontId="1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126C-13EA-4F07-B603-B91C15CDCD5B}">
  <dimension ref="A1:BF298"/>
  <sheetViews>
    <sheetView zoomScale="70" zoomScaleNormal="70" zoomScaleSheetLayoutView="70" workbookViewId="0">
      <selection activeCell="P13" sqref="P13"/>
    </sheetView>
  </sheetViews>
  <sheetFormatPr defaultColWidth="8.81640625" defaultRowHeight="15.5" x14ac:dyDescent="0.35"/>
  <cols>
    <col min="1" max="1" width="5.6328125" style="322" customWidth="1"/>
    <col min="2" max="2" width="9.6328125" style="322" customWidth="1"/>
    <col min="3" max="3" width="36.90625" style="322" customWidth="1"/>
    <col min="4" max="4" width="8.81640625" style="322"/>
    <col min="5" max="5" width="8.6328125" style="337" customWidth="1"/>
    <col min="6" max="8" width="5.6328125" style="338" customWidth="1"/>
    <col min="9" max="12" width="8.6328125" style="302" customWidth="1"/>
    <col min="13" max="15" width="5.6328125" style="220" customWidth="1"/>
    <col min="16" max="19" width="8.6328125" style="302" customWidth="1"/>
    <col min="20" max="22" width="6.08984375" style="254" customWidth="1"/>
    <col min="23" max="25" width="8.6328125" style="302" customWidth="1"/>
    <col min="26" max="26" width="8.6328125" style="302" hidden="1" customWidth="1"/>
    <col min="27" max="29" width="6.08984375" style="282" hidden="1" customWidth="1"/>
    <col min="30" max="32" width="8.6328125" style="282" hidden="1" customWidth="1"/>
    <col min="33" max="33" width="8.6328125" style="317" hidden="1" customWidth="1"/>
    <col min="34" max="36" width="6.08984375" style="317" hidden="1" customWidth="1"/>
    <col min="37" max="39" width="8.6328125" style="317" hidden="1" customWidth="1"/>
    <col min="40" max="40" width="8.6328125" style="318" hidden="1" customWidth="1"/>
    <col min="41" max="43" width="6.08984375" style="318" hidden="1" customWidth="1"/>
    <col min="44" max="46" width="8.6328125" style="318" hidden="1" customWidth="1"/>
    <col min="47" max="49" width="8.81640625" style="301" customWidth="1"/>
    <col min="50" max="50" width="11.1796875" style="301" customWidth="1"/>
    <col min="51" max="51" width="10.36328125" style="301" customWidth="1"/>
    <col min="52" max="52" width="13.1796875" style="301" customWidth="1"/>
    <col min="53" max="53" width="18.54296875" style="283" customWidth="1"/>
    <col min="54" max="54" width="10" style="321" customWidth="1"/>
    <col min="55" max="55" width="15.08984375" style="283" customWidth="1"/>
    <col min="56" max="56" width="18.54296875" style="283" customWidth="1"/>
    <col min="57" max="57" width="10.81640625" style="283" customWidth="1"/>
    <col min="58" max="58" width="9.08984375" style="303" customWidth="1"/>
    <col min="59" max="16384" width="8.81640625" style="322"/>
  </cols>
  <sheetData>
    <row r="1" spans="1:58" x14ac:dyDescent="0.35">
      <c r="A1" s="449" t="s">
        <v>220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279"/>
      <c r="AY1" s="279"/>
      <c r="AZ1" s="279"/>
      <c r="BA1" s="439" t="s">
        <v>887</v>
      </c>
      <c r="BB1" s="439"/>
      <c r="BC1" s="439"/>
    </row>
    <row r="2" spans="1:58" x14ac:dyDescent="0.35">
      <c r="A2" s="449" t="s">
        <v>0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279"/>
      <c r="AY2" s="279"/>
      <c r="AZ2" s="279"/>
      <c r="BA2" s="439" t="s">
        <v>888</v>
      </c>
      <c r="BB2" s="439"/>
      <c r="BC2" s="285" t="s">
        <v>886</v>
      </c>
    </row>
    <row r="3" spans="1:58" x14ac:dyDescent="0.35">
      <c r="A3" s="449" t="s">
        <v>1078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279"/>
      <c r="AY3" s="279"/>
      <c r="AZ3" s="279"/>
      <c r="BA3" s="440" t="s">
        <v>881</v>
      </c>
      <c r="BB3" s="440"/>
      <c r="BC3" s="245">
        <v>2</v>
      </c>
    </row>
    <row r="4" spans="1:58" s="323" customFormat="1" x14ac:dyDescent="0.35"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86"/>
      <c r="AV4" s="286"/>
      <c r="AW4" s="286"/>
      <c r="AX4" s="286"/>
      <c r="AY4" s="286"/>
      <c r="AZ4" s="286"/>
      <c r="BA4" s="441" t="s">
        <v>885</v>
      </c>
      <c r="BB4" s="441"/>
      <c r="BC4" s="246">
        <v>2</v>
      </c>
      <c r="BD4" s="288"/>
      <c r="BE4" s="288"/>
      <c r="BF4" s="304"/>
    </row>
    <row r="5" spans="1:58" s="323" customFormat="1" x14ac:dyDescent="0.35"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86"/>
      <c r="AV5" s="286"/>
      <c r="AW5" s="286"/>
      <c r="AX5" s="286"/>
      <c r="AY5" s="286"/>
      <c r="AZ5" s="286"/>
      <c r="BA5" s="442" t="s">
        <v>882</v>
      </c>
      <c r="BB5" s="442"/>
      <c r="BC5" s="246" t="s">
        <v>889</v>
      </c>
      <c r="BD5" s="288"/>
      <c r="BE5" s="288"/>
      <c r="BF5" s="304"/>
    </row>
    <row r="6" spans="1:58" s="323" customFormat="1" ht="16" thickBot="1" x14ac:dyDescent="0.4">
      <c r="A6" s="324" t="s">
        <v>241</v>
      </c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86"/>
      <c r="AV6" s="286"/>
      <c r="AW6" s="286"/>
      <c r="AX6" s="286"/>
      <c r="AY6" s="286"/>
      <c r="AZ6" s="286"/>
      <c r="BA6" s="288"/>
      <c r="BB6" s="319"/>
      <c r="BC6" s="288"/>
      <c r="BD6" s="288"/>
      <c r="BE6" s="288"/>
      <c r="BF6" s="304"/>
    </row>
    <row r="7" spans="1:58" s="325" customFormat="1" ht="25" customHeight="1" thickBot="1" x14ac:dyDescent="0.4">
      <c r="A7" s="447" t="s">
        <v>1072</v>
      </c>
      <c r="B7" s="447" t="s">
        <v>2</v>
      </c>
      <c r="C7" s="448" t="s">
        <v>1606</v>
      </c>
      <c r="D7" s="448" t="s">
        <v>4</v>
      </c>
      <c r="E7" s="431" t="s">
        <v>1612</v>
      </c>
      <c r="F7" s="431"/>
      <c r="G7" s="431"/>
      <c r="H7" s="431"/>
      <c r="I7" s="431"/>
      <c r="J7" s="431"/>
      <c r="K7" s="431"/>
      <c r="L7" s="432" t="s">
        <v>1613</v>
      </c>
      <c r="M7" s="432"/>
      <c r="N7" s="432"/>
      <c r="O7" s="432"/>
      <c r="P7" s="432"/>
      <c r="Q7" s="432"/>
      <c r="R7" s="432"/>
      <c r="S7" s="433" t="s">
        <v>1614</v>
      </c>
      <c r="T7" s="433"/>
      <c r="U7" s="433"/>
      <c r="V7" s="433"/>
      <c r="W7" s="433"/>
      <c r="X7" s="433"/>
      <c r="Y7" s="433"/>
      <c r="Z7" s="434" t="s">
        <v>1615</v>
      </c>
      <c r="AA7" s="434"/>
      <c r="AB7" s="434"/>
      <c r="AC7" s="434"/>
      <c r="AD7" s="434"/>
      <c r="AE7" s="434"/>
      <c r="AF7" s="434"/>
      <c r="AG7" s="435" t="s">
        <v>1616</v>
      </c>
      <c r="AH7" s="435"/>
      <c r="AI7" s="435"/>
      <c r="AJ7" s="435"/>
      <c r="AK7" s="435"/>
      <c r="AL7" s="435"/>
      <c r="AM7" s="435"/>
      <c r="AN7" s="436" t="s">
        <v>1617</v>
      </c>
      <c r="AO7" s="436"/>
      <c r="AP7" s="436"/>
      <c r="AQ7" s="436"/>
      <c r="AR7" s="436"/>
      <c r="AS7" s="436"/>
      <c r="AT7" s="436"/>
      <c r="AU7" s="438" t="s">
        <v>224</v>
      </c>
      <c r="AV7" s="438"/>
      <c r="AW7" s="438"/>
      <c r="AX7" s="437" t="s">
        <v>1602</v>
      </c>
      <c r="AY7" s="437" t="s">
        <v>1603</v>
      </c>
      <c r="AZ7" s="437" t="s">
        <v>1604</v>
      </c>
      <c r="BA7" s="445" t="s">
        <v>1076</v>
      </c>
      <c r="BB7" s="430" t="s">
        <v>883</v>
      </c>
      <c r="BC7" s="428" t="s">
        <v>880</v>
      </c>
      <c r="BD7" s="428"/>
      <c r="BE7" s="428"/>
      <c r="BF7" s="429" t="s">
        <v>884</v>
      </c>
    </row>
    <row r="8" spans="1:58" s="325" customFormat="1" ht="55" customHeight="1" thickBot="1" x14ac:dyDescent="0.4">
      <c r="A8" s="447"/>
      <c r="B8" s="447"/>
      <c r="C8" s="448"/>
      <c r="D8" s="448"/>
      <c r="E8" s="235" t="s">
        <v>1598</v>
      </c>
      <c r="F8" s="236" t="s">
        <v>20</v>
      </c>
      <c r="G8" s="236" t="s">
        <v>19</v>
      </c>
      <c r="H8" s="236" t="s">
        <v>52</v>
      </c>
      <c r="I8" s="237" t="s">
        <v>1599</v>
      </c>
      <c r="J8" s="237" t="s">
        <v>1600</v>
      </c>
      <c r="K8" s="237" t="s">
        <v>1601</v>
      </c>
      <c r="L8" s="202" t="s">
        <v>1598</v>
      </c>
      <c r="M8" s="206" t="s">
        <v>20</v>
      </c>
      <c r="N8" s="206" t="s">
        <v>19</v>
      </c>
      <c r="O8" s="206" t="s">
        <v>52</v>
      </c>
      <c r="P8" s="207" t="s">
        <v>1599</v>
      </c>
      <c r="Q8" s="207" t="s">
        <v>1600</v>
      </c>
      <c r="R8" s="207" t="s">
        <v>1601</v>
      </c>
      <c r="S8" s="238" t="s">
        <v>1598</v>
      </c>
      <c r="T8" s="239" t="s">
        <v>20</v>
      </c>
      <c r="U8" s="239" t="s">
        <v>19</v>
      </c>
      <c r="V8" s="239" t="s">
        <v>52</v>
      </c>
      <c r="W8" s="224" t="s">
        <v>1599</v>
      </c>
      <c r="X8" s="224" t="s">
        <v>1600</v>
      </c>
      <c r="Y8" s="224" t="s">
        <v>1601</v>
      </c>
      <c r="Z8" s="240" t="s">
        <v>1598</v>
      </c>
      <c r="AA8" s="241" t="s">
        <v>20</v>
      </c>
      <c r="AB8" s="241" t="s">
        <v>19</v>
      </c>
      <c r="AC8" s="241" t="s">
        <v>52</v>
      </c>
      <c r="AD8" s="208" t="s">
        <v>1599</v>
      </c>
      <c r="AE8" s="208" t="s">
        <v>1600</v>
      </c>
      <c r="AF8" s="208" t="s">
        <v>1601</v>
      </c>
      <c r="AG8" s="209" t="s">
        <v>1598</v>
      </c>
      <c r="AH8" s="210" t="s">
        <v>20</v>
      </c>
      <c r="AI8" s="210" t="s">
        <v>19</v>
      </c>
      <c r="AJ8" s="210" t="s">
        <v>52</v>
      </c>
      <c r="AK8" s="211" t="s">
        <v>1599</v>
      </c>
      <c r="AL8" s="211" t="s">
        <v>1600</v>
      </c>
      <c r="AM8" s="211" t="s">
        <v>1601</v>
      </c>
      <c r="AN8" s="212" t="s">
        <v>1598</v>
      </c>
      <c r="AO8" s="213" t="s">
        <v>20</v>
      </c>
      <c r="AP8" s="213" t="s">
        <v>19</v>
      </c>
      <c r="AQ8" s="213" t="s">
        <v>52</v>
      </c>
      <c r="AR8" s="214" t="s">
        <v>1599</v>
      </c>
      <c r="AS8" s="214" t="s">
        <v>1600</v>
      </c>
      <c r="AT8" s="214" t="s">
        <v>1601</v>
      </c>
      <c r="AU8" s="203" t="s">
        <v>20</v>
      </c>
      <c r="AV8" s="204" t="s">
        <v>19</v>
      </c>
      <c r="AW8" s="204" t="s">
        <v>52</v>
      </c>
      <c r="AX8" s="437"/>
      <c r="AY8" s="437"/>
      <c r="AZ8" s="437"/>
      <c r="BA8" s="446"/>
      <c r="BB8" s="430"/>
      <c r="BC8" s="375" t="s">
        <v>881</v>
      </c>
      <c r="BD8" s="377" t="s">
        <v>885</v>
      </c>
      <c r="BE8" s="376" t="s">
        <v>882</v>
      </c>
      <c r="BF8" s="429"/>
    </row>
    <row r="9" spans="1:58" x14ac:dyDescent="0.35">
      <c r="A9" s="242">
        <v>1</v>
      </c>
      <c r="B9" s="119" t="s">
        <v>630</v>
      </c>
      <c r="C9" s="129" t="s">
        <v>246</v>
      </c>
      <c r="D9" s="127" t="s">
        <v>6</v>
      </c>
      <c r="E9" s="215">
        <v>19</v>
      </c>
      <c r="F9" s="216">
        <v>2</v>
      </c>
      <c r="G9" s="216"/>
      <c r="H9" s="216"/>
      <c r="I9" s="326">
        <f>SUM(F9:H9)</f>
        <v>2</v>
      </c>
      <c r="J9" s="326">
        <f>E9-I9</f>
        <v>17</v>
      </c>
      <c r="K9" s="327">
        <f>J9/E9</f>
        <v>0.89473684210526316</v>
      </c>
      <c r="L9" s="221">
        <v>14</v>
      </c>
      <c r="M9" s="221">
        <v>1</v>
      </c>
      <c r="N9" s="221"/>
      <c r="O9" s="221"/>
      <c r="P9" s="328">
        <f>SUM(M9:O9)</f>
        <v>1</v>
      </c>
      <c r="Q9" s="328">
        <f>L9-P9</f>
        <v>13</v>
      </c>
      <c r="R9" s="329">
        <f>Q9/L9</f>
        <v>0.9285714285714286</v>
      </c>
      <c r="S9" s="225">
        <v>12</v>
      </c>
      <c r="T9" s="225"/>
      <c r="U9" s="225"/>
      <c r="V9" s="225"/>
      <c r="W9" s="330">
        <f>SUM(T9:V9)</f>
        <v>0</v>
      </c>
      <c r="X9" s="330">
        <f>S9-W9</f>
        <v>12</v>
      </c>
      <c r="Y9" s="331">
        <f>X9/S9</f>
        <v>1</v>
      </c>
      <c r="Z9" s="228">
        <v>21</v>
      </c>
      <c r="AA9" s="228"/>
      <c r="AB9" s="228"/>
      <c r="AC9" s="228"/>
      <c r="AD9" s="280">
        <f>SUM(AA9:AC9)</f>
        <v>0</v>
      </c>
      <c r="AE9" s="280">
        <f>Z9-AD9</f>
        <v>21</v>
      </c>
      <c r="AF9" s="281">
        <f>AE9/Z9</f>
        <v>1</v>
      </c>
      <c r="AG9" s="229">
        <v>18</v>
      </c>
      <c r="AH9" s="229"/>
      <c r="AI9" s="229"/>
      <c r="AJ9" s="229"/>
      <c r="AK9" s="305">
        <f>SUM(AH9:AJ9)</f>
        <v>0</v>
      </c>
      <c r="AL9" s="305">
        <f>AG9-AK9</f>
        <v>18</v>
      </c>
      <c r="AM9" s="306">
        <f>AL9/AG9</f>
        <v>1</v>
      </c>
      <c r="AN9" s="230">
        <v>14</v>
      </c>
      <c r="AO9" s="230"/>
      <c r="AP9" s="230"/>
      <c r="AQ9" s="230"/>
      <c r="AR9" s="307">
        <f>SUM(AO9:AQ9)</f>
        <v>0</v>
      </c>
      <c r="AS9" s="307">
        <f>AN9-AR9</f>
        <v>14</v>
      </c>
      <c r="AT9" s="308">
        <f>AS9/AN9</f>
        <v>1</v>
      </c>
      <c r="AU9" s="289">
        <f t="shared" ref="AU9" si="0">F9+M9+T9+AA9+AH9+AO9</f>
        <v>3</v>
      </c>
      <c r="AV9" s="289">
        <f t="shared" ref="AV9" si="1">G9+N9+U9+AB9+AI9+AP9</f>
        <v>0</v>
      </c>
      <c r="AW9" s="289">
        <f t="shared" ref="AW9" si="2">H9+O9+V9+AC9+AJ9+AQ9</f>
        <v>0</v>
      </c>
      <c r="AX9" s="290">
        <v>98</v>
      </c>
      <c r="AY9" s="289">
        <f>AX9-AU9-AV9-AW9</f>
        <v>95</v>
      </c>
      <c r="AZ9" s="291">
        <f>AY9/AX9</f>
        <v>0.96938775510204078</v>
      </c>
      <c r="BA9" s="309"/>
      <c r="BB9" s="390" cm="1">
        <f t="array" ref="BB9:BB22">[1]XII!$BF$9:$BF$22</f>
        <v>86</v>
      </c>
      <c r="BC9" s="379">
        <f>BA9*2</f>
        <v>0</v>
      </c>
      <c r="BD9" s="378">
        <f>AW9*2</f>
        <v>0</v>
      </c>
      <c r="BE9" s="391"/>
      <c r="BF9" s="387">
        <f>BB9-BC9-BD9-BE9</f>
        <v>86</v>
      </c>
    </row>
    <row r="10" spans="1:58" x14ac:dyDescent="0.35">
      <c r="A10" s="243">
        <v>2</v>
      </c>
      <c r="B10" s="56" t="s">
        <v>631</v>
      </c>
      <c r="C10" s="36" t="s">
        <v>247</v>
      </c>
      <c r="D10" s="35" t="s">
        <v>6</v>
      </c>
      <c r="E10" s="215">
        <v>19</v>
      </c>
      <c r="F10" s="217">
        <v>2</v>
      </c>
      <c r="G10" s="217"/>
      <c r="H10" s="217"/>
      <c r="I10" s="326">
        <f t="shared" ref="I10:I22" si="3">SUM(F10:H10)</f>
        <v>2</v>
      </c>
      <c r="J10" s="326">
        <f t="shared" ref="J10:J22" si="4">E10-I10</f>
        <v>17</v>
      </c>
      <c r="K10" s="327">
        <f t="shared" ref="K10:K22" si="5">J10/E10</f>
        <v>0.89473684210526316</v>
      </c>
      <c r="L10" s="221">
        <v>14</v>
      </c>
      <c r="M10" s="222">
        <v>1</v>
      </c>
      <c r="N10" s="222">
        <v>2</v>
      </c>
      <c r="O10" s="222"/>
      <c r="P10" s="328">
        <f t="shared" ref="P10:P21" si="6">SUM(M10:O10)</f>
        <v>3</v>
      </c>
      <c r="Q10" s="328">
        <f t="shared" ref="Q10:Q21" si="7">L10-P10</f>
        <v>11</v>
      </c>
      <c r="R10" s="329">
        <f t="shared" ref="R10:R21" si="8">Q10/L10</f>
        <v>0.7857142857142857</v>
      </c>
      <c r="S10" s="225">
        <v>12</v>
      </c>
      <c r="T10" s="226"/>
      <c r="U10" s="226"/>
      <c r="V10" s="226"/>
      <c r="W10" s="330">
        <f t="shared" ref="W10:W21" si="9">SUM(T10:V10)</f>
        <v>0</v>
      </c>
      <c r="X10" s="330">
        <f t="shared" ref="X10:X21" si="10">S10-W10</f>
        <v>12</v>
      </c>
      <c r="Y10" s="331">
        <f t="shared" ref="Y10:Y21" si="11">X10/S10</f>
        <v>1</v>
      </c>
      <c r="Z10" s="228">
        <v>21</v>
      </c>
      <c r="AA10" s="255"/>
      <c r="AB10" s="255"/>
      <c r="AC10" s="255"/>
      <c r="AD10" s="280">
        <f t="shared" ref="AD10:AD22" si="12">SUM(AA10:AC10)</f>
        <v>0</v>
      </c>
      <c r="AE10" s="280">
        <f t="shared" ref="AE10:AE22" si="13">Z10-AD10</f>
        <v>21</v>
      </c>
      <c r="AF10" s="281">
        <f t="shared" ref="AF10:AF22" si="14">AE10/Z10</f>
        <v>1</v>
      </c>
      <c r="AG10" s="229">
        <v>18</v>
      </c>
      <c r="AH10" s="257"/>
      <c r="AI10" s="257"/>
      <c r="AJ10" s="257"/>
      <c r="AK10" s="305">
        <f t="shared" ref="AK10:AK22" si="15">SUM(AH10:AJ10)</f>
        <v>0</v>
      </c>
      <c r="AL10" s="305">
        <f t="shared" ref="AL10:AL22" si="16">AG10-AK10</f>
        <v>18</v>
      </c>
      <c r="AM10" s="306">
        <f t="shared" ref="AM10:AM22" si="17">AL10/AG10</f>
        <v>1</v>
      </c>
      <c r="AN10" s="230">
        <v>14</v>
      </c>
      <c r="AO10" s="259"/>
      <c r="AP10" s="259"/>
      <c r="AQ10" s="259"/>
      <c r="AR10" s="307">
        <f t="shared" ref="AR10:AR22" si="18">SUM(AO10:AQ10)</f>
        <v>0</v>
      </c>
      <c r="AS10" s="307">
        <f t="shared" ref="AS10:AS22" si="19">AN10-AR10</f>
        <v>14</v>
      </c>
      <c r="AT10" s="308">
        <f t="shared" ref="AT10:AT22" si="20">AS10/AN10</f>
        <v>1</v>
      </c>
      <c r="AU10" s="289">
        <f t="shared" ref="AU10:AU22" si="21">F10+M10+T10+AA10+AH10+AO10</f>
        <v>3</v>
      </c>
      <c r="AV10" s="289">
        <f t="shared" ref="AV10:AV22" si="22">G10+N10+U10+AB10+AI10+AP10</f>
        <v>2</v>
      </c>
      <c r="AW10" s="289">
        <f t="shared" ref="AW10:AW22" si="23">H10+O10+V10+AC10+AJ10+AQ10</f>
        <v>0</v>
      </c>
      <c r="AX10" s="290">
        <v>98</v>
      </c>
      <c r="AY10" s="289">
        <f t="shared" ref="AY10:AY22" si="24">AX10-AU10-AV10-AW10</f>
        <v>93</v>
      </c>
      <c r="AZ10" s="291">
        <f t="shared" ref="AZ10:AZ22" si="25">AY10/AX10</f>
        <v>0.94897959183673475</v>
      </c>
      <c r="BA10" s="245"/>
      <c r="BB10" s="386">
        <v>98</v>
      </c>
      <c r="BC10" s="379">
        <f t="shared" ref="BC10:BC22" si="26">BA10*2</f>
        <v>0</v>
      </c>
      <c r="BD10" s="378">
        <f t="shared" ref="BD10:BD22" si="27">AW10*2</f>
        <v>0</v>
      </c>
      <c r="BE10" s="392"/>
      <c r="BF10" s="387">
        <f t="shared" ref="BF10:BF22" si="28">BB10-BC10-BD10-BE10</f>
        <v>98</v>
      </c>
    </row>
    <row r="11" spans="1:58" x14ac:dyDescent="0.35">
      <c r="A11" s="243">
        <v>3</v>
      </c>
      <c r="B11" s="56" t="s">
        <v>632</v>
      </c>
      <c r="C11" s="36" t="s">
        <v>248</v>
      </c>
      <c r="D11" s="35" t="s">
        <v>8</v>
      </c>
      <c r="E11" s="215">
        <v>19</v>
      </c>
      <c r="F11" s="217">
        <v>2</v>
      </c>
      <c r="G11" s="217"/>
      <c r="H11" s="217"/>
      <c r="I11" s="326">
        <f t="shared" si="3"/>
        <v>2</v>
      </c>
      <c r="J11" s="326">
        <f t="shared" si="4"/>
        <v>17</v>
      </c>
      <c r="K11" s="327">
        <f t="shared" si="5"/>
        <v>0.89473684210526316</v>
      </c>
      <c r="L11" s="221">
        <v>14</v>
      </c>
      <c r="M11" s="222">
        <v>1</v>
      </c>
      <c r="N11" s="222">
        <v>2</v>
      </c>
      <c r="O11" s="222"/>
      <c r="P11" s="328">
        <f t="shared" si="6"/>
        <v>3</v>
      </c>
      <c r="Q11" s="328">
        <f t="shared" si="7"/>
        <v>11</v>
      </c>
      <c r="R11" s="329">
        <f t="shared" si="8"/>
        <v>0.7857142857142857</v>
      </c>
      <c r="S11" s="225">
        <v>12</v>
      </c>
      <c r="T11" s="226"/>
      <c r="U11" s="227"/>
      <c r="V11" s="226"/>
      <c r="W11" s="330">
        <f t="shared" si="9"/>
        <v>0</v>
      </c>
      <c r="X11" s="330">
        <f t="shared" si="10"/>
        <v>12</v>
      </c>
      <c r="Y11" s="331">
        <f t="shared" si="11"/>
        <v>1</v>
      </c>
      <c r="Z11" s="228">
        <v>21</v>
      </c>
      <c r="AA11" s="255"/>
      <c r="AB11" s="256"/>
      <c r="AC11" s="255"/>
      <c r="AD11" s="280">
        <f t="shared" si="12"/>
        <v>0</v>
      </c>
      <c r="AE11" s="280">
        <f t="shared" si="13"/>
        <v>21</v>
      </c>
      <c r="AF11" s="281">
        <f t="shared" si="14"/>
        <v>1</v>
      </c>
      <c r="AG11" s="229">
        <v>18</v>
      </c>
      <c r="AH11" s="257"/>
      <c r="AI11" s="258"/>
      <c r="AJ11" s="257"/>
      <c r="AK11" s="305">
        <f t="shared" si="15"/>
        <v>0</v>
      </c>
      <c r="AL11" s="305">
        <f t="shared" si="16"/>
        <v>18</v>
      </c>
      <c r="AM11" s="306">
        <f t="shared" si="17"/>
        <v>1</v>
      </c>
      <c r="AN11" s="230">
        <v>14</v>
      </c>
      <c r="AO11" s="259"/>
      <c r="AP11" s="260"/>
      <c r="AQ11" s="259"/>
      <c r="AR11" s="307">
        <f t="shared" si="18"/>
        <v>0</v>
      </c>
      <c r="AS11" s="307">
        <f t="shared" si="19"/>
        <v>14</v>
      </c>
      <c r="AT11" s="308">
        <f t="shared" si="20"/>
        <v>1</v>
      </c>
      <c r="AU11" s="289">
        <f t="shared" si="21"/>
        <v>3</v>
      </c>
      <c r="AV11" s="289">
        <f t="shared" si="22"/>
        <v>2</v>
      </c>
      <c r="AW11" s="289">
        <f t="shared" si="23"/>
        <v>0</v>
      </c>
      <c r="AX11" s="290">
        <v>98</v>
      </c>
      <c r="AY11" s="289">
        <f t="shared" si="24"/>
        <v>93</v>
      </c>
      <c r="AZ11" s="291">
        <f t="shared" si="25"/>
        <v>0.94897959183673475</v>
      </c>
      <c r="BA11" s="245"/>
      <c r="BB11" s="386">
        <v>94</v>
      </c>
      <c r="BC11" s="379">
        <f t="shared" si="26"/>
        <v>0</v>
      </c>
      <c r="BD11" s="378">
        <f t="shared" si="27"/>
        <v>0</v>
      </c>
      <c r="BE11" s="392"/>
      <c r="BF11" s="387">
        <f t="shared" si="28"/>
        <v>94</v>
      </c>
    </row>
    <row r="12" spans="1:58" x14ac:dyDescent="0.35">
      <c r="A12" s="243">
        <v>4</v>
      </c>
      <c r="B12" s="56" t="s">
        <v>633</v>
      </c>
      <c r="C12" s="36" t="s">
        <v>249</v>
      </c>
      <c r="D12" s="35" t="s">
        <v>6</v>
      </c>
      <c r="E12" s="215">
        <v>19</v>
      </c>
      <c r="F12" s="217">
        <v>2</v>
      </c>
      <c r="G12" s="217"/>
      <c r="H12" s="217"/>
      <c r="I12" s="326">
        <f t="shared" si="3"/>
        <v>2</v>
      </c>
      <c r="J12" s="326">
        <f t="shared" si="4"/>
        <v>17</v>
      </c>
      <c r="K12" s="327">
        <f t="shared" si="5"/>
        <v>0.89473684210526316</v>
      </c>
      <c r="L12" s="221">
        <v>14</v>
      </c>
      <c r="M12" s="222">
        <v>1</v>
      </c>
      <c r="N12" s="223">
        <v>1</v>
      </c>
      <c r="O12" s="222"/>
      <c r="P12" s="328">
        <f t="shared" si="6"/>
        <v>2</v>
      </c>
      <c r="Q12" s="328">
        <f t="shared" si="7"/>
        <v>12</v>
      </c>
      <c r="R12" s="329">
        <f t="shared" si="8"/>
        <v>0.8571428571428571</v>
      </c>
      <c r="S12" s="225">
        <v>12</v>
      </c>
      <c r="T12" s="226"/>
      <c r="U12" s="226"/>
      <c r="V12" s="226"/>
      <c r="W12" s="330">
        <f t="shared" si="9"/>
        <v>0</v>
      </c>
      <c r="X12" s="330">
        <f t="shared" si="10"/>
        <v>12</v>
      </c>
      <c r="Y12" s="331">
        <f t="shared" si="11"/>
        <v>1</v>
      </c>
      <c r="Z12" s="228">
        <v>21</v>
      </c>
      <c r="AA12" s="255"/>
      <c r="AB12" s="255"/>
      <c r="AC12" s="255"/>
      <c r="AD12" s="280">
        <f t="shared" si="12"/>
        <v>0</v>
      </c>
      <c r="AE12" s="280">
        <f t="shared" si="13"/>
        <v>21</v>
      </c>
      <c r="AF12" s="281">
        <f t="shared" si="14"/>
        <v>1</v>
      </c>
      <c r="AG12" s="229">
        <v>18</v>
      </c>
      <c r="AH12" s="257"/>
      <c r="AI12" s="257"/>
      <c r="AJ12" s="257"/>
      <c r="AK12" s="305">
        <f t="shared" si="15"/>
        <v>0</v>
      </c>
      <c r="AL12" s="305">
        <f t="shared" si="16"/>
        <v>18</v>
      </c>
      <c r="AM12" s="306">
        <f t="shared" si="17"/>
        <v>1</v>
      </c>
      <c r="AN12" s="230">
        <v>14</v>
      </c>
      <c r="AO12" s="259"/>
      <c r="AP12" s="259"/>
      <c r="AQ12" s="259"/>
      <c r="AR12" s="307">
        <f t="shared" si="18"/>
        <v>0</v>
      </c>
      <c r="AS12" s="307">
        <f t="shared" si="19"/>
        <v>14</v>
      </c>
      <c r="AT12" s="308">
        <f t="shared" si="20"/>
        <v>1</v>
      </c>
      <c r="AU12" s="289">
        <f t="shared" si="21"/>
        <v>3</v>
      </c>
      <c r="AV12" s="289">
        <f t="shared" si="22"/>
        <v>1</v>
      </c>
      <c r="AW12" s="289">
        <f t="shared" si="23"/>
        <v>0</v>
      </c>
      <c r="AX12" s="290">
        <v>98</v>
      </c>
      <c r="AY12" s="289">
        <f t="shared" si="24"/>
        <v>94</v>
      </c>
      <c r="AZ12" s="291">
        <f t="shared" si="25"/>
        <v>0.95918367346938771</v>
      </c>
      <c r="BA12" s="245"/>
      <c r="BB12" s="386">
        <v>78</v>
      </c>
      <c r="BC12" s="379">
        <f t="shared" si="26"/>
        <v>0</v>
      </c>
      <c r="BD12" s="378">
        <f t="shared" si="27"/>
        <v>0</v>
      </c>
      <c r="BE12" s="392"/>
      <c r="BF12" s="387">
        <f t="shared" si="28"/>
        <v>78</v>
      </c>
    </row>
    <row r="13" spans="1:58" x14ac:dyDescent="0.35">
      <c r="A13" s="243">
        <v>5</v>
      </c>
      <c r="B13" s="56" t="s">
        <v>634</v>
      </c>
      <c r="C13" s="36" t="s">
        <v>295</v>
      </c>
      <c r="D13" s="35" t="s">
        <v>6</v>
      </c>
      <c r="E13" s="215">
        <v>19</v>
      </c>
      <c r="F13" s="217">
        <v>1</v>
      </c>
      <c r="G13" s="217">
        <v>1</v>
      </c>
      <c r="H13" s="217"/>
      <c r="I13" s="326">
        <f t="shared" si="3"/>
        <v>2</v>
      </c>
      <c r="J13" s="326">
        <f t="shared" si="4"/>
        <v>17</v>
      </c>
      <c r="K13" s="327">
        <f t="shared" si="5"/>
        <v>0.89473684210526316</v>
      </c>
      <c r="L13" s="221">
        <v>14</v>
      </c>
      <c r="M13" s="222">
        <v>3</v>
      </c>
      <c r="N13" s="223"/>
      <c r="O13" s="222"/>
      <c r="P13" s="328">
        <f t="shared" si="6"/>
        <v>3</v>
      </c>
      <c r="Q13" s="328">
        <f t="shared" si="7"/>
        <v>11</v>
      </c>
      <c r="R13" s="329">
        <f t="shared" si="8"/>
        <v>0.7857142857142857</v>
      </c>
      <c r="S13" s="225">
        <v>12</v>
      </c>
      <c r="T13" s="226"/>
      <c r="U13" s="227"/>
      <c r="V13" s="226"/>
      <c r="W13" s="330">
        <f t="shared" si="9"/>
        <v>0</v>
      </c>
      <c r="X13" s="330">
        <f t="shared" si="10"/>
        <v>12</v>
      </c>
      <c r="Y13" s="331">
        <f t="shared" si="11"/>
        <v>1</v>
      </c>
      <c r="Z13" s="228">
        <v>21</v>
      </c>
      <c r="AA13" s="255"/>
      <c r="AB13" s="256"/>
      <c r="AC13" s="255"/>
      <c r="AD13" s="280">
        <f t="shared" si="12"/>
        <v>0</v>
      </c>
      <c r="AE13" s="280">
        <f t="shared" si="13"/>
        <v>21</v>
      </c>
      <c r="AF13" s="281">
        <f t="shared" si="14"/>
        <v>1</v>
      </c>
      <c r="AG13" s="229">
        <v>18</v>
      </c>
      <c r="AH13" s="257"/>
      <c r="AI13" s="258"/>
      <c r="AJ13" s="257"/>
      <c r="AK13" s="305">
        <f t="shared" si="15"/>
        <v>0</v>
      </c>
      <c r="AL13" s="305">
        <f t="shared" si="16"/>
        <v>18</v>
      </c>
      <c r="AM13" s="306">
        <f t="shared" si="17"/>
        <v>1</v>
      </c>
      <c r="AN13" s="230">
        <v>14</v>
      </c>
      <c r="AO13" s="259"/>
      <c r="AP13" s="260"/>
      <c r="AQ13" s="259"/>
      <c r="AR13" s="307">
        <f t="shared" si="18"/>
        <v>0</v>
      </c>
      <c r="AS13" s="307">
        <f t="shared" si="19"/>
        <v>14</v>
      </c>
      <c r="AT13" s="308">
        <f t="shared" si="20"/>
        <v>1</v>
      </c>
      <c r="AU13" s="289">
        <f t="shared" si="21"/>
        <v>4</v>
      </c>
      <c r="AV13" s="289">
        <f t="shared" si="22"/>
        <v>1</v>
      </c>
      <c r="AW13" s="289">
        <f t="shared" si="23"/>
        <v>0</v>
      </c>
      <c r="AX13" s="290">
        <v>98</v>
      </c>
      <c r="AY13" s="289">
        <f t="shared" si="24"/>
        <v>93</v>
      </c>
      <c r="AZ13" s="291">
        <f t="shared" si="25"/>
        <v>0.94897959183673475</v>
      </c>
      <c r="BA13" s="245"/>
      <c r="BB13" s="386">
        <v>100</v>
      </c>
      <c r="BC13" s="379">
        <f t="shared" si="26"/>
        <v>0</v>
      </c>
      <c r="BD13" s="378">
        <f t="shared" si="27"/>
        <v>0</v>
      </c>
      <c r="BE13" s="392"/>
      <c r="BF13" s="387">
        <f t="shared" si="28"/>
        <v>100</v>
      </c>
    </row>
    <row r="14" spans="1:58" x14ac:dyDescent="0.35">
      <c r="A14" s="243">
        <v>6</v>
      </c>
      <c r="B14" s="56" t="s">
        <v>635</v>
      </c>
      <c r="C14" s="36" t="s">
        <v>250</v>
      </c>
      <c r="D14" s="35" t="s">
        <v>6</v>
      </c>
      <c r="E14" s="215">
        <v>19</v>
      </c>
      <c r="F14" s="217"/>
      <c r="G14" s="217"/>
      <c r="H14" s="217"/>
      <c r="I14" s="326">
        <f t="shared" si="3"/>
        <v>0</v>
      </c>
      <c r="J14" s="326">
        <f t="shared" si="4"/>
        <v>19</v>
      </c>
      <c r="K14" s="327">
        <f t="shared" si="5"/>
        <v>1</v>
      </c>
      <c r="L14" s="221">
        <v>14</v>
      </c>
      <c r="M14" s="222"/>
      <c r="N14" s="222"/>
      <c r="O14" s="222"/>
      <c r="P14" s="328">
        <f t="shared" si="6"/>
        <v>0</v>
      </c>
      <c r="Q14" s="328">
        <f t="shared" si="7"/>
        <v>14</v>
      </c>
      <c r="R14" s="329">
        <f t="shared" si="8"/>
        <v>1</v>
      </c>
      <c r="S14" s="225">
        <v>12</v>
      </c>
      <c r="T14" s="226"/>
      <c r="U14" s="226"/>
      <c r="V14" s="226"/>
      <c r="W14" s="330">
        <f t="shared" si="9"/>
        <v>0</v>
      </c>
      <c r="X14" s="330">
        <f t="shared" si="10"/>
        <v>12</v>
      </c>
      <c r="Y14" s="331">
        <f t="shared" si="11"/>
        <v>1</v>
      </c>
      <c r="Z14" s="228">
        <v>21</v>
      </c>
      <c r="AA14" s="255"/>
      <c r="AB14" s="255"/>
      <c r="AC14" s="255"/>
      <c r="AD14" s="280">
        <f t="shared" si="12"/>
        <v>0</v>
      </c>
      <c r="AE14" s="280">
        <f t="shared" si="13"/>
        <v>21</v>
      </c>
      <c r="AF14" s="281">
        <f t="shared" si="14"/>
        <v>1</v>
      </c>
      <c r="AG14" s="229">
        <v>18</v>
      </c>
      <c r="AH14" s="257"/>
      <c r="AI14" s="257"/>
      <c r="AJ14" s="257"/>
      <c r="AK14" s="305">
        <f t="shared" si="15"/>
        <v>0</v>
      </c>
      <c r="AL14" s="305">
        <f t="shared" si="16"/>
        <v>18</v>
      </c>
      <c r="AM14" s="306">
        <f t="shared" si="17"/>
        <v>1</v>
      </c>
      <c r="AN14" s="230">
        <v>14</v>
      </c>
      <c r="AO14" s="259"/>
      <c r="AP14" s="259"/>
      <c r="AQ14" s="259"/>
      <c r="AR14" s="307">
        <f t="shared" si="18"/>
        <v>0</v>
      </c>
      <c r="AS14" s="307">
        <f t="shared" si="19"/>
        <v>14</v>
      </c>
      <c r="AT14" s="308">
        <f t="shared" si="20"/>
        <v>1</v>
      </c>
      <c r="AU14" s="289">
        <f t="shared" si="21"/>
        <v>0</v>
      </c>
      <c r="AV14" s="289">
        <f t="shared" si="22"/>
        <v>0</v>
      </c>
      <c r="AW14" s="289">
        <f t="shared" si="23"/>
        <v>0</v>
      </c>
      <c r="AX14" s="290">
        <v>98</v>
      </c>
      <c r="AY14" s="289">
        <f t="shared" si="24"/>
        <v>98</v>
      </c>
      <c r="AZ14" s="291">
        <f t="shared" si="25"/>
        <v>1</v>
      </c>
      <c r="BA14" s="245"/>
      <c r="BB14" s="386">
        <v>96</v>
      </c>
      <c r="BC14" s="379">
        <f t="shared" si="26"/>
        <v>0</v>
      </c>
      <c r="BD14" s="378">
        <f t="shared" si="27"/>
        <v>0</v>
      </c>
      <c r="BE14" s="392"/>
      <c r="BF14" s="387">
        <f t="shared" si="28"/>
        <v>96</v>
      </c>
    </row>
    <row r="15" spans="1:58" x14ac:dyDescent="0.35">
      <c r="A15" s="243">
        <v>7</v>
      </c>
      <c r="B15" s="56" t="s">
        <v>636</v>
      </c>
      <c r="C15" s="36" t="s">
        <v>251</v>
      </c>
      <c r="D15" s="35" t="s">
        <v>8</v>
      </c>
      <c r="E15" s="215">
        <v>19</v>
      </c>
      <c r="F15" s="217">
        <v>1</v>
      </c>
      <c r="G15" s="217"/>
      <c r="H15" s="217"/>
      <c r="I15" s="326">
        <f t="shared" si="3"/>
        <v>1</v>
      </c>
      <c r="J15" s="326">
        <f t="shared" si="4"/>
        <v>18</v>
      </c>
      <c r="K15" s="327">
        <f t="shared" si="5"/>
        <v>0.94736842105263153</v>
      </c>
      <c r="L15" s="221">
        <v>14</v>
      </c>
      <c r="M15" s="222">
        <v>1</v>
      </c>
      <c r="N15" s="222"/>
      <c r="O15" s="223"/>
      <c r="P15" s="328">
        <f t="shared" si="6"/>
        <v>1</v>
      </c>
      <c r="Q15" s="328">
        <f t="shared" si="7"/>
        <v>13</v>
      </c>
      <c r="R15" s="329">
        <f t="shared" si="8"/>
        <v>0.9285714285714286</v>
      </c>
      <c r="S15" s="225">
        <v>12</v>
      </c>
      <c r="T15" s="226"/>
      <c r="U15" s="227"/>
      <c r="V15" s="227"/>
      <c r="W15" s="330">
        <f t="shared" si="9"/>
        <v>0</v>
      </c>
      <c r="X15" s="330">
        <f t="shared" si="10"/>
        <v>12</v>
      </c>
      <c r="Y15" s="331">
        <f t="shared" si="11"/>
        <v>1</v>
      </c>
      <c r="Z15" s="228">
        <v>21</v>
      </c>
      <c r="AA15" s="255"/>
      <c r="AB15" s="256"/>
      <c r="AC15" s="256"/>
      <c r="AD15" s="280">
        <f t="shared" si="12"/>
        <v>0</v>
      </c>
      <c r="AE15" s="280">
        <f t="shared" si="13"/>
        <v>21</v>
      </c>
      <c r="AF15" s="281">
        <f t="shared" si="14"/>
        <v>1</v>
      </c>
      <c r="AG15" s="229">
        <v>18</v>
      </c>
      <c r="AH15" s="257"/>
      <c r="AI15" s="258"/>
      <c r="AJ15" s="258"/>
      <c r="AK15" s="305">
        <f t="shared" si="15"/>
        <v>0</v>
      </c>
      <c r="AL15" s="305">
        <f t="shared" si="16"/>
        <v>18</v>
      </c>
      <c r="AM15" s="306">
        <f t="shared" si="17"/>
        <v>1</v>
      </c>
      <c r="AN15" s="230">
        <v>14</v>
      </c>
      <c r="AO15" s="259"/>
      <c r="AP15" s="260"/>
      <c r="AQ15" s="260"/>
      <c r="AR15" s="307">
        <f t="shared" si="18"/>
        <v>0</v>
      </c>
      <c r="AS15" s="307">
        <f t="shared" si="19"/>
        <v>14</v>
      </c>
      <c r="AT15" s="308">
        <f t="shared" si="20"/>
        <v>1</v>
      </c>
      <c r="AU15" s="289">
        <f t="shared" si="21"/>
        <v>2</v>
      </c>
      <c r="AV15" s="289">
        <f t="shared" si="22"/>
        <v>0</v>
      </c>
      <c r="AW15" s="289">
        <f t="shared" si="23"/>
        <v>0</v>
      </c>
      <c r="AX15" s="290">
        <v>98</v>
      </c>
      <c r="AY15" s="289">
        <f t="shared" si="24"/>
        <v>96</v>
      </c>
      <c r="AZ15" s="291">
        <f t="shared" si="25"/>
        <v>0.97959183673469385</v>
      </c>
      <c r="BA15" s="245"/>
      <c r="BB15" s="386">
        <v>98</v>
      </c>
      <c r="BC15" s="379">
        <f t="shared" si="26"/>
        <v>0</v>
      </c>
      <c r="BD15" s="378">
        <f t="shared" si="27"/>
        <v>0</v>
      </c>
      <c r="BE15" s="392"/>
      <c r="BF15" s="387">
        <f t="shared" si="28"/>
        <v>98</v>
      </c>
    </row>
    <row r="16" spans="1:58" x14ac:dyDescent="0.35">
      <c r="A16" s="243">
        <v>8</v>
      </c>
      <c r="B16" s="56" t="s">
        <v>637</v>
      </c>
      <c r="C16" s="36" t="s">
        <v>252</v>
      </c>
      <c r="D16" s="35" t="s">
        <v>6</v>
      </c>
      <c r="E16" s="215">
        <v>19</v>
      </c>
      <c r="F16" s="217">
        <v>2</v>
      </c>
      <c r="G16" s="217">
        <v>1</v>
      </c>
      <c r="H16" s="217"/>
      <c r="I16" s="326">
        <f t="shared" si="3"/>
        <v>3</v>
      </c>
      <c r="J16" s="326">
        <f t="shared" si="4"/>
        <v>16</v>
      </c>
      <c r="K16" s="327">
        <f t="shared" si="5"/>
        <v>0.84210526315789469</v>
      </c>
      <c r="L16" s="221">
        <v>14</v>
      </c>
      <c r="M16" s="222">
        <v>1</v>
      </c>
      <c r="N16" s="223"/>
      <c r="O16" s="223"/>
      <c r="P16" s="328">
        <f t="shared" si="6"/>
        <v>1</v>
      </c>
      <c r="Q16" s="328">
        <f t="shared" si="7"/>
        <v>13</v>
      </c>
      <c r="R16" s="329">
        <f t="shared" si="8"/>
        <v>0.9285714285714286</v>
      </c>
      <c r="S16" s="225">
        <v>12</v>
      </c>
      <c r="T16" s="226"/>
      <c r="U16" s="226"/>
      <c r="V16" s="226"/>
      <c r="W16" s="330">
        <f t="shared" si="9"/>
        <v>0</v>
      </c>
      <c r="X16" s="330">
        <f t="shared" si="10"/>
        <v>12</v>
      </c>
      <c r="Y16" s="331">
        <f t="shared" si="11"/>
        <v>1</v>
      </c>
      <c r="Z16" s="228">
        <v>21</v>
      </c>
      <c r="AA16" s="255"/>
      <c r="AB16" s="255"/>
      <c r="AC16" s="255"/>
      <c r="AD16" s="280">
        <f t="shared" si="12"/>
        <v>0</v>
      </c>
      <c r="AE16" s="280">
        <f t="shared" si="13"/>
        <v>21</v>
      </c>
      <c r="AF16" s="281">
        <f t="shared" si="14"/>
        <v>1</v>
      </c>
      <c r="AG16" s="229">
        <v>18</v>
      </c>
      <c r="AH16" s="257"/>
      <c r="AI16" s="257"/>
      <c r="AJ16" s="257"/>
      <c r="AK16" s="305">
        <f t="shared" si="15"/>
        <v>0</v>
      </c>
      <c r="AL16" s="305">
        <f t="shared" si="16"/>
        <v>18</v>
      </c>
      <c r="AM16" s="306">
        <f t="shared" si="17"/>
        <v>1</v>
      </c>
      <c r="AN16" s="230">
        <v>14</v>
      </c>
      <c r="AO16" s="259"/>
      <c r="AP16" s="259"/>
      <c r="AQ16" s="259"/>
      <c r="AR16" s="307">
        <f t="shared" si="18"/>
        <v>0</v>
      </c>
      <c r="AS16" s="307">
        <f t="shared" si="19"/>
        <v>14</v>
      </c>
      <c r="AT16" s="308">
        <f t="shared" si="20"/>
        <v>1</v>
      </c>
      <c r="AU16" s="289">
        <f t="shared" si="21"/>
        <v>3</v>
      </c>
      <c r="AV16" s="289">
        <f t="shared" si="22"/>
        <v>1</v>
      </c>
      <c r="AW16" s="289">
        <f t="shared" si="23"/>
        <v>0</v>
      </c>
      <c r="AX16" s="290">
        <v>98</v>
      </c>
      <c r="AY16" s="289">
        <f t="shared" si="24"/>
        <v>94</v>
      </c>
      <c r="AZ16" s="291">
        <f t="shared" si="25"/>
        <v>0.95918367346938771</v>
      </c>
      <c r="BA16" s="245"/>
      <c r="BB16" s="386">
        <v>98</v>
      </c>
      <c r="BC16" s="379">
        <f t="shared" si="26"/>
        <v>0</v>
      </c>
      <c r="BD16" s="378">
        <f t="shared" si="27"/>
        <v>0</v>
      </c>
      <c r="BE16" s="392"/>
      <c r="BF16" s="387">
        <f t="shared" si="28"/>
        <v>98</v>
      </c>
    </row>
    <row r="17" spans="1:58" x14ac:dyDescent="0.35">
      <c r="A17" s="243">
        <v>9</v>
      </c>
      <c r="B17" s="56" t="s">
        <v>638</v>
      </c>
      <c r="C17" s="66" t="s">
        <v>253</v>
      </c>
      <c r="D17" s="35" t="s">
        <v>6</v>
      </c>
      <c r="E17" s="215">
        <v>19</v>
      </c>
      <c r="F17" s="217"/>
      <c r="G17" s="217"/>
      <c r="H17" s="217"/>
      <c r="I17" s="326">
        <f t="shared" si="3"/>
        <v>0</v>
      </c>
      <c r="J17" s="326">
        <f t="shared" si="4"/>
        <v>19</v>
      </c>
      <c r="K17" s="327">
        <f t="shared" si="5"/>
        <v>1</v>
      </c>
      <c r="L17" s="221">
        <v>14</v>
      </c>
      <c r="M17" s="222"/>
      <c r="N17" s="222"/>
      <c r="O17" s="223"/>
      <c r="P17" s="328">
        <f t="shared" si="6"/>
        <v>0</v>
      </c>
      <c r="Q17" s="328">
        <f t="shared" si="7"/>
        <v>14</v>
      </c>
      <c r="R17" s="329">
        <f t="shared" si="8"/>
        <v>1</v>
      </c>
      <c r="S17" s="225">
        <v>12</v>
      </c>
      <c r="T17" s="226"/>
      <c r="U17" s="226"/>
      <c r="V17" s="226"/>
      <c r="W17" s="330">
        <f t="shared" si="9"/>
        <v>0</v>
      </c>
      <c r="X17" s="330">
        <f t="shared" si="10"/>
        <v>12</v>
      </c>
      <c r="Y17" s="331">
        <f t="shared" si="11"/>
        <v>1</v>
      </c>
      <c r="Z17" s="228">
        <v>21</v>
      </c>
      <c r="AA17" s="255"/>
      <c r="AB17" s="255"/>
      <c r="AC17" s="255"/>
      <c r="AD17" s="280">
        <f t="shared" si="12"/>
        <v>0</v>
      </c>
      <c r="AE17" s="280">
        <f t="shared" si="13"/>
        <v>21</v>
      </c>
      <c r="AF17" s="281">
        <f t="shared" si="14"/>
        <v>1</v>
      </c>
      <c r="AG17" s="229">
        <v>18</v>
      </c>
      <c r="AH17" s="257"/>
      <c r="AI17" s="257"/>
      <c r="AJ17" s="257"/>
      <c r="AK17" s="305">
        <f t="shared" si="15"/>
        <v>0</v>
      </c>
      <c r="AL17" s="305">
        <f t="shared" si="16"/>
        <v>18</v>
      </c>
      <c r="AM17" s="306">
        <f t="shared" si="17"/>
        <v>1</v>
      </c>
      <c r="AN17" s="230">
        <v>14</v>
      </c>
      <c r="AO17" s="259"/>
      <c r="AP17" s="259"/>
      <c r="AQ17" s="259"/>
      <c r="AR17" s="307">
        <f t="shared" si="18"/>
        <v>0</v>
      </c>
      <c r="AS17" s="307">
        <f t="shared" si="19"/>
        <v>14</v>
      </c>
      <c r="AT17" s="308">
        <f t="shared" si="20"/>
        <v>1</v>
      </c>
      <c r="AU17" s="289">
        <f t="shared" si="21"/>
        <v>0</v>
      </c>
      <c r="AV17" s="289">
        <f t="shared" si="22"/>
        <v>0</v>
      </c>
      <c r="AW17" s="289">
        <f t="shared" si="23"/>
        <v>0</v>
      </c>
      <c r="AX17" s="290">
        <v>98</v>
      </c>
      <c r="AY17" s="289">
        <f t="shared" si="24"/>
        <v>98</v>
      </c>
      <c r="AZ17" s="291">
        <f t="shared" si="25"/>
        <v>1</v>
      </c>
      <c r="BA17" s="245"/>
      <c r="BB17" s="386">
        <v>92</v>
      </c>
      <c r="BC17" s="379">
        <f t="shared" si="26"/>
        <v>0</v>
      </c>
      <c r="BD17" s="378">
        <f t="shared" si="27"/>
        <v>0</v>
      </c>
      <c r="BE17" s="392"/>
      <c r="BF17" s="387">
        <f t="shared" si="28"/>
        <v>92</v>
      </c>
    </row>
    <row r="18" spans="1:58" x14ac:dyDescent="0.35">
      <c r="A18" s="243">
        <v>10</v>
      </c>
      <c r="B18" s="56" t="s">
        <v>639</v>
      </c>
      <c r="C18" s="36" t="s">
        <v>254</v>
      </c>
      <c r="D18" s="35" t="s">
        <v>8</v>
      </c>
      <c r="E18" s="215">
        <v>19</v>
      </c>
      <c r="F18" s="217">
        <v>1</v>
      </c>
      <c r="G18" s="217"/>
      <c r="H18" s="218"/>
      <c r="I18" s="326">
        <f t="shared" si="3"/>
        <v>1</v>
      </c>
      <c r="J18" s="326">
        <f t="shared" si="4"/>
        <v>18</v>
      </c>
      <c r="K18" s="327">
        <f t="shared" si="5"/>
        <v>0.94736842105263153</v>
      </c>
      <c r="L18" s="221">
        <v>14</v>
      </c>
      <c r="M18" s="222">
        <v>1</v>
      </c>
      <c r="N18" s="222"/>
      <c r="O18" s="223"/>
      <c r="P18" s="328">
        <f t="shared" si="6"/>
        <v>1</v>
      </c>
      <c r="Q18" s="328">
        <f t="shared" si="7"/>
        <v>13</v>
      </c>
      <c r="R18" s="329">
        <f t="shared" si="8"/>
        <v>0.9285714285714286</v>
      </c>
      <c r="S18" s="225">
        <v>12</v>
      </c>
      <c r="T18" s="226"/>
      <c r="U18" s="226"/>
      <c r="V18" s="227"/>
      <c r="W18" s="330">
        <f t="shared" si="9"/>
        <v>0</v>
      </c>
      <c r="X18" s="330">
        <f t="shared" si="10"/>
        <v>12</v>
      </c>
      <c r="Y18" s="331">
        <f t="shared" si="11"/>
        <v>1</v>
      </c>
      <c r="Z18" s="228">
        <v>21</v>
      </c>
      <c r="AA18" s="255"/>
      <c r="AB18" s="255"/>
      <c r="AC18" s="256"/>
      <c r="AD18" s="280">
        <f t="shared" si="12"/>
        <v>0</v>
      </c>
      <c r="AE18" s="280">
        <f t="shared" si="13"/>
        <v>21</v>
      </c>
      <c r="AF18" s="281">
        <f t="shared" si="14"/>
        <v>1</v>
      </c>
      <c r="AG18" s="229">
        <v>18</v>
      </c>
      <c r="AH18" s="257"/>
      <c r="AI18" s="257"/>
      <c r="AJ18" s="258"/>
      <c r="AK18" s="305">
        <f t="shared" si="15"/>
        <v>0</v>
      </c>
      <c r="AL18" s="305">
        <f t="shared" si="16"/>
        <v>18</v>
      </c>
      <c r="AM18" s="306">
        <f t="shared" si="17"/>
        <v>1</v>
      </c>
      <c r="AN18" s="230">
        <v>14</v>
      </c>
      <c r="AO18" s="259"/>
      <c r="AP18" s="259"/>
      <c r="AQ18" s="260"/>
      <c r="AR18" s="307">
        <f t="shared" si="18"/>
        <v>0</v>
      </c>
      <c r="AS18" s="307">
        <f t="shared" si="19"/>
        <v>14</v>
      </c>
      <c r="AT18" s="308">
        <f t="shared" si="20"/>
        <v>1</v>
      </c>
      <c r="AU18" s="289">
        <f t="shared" si="21"/>
        <v>2</v>
      </c>
      <c r="AV18" s="289">
        <f t="shared" si="22"/>
        <v>0</v>
      </c>
      <c r="AW18" s="289">
        <f t="shared" si="23"/>
        <v>0</v>
      </c>
      <c r="AX18" s="290">
        <v>98</v>
      </c>
      <c r="AY18" s="289">
        <f t="shared" si="24"/>
        <v>96</v>
      </c>
      <c r="AZ18" s="291">
        <f t="shared" si="25"/>
        <v>0.97959183673469385</v>
      </c>
      <c r="BA18" s="245"/>
      <c r="BB18" s="386">
        <v>98</v>
      </c>
      <c r="BC18" s="379">
        <f t="shared" si="26"/>
        <v>0</v>
      </c>
      <c r="BD18" s="378">
        <f t="shared" si="27"/>
        <v>0</v>
      </c>
      <c r="BE18" s="392"/>
      <c r="BF18" s="387">
        <f t="shared" si="28"/>
        <v>98</v>
      </c>
    </row>
    <row r="19" spans="1:58" x14ac:dyDescent="0.35">
      <c r="A19" s="243">
        <v>11</v>
      </c>
      <c r="B19" s="56" t="s">
        <v>640</v>
      </c>
      <c r="C19" s="36" t="s">
        <v>255</v>
      </c>
      <c r="D19" s="35" t="s">
        <v>8</v>
      </c>
      <c r="E19" s="215">
        <v>19</v>
      </c>
      <c r="F19" s="217">
        <v>1</v>
      </c>
      <c r="G19" s="217"/>
      <c r="H19" s="217"/>
      <c r="I19" s="326">
        <f t="shared" si="3"/>
        <v>1</v>
      </c>
      <c r="J19" s="326">
        <f t="shared" si="4"/>
        <v>18</v>
      </c>
      <c r="K19" s="327">
        <f t="shared" si="5"/>
        <v>0.94736842105263153</v>
      </c>
      <c r="L19" s="221">
        <v>14</v>
      </c>
      <c r="M19" s="222">
        <v>1</v>
      </c>
      <c r="N19" s="223"/>
      <c r="O19" s="222"/>
      <c r="P19" s="328">
        <f t="shared" si="6"/>
        <v>1</v>
      </c>
      <c r="Q19" s="328">
        <f t="shared" si="7"/>
        <v>13</v>
      </c>
      <c r="R19" s="329">
        <f t="shared" si="8"/>
        <v>0.9285714285714286</v>
      </c>
      <c r="S19" s="225">
        <v>12</v>
      </c>
      <c r="T19" s="226"/>
      <c r="U19" s="226"/>
      <c r="V19" s="227"/>
      <c r="W19" s="330">
        <f t="shared" si="9"/>
        <v>0</v>
      </c>
      <c r="X19" s="330">
        <f t="shared" si="10"/>
        <v>12</v>
      </c>
      <c r="Y19" s="331">
        <f t="shared" si="11"/>
        <v>1</v>
      </c>
      <c r="Z19" s="228">
        <v>21</v>
      </c>
      <c r="AA19" s="255"/>
      <c r="AB19" s="255"/>
      <c r="AC19" s="256"/>
      <c r="AD19" s="280">
        <f t="shared" si="12"/>
        <v>0</v>
      </c>
      <c r="AE19" s="280">
        <f t="shared" si="13"/>
        <v>21</v>
      </c>
      <c r="AF19" s="281">
        <f t="shared" si="14"/>
        <v>1</v>
      </c>
      <c r="AG19" s="229">
        <v>18</v>
      </c>
      <c r="AH19" s="257"/>
      <c r="AI19" s="257"/>
      <c r="AJ19" s="258"/>
      <c r="AK19" s="305">
        <f t="shared" si="15"/>
        <v>0</v>
      </c>
      <c r="AL19" s="305">
        <f t="shared" si="16"/>
        <v>18</v>
      </c>
      <c r="AM19" s="306">
        <f t="shared" si="17"/>
        <v>1</v>
      </c>
      <c r="AN19" s="230">
        <v>14</v>
      </c>
      <c r="AO19" s="259"/>
      <c r="AP19" s="259"/>
      <c r="AQ19" s="260"/>
      <c r="AR19" s="307">
        <f t="shared" si="18"/>
        <v>0</v>
      </c>
      <c r="AS19" s="307">
        <f t="shared" si="19"/>
        <v>14</v>
      </c>
      <c r="AT19" s="308">
        <f t="shared" si="20"/>
        <v>1</v>
      </c>
      <c r="AU19" s="289">
        <f t="shared" si="21"/>
        <v>2</v>
      </c>
      <c r="AV19" s="289">
        <f t="shared" si="22"/>
        <v>0</v>
      </c>
      <c r="AW19" s="289">
        <f t="shared" si="23"/>
        <v>0</v>
      </c>
      <c r="AX19" s="290">
        <v>98</v>
      </c>
      <c r="AY19" s="289">
        <f t="shared" si="24"/>
        <v>96</v>
      </c>
      <c r="AZ19" s="291">
        <f t="shared" si="25"/>
        <v>0.97959183673469385</v>
      </c>
      <c r="BA19" s="245"/>
      <c r="BB19" s="386">
        <v>96</v>
      </c>
      <c r="BC19" s="379">
        <f t="shared" si="26"/>
        <v>0</v>
      </c>
      <c r="BD19" s="378">
        <f t="shared" si="27"/>
        <v>0</v>
      </c>
      <c r="BE19" s="392"/>
      <c r="BF19" s="387">
        <f t="shared" si="28"/>
        <v>96</v>
      </c>
    </row>
    <row r="20" spans="1:58" x14ac:dyDescent="0.35">
      <c r="A20" s="243">
        <v>12</v>
      </c>
      <c r="B20" s="56" t="s">
        <v>641</v>
      </c>
      <c r="C20" s="36" t="s">
        <v>256</v>
      </c>
      <c r="D20" s="35" t="s">
        <v>6</v>
      </c>
      <c r="E20" s="215">
        <v>19</v>
      </c>
      <c r="F20" s="217">
        <v>3</v>
      </c>
      <c r="G20" s="217"/>
      <c r="H20" s="217"/>
      <c r="I20" s="326">
        <f t="shared" si="3"/>
        <v>3</v>
      </c>
      <c r="J20" s="326">
        <f t="shared" si="4"/>
        <v>16</v>
      </c>
      <c r="K20" s="327">
        <f t="shared" si="5"/>
        <v>0.84210526315789469</v>
      </c>
      <c r="L20" s="221">
        <v>14</v>
      </c>
      <c r="M20" s="222">
        <v>2</v>
      </c>
      <c r="N20" s="222">
        <v>1</v>
      </c>
      <c r="O20" s="223">
        <v>1</v>
      </c>
      <c r="P20" s="328">
        <f t="shared" si="6"/>
        <v>4</v>
      </c>
      <c r="Q20" s="328">
        <f t="shared" si="7"/>
        <v>10</v>
      </c>
      <c r="R20" s="329">
        <f t="shared" si="8"/>
        <v>0.7142857142857143</v>
      </c>
      <c r="S20" s="225">
        <v>12</v>
      </c>
      <c r="T20" s="226"/>
      <c r="U20" s="226"/>
      <c r="V20" s="226"/>
      <c r="W20" s="330">
        <f t="shared" si="9"/>
        <v>0</v>
      </c>
      <c r="X20" s="330">
        <f t="shared" si="10"/>
        <v>12</v>
      </c>
      <c r="Y20" s="331">
        <f t="shared" si="11"/>
        <v>1</v>
      </c>
      <c r="Z20" s="228">
        <v>21</v>
      </c>
      <c r="AA20" s="255"/>
      <c r="AB20" s="255"/>
      <c r="AC20" s="255"/>
      <c r="AD20" s="280">
        <f t="shared" si="12"/>
        <v>0</v>
      </c>
      <c r="AE20" s="280">
        <f t="shared" si="13"/>
        <v>21</v>
      </c>
      <c r="AF20" s="281">
        <f t="shared" si="14"/>
        <v>1</v>
      </c>
      <c r="AG20" s="229">
        <v>18</v>
      </c>
      <c r="AH20" s="257"/>
      <c r="AI20" s="257"/>
      <c r="AJ20" s="257"/>
      <c r="AK20" s="305">
        <f t="shared" si="15"/>
        <v>0</v>
      </c>
      <c r="AL20" s="305">
        <f t="shared" si="16"/>
        <v>18</v>
      </c>
      <c r="AM20" s="306">
        <f t="shared" si="17"/>
        <v>1</v>
      </c>
      <c r="AN20" s="230">
        <v>14</v>
      </c>
      <c r="AO20" s="259"/>
      <c r="AP20" s="259"/>
      <c r="AQ20" s="259"/>
      <c r="AR20" s="307">
        <f t="shared" si="18"/>
        <v>0</v>
      </c>
      <c r="AS20" s="307">
        <f t="shared" si="19"/>
        <v>14</v>
      </c>
      <c r="AT20" s="308">
        <f t="shared" si="20"/>
        <v>1</v>
      </c>
      <c r="AU20" s="289">
        <f t="shared" si="21"/>
        <v>5</v>
      </c>
      <c r="AV20" s="289">
        <f t="shared" si="22"/>
        <v>1</v>
      </c>
      <c r="AW20" s="289">
        <f t="shared" si="23"/>
        <v>1</v>
      </c>
      <c r="AX20" s="290">
        <v>98</v>
      </c>
      <c r="AY20" s="289">
        <f t="shared" si="24"/>
        <v>91</v>
      </c>
      <c r="AZ20" s="291">
        <f t="shared" si="25"/>
        <v>0.9285714285714286</v>
      </c>
      <c r="BA20" s="245">
        <v>1</v>
      </c>
      <c r="BB20" s="386">
        <v>82</v>
      </c>
      <c r="BC20" s="379">
        <f t="shared" si="26"/>
        <v>2</v>
      </c>
      <c r="BD20" s="378">
        <f t="shared" si="27"/>
        <v>2</v>
      </c>
      <c r="BE20" s="392"/>
      <c r="BF20" s="387">
        <f t="shared" si="28"/>
        <v>78</v>
      </c>
    </row>
    <row r="21" spans="1:58" x14ac:dyDescent="0.35">
      <c r="A21" s="243">
        <v>13</v>
      </c>
      <c r="B21" s="56" t="s">
        <v>642</v>
      </c>
      <c r="C21" s="36" t="s">
        <v>257</v>
      </c>
      <c r="D21" s="35" t="s">
        <v>8</v>
      </c>
      <c r="E21" s="215">
        <v>19</v>
      </c>
      <c r="F21" s="217">
        <v>1</v>
      </c>
      <c r="G21" s="217"/>
      <c r="H21" s="217"/>
      <c r="I21" s="326">
        <f t="shared" si="3"/>
        <v>1</v>
      </c>
      <c r="J21" s="326">
        <f t="shared" si="4"/>
        <v>18</v>
      </c>
      <c r="K21" s="327">
        <f t="shared" si="5"/>
        <v>0.94736842105263153</v>
      </c>
      <c r="L21" s="221">
        <v>14</v>
      </c>
      <c r="M21" s="222">
        <v>1</v>
      </c>
      <c r="N21" s="222"/>
      <c r="O21" s="222"/>
      <c r="P21" s="328">
        <f t="shared" si="6"/>
        <v>1</v>
      </c>
      <c r="Q21" s="328">
        <f t="shared" si="7"/>
        <v>13</v>
      </c>
      <c r="R21" s="329">
        <f t="shared" si="8"/>
        <v>0.9285714285714286</v>
      </c>
      <c r="S21" s="225">
        <v>12</v>
      </c>
      <c r="T21" s="226"/>
      <c r="U21" s="226"/>
      <c r="V21" s="226"/>
      <c r="W21" s="330">
        <f t="shared" si="9"/>
        <v>0</v>
      </c>
      <c r="X21" s="330">
        <f t="shared" si="10"/>
        <v>12</v>
      </c>
      <c r="Y21" s="331">
        <f t="shared" si="11"/>
        <v>1</v>
      </c>
      <c r="Z21" s="228">
        <v>21</v>
      </c>
      <c r="AA21" s="255"/>
      <c r="AB21" s="255"/>
      <c r="AC21" s="255"/>
      <c r="AD21" s="280">
        <f t="shared" si="12"/>
        <v>0</v>
      </c>
      <c r="AE21" s="280">
        <f t="shared" si="13"/>
        <v>21</v>
      </c>
      <c r="AF21" s="281">
        <f t="shared" si="14"/>
        <v>1</v>
      </c>
      <c r="AG21" s="229">
        <v>18</v>
      </c>
      <c r="AH21" s="257"/>
      <c r="AI21" s="257"/>
      <c r="AJ21" s="257"/>
      <c r="AK21" s="305">
        <f t="shared" si="15"/>
        <v>0</v>
      </c>
      <c r="AL21" s="305">
        <f t="shared" si="16"/>
        <v>18</v>
      </c>
      <c r="AM21" s="306">
        <f t="shared" si="17"/>
        <v>1</v>
      </c>
      <c r="AN21" s="230">
        <v>14</v>
      </c>
      <c r="AO21" s="259"/>
      <c r="AP21" s="259"/>
      <c r="AQ21" s="259"/>
      <c r="AR21" s="307">
        <f t="shared" si="18"/>
        <v>0</v>
      </c>
      <c r="AS21" s="307">
        <f t="shared" si="19"/>
        <v>14</v>
      </c>
      <c r="AT21" s="308">
        <f t="shared" si="20"/>
        <v>1</v>
      </c>
      <c r="AU21" s="289">
        <f t="shared" si="21"/>
        <v>2</v>
      </c>
      <c r="AV21" s="289">
        <f t="shared" si="22"/>
        <v>0</v>
      </c>
      <c r="AW21" s="289">
        <f t="shared" si="23"/>
        <v>0</v>
      </c>
      <c r="AX21" s="290">
        <v>98</v>
      </c>
      <c r="AY21" s="289">
        <f t="shared" si="24"/>
        <v>96</v>
      </c>
      <c r="AZ21" s="291">
        <f t="shared" si="25"/>
        <v>0.97959183673469385</v>
      </c>
      <c r="BA21" s="245"/>
      <c r="BB21" s="386">
        <v>98</v>
      </c>
      <c r="BC21" s="379">
        <f t="shared" si="26"/>
        <v>0</v>
      </c>
      <c r="BD21" s="378">
        <f t="shared" si="27"/>
        <v>0</v>
      </c>
      <c r="BE21" s="392"/>
      <c r="BF21" s="387">
        <f t="shared" si="28"/>
        <v>98</v>
      </c>
    </row>
    <row r="22" spans="1:58" x14ac:dyDescent="0.35">
      <c r="A22" s="243">
        <v>14</v>
      </c>
      <c r="B22" s="67" t="s">
        <v>643</v>
      </c>
      <c r="C22" s="56" t="s">
        <v>644</v>
      </c>
      <c r="D22" s="68" t="s">
        <v>6</v>
      </c>
      <c r="E22" s="215">
        <v>19</v>
      </c>
      <c r="F22" s="217">
        <v>1</v>
      </c>
      <c r="G22" s="217"/>
      <c r="H22" s="217"/>
      <c r="I22" s="326">
        <f t="shared" si="3"/>
        <v>1</v>
      </c>
      <c r="J22" s="326">
        <f t="shared" si="4"/>
        <v>18</v>
      </c>
      <c r="K22" s="327">
        <f t="shared" si="5"/>
        <v>0.94736842105263153</v>
      </c>
      <c r="L22" s="221">
        <v>14</v>
      </c>
      <c r="M22" s="222">
        <v>1</v>
      </c>
      <c r="N22" s="223">
        <v>1</v>
      </c>
      <c r="O22" s="222"/>
      <c r="P22" s="328">
        <f t="shared" ref="P22" si="29">SUM(M22:O22)</f>
        <v>2</v>
      </c>
      <c r="Q22" s="328">
        <f t="shared" ref="Q22" si="30">L22-P22</f>
        <v>12</v>
      </c>
      <c r="R22" s="329">
        <f t="shared" ref="R22" si="31">Q22/L22</f>
        <v>0.8571428571428571</v>
      </c>
      <c r="S22" s="225">
        <v>12</v>
      </c>
      <c r="T22" s="226"/>
      <c r="U22" s="226"/>
      <c r="V22" s="226"/>
      <c r="W22" s="330">
        <f>SUM(T22:V22)</f>
        <v>0</v>
      </c>
      <c r="X22" s="330">
        <f>S28-W22</f>
        <v>12</v>
      </c>
      <c r="Y22" s="331">
        <f>X22/S28</f>
        <v>1</v>
      </c>
      <c r="Z22" s="228">
        <v>21</v>
      </c>
      <c r="AA22" s="255"/>
      <c r="AB22" s="255"/>
      <c r="AC22" s="255"/>
      <c r="AD22" s="280">
        <f t="shared" si="12"/>
        <v>0</v>
      </c>
      <c r="AE22" s="280">
        <f t="shared" si="13"/>
        <v>21</v>
      </c>
      <c r="AF22" s="281">
        <f t="shared" si="14"/>
        <v>1</v>
      </c>
      <c r="AG22" s="229">
        <v>18</v>
      </c>
      <c r="AH22" s="257"/>
      <c r="AI22" s="257"/>
      <c r="AJ22" s="257"/>
      <c r="AK22" s="305">
        <f t="shared" si="15"/>
        <v>0</v>
      </c>
      <c r="AL22" s="305">
        <f t="shared" si="16"/>
        <v>18</v>
      </c>
      <c r="AM22" s="306">
        <f t="shared" si="17"/>
        <v>1</v>
      </c>
      <c r="AN22" s="230">
        <v>14</v>
      </c>
      <c r="AO22" s="259"/>
      <c r="AP22" s="259"/>
      <c r="AQ22" s="259"/>
      <c r="AR22" s="307">
        <f t="shared" si="18"/>
        <v>0</v>
      </c>
      <c r="AS22" s="307">
        <f t="shared" si="19"/>
        <v>14</v>
      </c>
      <c r="AT22" s="308">
        <f t="shared" si="20"/>
        <v>1</v>
      </c>
      <c r="AU22" s="289">
        <f t="shared" si="21"/>
        <v>2</v>
      </c>
      <c r="AV22" s="289">
        <f t="shared" si="22"/>
        <v>1</v>
      </c>
      <c r="AW22" s="289">
        <f t="shared" si="23"/>
        <v>0</v>
      </c>
      <c r="AX22" s="290">
        <v>98</v>
      </c>
      <c r="AY22" s="289">
        <f t="shared" si="24"/>
        <v>95</v>
      </c>
      <c r="AZ22" s="291">
        <f t="shared" si="25"/>
        <v>0.96938775510204078</v>
      </c>
      <c r="BA22" s="245">
        <v>1</v>
      </c>
      <c r="BB22" s="386">
        <v>82</v>
      </c>
      <c r="BC22" s="379">
        <f t="shared" si="26"/>
        <v>2</v>
      </c>
      <c r="BD22" s="378">
        <f t="shared" si="27"/>
        <v>0</v>
      </c>
      <c r="BE22" s="392"/>
      <c r="BF22" s="387">
        <f t="shared" si="28"/>
        <v>80</v>
      </c>
    </row>
    <row r="23" spans="1:58" s="323" customFormat="1" x14ac:dyDescent="0.35"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86"/>
      <c r="AV23" s="286"/>
      <c r="AW23" s="286"/>
      <c r="AX23" s="286"/>
      <c r="AY23" s="286"/>
      <c r="AZ23" s="286"/>
      <c r="BA23" s="288"/>
      <c r="BB23" s="319"/>
      <c r="BC23" s="288"/>
      <c r="BD23" s="288"/>
      <c r="BE23" s="288"/>
      <c r="BF23" s="304"/>
    </row>
    <row r="24" spans="1:58" s="323" customFormat="1" x14ac:dyDescent="0.35"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86"/>
      <c r="AV24" s="286"/>
      <c r="AW24" s="286"/>
      <c r="AX24" s="286"/>
      <c r="AY24" s="286"/>
      <c r="AZ24" s="286"/>
      <c r="BA24" s="288"/>
      <c r="BB24" s="319"/>
      <c r="BC24" s="288"/>
      <c r="BD24" s="288"/>
      <c r="BE24" s="288"/>
      <c r="BF24" s="304"/>
    </row>
    <row r="25" spans="1:58" s="323" customFormat="1" ht="16" thickBot="1" x14ac:dyDescent="0.4">
      <c r="A25" s="324" t="s">
        <v>1074</v>
      </c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86"/>
      <c r="AV25" s="286"/>
      <c r="AW25" s="286"/>
      <c r="AX25" s="286"/>
      <c r="AY25" s="286"/>
      <c r="AZ25" s="286"/>
      <c r="BA25" s="288"/>
      <c r="BB25" s="319"/>
      <c r="BC25" s="288"/>
      <c r="BD25" s="288"/>
      <c r="BE25" s="288"/>
      <c r="BF25" s="304"/>
    </row>
    <row r="26" spans="1:58" s="325" customFormat="1" ht="25" customHeight="1" thickBot="1" x14ac:dyDescent="0.4">
      <c r="A26" s="447" t="s">
        <v>1072</v>
      </c>
      <c r="B26" s="447" t="s">
        <v>2</v>
      </c>
      <c r="C26" s="448" t="s">
        <v>1606</v>
      </c>
      <c r="D26" s="448" t="s">
        <v>4</v>
      </c>
      <c r="E26" s="431" t="s">
        <v>1612</v>
      </c>
      <c r="F26" s="431"/>
      <c r="G26" s="431"/>
      <c r="H26" s="431"/>
      <c r="I26" s="431"/>
      <c r="J26" s="431"/>
      <c r="K26" s="431"/>
      <c r="L26" s="432" t="s">
        <v>1613</v>
      </c>
      <c r="M26" s="432"/>
      <c r="N26" s="432"/>
      <c r="O26" s="432"/>
      <c r="P26" s="432"/>
      <c r="Q26" s="432"/>
      <c r="R26" s="432"/>
      <c r="S26" s="433" t="s">
        <v>1614</v>
      </c>
      <c r="T26" s="433"/>
      <c r="U26" s="433"/>
      <c r="V26" s="433"/>
      <c r="W26" s="433"/>
      <c r="X26" s="433"/>
      <c r="Y26" s="433"/>
      <c r="Z26" s="434" t="s">
        <v>1615</v>
      </c>
      <c r="AA26" s="434"/>
      <c r="AB26" s="434"/>
      <c r="AC26" s="434"/>
      <c r="AD26" s="434"/>
      <c r="AE26" s="434"/>
      <c r="AF26" s="434"/>
      <c r="AG26" s="435" t="s">
        <v>1616</v>
      </c>
      <c r="AH26" s="435"/>
      <c r="AI26" s="435"/>
      <c r="AJ26" s="435"/>
      <c r="AK26" s="435"/>
      <c r="AL26" s="435"/>
      <c r="AM26" s="435"/>
      <c r="AN26" s="436" t="s">
        <v>1617</v>
      </c>
      <c r="AO26" s="436"/>
      <c r="AP26" s="436"/>
      <c r="AQ26" s="436"/>
      <c r="AR26" s="436"/>
      <c r="AS26" s="436"/>
      <c r="AT26" s="436"/>
      <c r="AU26" s="438" t="s">
        <v>224</v>
      </c>
      <c r="AV26" s="438"/>
      <c r="AW26" s="438"/>
      <c r="AX26" s="437" t="s">
        <v>1602</v>
      </c>
      <c r="AY26" s="437" t="s">
        <v>1603</v>
      </c>
      <c r="AZ26" s="437" t="s">
        <v>1604</v>
      </c>
      <c r="BA26" s="443" t="s">
        <v>1076</v>
      </c>
      <c r="BB26" s="430" t="s">
        <v>883</v>
      </c>
      <c r="BC26" s="428" t="s">
        <v>880</v>
      </c>
      <c r="BD26" s="428"/>
      <c r="BE26" s="428"/>
      <c r="BF26" s="429" t="s">
        <v>884</v>
      </c>
    </row>
    <row r="27" spans="1:58" s="325" customFormat="1" ht="55" customHeight="1" thickBot="1" x14ac:dyDescent="0.4">
      <c r="A27" s="447"/>
      <c r="B27" s="447"/>
      <c r="C27" s="448"/>
      <c r="D27" s="448"/>
      <c r="E27" s="235" t="s">
        <v>1598</v>
      </c>
      <c r="F27" s="236" t="s">
        <v>20</v>
      </c>
      <c r="G27" s="236" t="s">
        <v>19</v>
      </c>
      <c r="H27" s="236" t="s">
        <v>52</v>
      </c>
      <c r="I27" s="237" t="s">
        <v>1599</v>
      </c>
      <c r="J27" s="237" t="s">
        <v>1600</v>
      </c>
      <c r="K27" s="237" t="s">
        <v>1601</v>
      </c>
      <c r="L27" s="202" t="s">
        <v>1598</v>
      </c>
      <c r="M27" s="206" t="s">
        <v>20</v>
      </c>
      <c r="N27" s="206" t="s">
        <v>19</v>
      </c>
      <c r="O27" s="206" t="s">
        <v>52</v>
      </c>
      <c r="P27" s="207" t="s">
        <v>1599</v>
      </c>
      <c r="Q27" s="207" t="s">
        <v>1600</v>
      </c>
      <c r="R27" s="207" t="s">
        <v>1601</v>
      </c>
      <c r="S27" s="238" t="s">
        <v>1598</v>
      </c>
      <c r="T27" s="239" t="s">
        <v>20</v>
      </c>
      <c r="U27" s="239" t="s">
        <v>19</v>
      </c>
      <c r="V27" s="239" t="s">
        <v>52</v>
      </c>
      <c r="W27" s="224" t="s">
        <v>1599</v>
      </c>
      <c r="X27" s="224" t="s">
        <v>1600</v>
      </c>
      <c r="Y27" s="224" t="s">
        <v>1601</v>
      </c>
      <c r="Z27" s="240" t="s">
        <v>1598</v>
      </c>
      <c r="AA27" s="241" t="s">
        <v>20</v>
      </c>
      <c r="AB27" s="241" t="s">
        <v>19</v>
      </c>
      <c r="AC27" s="241" t="s">
        <v>52</v>
      </c>
      <c r="AD27" s="208" t="s">
        <v>1599</v>
      </c>
      <c r="AE27" s="208" t="s">
        <v>1600</v>
      </c>
      <c r="AF27" s="208" t="s">
        <v>1601</v>
      </c>
      <c r="AG27" s="209" t="s">
        <v>1598</v>
      </c>
      <c r="AH27" s="210" t="s">
        <v>20</v>
      </c>
      <c r="AI27" s="210" t="s">
        <v>19</v>
      </c>
      <c r="AJ27" s="210" t="s">
        <v>52</v>
      </c>
      <c r="AK27" s="211" t="s">
        <v>1599</v>
      </c>
      <c r="AL27" s="211" t="s">
        <v>1600</v>
      </c>
      <c r="AM27" s="211" t="s">
        <v>1601</v>
      </c>
      <c r="AN27" s="212" t="s">
        <v>1598</v>
      </c>
      <c r="AO27" s="213" t="s">
        <v>20</v>
      </c>
      <c r="AP27" s="213" t="s">
        <v>19</v>
      </c>
      <c r="AQ27" s="213" t="s">
        <v>52</v>
      </c>
      <c r="AR27" s="214" t="s">
        <v>1599</v>
      </c>
      <c r="AS27" s="214" t="s">
        <v>1600</v>
      </c>
      <c r="AT27" s="214" t="s">
        <v>1601</v>
      </c>
      <c r="AU27" s="203" t="s">
        <v>20</v>
      </c>
      <c r="AV27" s="204" t="s">
        <v>19</v>
      </c>
      <c r="AW27" s="204" t="s">
        <v>52</v>
      </c>
      <c r="AX27" s="437"/>
      <c r="AY27" s="437"/>
      <c r="AZ27" s="437"/>
      <c r="BA27" s="444"/>
      <c r="BB27" s="430"/>
      <c r="BC27" s="375" t="s">
        <v>881</v>
      </c>
      <c r="BD27" s="377" t="s">
        <v>885</v>
      </c>
      <c r="BE27" s="376" t="s">
        <v>882</v>
      </c>
      <c r="BF27" s="429"/>
    </row>
    <row r="28" spans="1:58" x14ac:dyDescent="0.35">
      <c r="A28" s="193" t="s">
        <v>21</v>
      </c>
      <c r="B28" s="84">
        <v>232410015</v>
      </c>
      <c r="C28" s="261" t="s">
        <v>1473</v>
      </c>
      <c r="D28" s="262" t="s">
        <v>6</v>
      </c>
      <c r="E28" s="215">
        <v>19</v>
      </c>
      <c r="F28" s="216"/>
      <c r="G28" s="216"/>
      <c r="H28" s="216"/>
      <c r="I28" s="326">
        <f>SUM(F28:H28)</f>
        <v>0</v>
      </c>
      <c r="J28" s="326">
        <f>E28-I28</f>
        <v>19</v>
      </c>
      <c r="K28" s="327">
        <f>J28/E28</f>
        <v>1</v>
      </c>
      <c r="L28" s="221">
        <v>14</v>
      </c>
      <c r="M28" s="221"/>
      <c r="N28" s="221"/>
      <c r="O28" s="221"/>
      <c r="P28" s="328">
        <f>SUM(M28:O28)</f>
        <v>0</v>
      </c>
      <c r="Q28" s="328">
        <f>L28-P28</f>
        <v>14</v>
      </c>
      <c r="R28" s="329">
        <f>Q28/L28</f>
        <v>1</v>
      </c>
      <c r="S28" s="225">
        <v>12</v>
      </c>
      <c r="T28" s="225"/>
      <c r="U28" s="225"/>
      <c r="V28" s="225"/>
      <c r="W28" s="330">
        <f>SUM(T28:V28)</f>
        <v>0</v>
      </c>
      <c r="X28" s="330">
        <f>S28-W28</f>
        <v>12</v>
      </c>
      <c r="Y28" s="331">
        <f>X28/S28</f>
        <v>1</v>
      </c>
      <c r="Z28" s="228">
        <v>21</v>
      </c>
      <c r="AA28" s="228"/>
      <c r="AB28" s="228"/>
      <c r="AC28" s="228"/>
      <c r="AD28" s="280">
        <f>SUM(AA28:AC28)</f>
        <v>0</v>
      </c>
      <c r="AE28" s="280">
        <f>Z28-AD28</f>
        <v>21</v>
      </c>
      <c r="AF28" s="281">
        <f>AE28/Z28</f>
        <v>1</v>
      </c>
      <c r="AG28" s="229">
        <v>18</v>
      </c>
      <c r="AH28" s="229"/>
      <c r="AI28" s="229"/>
      <c r="AJ28" s="229"/>
      <c r="AK28" s="305">
        <f>SUM(AH28:AJ28)</f>
        <v>0</v>
      </c>
      <c r="AL28" s="305">
        <f>AG28-AK28</f>
        <v>18</v>
      </c>
      <c r="AM28" s="306">
        <f>AL28/AG28</f>
        <v>1</v>
      </c>
      <c r="AN28" s="230">
        <v>14</v>
      </c>
      <c r="AO28" s="230"/>
      <c r="AP28" s="230"/>
      <c r="AQ28" s="230"/>
      <c r="AR28" s="307">
        <f>SUM(AO28:AQ28)</f>
        <v>0</v>
      </c>
      <c r="AS28" s="307">
        <f>AN28-AR28</f>
        <v>14</v>
      </c>
      <c r="AT28" s="308">
        <f>AS28/AN28</f>
        <v>1</v>
      </c>
      <c r="AU28" s="289"/>
      <c r="AV28" s="289"/>
      <c r="AW28" s="289"/>
      <c r="AX28" s="290">
        <v>98</v>
      </c>
      <c r="AY28" s="289">
        <f>AX28-AU28-AV28-AW28</f>
        <v>98</v>
      </c>
      <c r="AZ28" s="291">
        <f t="shared" ref="AZ28" si="32">AY28/AX28</f>
        <v>1</v>
      </c>
      <c r="BA28" s="245"/>
      <c r="BB28" s="390" cm="1">
        <f t="array" ref="BB28:BB59">[1]XII!$BF$28:$BF$59</f>
        <v>100</v>
      </c>
      <c r="BC28" s="379">
        <f t="shared" ref="BC28" si="33">BA28*2</f>
        <v>0</v>
      </c>
      <c r="BD28" s="378">
        <f>AW28*2</f>
        <v>0</v>
      </c>
      <c r="BE28" s="378"/>
      <c r="BF28" s="387">
        <f t="shared" ref="BF28:BF59" si="34">BB28-BC28-BD28-BE28</f>
        <v>100</v>
      </c>
    </row>
    <row r="29" spans="1:58" x14ac:dyDescent="0.35">
      <c r="A29" s="193" t="s">
        <v>22</v>
      </c>
      <c r="B29" s="38">
        <v>232410016</v>
      </c>
      <c r="C29" s="261" t="s">
        <v>1474</v>
      </c>
      <c r="D29" s="262" t="s">
        <v>6</v>
      </c>
      <c r="E29" s="215">
        <v>19</v>
      </c>
      <c r="F29" s="217"/>
      <c r="G29" s="217"/>
      <c r="H29" s="217"/>
      <c r="I29" s="326">
        <f t="shared" ref="I29:I59" si="35">SUM(F29:H29)</f>
        <v>0</v>
      </c>
      <c r="J29" s="326">
        <f t="shared" ref="J29:J59" si="36">E29-I29</f>
        <v>19</v>
      </c>
      <c r="K29" s="327">
        <f t="shared" ref="K29:K59" si="37">J29/E29</f>
        <v>1</v>
      </c>
      <c r="L29" s="221">
        <v>14</v>
      </c>
      <c r="M29" s="222"/>
      <c r="N29" s="223"/>
      <c r="O29" s="222"/>
      <c r="P29" s="328">
        <f t="shared" ref="P29:P59" si="38">SUM(M29:O29)</f>
        <v>0</v>
      </c>
      <c r="Q29" s="328">
        <f t="shared" ref="Q29:Q59" si="39">L29-P29</f>
        <v>14</v>
      </c>
      <c r="R29" s="329">
        <f t="shared" ref="R29:R59" si="40">Q29/L29</f>
        <v>1</v>
      </c>
      <c r="S29" s="225">
        <v>12</v>
      </c>
      <c r="T29" s="227"/>
      <c r="U29" s="226"/>
      <c r="V29" s="227"/>
      <c r="W29" s="330">
        <f t="shared" ref="W29:W59" si="41">SUM(T29:V29)</f>
        <v>0</v>
      </c>
      <c r="X29" s="330">
        <f t="shared" ref="X29:X53" si="42">S35-W29</f>
        <v>12</v>
      </c>
      <c r="Y29" s="331">
        <f t="shared" ref="Y29:Y52" si="43">X29/S35</f>
        <v>1</v>
      </c>
      <c r="Z29" s="228">
        <v>21</v>
      </c>
      <c r="AA29" s="255"/>
      <c r="AB29" s="255"/>
      <c r="AC29" s="256"/>
      <c r="AD29" s="280">
        <f t="shared" ref="AD29:AD59" si="44">SUM(AA29:AC29)</f>
        <v>0</v>
      </c>
      <c r="AE29" s="280">
        <f t="shared" ref="AE29:AE59" si="45">Z29-AD29</f>
        <v>21</v>
      </c>
      <c r="AF29" s="281">
        <f t="shared" ref="AF29:AF59" si="46">AE29/Z29</f>
        <v>1</v>
      </c>
      <c r="AG29" s="229">
        <v>18</v>
      </c>
      <c r="AH29" s="257"/>
      <c r="AI29" s="257"/>
      <c r="AJ29" s="258"/>
      <c r="AK29" s="305">
        <f t="shared" ref="AK29:AK59" si="47">SUM(AH29:AJ29)</f>
        <v>0</v>
      </c>
      <c r="AL29" s="305">
        <f t="shared" ref="AL29:AL59" si="48">AG29-AK29</f>
        <v>18</v>
      </c>
      <c r="AM29" s="306">
        <f t="shared" ref="AM29:AM59" si="49">AL29/AG29</f>
        <v>1</v>
      </c>
      <c r="AN29" s="230">
        <v>14</v>
      </c>
      <c r="AO29" s="259"/>
      <c r="AP29" s="259"/>
      <c r="AQ29" s="260"/>
      <c r="AR29" s="307">
        <f t="shared" ref="AR29:AR59" si="50">SUM(AO29:AQ29)</f>
        <v>0</v>
      </c>
      <c r="AS29" s="307">
        <f t="shared" ref="AS29:AS59" si="51">AN29-AR29</f>
        <v>14</v>
      </c>
      <c r="AT29" s="308">
        <f t="shared" ref="AT29:AT59" si="52">AS29/AN29</f>
        <v>1</v>
      </c>
      <c r="AU29" s="289"/>
      <c r="AV29" s="289"/>
      <c r="AW29" s="289"/>
      <c r="AX29" s="290">
        <v>98</v>
      </c>
      <c r="AY29" s="289">
        <f t="shared" ref="AY29:AY59" si="53">AX29-AU29-AV29-AW29</f>
        <v>98</v>
      </c>
      <c r="AZ29" s="291">
        <f t="shared" ref="AZ29:AZ59" si="54">AY29/AX29</f>
        <v>1</v>
      </c>
      <c r="BA29" s="310"/>
      <c r="BB29" s="386">
        <v>100</v>
      </c>
      <c r="BC29" s="379">
        <f t="shared" ref="BC29:BC59" si="55">BA29*2</f>
        <v>0</v>
      </c>
      <c r="BD29" s="378">
        <f t="shared" ref="BD29:BD59" si="56">AW29*2</f>
        <v>0</v>
      </c>
      <c r="BE29" s="379"/>
      <c r="BF29" s="387">
        <f t="shared" si="34"/>
        <v>100</v>
      </c>
    </row>
    <row r="30" spans="1:58" x14ac:dyDescent="0.35">
      <c r="A30" s="193" t="s">
        <v>24</v>
      </c>
      <c r="B30" s="263">
        <v>232410018</v>
      </c>
      <c r="C30" s="261" t="s">
        <v>1475</v>
      </c>
      <c r="D30" s="264" t="s">
        <v>6</v>
      </c>
      <c r="E30" s="215">
        <v>19</v>
      </c>
      <c r="F30" s="217"/>
      <c r="G30" s="217"/>
      <c r="H30" s="217"/>
      <c r="I30" s="326">
        <f t="shared" si="35"/>
        <v>0</v>
      </c>
      <c r="J30" s="326">
        <f t="shared" si="36"/>
        <v>19</v>
      </c>
      <c r="K30" s="327">
        <f t="shared" si="37"/>
        <v>1</v>
      </c>
      <c r="L30" s="221">
        <v>14</v>
      </c>
      <c r="M30" s="222"/>
      <c r="N30" s="223"/>
      <c r="O30" s="223"/>
      <c r="P30" s="328">
        <f t="shared" si="38"/>
        <v>0</v>
      </c>
      <c r="Q30" s="328">
        <f t="shared" si="39"/>
        <v>14</v>
      </c>
      <c r="R30" s="329">
        <f t="shared" si="40"/>
        <v>1</v>
      </c>
      <c r="S30" s="225">
        <v>12</v>
      </c>
      <c r="T30" s="226"/>
      <c r="U30" s="226"/>
      <c r="V30" s="227"/>
      <c r="W30" s="330">
        <f t="shared" si="41"/>
        <v>0</v>
      </c>
      <c r="X30" s="330">
        <f t="shared" si="42"/>
        <v>12</v>
      </c>
      <c r="Y30" s="331">
        <f t="shared" si="43"/>
        <v>1</v>
      </c>
      <c r="Z30" s="228">
        <v>21</v>
      </c>
      <c r="AA30" s="255"/>
      <c r="AB30" s="255"/>
      <c r="AC30" s="255"/>
      <c r="AD30" s="280">
        <f t="shared" si="44"/>
        <v>0</v>
      </c>
      <c r="AE30" s="280">
        <f t="shared" si="45"/>
        <v>21</v>
      </c>
      <c r="AF30" s="281">
        <f t="shared" si="46"/>
        <v>1</v>
      </c>
      <c r="AG30" s="229">
        <v>18</v>
      </c>
      <c r="AH30" s="257"/>
      <c r="AI30" s="257"/>
      <c r="AJ30" s="257"/>
      <c r="AK30" s="305">
        <f t="shared" si="47"/>
        <v>0</v>
      </c>
      <c r="AL30" s="305">
        <f t="shared" si="48"/>
        <v>18</v>
      </c>
      <c r="AM30" s="306">
        <f t="shared" si="49"/>
        <v>1</v>
      </c>
      <c r="AN30" s="230">
        <v>14</v>
      </c>
      <c r="AO30" s="259"/>
      <c r="AP30" s="259"/>
      <c r="AQ30" s="259"/>
      <c r="AR30" s="307">
        <f t="shared" si="50"/>
        <v>0</v>
      </c>
      <c r="AS30" s="307">
        <f t="shared" si="51"/>
        <v>14</v>
      </c>
      <c r="AT30" s="308">
        <f t="shared" si="52"/>
        <v>1</v>
      </c>
      <c r="AU30" s="289"/>
      <c r="AV30" s="289"/>
      <c r="AW30" s="289"/>
      <c r="AX30" s="290">
        <v>98</v>
      </c>
      <c r="AY30" s="289">
        <f t="shared" si="53"/>
        <v>98</v>
      </c>
      <c r="AZ30" s="291">
        <f t="shared" si="54"/>
        <v>1</v>
      </c>
      <c r="BA30" s="310">
        <v>3</v>
      </c>
      <c r="BB30" s="386">
        <v>88</v>
      </c>
      <c r="BC30" s="379">
        <f t="shared" si="55"/>
        <v>6</v>
      </c>
      <c r="BD30" s="378">
        <f t="shared" si="56"/>
        <v>0</v>
      </c>
      <c r="BE30" s="379"/>
      <c r="BF30" s="387">
        <f t="shared" si="34"/>
        <v>82</v>
      </c>
    </row>
    <row r="31" spans="1:58" x14ac:dyDescent="0.35">
      <c r="A31" s="193" t="s">
        <v>25</v>
      </c>
      <c r="B31" s="263">
        <v>232410019</v>
      </c>
      <c r="C31" s="261" t="s">
        <v>1476</v>
      </c>
      <c r="D31" s="265" t="s">
        <v>6</v>
      </c>
      <c r="E31" s="215">
        <v>19</v>
      </c>
      <c r="F31" s="217"/>
      <c r="G31" s="217"/>
      <c r="H31" s="217"/>
      <c r="I31" s="326">
        <f t="shared" si="35"/>
        <v>0</v>
      </c>
      <c r="J31" s="326">
        <f t="shared" si="36"/>
        <v>19</v>
      </c>
      <c r="K31" s="327">
        <f t="shared" si="37"/>
        <v>1</v>
      </c>
      <c r="L31" s="221">
        <v>14</v>
      </c>
      <c r="M31" s="222"/>
      <c r="N31" s="223"/>
      <c r="O31" s="222"/>
      <c r="P31" s="328">
        <f t="shared" si="38"/>
        <v>0</v>
      </c>
      <c r="Q31" s="328">
        <f t="shared" si="39"/>
        <v>14</v>
      </c>
      <c r="R31" s="329">
        <f t="shared" si="40"/>
        <v>1</v>
      </c>
      <c r="S31" s="225">
        <v>12</v>
      </c>
      <c r="T31" s="226"/>
      <c r="U31" s="226"/>
      <c r="V31" s="226"/>
      <c r="W31" s="330">
        <f t="shared" si="41"/>
        <v>0</v>
      </c>
      <c r="X31" s="330">
        <f t="shared" si="42"/>
        <v>12</v>
      </c>
      <c r="Y31" s="331">
        <f t="shared" si="43"/>
        <v>1</v>
      </c>
      <c r="Z31" s="228">
        <v>21</v>
      </c>
      <c r="AA31" s="255"/>
      <c r="AB31" s="256"/>
      <c r="AC31" s="255"/>
      <c r="AD31" s="280">
        <f t="shared" si="44"/>
        <v>0</v>
      </c>
      <c r="AE31" s="280">
        <f t="shared" si="45"/>
        <v>21</v>
      </c>
      <c r="AF31" s="281">
        <f t="shared" si="46"/>
        <v>1</v>
      </c>
      <c r="AG31" s="229">
        <v>18</v>
      </c>
      <c r="AH31" s="257"/>
      <c r="AI31" s="258"/>
      <c r="AJ31" s="257"/>
      <c r="AK31" s="305">
        <f t="shared" si="47"/>
        <v>0</v>
      </c>
      <c r="AL31" s="305">
        <f t="shared" si="48"/>
        <v>18</v>
      </c>
      <c r="AM31" s="306">
        <f t="shared" si="49"/>
        <v>1</v>
      </c>
      <c r="AN31" s="230">
        <v>14</v>
      </c>
      <c r="AO31" s="259"/>
      <c r="AP31" s="260"/>
      <c r="AQ31" s="259"/>
      <c r="AR31" s="307">
        <f t="shared" si="50"/>
        <v>0</v>
      </c>
      <c r="AS31" s="307">
        <f t="shared" si="51"/>
        <v>14</v>
      </c>
      <c r="AT31" s="308">
        <f t="shared" si="52"/>
        <v>1</v>
      </c>
      <c r="AU31" s="289"/>
      <c r="AV31" s="289"/>
      <c r="AW31" s="289"/>
      <c r="AX31" s="290">
        <v>98</v>
      </c>
      <c r="AY31" s="289">
        <f t="shared" si="53"/>
        <v>98</v>
      </c>
      <c r="AZ31" s="291">
        <f t="shared" si="54"/>
        <v>1</v>
      </c>
      <c r="BA31" s="310">
        <v>3</v>
      </c>
      <c r="BB31" s="386">
        <v>54</v>
      </c>
      <c r="BC31" s="379">
        <f t="shared" si="55"/>
        <v>6</v>
      </c>
      <c r="BD31" s="378">
        <f t="shared" si="56"/>
        <v>0</v>
      </c>
      <c r="BE31" s="379"/>
      <c r="BF31" s="387">
        <f t="shared" si="34"/>
        <v>48</v>
      </c>
    </row>
    <row r="32" spans="1:58" x14ac:dyDescent="0.35">
      <c r="A32" s="193" t="s">
        <v>26</v>
      </c>
      <c r="B32" s="263">
        <v>232410020</v>
      </c>
      <c r="C32" s="261" t="s">
        <v>1477</v>
      </c>
      <c r="D32" s="265" t="s">
        <v>6</v>
      </c>
      <c r="E32" s="215">
        <v>19</v>
      </c>
      <c r="F32" s="217"/>
      <c r="G32" s="218"/>
      <c r="H32" s="217"/>
      <c r="I32" s="326">
        <f t="shared" si="35"/>
        <v>0</v>
      </c>
      <c r="J32" s="326">
        <f t="shared" si="36"/>
        <v>19</v>
      </c>
      <c r="K32" s="327">
        <f t="shared" si="37"/>
        <v>1</v>
      </c>
      <c r="L32" s="221">
        <v>14</v>
      </c>
      <c r="M32" s="222"/>
      <c r="N32" s="223"/>
      <c r="O32" s="223"/>
      <c r="P32" s="328">
        <f t="shared" si="38"/>
        <v>0</v>
      </c>
      <c r="Q32" s="328">
        <f t="shared" si="39"/>
        <v>14</v>
      </c>
      <c r="R32" s="329">
        <f t="shared" si="40"/>
        <v>1</v>
      </c>
      <c r="S32" s="225">
        <v>12</v>
      </c>
      <c r="T32" s="226"/>
      <c r="U32" s="226"/>
      <c r="V32" s="226"/>
      <c r="W32" s="330">
        <f t="shared" si="41"/>
        <v>0</v>
      </c>
      <c r="X32" s="330">
        <f t="shared" si="42"/>
        <v>12</v>
      </c>
      <c r="Y32" s="331">
        <f t="shared" si="43"/>
        <v>1</v>
      </c>
      <c r="Z32" s="228">
        <v>21</v>
      </c>
      <c r="AA32" s="255"/>
      <c r="AB32" s="256"/>
      <c r="AC32" s="255"/>
      <c r="AD32" s="280">
        <f t="shared" si="44"/>
        <v>0</v>
      </c>
      <c r="AE32" s="280">
        <f t="shared" si="45"/>
        <v>21</v>
      </c>
      <c r="AF32" s="281">
        <f t="shared" si="46"/>
        <v>1</v>
      </c>
      <c r="AG32" s="229">
        <v>18</v>
      </c>
      <c r="AH32" s="257"/>
      <c r="AI32" s="258"/>
      <c r="AJ32" s="257"/>
      <c r="AK32" s="305">
        <f t="shared" si="47"/>
        <v>0</v>
      </c>
      <c r="AL32" s="305">
        <f t="shared" si="48"/>
        <v>18</v>
      </c>
      <c r="AM32" s="306">
        <f t="shared" si="49"/>
        <v>1</v>
      </c>
      <c r="AN32" s="230">
        <v>14</v>
      </c>
      <c r="AO32" s="259"/>
      <c r="AP32" s="260"/>
      <c r="AQ32" s="259"/>
      <c r="AR32" s="307">
        <f t="shared" si="50"/>
        <v>0</v>
      </c>
      <c r="AS32" s="307">
        <f t="shared" si="51"/>
        <v>14</v>
      </c>
      <c r="AT32" s="308">
        <f t="shared" si="52"/>
        <v>1</v>
      </c>
      <c r="AU32" s="289"/>
      <c r="AV32" s="289"/>
      <c r="AW32" s="289"/>
      <c r="AX32" s="290">
        <v>98</v>
      </c>
      <c r="AY32" s="289">
        <f t="shared" si="53"/>
        <v>98</v>
      </c>
      <c r="AZ32" s="291">
        <f t="shared" si="54"/>
        <v>1</v>
      </c>
      <c r="BA32" s="310"/>
      <c r="BB32" s="386">
        <v>88</v>
      </c>
      <c r="BC32" s="379">
        <f t="shared" si="55"/>
        <v>0</v>
      </c>
      <c r="BD32" s="378">
        <f t="shared" si="56"/>
        <v>0</v>
      </c>
      <c r="BE32" s="379"/>
      <c r="BF32" s="387">
        <f t="shared" si="34"/>
        <v>88</v>
      </c>
    </row>
    <row r="33" spans="1:58" x14ac:dyDescent="0.35">
      <c r="A33" s="193" t="s">
        <v>27</v>
      </c>
      <c r="B33" s="263">
        <v>232410021</v>
      </c>
      <c r="C33" s="261" t="s">
        <v>1478</v>
      </c>
      <c r="D33" s="265" t="s">
        <v>6</v>
      </c>
      <c r="E33" s="215">
        <v>19</v>
      </c>
      <c r="F33" s="217"/>
      <c r="G33" s="217"/>
      <c r="H33" s="217"/>
      <c r="I33" s="326">
        <f t="shared" si="35"/>
        <v>0</v>
      </c>
      <c r="J33" s="326">
        <f t="shared" si="36"/>
        <v>19</v>
      </c>
      <c r="K33" s="327">
        <f t="shared" si="37"/>
        <v>1</v>
      </c>
      <c r="L33" s="221">
        <v>14</v>
      </c>
      <c r="M33" s="222"/>
      <c r="N33" s="223"/>
      <c r="O33" s="223"/>
      <c r="P33" s="328">
        <f t="shared" si="38"/>
        <v>0</v>
      </c>
      <c r="Q33" s="328">
        <f t="shared" si="39"/>
        <v>14</v>
      </c>
      <c r="R33" s="329">
        <f t="shared" si="40"/>
        <v>1</v>
      </c>
      <c r="S33" s="225">
        <v>12</v>
      </c>
      <c r="T33" s="226"/>
      <c r="U33" s="227"/>
      <c r="V33" s="227"/>
      <c r="W33" s="330">
        <f t="shared" si="41"/>
        <v>0</v>
      </c>
      <c r="X33" s="330">
        <f t="shared" si="42"/>
        <v>12</v>
      </c>
      <c r="Y33" s="331">
        <f t="shared" si="43"/>
        <v>1</v>
      </c>
      <c r="Z33" s="228">
        <v>21</v>
      </c>
      <c r="AA33" s="255"/>
      <c r="AB33" s="256"/>
      <c r="AC33" s="256"/>
      <c r="AD33" s="280">
        <f t="shared" si="44"/>
        <v>0</v>
      </c>
      <c r="AE33" s="280">
        <f t="shared" si="45"/>
        <v>21</v>
      </c>
      <c r="AF33" s="281">
        <f t="shared" si="46"/>
        <v>1</v>
      </c>
      <c r="AG33" s="229">
        <v>18</v>
      </c>
      <c r="AH33" s="257"/>
      <c r="AI33" s="258"/>
      <c r="AJ33" s="258"/>
      <c r="AK33" s="305">
        <f t="shared" si="47"/>
        <v>0</v>
      </c>
      <c r="AL33" s="305">
        <f t="shared" si="48"/>
        <v>18</v>
      </c>
      <c r="AM33" s="306">
        <f t="shared" si="49"/>
        <v>1</v>
      </c>
      <c r="AN33" s="230">
        <v>14</v>
      </c>
      <c r="AO33" s="259"/>
      <c r="AP33" s="260"/>
      <c r="AQ33" s="260"/>
      <c r="AR33" s="307">
        <f t="shared" si="50"/>
        <v>0</v>
      </c>
      <c r="AS33" s="307">
        <f t="shared" si="51"/>
        <v>14</v>
      </c>
      <c r="AT33" s="308">
        <f t="shared" si="52"/>
        <v>1</v>
      </c>
      <c r="AU33" s="289"/>
      <c r="AV33" s="289"/>
      <c r="AW33" s="289"/>
      <c r="AX33" s="290">
        <v>98</v>
      </c>
      <c r="AY33" s="289">
        <f t="shared" si="53"/>
        <v>98</v>
      </c>
      <c r="AZ33" s="291">
        <f t="shared" si="54"/>
        <v>1</v>
      </c>
      <c r="BA33" s="310"/>
      <c r="BB33" s="386">
        <v>100</v>
      </c>
      <c r="BC33" s="379">
        <f t="shared" si="55"/>
        <v>0</v>
      </c>
      <c r="BD33" s="378">
        <f t="shared" si="56"/>
        <v>0</v>
      </c>
      <c r="BE33" s="379"/>
      <c r="BF33" s="387">
        <f t="shared" si="34"/>
        <v>100</v>
      </c>
    </row>
    <row r="34" spans="1:58" x14ac:dyDescent="0.35">
      <c r="A34" s="193" t="s">
        <v>28</v>
      </c>
      <c r="B34" s="263">
        <v>232410022</v>
      </c>
      <c r="C34" s="261" t="s">
        <v>1479</v>
      </c>
      <c r="D34" s="265" t="s">
        <v>6</v>
      </c>
      <c r="E34" s="215">
        <v>19</v>
      </c>
      <c r="F34" s="217"/>
      <c r="G34" s="217"/>
      <c r="H34" s="217"/>
      <c r="I34" s="326">
        <f t="shared" si="35"/>
        <v>0</v>
      </c>
      <c r="J34" s="326">
        <f t="shared" si="36"/>
        <v>19</v>
      </c>
      <c r="K34" s="327">
        <f t="shared" si="37"/>
        <v>1</v>
      </c>
      <c r="L34" s="221">
        <v>14</v>
      </c>
      <c r="M34" s="222"/>
      <c r="N34" s="223"/>
      <c r="O34" s="223"/>
      <c r="P34" s="328">
        <f t="shared" si="38"/>
        <v>0</v>
      </c>
      <c r="Q34" s="328">
        <f t="shared" si="39"/>
        <v>14</v>
      </c>
      <c r="R34" s="329">
        <f t="shared" si="40"/>
        <v>1</v>
      </c>
      <c r="S34" s="225">
        <v>12</v>
      </c>
      <c r="T34" s="226"/>
      <c r="U34" s="226"/>
      <c r="V34" s="226"/>
      <c r="W34" s="330">
        <f t="shared" si="41"/>
        <v>0</v>
      </c>
      <c r="X34" s="330">
        <f t="shared" si="42"/>
        <v>12</v>
      </c>
      <c r="Y34" s="331">
        <f t="shared" si="43"/>
        <v>1</v>
      </c>
      <c r="Z34" s="228">
        <v>21</v>
      </c>
      <c r="AA34" s="255"/>
      <c r="AB34" s="256"/>
      <c r="AC34" s="256"/>
      <c r="AD34" s="280">
        <f t="shared" si="44"/>
        <v>0</v>
      </c>
      <c r="AE34" s="280">
        <f t="shared" si="45"/>
        <v>21</v>
      </c>
      <c r="AF34" s="281">
        <f t="shared" si="46"/>
        <v>1</v>
      </c>
      <c r="AG34" s="229">
        <v>18</v>
      </c>
      <c r="AH34" s="257"/>
      <c r="AI34" s="258"/>
      <c r="AJ34" s="258"/>
      <c r="AK34" s="305">
        <f t="shared" si="47"/>
        <v>0</v>
      </c>
      <c r="AL34" s="305">
        <f t="shared" si="48"/>
        <v>18</v>
      </c>
      <c r="AM34" s="306">
        <f t="shared" si="49"/>
        <v>1</v>
      </c>
      <c r="AN34" s="230">
        <v>14</v>
      </c>
      <c r="AO34" s="259"/>
      <c r="AP34" s="260"/>
      <c r="AQ34" s="260"/>
      <c r="AR34" s="307">
        <f t="shared" si="50"/>
        <v>0</v>
      </c>
      <c r="AS34" s="307">
        <f t="shared" si="51"/>
        <v>14</v>
      </c>
      <c r="AT34" s="308">
        <f t="shared" si="52"/>
        <v>1</v>
      </c>
      <c r="AU34" s="289"/>
      <c r="AV34" s="289"/>
      <c r="AW34" s="289"/>
      <c r="AX34" s="290">
        <v>98</v>
      </c>
      <c r="AY34" s="289">
        <f t="shared" si="53"/>
        <v>98</v>
      </c>
      <c r="AZ34" s="291">
        <f t="shared" si="54"/>
        <v>1</v>
      </c>
      <c r="BA34" s="310"/>
      <c r="BB34" s="386">
        <v>100</v>
      </c>
      <c r="BC34" s="379">
        <f t="shared" si="55"/>
        <v>0</v>
      </c>
      <c r="BD34" s="378">
        <f t="shared" si="56"/>
        <v>0</v>
      </c>
      <c r="BE34" s="379"/>
      <c r="BF34" s="387">
        <f t="shared" si="34"/>
        <v>100</v>
      </c>
    </row>
    <row r="35" spans="1:58" x14ac:dyDescent="0.35">
      <c r="A35" s="193" t="s">
        <v>29</v>
      </c>
      <c r="B35" s="263">
        <v>232410023</v>
      </c>
      <c r="C35" s="261" t="s">
        <v>1480</v>
      </c>
      <c r="D35" s="265" t="s">
        <v>6</v>
      </c>
      <c r="E35" s="215">
        <v>19</v>
      </c>
      <c r="F35" s="217"/>
      <c r="G35" s="217"/>
      <c r="H35" s="217"/>
      <c r="I35" s="326">
        <f t="shared" si="35"/>
        <v>0</v>
      </c>
      <c r="J35" s="326">
        <f t="shared" si="36"/>
        <v>19</v>
      </c>
      <c r="K35" s="327">
        <f t="shared" si="37"/>
        <v>1</v>
      </c>
      <c r="L35" s="221">
        <v>14</v>
      </c>
      <c r="M35" s="222"/>
      <c r="N35" s="223"/>
      <c r="O35" s="223"/>
      <c r="P35" s="328">
        <f t="shared" si="38"/>
        <v>0</v>
      </c>
      <c r="Q35" s="328">
        <f t="shared" si="39"/>
        <v>14</v>
      </c>
      <c r="R35" s="329">
        <f t="shared" si="40"/>
        <v>1</v>
      </c>
      <c r="S35" s="225">
        <v>12</v>
      </c>
      <c r="T35" s="226"/>
      <c r="U35" s="226"/>
      <c r="V35" s="226"/>
      <c r="W35" s="330">
        <f t="shared" si="41"/>
        <v>0</v>
      </c>
      <c r="X35" s="330">
        <f t="shared" si="42"/>
        <v>12</v>
      </c>
      <c r="Y35" s="331">
        <f t="shared" si="43"/>
        <v>1</v>
      </c>
      <c r="Z35" s="228">
        <v>21</v>
      </c>
      <c r="AA35" s="255"/>
      <c r="AB35" s="256"/>
      <c r="AC35" s="256"/>
      <c r="AD35" s="280">
        <f t="shared" si="44"/>
        <v>0</v>
      </c>
      <c r="AE35" s="280">
        <f t="shared" si="45"/>
        <v>21</v>
      </c>
      <c r="AF35" s="281">
        <f t="shared" si="46"/>
        <v>1</v>
      </c>
      <c r="AG35" s="229">
        <v>18</v>
      </c>
      <c r="AH35" s="257"/>
      <c r="AI35" s="258"/>
      <c r="AJ35" s="258"/>
      <c r="AK35" s="305">
        <f t="shared" si="47"/>
        <v>0</v>
      </c>
      <c r="AL35" s="305">
        <f t="shared" si="48"/>
        <v>18</v>
      </c>
      <c r="AM35" s="306">
        <f t="shared" si="49"/>
        <v>1</v>
      </c>
      <c r="AN35" s="230">
        <v>14</v>
      </c>
      <c r="AO35" s="259"/>
      <c r="AP35" s="260"/>
      <c r="AQ35" s="260"/>
      <c r="AR35" s="307">
        <f t="shared" si="50"/>
        <v>0</v>
      </c>
      <c r="AS35" s="307">
        <f t="shared" si="51"/>
        <v>14</v>
      </c>
      <c r="AT35" s="308">
        <f t="shared" si="52"/>
        <v>1</v>
      </c>
      <c r="AU35" s="289"/>
      <c r="AV35" s="289"/>
      <c r="AW35" s="289"/>
      <c r="AX35" s="290">
        <v>98</v>
      </c>
      <c r="AY35" s="289">
        <f t="shared" si="53"/>
        <v>98</v>
      </c>
      <c r="AZ35" s="291">
        <f t="shared" si="54"/>
        <v>1</v>
      </c>
      <c r="BA35" s="310"/>
      <c r="BB35" s="386">
        <v>100</v>
      </c>
      <c r="BC35" s="379">
        <f t="shared" si="55"/>
        <v>0</v>
      </c>
      <c r="BD35" s="378">
        <f t="shared" si="56"/>
        <v>0</v>
      </c>
      <c r="BE35" s="379"/>
      <c r="BF35" s="387">
        <f t="shared" si="34"/>
        <v>100</v>
      </c>
    </row>
    <row r="36" spans="1:58" x14ac:dyDescent="0.35">
      <c r="A36" s="193" t="s">
        <v>30</v>
      </c>
      <c r="B36" s="263">
        <v>232410024</v>
      </c>
      <c r="C36" s="261" t="s">
        <v>1481</v>
      </c>
      <c r="D36" s="265" t="s">
        <v>6</v>
      </c>
      <c r="E36" s="215">
        <v>19</v>
      </c>
      <c r="F36" s="217"/>
      <c r="G36" s="217"/>
      <c r="H36" s="218"/>
      <c r="I36" s="326">
        <f t="shared" si="35"/>
        <v>0</v>
      </c>
      <c r="J36" s="326">
        <f t="shared" si="36"/>
        <v>19</v>
      </c>
      <c r="K36" s="327">
        <f t="shared" si="37"/>
        <v>1</v>
      </c>
      <c r="L36" s="221">
        <v>14</v>
      </c>
      <c r="M36" s="222"/>
      <c r="N36" s="222"/>
      <c r="O36" s="223"/>
      <c r="P36" s="328">
        <f t="shared" si="38"/>
        <v>0</v>
      </c>
      <c r="Q36" s="328">
        <f t="shared" si="39"/>
        <v>14</v>
      </c>
      <c r="R36" s="329">
        <f t="shared" si="40"/>
        <v>1</v>
      </c>
      <c r="S36" s="225">
        <v>12</v>
      </c>
      <c r="T36" s="226"/>
      <c r="U36" s="226"/>
      <c r="V36" s="226"/>
      <c r="W36" s="330">
        <f t="shared" si="41"/>
        <v>0</v>
      </c>
      <c r="X36" s="330">
        <f t="shared" si="42"/>
        <v>12</v>
      </c>
      <c r="Y36" s="331">
        <f t="shared" si="43"/>
        <v>1</v>
      </c>
      <c r="Z36" s="228">
        <v>21</v>
      </c>
      <c r="AA36" s="255"/>
      <c r="AB36" s="256"/>
      <c r="AC36" s="255"/>
      <c r="AD36" s="280">
        <f t="shared" si="44"/>
        <v>0</v>
      </c>
      <c r="AE36" s="280">
        <f t="shared" si="45"/>
        <v>21</v>
      </c>
      <c r="AF36" s="281">
        <f t="shared" si="46"/>
        <v>1</v>
      </c>
      <c r="AG36" s="229">
        <v>18</v>
      </c>
      <c r="AH36" s="257"/>
      <c r="AI36" s="258"/>
      <c r="AJ36" s="257"/>
      <c r="AK36" s="305">
        <f t="shared" si="47"/>
        <v>0</v>
      </c>
      <c r="AL36" s="305">
        <f t="shared" si="48"/>
        <v>18</v>
      </c>
      <c r="AM36" s="306">
        <f t="shared" si="49"/>
        <v>1</v>
      </c>
      <c r="AN36" s="230">
        <v>14</v>
      </c>
      <c r="AO36" s="259"/>
      <c r="AP36" s="260"/>
      <c r="AQ36" s="259"/>
      <c r="AR36" s="307">
        <f t="shared" si="50"/>
        <v>0</v>
      </c>
      <c r="AS36" s="307">
        <f t="shared" si="51"/>
        <v>14</v>
      </c>
      <c r="AT36" s="308">
        <f t="shared" si="52"/>
        <v>1</v>
      </c>
      <c r="AU36" s="289"/>
      <c r="AV36" s="289"/>
      <c r="AW36" s="289"/>
      <c r="AX36" s="290">
        <v>98</v>
      </c>
      <c r="AY36" s="289">
        <f t="shared" si="53"/>
        <v>98</v>
      </c>
      <c r="AZ36" s="291">
        <f t="shared" si="54"/>
        <v>1</v>
      </c>
      <c r="BA36" s="310"/>
      <c r="BB36" s="386">
        <v>98</v>
      </c>
      <c r="BC36" s="379">
        <f t="shared" si="55"/>
        <v>0</v>
      </c>
      <c r="BD36" s="378">
        <f t="shared" si="56"/>
        <v>0</v>
      </c>
      <c r="BE36" s="379"/>
      <c r="BF36" s="387">
        <f t="shared" si="34"/>
        <v>98</v>
      </c>
    </row>
    <row r="37" spans="1:58" x14ac:dyDescent="0.35">
      <c r="A37" s="193" t="s">
        <v>31</v>
      </c>
      <c r="B37" s="263">
        <v>232410025</v>
      </c>
      <c r="C37" s="261" t="s">
        <v>1482</v>
      </c>
      <c r="D37" s="265" t="s">
        <v>6</v>
      </c>
      <c r="E37" s="215">
        <v>19</v>
      </c>
      <c r="F37" s="217"/>
      <c r="G37" s="217"/>
      <c r="H37" s="217"/>
      <c r="I37" s="326">
        <f t="shared" si="35"/>
        <v>0</v>
      </c>
      <c r="J37" s="326">
        <f t="shared" si="36"/>
        <v>19</v>
      </c>
      <c r="K37" s="327">
        <f t="shared" si="37"/>
        <v>1</v>
      </c>
      <c r="L37" s="221">
        <v>14</v>
      </c>
      <c r="M37" s="222"/>
      <c r="N37" s="223"/>
      <c r="O37" s="222"/>
      <c r="P37" s="328">
        <f t="shared" si="38"/>
        <v>0</v>
      </c>
      <c r="Q37" s="328">
        <f t="shared" si="39"/>
        <v>14</v>
      </c>
      <c r="R37" s="329">
        <f t="shared" si="40"/>
        <v>1</v>
      </c>
      <c r="S37" s="225">
        <v>12</v>
      </c>
      <c r="T37" s="226"/>
      <c r="U37" s="226"/>
      <c r="V37" s="226"/>
      <c r="W37" s="330">
        <f t="shared" si="41"/>
        <v>0</v>
      </c>
      <c r="X37" s="330">
        <f t="shared" si="42"/>
        <v>12</v>
      </c>
      <c r="Y37" s="331">
        <f t="shared" si="43"/>
        <v>1</v>
      </c>
      <c r="Z37" s="228">
        <v>21</v>
      </c>
      <c r="AA37" s="255"/>
      <c r="AB37" s="255"/>
      <c r="AC37" s="255"/>
      <c r="AD37" s="280">
        <f t="shared" si="44"/>
        <v>0</v>
      </c>
      <c r="AE37" s="280">
        <f t="shared" si="45"/>
        <v>21</v>
      </c>
      <c r="AF37" s="281">
        <f t="shared" si="46"/>
        <v>1</v>
      </c>
      <c r="AG37" s="229">
        <v>18</v>
      </c>
      <c r="AH37" s="257"/>
      <c r="AI37" s="257"/>
      <c r="AJ37" s="257"/>
      <c r="AK37" s="305">
        <f t="shared" si="47"/>
        <v>0</v>
      </c>
      <c r="AL37" s="305">
        <f t="shared" si="48"/>
        <v>18</v>
      </c>
      <c r="AM37" s="306">
        <f t="shared" si="49"/>
        <v>1</v>
      </c>
      <c r="AN37" s="230">
        <v>14</v>
      </c>
      <c r="AO37" s="259"/>
      <c r="AP37" s="259"/>
      <c r="AQ37" s="259"/>
      <c r="AR37" s="307">
        <f t="shared" si="50"/>
        <v>0</v>
      </c>
      <c r="AS37" s="307">
        <f t="shared" si="51"/>
        <v>14</v>
      </c>
      <c r="AT37" s="308">
        <f t="shared" si="52"/>
        <v>1</v>
      </c>
      <c r="AU37" s="289"/>
      <c r="AV37" s="289"/>
      <c r="AW37" s="289"/>
      <c r="AX37" s="290">
        <v>98</v>
      </c>
      <c r="AY37" s="289">
        <f t="shared" si="53"/>
        <v>98</v>
      </c>
      <c r="AZ37" s="291">
        <f t="shared" si="54"/>
        <v>1</v>
      </c>
      <c r="BA37" s="310"/>
      <c r="BB37" s="386">
        <v>96</v>
      </c>
      <c r="BC37" s="379">
        <f t="shared" si="55"/>
        <v>0</v>
      </c>
      <c r="BD37" s="378">
        <f t="shared" si="56"/>
        <v>0</v>
      </c>
      <c r="BE37" s="379"/>
      <c r="BF37" s="387">
        <f t="shared" si="34"/>
        <v>96</v>
      </c>
    </row>
    <row r="38" spans="1:58" x14ac:dyDescent="0.35">
      <c r="A38" s="193" t="s">
        <v>32</v>
      </c>
      <c r="B38" s="263">
        <v>232410026</v>
      </c>
      <c r="C38" s="261" t="s">
        <v>1483</v>
      </c>
      <c r="D38" s="265" t="s">
        <v>6</v>
      </c>
      <c r="E38" s="215">
        <v>19</v>
      </c>
      <c r="F38" s="217"/>
      <c r="G38" s="217"/>
      <c r="H38" s="217"/>
      <c r="I38" s="326">
        <f t="shared" si="35"/>
        <v>0</v>
      </c>
      <c r="J38" s="326">
        <f t="shared" si="36"/>
        <v>19</v>
      </c>
      <c r="K38" s="327">
        <f t="shared" si="37"/>
        <v>1</v>
      </c>
      <c r="L38" s="221">
        <v>14</v>
      </c>
      <c r="M38" s="223"/>
      <c r="N38" s="222"/>
      <c r="O38" s="223"/>
      <c r="P38" s="328">
        <f t="shared" si="38"/>
        <v>0</v>
      </c>
      <c r="Q38" s="328">
        <f t="shared" si="39"/>
        <v>14</v>
      </c>
      <c r="R38" s="329">
        <f t="shared" si="40"/>
        <v>1</v>
      </c>
      <c r="S38" s="225">
        <v>12</v>
      </c>
      <c r="T38" s="226"/>
      <c r="U38" s="226"/>
      <c r="V38" s="226"/>
      <c r="W38" s="330">
        <f t="shared" si="41"/>
        <v>0</v>
      </c>
      <c r="X38" s="330">
        <f t="shared" si="42"/>
        <v>12</v>
      </c>
      <c r="Y38" s="331">
        <f t="shared" si="43"/>
        <v>1</v>
      </c>
      <c r="Z38" s="228">
        <v>21</v>
      </c>
      <c r="AA38" s="255"/>
      <c r="AB38" s="256"/>
      <c r="AC38" s="255"/>
      <c r="AD38" s="280">
        <f t="shared" si="44"/>
        <v>0</v>
      </c>
      <c r="AE38" s="280">
        <f t="shared" si="45"/>
        <v>21</v>
      </c>
      <c r="AF38" s="281">
        <f t="shared" si="46"/>
        <v>1</v>
      </c>
      <c r="AG38" s="229">
        <v>18</v>
      </c>
      <c r="AH38" s="257"/>
      <c r="AI38" s="258"/>
      <c r="AJ38" s="257"/>
      <c r="AK38" s="305">
        <f t="shared" si="47"/>
        <v>0</v>
      </c>
      <c r="AL38" s="305">
        <f t="shared" si="48"/>
        <v>18</v>
      </c>
      <c r="AM38" s="306">
        <f t="shared" si="49"/>
        <v>1</v>
      </c>
      <c r="AN38" s="230">
        <v>14</v>
      </c>
      <c r="AO38" s="259"/>
      <c r="AP38" s="260"/>
      <c r="AQ38" s="259"/>
      <c r="AR38" s="307">
        <f t="shared" si="50"/>
        <v>0</v>
      </c>
      <c r="AS38" s="307">
        <f t="shared" si="51"/>
        <v>14</v>
      </c>
      <c r="AT38" s="308">
        <f t="shared" si="52"/>
        <v>1</v>
      </c>
      <c r="AU38" s="289"/>
      <c r="AV38" s="289"/>
      <c r="AW38" s="289"/>
      <c r="AX38" s="290">
        <v>98</v>
      </c>
      <c r="AY38" s="289">
        <f t="shared" si="53"/>
        <v>98</v>
      </c>
      <c r="AZ38" s="291">
        <f t="shared" si="54"/>
        <v>1</v>
      </c>
      <c r="BA38" s="310"/>
      <c r="BB38" s="386">
        <v>96</v>
      </c>
      <c r="BC38" s="379">
        <f t="shared" si="55"/>
        <v>0</v>
      </c>
      <c r="BD38" s="378">
        <f t="shared" si="56"/>
        <v>0</v>
      </c>
      <c r="BE38" s="379"/>
      <c r="BF38" s="387">
        <f t="shared" si="34"/>
        <v>96</v>
      </c>
    </row>
    <row r="39" spans="1:58" x14ac:dyDescent="0.35">
      <c r="A39" s="193" t="s">
        <v>33</v>
      </c>
      <c r="B39" s="263">
        <v>232410027</v>
      </c>
      <c r="C39" s="261" t="s">
        <v>1484</v>
      </c>
      <c r="D39" s="265" t="s">
        <v>6</v>
      </c>
      <c r="E39" s="215">
        <v>19</v>
      </c>
      <c r="F39" s="217"/>
      <c r="G39" s="217"/>
      <c r="H39" s="217"/>
      <c r="I39" s="326">
        <f t="shared" si="35"/>
        <v>0</v>
      </c>
      <c r="J39" s="326">
        <f t="shared" si="36"/>
        <v>19</v>
      </c>
      <c r="K39" s="327">
        <f t="shared" si="37"/>
        <v>1</v>
      </c>
      <c r="L39" s="221">
        <v>14</v>
      </c>
      <c r="M39" s="223"/>
      <c r="N39" s="222"/>
      <c r="O39" s="223"/>
      <c r="P39" s="328">
        <f t="shared" si="38"/>
        <v>0</v>
      </c>
      <c r="Q39" s="328">
        <f t="shared" si="39"/>
        <v>14</v>
      </c>
      <c r="R39" s="329">
        <f t="shared" si="40"/>
        <v>1</v>
      </c>
      <c r="S39" s="225">
        <v>12</v>
      </c>
      <c r="T39" s="226"/>
      <c r="U39" s="226"/>
      <c r="V39" s="226"/>
      <c r="W39" s="330">
        <f t="shared" si="41"/>
        <v>0</v>
      </c>
      <c r="X39" s="330">
        <f t="shared" si="42"/>
        <v>12</v>
      </c>
      <c r="Y39" s="331">
        <f t="shared" si="43"/>
        <v>1</v>
      </c>
      <c r="Z39" s="228">
        <v>21</v>
      </c>
      <c r="AA39" s="255"/>
      <c r="AB39" s="256"/>
      <c r="AC39" s="255"/>
      <c r="AD39" s="280">
        <f t="shared" si="44"/>
        <v>0</v>
      </c>
      <c r="AE39" s="280">
        <f t="shared" si="45"/>
        <v>21</v>
      </c>
      <c r="AF39" s="281">
        <f t="shared" si="46"/>
        <v>1</v>
      </c>
      <c r="AG39" s="229">
        <v>18</v>
      </c>
      <c r="AH39" s="257"/>
      <c r="AI39" s="258"/>
      <c r="AJ39" s="257"/>
      <c r="AK39" s="305">
        <f t="shared" si="47"/>
        <v>0</v>
      </c>
      <c r="AL39" s="305">
        <f t="shared" si="48"/>
        <v>18</v>
      </c>
      <c r="AM39" s="306">
        <f t="shared" si="49"/>
        <v>1</v>
      </c>
      <c r="AN39" s="230">
        <v>14</v>
      </c>
      <c r="AO39" s="259"/>
      <c r="AP39" s="260"/>
      <c r="AQ39" s="259"/>
      <c r="AR39" s="307">
        <f t="shared" si="50"/>
        <v>0</v>
      </c>
      <c r="AS39" s="307">
        <f t="shared" si="51"/>
        <v>14</v>
      </c>
      <c r="AT39" s="308">
        <f t="shared" si="52"/>
        <v>1</v>
      </c>
      <c r="AU39" s="289"/>
      <c r="AV39" s="289"/>
      <c r="AW39" s="289"/>
      <c r="AX39" s="290">
        <v>98</v>
      </c>
      <c r="AY39" s="289">
        <f t="shared" si="53"/>
        <v>98</v>
      </c>
      <c r="AZ39" s="291">
        <f t="shared" si="54"/>
        <v>1</v>
      </c>
      <c r="BA39" s="310"/>
      <c r="BB39" s="386">
        <v>96</v>
      </c>
      <c r="BC39" s="379">
        <f t="shared" si="55"/>
        <v>0</v>
      </c>
      <c r="BD39" s="378">
        <f t="shared" si="56"/>
        <v>0</v>
      </c>
      <c r="BE39" s="379"/>
      <c r="BF39" s="387">
        <f t="shared" si="34"/>
        <v>96</v>
      </c>
    </row>
    <row r="40" spans="1:58" x14ac:dyDescent="0.35">
      <c r="A40" s="193" t="s">
        <v>34</v>
      </c>
      <c r="B40" s="263">
        <v>232410028</v>
      </c>
      <c r="C40" s="261" t="s">
        <v>1485</v>
      </c>
      <c r="D40" s="265" t="s">
        <v>6</v>
      </c>
      <c r="E40" s="215">
        <v>19</v>
      </c>
      <c r="F40" s="217"/>
      <c r="G40" s="217"/>
      <c r="H40" s="217"/>
      <c r="I40" s="326">
        <f t="shared" si="35"/>
        <v>0</v>
      </c>
      <c r="J40" s="326">
        <f t="shared" si="36"/>
        <v>19</v>
      </c>
      <c r="K40" s="327">
        <f t="shared" si="37"/>
        <v>1</v>
      </c>
      <c r="L40" s="221">
        <v>14</v>
      </c>
      <c r="M40" s="223"/>
      <c r="N40" s="222"/>
      <c r="O40" s="223"/>
      <c r="P40" s="328">
        <f t="shared" si="38"/>
        <v>0</v>
      </c>
      <c r="Q40" s="328">
        <f t="shared" si="39"/>
        <v>14</v>
      </c>
      <c r="R40" s="329">
        <f t="shared" si="40"/>
        <v>1</v>
      </c>
      <c r="S40" s="225">
        <v>12</v>
      </c>
      <c r="T40" s="226"/>
      <c r="U40" s="226"/>
      <c r="V40" s="226"/>
      <c r="W40" s="330">
        <f t="shared" si="41"/>
        <v>0</v>
      </c>
      <c r="X40" s="330">
        <f t="shared" si="42"/>
        <v>12</v>
      </c>
      <c r="Y40" s="331">
        <f t="shared" si="43"/>
        <v>1</v>
      </c>
      <c r="Z40" s="228">
        <v>21</v>
      </c>
      <c r="AA40" s="255"/>
      <c r="AB40" s="256"/>
      <c r="AC40" s="255"/>
      <c r="AD40" s="280">
        <f t="shared" si="44"/>
        <v>0</v>
      </c>
      <c r="AE40" s="280">
        <f t="shared" si="45"/>
        <v>21</v>
      </c>
      <c r="AF40" s="281">
        <f t="shared" si="46"/>
        <v>1</v>
      </c>
      <c r="AG40" s="229">
        <v>18</v>
      </c>
      <c r="AH40" s="257"/>
      <c r="AI40" s="258"/>
      <c r="AJ40" s="257"/>
      <c r="AK40" s="305">
        <f t="shared" si="47"/>
        <v>0</v>
      </c>
      <c r="AL40" s="305">
        <f t="shared" si="48"/>
        <v>18</v>
      </c>
      <c r="AM40" s="306">
        <f t="shared" si="49"/>
        <v>1</v>
      </c>
      <c r="AN40" s="230">
        <v>14</v>
      </c>
      <c r="AO40" s="259"/>
      <c r="AP40" s="260"/>
      <c r="AQ40" s="259"/>
      <c r="AR40" s="307">
        <f t="shared" si="50"/>
        <v>0</v>
      </c>
      <c r="AS40" s="307">
        <f t="shared" si="51"/>
        <v>14</v>
      </c>
      <c r="AT40" s="308">
        <f t="shared" si="52"/>
        <v>1</v>
      </c>
      <c r="AU40" s="289"/>
      <c r="AV40" s="289"/>
      <c r="AW40" s="289"/>
      <c r="AX40" s="290">
        <v>98</v>
      </c>
      <c r="AY40" s="289">
        <f t="shared" si="53"/>
        <v>98</v>
      </c>
      <c r="AZ40" s="291">
        <f t="shared" si="54"/>
        <v>1</v>
      </c>
      <c r="BA40" s="310"/>
      <c r="BB40" s="386">
        <v>84</v>
      </c>
      <c r="BC40" s="379">
        <f t="shared" si="55"/>
        <v>0</v>
      </c>
      <c r="BD40" s="378">
        <f t="shared" si="56"/>
        <v>0</v>
      </c>
      <c r="BE40" s="379"/>
      <c r="BF40" s="387">
        <f t="shared" si="34"/>
        <v>84</v>
      </c>
    </row>
    <row r="41" spans="1:58" x14ac:dyDescent="0.35">
      <c r="A41" s="193" t="s">
        <v>35</v>
      </c>
      <c r="B41" s="263">
        <v>252612238</v>
      </c>
      <c r="C41" s="261" t="s">
        <v>1622</v>
      </c>
      <c r="D41" s="265" t="s">
        <v>6</v>
      </c>
      <c r="E41" s="215">
        <v>19</v>
      </c>
      <c r="F41" s="217"/>
      <c r="G41" s="217"/>
      <c r="H41" s="217"/>
      <c r="I41" s="326">
        <f t="shared" si="35"/>
        <v>0</v>
      </c>
      <c r="J41" s="326">
        <f t="shared" si="36"/>
        <v>19</v>
      </c>
      <c r="K41" s="327">
        <f t="shared" si="37"/>
        <v>1</v>
      </c>
      <c r="L41" s="221">
        <v>14</v>
      </c>
      <c r="M41" s="223"/>
      <c r="N41" s="222"/>
      <c r="O41" s="223"/>
      <c r="P41" s="328">
        <f t="shared" si="38"/>
        <v>0</v>
      </c>
      <c r="Q41" s="328">
        <f t="shared" si="39"/>
        <v>14</v>
      </c>
      <c r="R41" s="329">
        <f t="shared" si="40"/>
        <v>1</v>
      </c>
      <c r="S41" s="225">
        <v>12</v>
      </c>
      <c r="T41" s="226"/>
      <c r="U41" s="226"/>
      <c r="V41" s="226"/>
      <c r="W41" s="330">
        <f t="shared" si="41"/>
        <v>0</v>
      </c>
      <c r="X41" s="330">
        <f t="shared" si="42"/>
        <v>12</v>
      </c>
      <c r="Y41" s="331">
        <f t="shared" si="43"/>
        <v>1</v>
      </c>
      <c r="Z41" s="228">
        <v>21</v>
      </c>
      <c r="AA41" s="255"/>
      <c r="AB41" s="256"/>
      <c r="AC41" s="255"/>
      <c r="AD41" s="280">
        <f t="shared" si="44"/>
        <v>0</v>
      </c>
      <c r="AE41" s="280">
        <f t="shared" si="45"/>
        <v>21</v>
      </c>
      <c r="AF41" s="281">
        <f t="shared" si="46"/>
        <v>1</v>
      </c>
      <c r="AG41" s="229">
        <v>18</v>
      </c>
      <c r="AH41" s="257"/>
      <c r="AI41" s="258"/>
      <c r="AJ41" s="257"/>
      <c r="AK41" s="305">
        <f t="shared" si="47"/>
        <v>0</v>
      </c>
      <c r="AL41" s="305">
        <f t="shared" si="48"/>
        <v>18</v>
      </c>
      <c r="AM41" s="306">
        <f t="shared" si="49"/>
        <v>1</v>
      </c>
      <c r="AN41" s="230">
        <v>14</v>
      </c>
      <c r="AO41" s="259"/>
      <c r="AP41" s="260"/>
      <c r="AQ41" s="259"/>
      <c r="AR41" s="307">
        <f t="shared" si="50"/>
        <v>0</v>
      </c>
      <c r="AS41" s="307">
        <f t="shared" si="51"/>
        <v>14</v>
      </c>
      <c r="AT41" s="308">
        <f t="shared" si="52"/>
        <v>1</v>
      </c>
      <c r="AU41" s="289"/>
      <c r="AV41" s="289"/>
      <c r="AW41" s="289"/>
      <c r="AX41" s="290">
        <v>98</v>
      </c>
      <c r="AY41" s="289">
        <f t="shared" si="53"/>
        <v>98</v>
      </c>
      <c r="AZ41" s="291">
        <f t="shared" si="54"/>
        <v>1</v>
      </c>
      <c r="BA41" s="310">
        <v>1</v>
      </c>
      <c r="BB41" s="386">
        <v>86</v>
      </c>
      <c r="BC41" s="379">
        <f t="shared" si="55"/>
        <v>2</v>
      </c>
      <c r="BD41" s="378">
        <f t="shared" si="56"/>
        <v>0</v>
      </c>
      <c r="BE41" s="379"/>
      <c r="BF41" s="387">
        <f t="shared" si="34"/>
        <v>84</v>
      </c>
    </row>
    <row r="42" spans="1:58" x14ac:dyDescent="0.35">
      <c r="A42" s="193" t="s">
        <v>36</v>
      </c>
      <c r="B42" s="263">
        <v>232410029</v>
      </c>
      <c r="C42" s="261" t="s">
        <v>1486</v>
      </c>
      <c r="D42" s="265" t="s">
        <v>6</v>
      </c>
      <c r="E42" s="215">
        <v>19</v>
      </c>
      <c r="F42" s="217"/>
      <c r="G42" s="217"/>
      <c r="H42" s="217"/>
      <c r="I42" s="326">
        <f t="shared" si="35"/>
        <v>0</v>
      </c>
      <c r="J42" s="326">
        <f t="shared" si="36"/>
        <v>19</v>
      </c>
      <c r="K42" s="327">
        <f t="shared" si="37"/>
        <v>1</v>
      </c>
      <c r="L42" s="221">
        <v>14</v>
      </c>
      <c r="M42" s="223"/>
      <c r="N42" s="222"/>
      <c r="O42" s="223"/>
      <c r="P42" s="328">
        <f t="shared" si="38"/>
        <v>0</v>
      </c>
      <c r="Q42" s="328">
        <f t="shared" si="39"/>
        <v>14</v>
      </c>
      <c r="R42" s="329">
        <f t="shared" si="40"/>
        <v>1</v>
      </c>
      <c r="S42" s="225">
        <v>12</v>
      </c>
      <c r="T42" s="226"/>
      <c r="U42" s="226"/>
      <c r="V42" s="226"/>
      <c r="W42" s="330">
        <f t="shared" si="41"/>
        <v>0</v>
      </c>
      <c r="X42" s="330">
        <f t="shared" si="42"/>
        <v>12</v>
      </c>
      <c r="Y42" s="331">
        <f t="shared" si="43"/>
        <v>1</v>
      </c>
      <c r="Z42" s="228">
        <v>21</v>
      </c>
      <c r="AA42" s="255"/>
      <c r="AB42" s="256"/>
      <c r="AC42" s="255"/>
      <c r="AD42" s="280">
        <f t="shared" si="44"/>
        <v>0</v>
      </c>
      <c r="AE42" s="280">
        <f t="shared" si="45"/>
        <v>21</v>
      </c>
      <c r="AF42" s="281">
        <f t="shared" si="46"/>
        <v>1</v>
      </c>
      <c r="AG42" s="229">
        <v>18</v>
      </c>
      <c r="AH42" s="257"/>
      <c r="AI42" s="258"/>
      <c r="AJ42" s="257"/>
      <c r="AK42" s="305">
        <f t="shared" si="47"/>
        <v>0</v>
      </c>
      <c r="AL42" s="305">
        <f t="shared" si="48"/>
        <v>18</v>
      </c>
      <c r="AM42" s="306">
        <f t="shared" si="49"/>
        <v>1</v>
      </c>
      <c r="AN42" s="230">
        <v>14</v>
      </c>
      <c r="AO42" s="259"/>
      <c r="AP42" s="260"/>
      <c r="AQ42" s="259"/>
      <c r="AR42" s="307">
        <f t="shared" si="50"/>
        <v>0</v>
      </c>
      <c r="AS42" s="307">
        <f t="shared" si="51"/>
        <v>14</v>
      </c>
      <c r="AT42" s="308">
        <f t="shared" si="52"/>
        <v>1</v>
      </c>
      <c r="AU42" s="289"/>
      <c r="AV42" s="289"/>
      <c r="AW42" s="289"/>
      <c r="AX42" s="290">
        <v>98</v>
      </c>
      <c r="AY42" s="289">
        <f t="shared" si="53"/>
        <v>98</v>
      </c>
      <c r="AZ42" s="291">
        <f t="shared" si="54"/>
        <v>1</v>
      </c>
      <c r="BA42" s="310"/>
      <c r="BB42" s="386">
        <v>100</v>
      </c>
      <c r="BC42" s="379">
        <f t="shared" si="55"/>
        <v>0</v>
      </c>
      <c r="BD42" s="378">
        <f t="shared" si="56"/>
        <v>0</v>
      </c>
      <c r="BE42" s="379"/>
      <c r="BF42" s="387">
        <f t="shared" si="34"/>
        <v>100</v>
      </c>
    </row>
    <row r="43" spans="1:58" x14ac:dyDescent="0.35">
      <c r="A43" s="193" t="s">
        <v>37</v>
      </c>
      <c r="B43" s="263">
        <v>232410030</v>
      </c>
      <c r="C43" s="261" t="s">
        <v>1487</v>
      </c>
      <c r="D43" s="265" t="s">
        <v>6</v>
      </c>
      <c r="E43" s="215">
        <v>19</v>
      </c>
      <c r="F43" s="217"/>
      <c r="G43" s="217"/>
      <c r="H43" s="217"/>
      <c r="I43" s="326">
        <f t="shared" si="35"/>
        <v>0</v>
      </c>
      <c r="J43" s="326">
        <f t="shared" si="36"/>
        <v>19</v>
      </c>
      <c r="K43" s="327">
        <f t="shared" si="37"/>
        <v>1</v>
      </c>
      <c r="L43" s="221">
        <v>14</v>
      </c>
      <c r="M43" s="223"/>
      <c r="N43" s="222"/>
      <c r="O43" s="223"/>
      <c r="P43" s="328">
        <f t="shared" si="38"/>
        <v>0</v>
      </c>
      <c r="Q43" s="328">
        <f t="shared" si="39"/>
        <v>14</v>
      </c>
      <c r="R43" s="329">
        <f t="shared" si="40"/>
        <v>1</v>
      </c>
      <c r="S43" s="225">
        <v>12</v>
      </c>
      <c r="T43" s="226"/>
      <c r="U43" s="226"/>
      <c r="V43" s="226"/>
      <c r="W43" s="330">
        <f t="shared" si="41"/>
        <v>0</v>
      </c>
      <c r="X43" s="330">
        <f t="shared" si="42"/>
        <v>12</v>
      </c>
      <c r="Y43" s="331">
        <f t="shared" si="43"/>
        <v>1</v>
      </c>
      <c r="Z43" s="228">
        <v>21</v>
      </c>
      <c r="AA43" s="255"/>
      <c r="AB43" s="256"/>
      <c r="AC43" s="255"/>
      <c r="AD43" s="280">
        <f t="shared" si="44"/>
        <v>0</v>
      </c>
      <c r="AE43" s="280">
        <f t="shared" si="45"/>
        <v>21</v>
      </c>
      <c r="AF43" s="281">
        <f t="shared" si="46"/>
        <v>1</v>
      </c>
      <c r="AG43" s="229">
        <v>18</v>
      </c>
      <c r="AH43" s="257"/>
      <c r="AI43" s="258"/>
      <c r="AJ43" s="257"/>
      <c r="AK43" s="305">
        <f t="shared" si="47"/>
        <v>0</v>
      </c>
      <c r="AL43" s="305">
        <f t="shared" si="48"/>
        <v>18</v>
      </c>
      <c r="AM43" s="306">
        <f t="shared" si="49"/>
        <v>1</v>
      </c>
      <c r="AN43" s="230">
        <v>14</v>
      </c>
      <c r="AO43" s="259"/>
      <c r="AP43" s="260"/>
      <c r="AQ43" s="259"/>
      <c r="AR43" s="307">
        <f t="shared" si="50"/>
        <v>0</v>
      </c>
      <c r="AS43" s="307">
        <f t="shared" si="51"/>
        <v>14</v>
      </c>
      <c r="AT43" s="308">
        <f t="shared" si="52"/>
        <v>1</v>
      </c>
      <c r="AU43" s="289"/>
      <c r="AV43" s="289"/>
      <c r="AW43" s="289"/>
      <c r="AX43" s="290">
        <v>98</v>
      </c>
      <c r="AY43" s="289">
        <f t="shared" si="53"/>
        <v>98</v>
      </c>
      <c r="AZ43" s="291">
        <f t="shared" si="54"/>
        <v>1</v>
      </c>
      <c r="BA43" s="310"/>
      <c r="BB43" s="386">
        <v>98</v>
      </c>
      <c r="BC43" s="379">
        <f t="shared" si="55"/>
        <v>0</v>
      </c>
      <c r="BD43" s="378">
        <f t="shared" si="56"/>
        <v>0</v>
      </c>
      <c r="BE43" s="379"/>
      <c r="BF43" s="387">
        <f t="shared" si="34"/>
        <v>98</v>
      </c>
    </row>
    <row r="44" spans="1:58" x14ac:dyDescent="0.35">
      <c r="A44" s="193" t="s">
        <v>38</v>
      </c>
      <c r="B44" s="263">
        <v>232410219</v>
      </c>
      <c r="C44" s="261" t="s">
        <v>1488</v>
      </c>
      <c r="D44" s="265" t="s">
        <v>6</v>
      </c>
      <c r="E44" s="215">
        <v>19</v>
      </c>
      <c r="F44" s="217"/>
      <c r="G44" s="217"/>
      <c r="H44" s="217"/>
      <c r="I44" s="326">
        <f t="shared" si="35"/>
        <v>0</v>
      </c>
      <c r="J44" s="326">
        <f t="shared" si="36"/>
        <v>19</v>
      </c>
      <c r="K44" s="327">
        <f t="shared" si="37"/>
        <v>1</v>
      </c>
      <c r="L44" s="221">
        <v>14</v>
      </c>
      <c r="M44" s="223"/>
      <c r="N44" s="222"/>
      <c r="O44" s="223"/>
      <c r="P44" s="328">
        <f t="shared" si="38"/>
        <v>0</v>
      </c>
      <c r="Q44" s="328">
        <f t="shared" si="39"/>
        <v>14</v>
      </c>
      <c r="R44" s="329">
        <f t="shared" si="40"/>
        <v>1</v>
      </c>
      <c r="S44" s="225">
        <v>12</v>
      </c>
      <c r="T44" s="226"/>
      <c r="U44" s="226"/>
      <c r="V44" s="226"/>
      <c r="W44" s="330">
        <f t="shared" si="41"/>
        <v>0</v>
      </c>
      <c r="X44" s="330">
        <f t="shared" si="42"/>
        <v>12</v>
      </c>
      <c r="Y44" s="331">
        <f t="shared" si="43"/>
        <v>1</v>
      </c>
      <c r="Z44" s="228">
        <v>21</v>
      </c>
      <c r="AA44" s="255"/>
      <c r="AB44" s="256"/>
      <c r="AC44" s="255"/>
      <c r="AD44" s="280">
        <f t="shared" si="44"/>
        <v>0</v>
      </c>
      <c r="AE44" s="280">
        <f t="shared" si="45"/>
        <v>21</v>
      </c>
      <c r="AF44" s="281">
        <f t="shared" si="46"/>
        <v>1</v>
      </c>
      <c r="AG44" s="229">
        <v>18</v>
      </c>
      <c r="AH44" s="257"/>
      <c r="AI44" s="258"/>
      <c r="AJ44" s="257"/>
      <c r="AK44" s="305">
        <f t="shared" si="47"/>
        <v>0</v>
      </c>
      <c r="AL44" s="305">
        <f t="shared" si="48"/>
        <v>18</v>
      </c>
      <c r="AM44" s="306">
        <f t="shared" si="49"/>
        <v>1</v>
      </c>
      <c r="AN44" s="230">
        <v>14</v>
      </c>
      <c r="AO44" s="259"/>
      <c r="AP44" s="260"/>
      <c r="AQ44" s="259"/>
      <c r="AR44" s="307">
        <f t="shared" si="50"/>
        <v>0</v>
      </c>
      <c r="AS44" s="307">
        <f t="shared" si="51"/>
        <v>14</v>
      </c>
      <c r="AT44" s="308">
        <f t="shared" si="52"/>
        <v>1</v>
      </c>
      <c r="AU44" s="289"/>
      <c r="AV44" s="289"/>
      <c r="AW44" s="289"/>
      <c r="AX44" s="290">
        <v>98</v>
      </c>
      <c r="AY44" s="289">
        <f t="shared" si="53"/>
        <v>98</v>
      </c>
      <c r="AZ44" s="291">
        <f t="shared" si="54"/>
        <v>1</v>
      </c>
      <c r="BA44" s="310">
        <v>5</v>
      </c>
      <c r="BB44" s="386">
        <v>86</v>
      </c>
      <c r="BC44" s="379">
        <f t="shared" si="55"/>
        <v>10</v>
      </c>
      <c r="BD44" s="378">
        <f t="shared" si="56"/>
        <v>0</v>
      </c>
      <c r="BE44" s="379"/>
      <c r="BF44" s="387">
        <f t="shared" si="34"/>
        <v>76</v>
      </c>
    </row>
    <row r="45" spans="1:58" x14ac:dyDescent="0.35">
      <c r="A45" s="193" t="s">
        <v>39</v>
      </c>
      <c r="B45" s="263">
        <v>232410031</v>
      </c>
      <c r="C45" s="261" t="s">
        <v>1489</v>
      </c>
      <c r="D45" s="265" t="s">
        <v>6</v>
      </c>
      <c r="E45" s="215">
        <v>19</v>
      </c>
      <c r="F45" s="217"/>
      <c r="G45" s="217"/>
      <c r="H45" s="217"/>
      <c r="I45" s="326">
        <f t="shared" si="35"/>
        <v>0</v>
      </c>
      <c r="J45" s="326">
        <f t="shared" si="36"/>
        <v>19</v>
      </c>
      <c r="K45" s="327">
        <f t="shared" si="37"/>
        <v>1</v>
      </c>
      <c r="L45" s="221">
        <v>14</v>
      </c>
      <c r="M45" s="223"/>
      <c r="N45" s="222"/>
      <c r="O45" s="223"/>
      <c r="P45" s="328">
        <f t="shared" si="38"/>
        <v>0</v>
      </c>
      <c r="Q45" s="328">
        <f t="shared" si="39"/>
        <v>14</v>
      </c>
      <c r="R45" s="329">
        <f t="shared" si="40"/>
        <v>1</v>
      </c>
      <c r="S45" s="225">
        <v>12</v>
      </c>
      <c r="T45" s="226"/>
      <c r="U45" s="226"/>
      <c r="V45" s="226"/>
      <c r="W45" s="330">
        <f t="shared" si="41"/>
        <v>0</v>
      </c>
      <c r="X45" s="330">
        <f t="shared" si="42"/>
        <v>12</v>
      </c>
      <c r="Y45" s="331">
        <f t="shared" si="43"/>
        <v>1</v>
      </c>
      <c r="Z45" s="228">
        <v>21</v>
      </c>
      <c r="AA45" s="255"/>
      <c r="AB45" s="256"/>
      <c r="AC45" s="255"/>
      <c r="AD45" s="280">
        <f t="shared" si="44"/>
        <v>0</v>
      </c>
      <c r="AE45" s="280">
        <f t="shared" si="45"/>
        <v>21</v>
      </c>
      <c r="AF45" s="281">
        <f t="shared" si="46"/>
        <v>1</v>
      </c>
      <c r="AG45" s="229">
        <v>18</v>
      </c>
      <c r="AH45" s="257"/>
      <c r="AI45" s="258"/>
      <c r="AJ45" s="257"/>
      <c r="AK45" s="305">
        <f t="shared" si="47"/>
        <v>0</v>
      </c>
      <c r="AL45" s="305">
        <f t="shared" si="48"/>
        <v>18</v>
      </c>
      <c r="AM45" s="306">
        <f t="shared" si="49"/>
        <v>1</v>
      </c>
      <c r="AN45" s="230">
        <v>14</v>
      </c>
      <c r="AO45" s="259"/>
      <c r="AP45" s="260"/>
      <c r="AQ45" s="259"/>
      <c r="AR45" s="307">
        <f t="shared" si="50"/>
        <v>0</v>
      </c>
      <c r="AS45" s="307">
        <f t="shared" si="51"/>
        <v>14</v>
      </c>
      <c r="AT45" s="308">
        <f t="shared" si="52"/>
        <v>1</v>
      </c>
      <c r="AU45" s="289"/>
      <c r="AV45" s="289"/>
      <c r="AW45" s="289"/>
      <c r="AX45" s="290">
        <v>98</v>
      </c>
      <c r="AY45" s="289">
        <f t="shared" si="53"/>
        <v>98</v>
      </c>
      <c r="AZ45" s="291">
        <f t="shared" si="54"/>
        <v>1</v>
      </c>
      <c r="BA45" s="310"/>
      <c r="BB45" s="386">
        <v>96</v>
      </c>
      <c r="BC45" s="379">
        <f t="shared" si="55"/>
        <v>0</v>
      </c>
      <c r="BD45" s="378">
        <f t="shared" si="56"/>
        <v>0</v>
      </c>
      <c r="BE45" s="379"/>
      <c r="BF45" s="387">
        <f t="shared" si="34"/>
        <v>96</v>
      </c>
    </row>
    <row r="46" spans="1:58" x14ac:dyDescent="0.35">
      <c r="A46" s="193" t="s">
        <v>40</v>
      </c>
      <c r="B46" s="263">
        <v>232410032</v>
      </c>
      <c r="C46" s="261" t="s">
        <v>1490</v>
      </c>
      <c r="D46" s="265" t="s">
        <v>6</v>
      </c>
      <c r="E46" s="215">
        <v>19</v>
      </c>
      <c r="F46" s="217"/>
      <c r="G46" s="217"/>
      <c r="H46" s="217"/>
      <c r="I46" s="326">
        <f t="shared" si="35"/>
        <v>0</v>
      </c>
      <c r="J46" s="326">
        <f t="shared" si="36"/>
        <v>19</v>
      </c>
      <c r="K46" s="327">
        <f t="shared" si="37"/>
        <v>1</v>
      </c>
      <c r="L46" s="221">
        <v>14</v>
      </c>
      <c r="M46" s="223"/>
      <c r="N46" s="222"/>
      <c r="O46" s="223"/>
      <c r="P46" s="328">
        <f t="shared" si="38"/>
        <v>0</v>
      </c>
      <c r="Q46" s="328">
        <f t="shared" si="39"/>
        <v>14</v>
      </c>
      <c r="R46" s="329">
        <f t="shared" si="40"/>
        <v>1</v>
      </c>
      <c r="S46" s="225">
        <v>12</v>
      </c>
      <c r="T46" s="226"/>
      <c r="U46" s="226"/>
      <c r="V46" s="226"/>
      <c r="W46" s="330">
        <f t="shared" si="41"/>
        <v>0</v>
      </c>
      <c r="X46" s="330">
        <f t="shared" si="42"/>
        <v>12</v>
      </c>
      <c r="Y46" s="331">
        <f t="shared" si="43"/>
        <v>1</v>
      </c>
      <c r="Z46" s="228">
        <v>21</v>
      </c>
      <c r="AA46" s="255"/>
      <c r="AB46" s="256"/>
      <c r="AC46" s="255"/>
      <c r="AD46" s="280">
        <f t="shared" si="44"/>
        <v>0</v>
      </c>
      <c r="AE46" s="280">
        <f t="shared" si="45"/>
        <v>21</v>
      </c>
      <c r="AF46" s="281">
        <f t="shared" si="46"/>
        <v>1</v>
      </c>
      <c r="AG46" s="229">
        <v>18</v>
      </c>
      <c r="AH46" s="257"/>
      <c r="AI46" s="258"/>
      <c r="AJ46" s="257"/>
      <c r="AK46" s="305">
        <f t="shared" si="47"/>
        <v>0</v>
      </c>
      <c r="AL46" s="305">
        <f t="shared" si="48"/>
        <v>18</v>
      </c>
      <c r="AM46" s="306">
        <f t="shared" si="49"/>
        <v>1</v>
      </c>
      <c r="AN46" s="230">
        <v>14</v>
      </c>
      <c r="AO46" s="259"/>
      <c r="AP46" s="260"/>
      <c r="AQ46" s="259"/>
      <c r="AR46" s="307">
        <f t="shared" si="50"/>
        <v>0</v>
      </c>
      <c r="AS46" s="307">
        <f t="shared" si="51"/>
        <v>14</v>
      </c>
      <c r="AT46" s="308">
        <f t="shared" si="52"/>
        <v>1</v>
      </c>
      <c r="AU46" s="289"/>
      <c r="AV46" s="289"/>
      <c r="AW46" s="289"/>
      <c r="AX46" s="290">
        <v>98</v>
      </c>
      <c r="AY46" s="289">
        <f t="shared" si="53"/>
        <v>98</v>
      </c>
      <c r="AZ46" s="291">
        <f t="shared" si="54"/>
        <v>1</v>
      </c>
      <c r="BA46" s="310"/>
      <c r="BB46" s="386">
        <v>100</v>
      </c>
      <c r="BC46" s="379">
        <f t="shared" si="55"/>
        <v>0</v>
      </c>
      <c r="BD46" s="378">
        <f t="shared" si="56"/>
        <v>0</v>
      </c>
      <c r="BE46" s="379"/>
      <c r="BF46" s="387">
        <f t="shared" si="34"/>
        <v>100</v>
      </c>
    </row>
    <row r="47" spans="1:58" x14ac:dyDescent="0.35">
      <c r="A47" s="193" t="s">
        <v>41</v>
      </c>
      <c r="B47" s="263">
        <v>232410033</v>
      </c>
      <c r="C47" s="261" t="s">
        <v>1491</v>
      </c>
      <c r="D47" s="265" t="s">
        <v>6</v>
      </c>
      <c r="E47" s="215">
        <v>19</v>
      </c>
      <c r="F47" s="217"/>
      <c r="G47" s="217"/>
      <c r="H47" s="217"/>
      <c r="I47" s="326">
        <f t="shared" si="35"/>
        <v>0</v>
      </c>
      <c r="J47" s="326">
        <f t="shared" si="36"/>
        <v>19</v>
      </c>
      <c r="K47" s="327">
        <f t="shared" si="37"/>
        <v>1</v>
      </c>
      <c r="L47" s="221">
        <v>14</v>
      </c>
      <c r="M47" s="223"/>
      <c r="N47" s="222"/>
      <c r="O47" s="223"/>
      <c r="P47" s="328">
        <f t="shared" si="38"/>
        <v>0</v>
      </c>
      <c r="Q47" s="328">
        <f t="shared" si="39"/>
        <v>14</v>
      </c>
      <c r="R47" s="329">
        <f t="shared" si="40"/>
        <v>1</v>
      </c>
      <c r="S47" s="225">
        <v>12</v>
      </c>
      <c r="T47" s="226"/>
      <c r="U47" s="226"/>
      <c r="V47" s="226"/>
      <c r="W47" s="330">
        <f t="shared" si="41"/>
        <v>0</v>
      </c>
      <c r="X47" s="330">
        <f t="shared" si="42"/>
        <v>12</v>
      </c>
      <c r="Y47" s="331">
        <f t="shared" si="43"/>
        <v>1</v>
      </c>
      <c r="Z47" s="228">
        <v>21</v>
      </c>
      <c r="AA47" s="255"/>
      <c r="AB47" s="256"/>
      <c r="AC47" s="255"/>
      <c r="AD47" s="280">
        <f t="shared" si="44"/>
        <v>0</v>
      </c>
      <c r="AE47" s="280">
        <f t="shared" si="45"/>
        <v>21</v>
      </c>
      <c r="AF47" s="281">
        <f t="shared" si="46"/>
        <v>1</v>
      </c>
      <c r="AG47" s="229">
        <v>18</v>
      </c>
      <c r="AH47" s="257"/>
      <c r="AI47" s="258"/>
      <c r="AJ47" s="257"/>
      <c r="AK47" s="305">
        <f t="shared" si="47"/>
        <v>0</v>
      </c>
      <c r="AL47" s="305">
        <f t="shared" si="48"/>
        <v>18</v>
      </c>
      <c r="AM47" s="306">
        <f t="shared" si="49"/>
        <v>1</v>
      </c>
      <c r="AN47" s="230">
        <v>14</v>
      </c>
      <c r="AO47" s="259"/>
      <c r="AP47" s="260"/>
      <c r="AQ47" s="259"/>
      <c r="AR47" s="307">
        <f t="shared" si="50"/>
        <v>0</v>
      </c>
      <c r="AS47" s="307">
        <f t="shared" si="51"/>
        <v>14</v>
      </c>
      <c r="AT47" s="308">
        <f t="shared" si="52"/>
        <v>1</v>
      </c>
      <c r="AU47" s="289"/>
      <c r="AV47" s="289"/>
      <c r="AW47" s="289"/>
      <c r="AX47" s="290">
        <v>98</v>
      </c>
      <c r="AY47" s="289">
        <f t="shared" si="53"/>
        <v>98</v>
      </c>
      <c r="AZ47" s="291">
        <f t="shared" si="54"/>
        <v>1</v>
      </c>
      <c r="BA47" s="310"/>
      <c r="BB47" s="386">
        <v>88</v>
      </c>
      <c r="BC47" s="379">
        <f t="shared" si="55"/>
        <v>0</v>
      </c>
      <c r="BD47" s="378">
        <f t="shared" si="56"/>
        <v>0</v>
      </c>
      <c r="BE47" s="379"/>
      <c r="BF47" s="387">
        <f t="shared" si="34"/>
        <v>88</v>
      </c>
    </row>
    <row r="48" spans="1:58" x14ac:dyDescent="0.35">
      <c r="A48" s="193" t="s">
        <v>42</v>
      </c>
      <c r="B48" s="263">
        <v>232410039</v>
      </c>
      <c r="C48" s="261" t="s">
        <v>1492</v>
      </c>
      <c r="D48" s="265" t="s">
        <v>6</v>
      </c>
      <c r="E48" s="215">
        <v>19</v>
      </c>
      <c r="F48" s="217"/>
      <c r="G48" s="217"/>
      <c r="H48" s="217"/>
      <c r="I48" s="326">
        <f t="shared" si="35"/>
        <v>0</v>
      </c>
      <c r="J48" s="326">
        <f t="shared" si="36"/>
        <v>19</v>
      </c>
      <c r="K48" s="327">
        <f t="shared" si="37"/>
        <v>1</v>
      </c>
      <c r="L48" s="221">
        <v>14</v>
      </c>
      <c r="M48" s="223"/>
      <c r="N48" s="222"/>
      <c r="O48" s="223"/>
      <c r="P48" s="328">
        <f t="shared" si="38"/>
        <v>0</v>
      </c>
      <c r="Q48" s="328">
        <f t="shared" si="39"/>
        <v>14</v>
      </c>
      <c r="R48" s="329">
        <f t="shared" si="40"/>
        <v>1</v>
      </c>
      <c r="S48" s="225">
        <v>12</v>
      </c>
      <c r="T48" s="226"/>
      <c r="U48" s="226"/>
      <c r="V48" s="226"/>
      <c r="W48" s="330">
        <f t="shared" si="41"/>
        <v>0</v>
      </c>
      <c r="X48" s="330">
        <f t="shared" si="42"/>
        <v>12</v>
      </c>
      <c r="Y48" s="331">
        <f t="shared" si="43"/>
        <v>1</v>
      </c>
      <c r="Z48" s="228">
        <v>21</v>
      </c>
      <c r="AA48" s="255"/>
      <c r="AB48" s="256"/>
      <c r="AC48" s="255"/>
      <c r="AD48" s="280">
        <f t="shared" si="44"/>
        <v>0</v>
      </c>
      <c r="AE48" s="280">
        <f t="shared" si="45"/>
        <v>21</v>
      </c>
      <c r="AF48" s="281">
        <f t="shared" si="46"/>
        <v>1</v>
      </c>
      <c r="AG48" s="229">
        <v>18</v>
      </c>
      <c r="AH48" s="257"/>
      <c r="AI48" s="258"/>
      <c r="AJ48" s="257"/>
      <c r="AK48" s="305">
        <f t="shared" si="47"/>
        <v>0</v>
      </c>
      <c r="AL48" s="305">
        <f t="shared" si="48"/>
        <v>18</v>
      </c>
      <c r="AM48" s="306">
        <f t="shared" si="49"/>
        <v>1</v>
      </c>
      <c r="AN48" s="230">
        <v>14</v>
      </c>
      <c r="AO48" s="259"/>
      <c r="AP48" s="260"/>
      <c r="AQ48" s="259"/>
      <c r="AR48" s="307">
        <f t="shared" si="50"/>
        <v>0</v>
      </c>
      <c r="AS48" s="307">
        <f t="shared" si="51"/>
        <v>14</v>
      </c>
      <c r="AT48" s="308">
        <f t="shared" si="52"/>
        <v>1</v>
      </c>
      <c r="AU48" s="289"/>
      <c r="AV48" s="289"/>
      <c r="AW48" s="289"/>
      <c r="AX48" s="290">
        <v>98</v>
      </c>
      <c r="AY48" s="289">
        <f t="shared" si="53"/>
        <v>98</v>
      </c>
      <c r="AZ48" s="291">
        <f t="shared" si="54"/>
        <v>1</v>
      </c>
      <c r="BA48" s="310"/>
      <c r="BB48" s="386">
        <v>98</v>
      </c>
      <c r="BC48" s="379">
        <f t="shared" si="55"/>
        <v>0</v>
      </c>
      <c r="BD48" s="378">
        <f t="shared" si="56"/>
        <v>0</v>
      </c>
      <c r="BE48" s="379"/>
      <c r="BF48" s="387">
        <f t="shared" si="34"/>
        <v>98</v>
      </c>
    </row>
    <row r="49" spans="1:58" x14ac:dyDescent="0.35">
      <c r="A49" s="193" t="s">
        <v>43</v>
      </c>
      <c r="B49" s="263">
        <v>232410034</v>
      </c>
      <c r="C49" s="261" t="s">
        <v>1493</v>
      </c>
      <c r="D49" s="265" t="s">
        <v>6</v>
      </c>
      <c r="E49" s="215">
        <v>19</v>
      </c>
      <c r="F49" s="217"/>
      <c r="G49" s="217"/>
      <c r="H49" s="217"/>
      <c r="I49" s="326">
        <f t="shared" si="35"/>
        <v>0</v>
      </c>
      <c r="J49" s="326">
        <f t="shared" si="36"/>
        <v>19</v>
      </c>
      <c r="K49" s="327">
        <f t="shared" si="37"/>
        <v>1</v>
      </c>
      <c r="L49" s="221">
        <v>14</v>
      </c>
      <c r="M49" s="223"/>
      <c r="N49" s="222"/>
      <c r="O49" s="223"/>
      <c r="P49" s="328">
        <f t="shared" si="38"/>
        <v>0</v>
      </c>
      <c r="Q49" s="328">
        <f t="shared" si="39"/>
        <v>14</v>
      </c>
      <c r="R49" s="329">
        <f t="shared" si="40"/>
        <v>1</v>
      </c>
      <c r="S49" s="225">
        <v>12</v>
      </c>
      <c r="T49" s="226"/>
      <c r="U49" s="226"/>
      <c r="V49" s="226"/>
      <c r="W49" s="330">
        <f t="shared" si="41"/>
        <v>0</v>
      </c>
      <c r="X49" s="330">
        <f t="shared" si="42"/>
        <v>12</v>
      </c>
      <c r="Y49" s="331">
        <f t="shared" si="43"/>
        <v>1</v>
      </c>
      <c r="Z49" s="228">
        <v>21</v>
      </c>
      <c r="AA49" s="255"/>
      <c r="AB49" s="256"/>
      <c r="AC49" s="255"/>
      <c r="AD49" s="280">
        <f t="shared" si="44"/>
        <v>0</v>
      </c>
      <c r="AE49" s="280">
        <f t="shared" si="45"/>
        <v>21</v>
      </c>
      <c r="AF49" s="281">
        <f t="shared" si="46"/>
        <v>1</v>
      </c>
      <c r="AG49" s="229">
        <v>18</v>
      </c>
      <c r="AH49" s="257"/>
      <c r="AI49" s="258"/>
      <c r="AJ49" s="257"/>
      <c r="AK49" s="305">
        <f t="shared" si="47"/>
        <v>0</v>
      </c>
      <c r="AL49" s="305">
        <f t="shared" si="48"/>
        <v>18</v>
      </c>
      <c r="AM49" s="306">
        <f t="shared" si="49"/>
        <v>1</v>
      </c>
      <c r="AN49" s="230">
        <v>14</v>
      </c>
      <c r="AO49" s="259"/>
      <c r="AP49" s="260"/>
      <c r="AQ49" s="259"/>
      <c r="AR49" s="307">
        <f t="shared" si="50"/>
        <v>0</v>
      </c>
      <c r="AS49" s="307">
        <f t="shared" si="51"/>
        <v>14</v>
      </c>
      <c r="AT49" s="308">
        <f t="shared" si="52"/>
        <v>1</v>
      </c>
      <c r="AU49" s="289"/>
      <c r="AV49" s="289"/>
      <c r="AW49" s="289"/>
      <c r="AX49" s="290">
        <v>98</v>
      </c>
      <c r="AY49" s="289">
        <f t="shared" si="53"/>
        <v>98</v>
      </c>
      <c r="AZ49" s="291">
        <f t="shared" si="54"/>
        <v>1</v>
      </c>
      <c r="BA49" s="310"/>
      <c r="BB49" s="386">
        <v>100</v>
      </c>
      <c r="BC49" s="379">
        <f t="shared" si="55"/>
        <v>0</v>
      </c>
      <c r="BD49" s="378">
        <f t="shared" si="56"/>
        <v>0</v>
      </c>
      <c r="BE49" s="379"/>
      <c r="BF49" s="387">
        <f t="shared" si="34"/>
        <v>100</v>
      </c>
    </row>
    <row r="50" spans="1:58" x14ac:dyDescent="0.35">
      <c r="A50" s="193" t="s">
        <v>44</v>
      </c>
      <c r="B50" s="263">
        <v>232410036</v>
      </c>
      <c r="C50" s="261" t="s">
        <v>1494</v>
      </c>
      <c r="D50" s="265" t="s">
        <v>6</v>
      </c>
      <c r="E50" s="215">
        <v>19</v>
      </c>
      <c r="F50" s="217"/>
      <c r="G50" s="217"/>
      <c r="H50" s="217"/>
      <c r="I50" s="326">
        <f t="shared" si="35"/>
        <v>0</v>
      </c>
      <c r="J50" s="326">
        <f t="shared" si="36"/>
        <v>19</v>
      </c>
      <c r="K50" s="327">
        <f t="shared" si="37"/>
        <v>1</v>
      </c>
      <c r="L50" s="221">
        <v>14</v>
      </c>
      <c r="M50" s="223"/>
      <c r="N50" s="222"/>
      <c r="O50" s="223"/>
      <c r="P50" s="328">
        <f t="shared" si="38"/>
        <v>0</v>
      </c>
      <c r="Q50" s="328">
        <f t="shared" si="39"/>
        <v>14</v>
      </c>
      <c r="R50" s="329">
        <f t="shared" si="40"/>
        <v>1</v>
      </c>
      <c r="S50" s="225">
        <v>12</v>
      </c>
      <c r="T50" s="226"/>
      <c r="U50" s="226"/>
      <c r="V50" s="226"/>
      <c r="W50" s="330">
        <f t="shared" si="41"/>
        <v>0</v>
      </c>
      <c r="X50" s="330">
        <f t="shared" si="42"/>
        <v>12</v>
      </c>
      <c r="Y50" s="331">
        <f t="shared" si="43"/>
        <v>1</v>
      </c>
      <c r="Z50" s="228">
        <v>21</v>
      </c>
      <c r="AA50" s="255"/>
      <c r="AB50" s="256"/>
      <c r="AC50" s="255"/>
      <c r="AD50" s="280">
        <f t="shared" si="44"/>
        <v>0</v>
      </c>
      <c r="AE50" s="280">
        <f t="shared" si="45"/>
        <v>21</v>
      </c>
      <c r="AF50" s="281">
        <f t="shared" si="46"/>
        <v>1</v>
      </c>
      <c r="AG50" s="229">
        <v>18</v>
      </c>
      <c r="AH50" s="257"/>
      <c r="AI50" s="258"/>
      <c r="AJ50" s="257"/>
      <c r="AK50" s="305">
        <f t="shared" si="47"/>
        <v>0</v>
      </c>
      <c r="AL50" s="305">
        <f t="shared" si="48"/>
        <v>18</v>
      </c>
      <c r="AM50" s="306">
        <f t="shared" si="49"/>
        <v>1</v>
      </c>
      <c r="AN50" s="230">
        <v>14</v>
      </c>
      <c r="AO50" s="259"/>
      <c r="AP50" s="260"/>
      <c r="AQ50" s="259"/>
      <c r="AR50" s="307">
        <f t="shared" si="50"/>
        <v>0</v>
      </c>
      <c r="AS50" s="307">
        <f t="shared" si="51"/>
        <v>14</v>
      </c>
      <c r="AT50" s="308">
        <f t="shared" si="52"/>
        <v>1</v>
      </c>
      <c r="AU50" s="289"/>
      <c r="AV50" s="289"/>
      <c r="AW50" s="289"/>
      <c r="AX50" s="290">
        <v>98</v>
      </c>
      <c r="AY50" s="289">
        <f t="shared" si="53"/>
        <v>98</v>
      </c>
      <c r="AZ50" s="291">
        <f t="shared" si="54"/>
        <v>1</v>
      </c>
      <c r="BA50" s="310">
        <v>4</v>
      </c>
      <c r="BB50" s="386">
        <v>78</v>
      </c>
      <c r="BC50" s="379">
        <f t="shared" si="55"/>
        <v>8</v>
      </c>
      <c r="BD50" s="378">
        <f t="shared" si="56"/>
        <v>0</v>
      </c>
      <c r="BE50" s="379"/>
      <c r="BF50" s="387">
        <f t="shared" si="34"/>
        <v>70</v>
      </c>
    </row>
    <row r="51" spans="1:58" x14ac:dyDescent="0.35">
      <c r="A51" s="193" t="s">
        <v>45</v>
      </c>
      <c r="B51" s="263">
        <v>232410037</v>
      </c>
      <c r="C51" s="261" t="s">
        <v>1495</v>
      </c>
      <c r="D51" s="265" t="s">
        <v>6</v>
      </c>
      <c r="E51" s="215">
        <v>19</v>
      </c>
      <c r="F51" s="217"/>
      <c r="G51" s="217"/>
      <c r="H51" s="217"/>
      <c r="I51" s="326">
        <f t="shared" si="35"/>
        <v>0</v>
      </c>
      <c r="J51" s="326">
        <f t="shared" si="36"/>
        <v>19</v>
      </c>
      <c r="K51" s="327">
        <f t="shared" si="37"/>
        <v>1</v>
      </c>
      <c r="L51" s="221">
        <v>14</v>
      </c>
      <c r="M51" s="223"/>
      <c r="N51" s="222"/>
      <c r="O51" s="223"/>
      <c r="P51" s="328">
        <f t="shared" si="38"/>
        <v>0</v>
      </c>
      <c r="Q51" s="328">
        <f t="shared" si="39"/>
        <v>14</v>
      </c>
      <c r="R51" s="329">
        <f t="shared" si="40"/>
        <v>1</v>
      </c>
      <c r="S51" s="225">
        <v>12</v>
      </c>
      <c r="T51" s="226"/>
      <c r="U51" s="226"/>
      <c r="V51" s="226"/>
      <c r="W51" s="330">
        <f t="shared" si="41"/>
        <v>0</v>
      </c>
      <c r="X51" s="330">
        <f t="shared" si="42"/>
        <v>12</v>
      </c>
      <c r="Y51" s="331">
        <f t="shared" si="43"/>
        <v>1</v>
      </c>
      <c r="Z51" s="228">
        <v>21</v>
      </c>
      <c r="AA51" s="255"/>
      <c r="AB51" s="256"/>
      <c r="AC51" s="255"/>
      <c r="AD51" s="280">
        <f t="shared" si="44"/>
        <v>0</v>
      </c>
      <c r="AE51" s="280">
        <f t="shared" si="45"/>
        <v>21</v>
      </c>
      <c r="AF51" s="281">
        <f t="shared" si="46"/>
        <v>1</v>
      </c>
      <c r="AG51" s="229">
        <v>18</v>
      </c>
      <c r="AH51" s="257"/>
      <c r="AI51" s="258"/>
      <c r="AJ51" s="257"/>
      <c r="AK51" s="305">
        <f t="shared" si="47"/>
        <v>0</v>
      </c>
      <c r="AL51" s="305">
        <f t="shared" si="48"/>
        <v>18</v>
      </c>
      <c r="AM51" s="306">
        <f t="shared" si="49"/>
        <v>1</v>
      </c>
      <c r="AN51" s="230">
        <v>14</v>
      </c>
      <c r="AO51" s="259"/>
      <c r="AP51" s="260"/>
      <c r="AQ51" s="259"/>
      <c r="AR51" s="307">
        <f t="shared" si="50"/>
        <v>0</v>
      </c>
      <c r="AS51" s="307">
        <f t="shared" si="51"/>
        <v>14</v>
      </c>
      <c r="AT51" s="308">
        <f t="shared" si="52"/>
        <v>1</v>
      </c>
      <c r="AU51" s="289"/>
      <c r="AV51" s="289"/>
      <c r="AW51" s="289"/>
      <c r="AX51" s="290">
        <v>98</v>
      </c>
      <c r="AY51" s="289">
        <f t="shared" si="53"/>
        <v>98</v>
      </c>
      <c r="AZ51" s="291">
        <f t="shared" si="54"/>
        <v>1</v>
      </c>
      <c r="BA51" s="310">
        <v>1</v>
      </c>
      <c r="BB51" s="386">
        <v>96</v>
      </c>
      <c r="BC51" s="379">
        <f t="shared" si="55"/>
        <v>2</v>
      </c>
      <c r="BD51" s="378">
        <f t="shared" si="56"/>
        <v>0</v>
      </c>
      <c r="BE51" s="379"/>
      <c r="BF51" s="387">
        <f t="shared" si="34"/>
        <v>94</v>
      </c>
    </row>
    <row r="52" spans="1:58" x14ac:dyDescent="0.35">
      <c r="A52" s="193" t="s">
        <v>46</v>
      </c>
      <c r="B52" s="263">
        <v>232410038</v>
      </c>
      <c r="C52" s="261" t="s">
        <v>1496</v>
      </c>
      <c r="D52" s="265" t="s">
        <v>6</v>
      </c>
      <c r="E52" s="215">
        <v>19</v>
      </c>
      <c r="F52" s="217"/>
      <c r="G52" s="217"/>
      <c r="H52" s="217"/>
      <c r="I52" s="326">
        <f t="shared" si="35"/>
        <v>0</v>
      </c>
      <c r="J52" s="326">
        <f t="shared" si="36"/>
        <v>19</v>
      </c>
      <c r="K52" s="327">
        <f t="shared" si="37"/>
        <v>1</v>
      </c>
      <c r="L52" s="221">
        <v>14</v>
      </c>
      <c r="M52" s="223"/>
      <c r="N52" s="222"/>
      <c r="O52" s="223"/>
      <c r="P52" s="328">
        <f t="shared" si="38"/>
        <v>0</v>
      </c>
      <c r="Q52" s="328">
        <f t="shared" si="39"/>
        <v>14</v>
      </c>
      <c r="R52" s="329">
        <f t="shared" si="40"/>
        <v>1</v>
      </c>
      <c r="S52" s="225">
        <v>12</v>
      </c>
      <c r="T52" s="226"/>
      <c r="U52" s="226"/>
      <c r="V52" s="226"/>
      <c r="W52" s="330">
        <f t="shared" si="41"/>
        <v>0</v>
      </c>
      <c r="X52" s="330">
        <f t="shared" si="42"/>
        <v>12</v>
      </c>
      <c r="Y52" s="331">
        <f t="shared" si="43"/>
        <v>1</v>
      </c>
      <c r="Z52" s="228">
        <v>21</v>
      </c>
      <c r="AA52" s="255"/>
      <c r="AB52" s="256"/>
      <c r="AC52" s="255"/>
      <c r="AD52" s="280">
        <f t="shared" si="44"/>
        <v>0</v>
      </c>
      <c r="AE52" s="280">
        <f t="shared" si="45"/>
        <v>21</v>
      </c>
      <c r="AF52" s="281">
        <f t="shared" si="46"/>
        <v>1</v>
      </c>
      <c r="AG52" s="229">
        <v>18</v>
      </c>
      <c r="AH52" s="257"/>
      <c r="AI52" s="258"/>
      <c r="AJ52" s="257"/>
      <c r="AK52" s="305">
        <f t="shared" si="47"/>
        <v>0</v>
      </c>
      <c r="AL52" s="305">
        <f t="shared" si="48"/>
        <v>18</v>
      </c>
      <c r="AM52" s="306">
        <f t="shared" si="49"/>
        <v>1</v>
      </c>
      <c r="AN52" s="230">
        <v>14</v>
      </c>
      <c r="AO52" s="259"/>
      <c r="AP52" s="260"/>
      <c r="AQ52" s="259"/>
      <c r="AR52" s="307">
        <f t="shared" si="50"/>
        <v>0</v>
      </c>
      <c r="AS52" s="307">
        <f t="shared" si="51"/>
        <v>14</v>
      </c>
      <c r="AT52" s="308">
        <f t="shared" si="52"/>
        <v>1</v>
      </c>
      <c r="AU52" s="289"/>
      <c r="AV52" s="289"/>
      <c r="AW52" s="289"/>
      <c r="AX52" s="290">
        <v>98</v>
      </c>
      <c r="AY52" s="289">
        <f t="shared" si="53"/>
        <v>98</v>
      </c>
      <c r="AZ52" s="291">
        <f t="shared" si="54"/>
        <v>1</v>
      </c>
      <c r="BA52" s="310">
        <v>1</v>
      </c>
      <c r="BB52" s="386">
        <v>96</v>
      </c>
      <c r="BC52" s="379">
        <f t="shared" si="55"/>
        <v>2</v>
      </c>
      <c r="BD52" s="378">
        <f t="shared" si="56"/>
        <v>0</v>
      </c>
      <c r="BE52" s="379"/>
      <c r="BF52" s="387">
        <f t="shared" si="34"/>
        <v>94</v>
      </c>
    </row>
    <row r="53" spans="1:58" x14ac:dyDescent="0.35">
      <c r="A53" s="193" t="s">
        <v>47</v>
      </c>
      <c r="B53" s="263">
        <v>232410040</v>
      </c>
      <c r="C53" s="261" t="s">
        <v>1497</v>
      </c>
      <c r="D53" s="265" t="s">
        <v>6</v>
      </c>
      <c r="E53" s="215">
        <v>19</v>
      </c>
      <c r="F53" s="217"/>
      <c r="G53" s="217"/>
      <c r="H53" s="217"/>
      <c r="I53" s="326">
        <f t="shared" si="35"/>
        <v>0</v>
      </c>
      <c r="J53" s="326">
        <f t="shared" si="36"/>
        <v>19</v>
      </c>
      <c r="K53" s="327">
        <f t="shared" si="37"/>
        <v>1</v>
      </c>
      <c r="L53" s="221">
        <v>14</v>
      </c>
      <c r="M53" s="223"/>
      <c r="N53" s="222"/>
      <c r="O53" s="223"/>
      <c r="P53" s="328">
        <f t="shared" si="38"/>
        <v>0</v>
      </c>
      <c r="Q53" s="328">
        <f t="shared" si="39"/>
        <v>14</v>
      </c>
      <c r="R53" s="329">
        <f t="shared" si="40"/>
        <v>1</v>
      </c>
      <c r="S53" s="225">
        <v>12</v>
      </c>
      <c r="T53" s="226"/>
      <c r="U53" s="226"/>
      <c r="V53" s="226"/>
      <c r="W53" s="330">
        <f t="shared" si="41"/>
        <v>0</v>
      </c>
      <c r="X53" s="330">
        <f t="shared" si="42"/>
        <v>12</v>
      </c>
      <c r="Y53" s="331">
        <f>X53/S59</f>
        <v>1</v>
      </c>
      <c r="Z53" s="228">
        <v>21</v>
      </c>
      <c r="AA53" s="255"/>
      <c r="AB53" s="256"/>
      <c r="AC53" s="255"/>
      <c r="AD53" s="280">
        <f t="shared" si="44"/>
        <v>0</v>
      </c>
      <c r="AE53" s="280">
        <f t="shared" si="45"/>
        <v>21</v>
      </c>
      <c r="AF53" s="281">
        <f t="shared" si="46"/>
        <v>1</v>
      </c>
      <c r="AG53" s="229">
        <v>18</v>
      </c>
      <c r="AH53" s="257"/>
      <c r="AI53" s="258"/>
      <c r="AJ53" s="257"/>
      <c r="AK53" s="305">
        <f t="shared" si="47"/>
        <v>0</v>
      </c>
      <c r="AL53" s="305">
        <f t="shared" si="48"/>
        <v>18</v>
      </c>
      <c r="AM53" s="306">
        <f t="shared" si="49"/>
        <v>1</v>
      </c>
      <c r="AN53" s="230">
        <v>14</v>
      </c>
      <c r="AO53" s="259"/>
      <c r="AP53" s="260"/>
      <c r="AQ53" s="259"/>
      <c r="AR53" s="307">
        <f t="shared" si="50"/>
        <v>0</v>
      </c>
      <c r="AS53" s="307">
        <f t="shared" si="51"/>
        <v>14</v>
      </c>
      <c r="AT53" s="308">
        <f t="shared" si="52"/>
        <v>1</v>
      </c>
      <c r="AU53" s="289"/>
      <c r="AV53" s="289"/>
      <c r="AW53" s="289"/>
      <c r="AX53" s="290">
        <v>98</v>
      </c>
      <c r="AY53" s="289">
        <f t="shared" si="53"/>
        <v>98</v>
      </c>
      <c r="AZ53" s="291">
        <f t="shared" si="54"/>
        <v>1</v>
      </c>
      <c r="BA53" s="310"/>
      <c r="BB53" s="386">
        <v>98</v>
      </c>
      <c r="BC53" s="379">
        <f t="shared" si="55"/>
        <v>0</v>
      </c>
      <c r="BD53" s="378">
        <f t="shared" si="56"/>
        <v>0</v>
      </c>
      <c r="BE53" s="379"/>
      <c r="BF53" s="387">
        <f t="shared" si="34"/>
        <v>98</v>
      </c>
    </row>
    <row r="54" spans="1:58" x14ac:dyDescent="0.35">
      <c r="A54" s="193" t="s">
        <v>48</v>
      </c>
      <c r="B54" s="263">
        <v>232410041</v>
      </c>
      <c r="C54" s="261" t="s">
        <v>1498</v>
      </c>
      <c r="D54" s="265" t="s">
        <v>6</v>
      </c>
      <c r="E54" s="215">
        <v>19</v>
      </c>
      <c r="F54" s="217"/>
      <c r="G54" s="217"/>
      <c r="H54" s="217"/>
      <c r="I54" s="326">
        <f t="shared" si="35"/>
        <v>0</v>
      </c>
      <c r="J54" s="326">
        <f t="shared" si="36"/>
        <v>19</v>
      </c>
      <c r="K54" s="327">
        <f t="shared" si="37"/>
        <v>1</v>
      </c>
      <c r="L54" s="221">
        <v>14</v>
      </c>
      <c r="M54" s="223"/>
      <c r="N54" s="222"/>
      <c r="O54" s="223"/>
      <c r="P54" s="328">
        <f t="shared" si="38"/>
        <v>0</v>
      </c>
      <c r="Q54" s="328">
        <f t="shared" si="39"/>
        <v>14</v>
      </c>
      <c r="R54" s="329">
        <f t="shared" si="40"/>
        <v>1</v>
      </c>
      <c r="S54" s="225">
        <v>12</v>
      </c>
      <c r="T54" s="226"/>
      <c r="U54" s="226"/>
      <c r="V54" s="226"/>
      <c r="W54" s="330">
        <f>SUM(T54:V54)</f>
        <v>0</v>
      </c>
      <c r="X54" s="330">
        <f>S54-W54</f>
        <v>12</v>
      </c>
      <c r="Y54" s="331">
        <f>S54/X54</f>
        <v>1</v>
      </c>
      <c r="Z54" s="228">
        <v>21</v>
      </c>
      <c r="AA54" s="255"/>
      <c r="AB54" s="256"/>
      <c r="AC54" s="255"/>
      <c r="AD54" s="280">
        <f t="shared" si="44"/>
        <v>0</v>
      </c>
      <c r="AE54" s="280">
        <f t="shared" si="45"/>
        <v>21</v>
      </c>
      <c r="AF54" s="281">
        <f t="shared" si="46"/>
        <v>1</v>
      </c>
      <c r="AG54" s="229">
        <v>18</v>
      </c>
      <c r="AH54" s="257"/>
      <c r="AI54" s="258"/>
      <c r="AJ54" s="257"/>
      <c r="AK54" s="305">
        <f t="shared" si="47"/>
        <v>0</v>
      </c>
      <c r="AL54" s="305">
        <f t="shared" si="48"/>
        <v>18</v>
      </c>
      <c r="AM54" s="306">
        <f t="shared" si="49"/>
        <v>1</v>
      </c>
      <c r="AN54" s="230">
        <v>14</v>
      </c>
      <c r="AO54" s="259"/>
      <c r="AP54" s="260"/>
      <c r="AQ54" s="259"/>
      <c r="AR54" s="307">
        <f t="shared" si="50"/>
        <v>0</v>
      </c>
      <c r="AS54" s="307">
        <f t="shared" si="51"/>
        <v>14</v>
      </c>
      <c r="AT54" s="308">
        <f t="shared" si="52"/>
        <v>1</v>
      </c>
      <c r="AU54" s="289"/>
      <c r="AV54" s="289"/>
      <c r="AW54" s="289"/>
      <c r="AX54" s="290">
        <v>98</v>
      </c>
      <c r="AY54" s="289">
        <f t="shared" si="53"/>
        <v>98</v>
      </c>
      <c r="AZ54" s="291">
        <f t="shared" si="54"/>
        <v>1</v>
      </c>
      <c r="BA54" s="310"/>
      <c r="BB54" s="386">
        <v>92</v>
      </c>
      <c r="BC54" s="379">
        <f t="shared" si="55"/>
        <v>0</v>
      </c>
      <c r="BD54" s="378">
        <f t="shared" si="56"/>
        <v>0</v>
      </c>
      <c r="BE54" s="379"/>
      <c r="BF54" s="387">
        <f t="shared" si="34"/>
        <v>92</v>
      </c>
    </row>
    <row r="55" spans="1:58" x14ac:dyDescent="0.35">
      <c r="A55" s="193" t="s">
        <v>49</v>
      </c>
      <c r="B55" s="263">
        <v>232410042</v>
      </c>
      <c r="C55" s="261" t="s">
        <v>1499</v>
      </c>
      <c r="D55" s="265" t="s">
        <v>6</v>
      </c>
      <c r="E55" s="215">
        <v>19</v>
      </c>
      <c r="F55" s="217"/>
      <c r="G55" s="217"/>
      <c r="H55" s="217"/>
      <c r="I55" s="326">
        <f t="shared" si="35"/>
        <v>0</v>
      </c>
      <c r="J55" s="326">
        <f t="shared" si="36"/>
        <v>19</v>
      </c>
      <c r="K55" s="327">
        <f t="shared" si="37"/>
        <v>1</v>
      </c>
      <c r="L55" s="221">
        <v>14</v>
      </c>
      <c r="M55" s="223"/>
      <c r="N55" s="222"/>
      <c r="O55" s="223"/>
      <c r="P55" s="328">
        <f t="shared" si="38"/>
        <v>0</v>
      </c>
      <c r="Q55" s="328">
        <f t="shared" si="39"/>
        <v>14</v>
      </c>
      <c r="R55" s="329">
        <f t="shared" si="40"/>
        <v>1</v>
      </c>
      <c r="S55" s="225">
        <v>12</v>
      </c>
      <c r="T55" s="226"/>
      <c r="U55" s="226"/>
      <c r="V55" s="226"/>
      <c r="W55" s="330">
        <f t="shared" si="41"/>
        <v>0</v>
      </c>
      <c r="X55" s="330">
        <f t="shared" ref="X55:X59" si="57">S55-W55</f>
        <v>12</v>
      </c>
      <c r="Y55" s="331">
        <f t="shared" ref="Y55:Y59" si="58">S55/X55</f>
        <v>1</v>
      </c>
      <c r="Z55" s="228">
        <v>21</v>
      </c>
      <c r="AA55" s="255"/>
      <c r="AB55" s="256"/>
      <c r="AC55" s="255"/>
      <c r="AD55" s="280">
        <f t="shared" si="44"/>
        <v>0</v>
      </c>
      <c r="AE55" s="280">
        <f t="shared" si="45"/>
        <v>21</v>
      </c>
      <c r="AF55" s="281">
        <f t="shared" si="46"/>
        <v>1</v>
      </c>
      <c r="AG55" s="229">
        <v>18</v>
      </c>
      <c r="AH55" s="257"/>
      <c r="AI55" s="258"/>
      <c r="AJ55" s="257"/>
      <c r="AK55" s="305">
        <f t="shared" si="47"/>
        <v>0</v>
      </c>
      <c r="AL55" s="305">
        <f t="shared" si="48"/>
        <v>18</v>
      </c>
      <c r="AM55" s="306">
        <f t="shared" si="49"/>
        <v>1</v>
      </c>
      <c r="AN55" s="230">
        <v>14</v>
      </c>
      <c r="AO55" s="259"/>
      <c r="AP55" s="260"/>
      <c r="AQ55" s="259"/>
      <c r="AR55" s="307">
        <f t="shared" si="50"/>
        <v>0</v>
      </c>
      <c r="AS55" s="307">
        <f t="shared" si="51"/>
        <v>14</v>
      </c>
      <c r="AT55" s="308">
        <f t="shared" si="52"/>
        <v>1</v>
      </c>
      <c r="AU55" s="289"/>
      <c r="AV55" s="289"/>
      <c r="AW55" s="289"/>
      <c r="AX55" s="290">
        <v>98</v>
      </c>
      <c r="AY55" s="289">
        <f t="shared" si="53"/>
        <v>98</v>
      </c>
      <c r="AZ55" s="291">
        <f t="shared" si="54"/>
        <v>1</v>
      </c>
      <c r="BA55" s="310"/>
      <c r="BB55" s="386">
        <v>100</v>
      </c>
      <c r="BC55" s="379">
        <f t="shared" si="55"/>
        <v>0</v>
      </c>
      <c r="BD55" s="378">
        <f t="shared" si="56"/>
        <v>0</v>
      </c>
      <c r="BE55" s="379"/>
      <c r="BF55" s="387">
        <f t="shared" si="34"/>
        <v>100</v>
      </c>
    </row>
    <row r="56" spans="1:58" x14ac:dyDescent="0.35">
      <c r="A56" s="193" t="s">
        <v>50</v>
      </c>
      <c r="B56" s="263">
        <v>232410043</v>
      </c>
      <c r="C56" s="261" t="s">
        <v>1500</v>
      </c>
      <c r="D56" s="265" t="s">
        <v>6</v>
      </c>
      <c r="E56" s="215">
        <v>19</v>
      </c>
      <c r="F56" s="217"/>
      <c r="G56" s="217"/>
      <c r="H56" s="217"/>
      <c r="I56" s="326">
        <f t="shared" si="35"/>
        <v>0</v>
      </c>
      <c r="J56" s="326">
        <f t="shared" si="36"/>
        <v>19</v>
      </c>
      <c r="K56" s="327">
        <f t="shared" si="37"/>
        <v>1</v>
      </c>
      <c r="L56" s="221">
        <v>14</v>
      </c>
      <c r="M56" s="223"/>
      <c r="N56" s="222"/>
      <c r="O56" s="223"/>
      <c r="P56" s="328">
        <f t="shared" si="38"/>
        <v>0</v>
      </c>
      <c r="Q56" s="328">
        <f t="shared" si="39"/>
        <v>14</v>
      </c>
      <c r="R56" s="329">
        <f t="shared" si="40"/>
        <v>1</v>
      </c>
      <c r="S56" s="225">
        <v>12</v>
      </c>
      <c r="T56" s="226"/>
      <c r="U56" s="226"/>
      <c r="V56" s="226"/>
      <c r="W56" s="330">
        <f t="shared" si="41"/>
        <v>0</v>
      </c>
      <c r="X56" s="330">
        <f t="shared" si="57"/>
        <v>12</v>
      </c>
      <c r="Y56" s="331">
        <f t="shared" si="58"/>
        <v>1</v>
      </c>
      <c r="Z56" s="228">
        <v>21</v>
      </c>
      <c r="AA56" s="255"/>
      <c r="AB56" s="256"/>
      <c r="AC56" s="255"/>
      <c r="AD56" s="280">
        <f t="shared" si="44"/>
        <v>0</v>
      </c>
      <c r="AE56" s="280">
        <f t="shared" si="45"/>
        <v>21</v>
      </c>
      <c r="AF56" s="281">
        <f t="shared" si="46"/>
        <v>1</v>
      </c>
      <c r="AG56" s="229">
        <v>18</v>
      </c>
      <c r="AH56" s="257"/>
      <c r="AI56" s="258"/>
      <c r="AJ56" s="257"/>
      <c r="AK56" s="305">
        <f t="shared" si="47"/>
        <v>0</v>
      </c>
      <c r="AL56" s="305">
        <f t="shared" si="48"/>
        <v>18</v>
      </c>
      <c r="AM56" s="306">
        <f t="shared" si="49"/>
        <v>1</v>
      </c>
      <c r="AN56" s="230">
        <v>14</v>
      </c>
      <c r="AO56" s="259"/>
      <c r="AP56" s="260"/>
      <c r="AQ56" s="259"/>
      <c r="AR56" s="307">
        <f t="shared" si="50"/>
        <v>0</v>
      </c>
      <c r="AS56" s="307">
        <f t="shared" si="51"/>
        <v>14</v>
      </c>
      <c r="AT56" s="308">
        <f t="shared" si="52"/>
        <v>1</v>
      </c>
      <c r="AU56" s="289"/>
      <c r="AV56" s="289"/>
      <c r="AW56" s="289"/>
      <c r="AX56" s="290">
        <v>98</v>
      </c>
      <c r="AY56" s="289">
        <f t="shared" si="53"/>
        <v>98</v>
      </c>
      <c r="AZ56" s="291">
        <f t="shared" si="54"/>
        <v>1</v>
      </c>
      <c r="BA56" s="310">
        <v>1</v>
      </c>
      <c r="BB56" s="386">
        <v>94</v>
      </c>
      <c r="BC56" s="379">
        <f t="shared" si="55"/>
        <v>2</v>
      </c>
      <c r="BD56" s="378">
        <f t="shared" si="56"/>
        <v>0</v>
      </c>
      <c r="BE56" s="379"/>
      <c r="BF56" s="387">
        <f t="shared" si="34"/>
        <v>92</v>
      </c>
    </row>
    <row r="57" spans="1:58" x14ac:dyDescent="0.35">
      <c r="A57" s="193" t="s">
        <v>51</v>
      </c>
      <c r="B57" s="263">
        <v>232410044</v>
      </c>
      <c r="C57" s="261" t="s">
        <v>1501</v>
      </c>
      <c r="D57" s="265" t="s">
        <v>6</v>
      </c>
      <c r="E57" s="215">
        <v>19</v>
      </c>
      <c r="F57" s="217"/>
      <c r="G57" s="217"/>
      <c r="H57" s="217"/>
      <c r="I57" s="326">
        <f t="shared" si="35"/>
        <v>0</v>
      </c>
      <c r="J57" s="326">
        <f t="shared" si="36"/>
        <v>19</v>
      </c>
      <c r="K57" s="327">
        <f t="shared" si="37"/>
        <v>1</v>
      </c>
      <c r="L57" s="221">
        <v>14</v>
      </c>
      <c r="M57" s="223"/>
      <c r="N57" s="222"/>
      <c r="O57" s="223"/>
      <c r="P57" s="328">
        <f t="shared" si="38"/>
        <v>0</v>
      </c>
      <c r="Q57" s="328">
        <f t="shared" si="39"/>
        <v>14</v>
      </c>
      <c r="R57" s="329">
        <f t="shared" si="40"/>
        <v>1</v>
      </c>
      <c r="S57" s="225">
        <v>12</v>
      </c>
      <c r="T57" s="226"/>
      <c r="U57" s="226"/>
      <c r="V57" s="226"/>
      <c r="W57" s="330">
        <f t="shared" si="41"/>
        <v>0</v>
      </c>
      <c r="X57" s="330">
        <f t="shared" si="57"/>
        <v>12</v>
      </c>
      <c r="Y57" s="331">
        <f t="shared" si="58"/>
        <v>1</v>
      </c>
      <c r="Z57" s="228">
        <v>21</v>
      </c>
      <c r="AA57" s="255"/>
      <c r="AB57" s="256"/>
      <c r="AC57" s="255"/>
      <c r="AD57" s="280">
        <f t="shared" si="44"/>
        <v>0</v>
      </c>
      <c r="AE57" s="280">
        <f t="shared" si="45"/>
        <v>21</v>
      </c>
      <c r="AF57" s="281">
        <f t="shared" si="46"/>
        <v>1</v>
      </c>
      <c r="AG57" s="229">
        <v>18</v>
      </c>
      <c r="AH57" s="257"/>
      <c r="AI57" s="258"/>
      <c r="AJ57" s="257"/>
      <c r="AK57" s="305">
        <f t="shared" si="47"/>
        <v>0</v>
      </c>
      <c r="AL57" s="305">
        <f t="shared" si="48"/>
        <v>18</v>
      </c>
      <c r="AM57" s="306">
        <f t="shared" si="49"/>
        <v>1</v>
      </c>
      <c r="AN57" s="230">
        <v>14</v>
      </c>
      <c r="AO57" s="259"/>
      <c r="AP57" s="260"/>
      <c r="AQ57" s="259"/>
      <c r="AR57" s="307">
        <f t="shared" si="50"/>
        <v>0</v>
      </c>
      <c r="AS57" s="307">
        <f t="shared" si="51"/>
        <v>14</v>
      </c>
      <c r="AT57" s="308">
        <f t="shared" si="52"/>
        <v>1</v>
      </c>
      <c r="AU57" s="289"/>
      <c r="AV57" s="289"/>
      <c r="AW57" s="289"/>
      <c r="AX57" s="290">
        <v>98</v>
      </c>
      <c r="AY57" s="289">
        <f t="shared" si="53"/>
        <v>98</v>
      </c>
      <c r="AZ57" s="291">
        <f t="shared" si="54"/>
        <v>1</v>
      </c>
      <c r="BA57" s="310">
        <v>1</v>
      </c>
      <c r="BB57" s="386">
        <v>94</v>
      </c>
      <c r="BC57" s="379">
        <f t="shared" si="55"/>
        <v>2</v>
      </c>
      <c r="BD57" s="378">
        <f t="shared" si="56"/>
        <v>0</v>
      </c>
      <c r="BE57" s="379"/>
      <c r="BF57" s="387">
        <f t="shared" si="34"/>
        <v>92</v>
      </c>
    </row>
    <row r="58" spans="1:58" x14ac:dyDescent="0.35">
      <c r="A58" s="193" t="s">
        <v>122</v>
      </c>
      <c r="B58" s="263">
        <v>232410045</v>
      </c>
      <c r="C58" s="261" t="s">
        <v>1502</v>
      </c>
      <c r="D58" s="265" t="s">
        <v>6</v>
      </c>
      <c r="E58" s="215">
        <v>19</v>
      </c>
      <c r="F58" s="217"/>
      <c r="G58" s="217"/>
      <c r="H58" s="217"/>
      <c r="I58" s="326">
        <f t="shared" si="35"/>
        <v>0</v>
      </c>
      <c r="J58" s="326">
        <f t="shared" si="36"/>
        <v>19</v>
      </c>
      <c r="K58" s="327">
        <f t="shared" si="37"/>
        <v>1</v>
      </c>
      <c r="L58" s="221">
        <v>14</v>
      </c>
      <c r="M58" s="223"/>
      <c r="N58" s="222"/>
      <c r="O58" s="223"/>
      <c r="P58" s="328">
        <f t="shared" si="38"/>
        <v>0</v>
      </c>
      <c r="Q58" s="328">
        <f t="shared" si="39"/>
        <v>14</v>
      </c>
      <c r="R58" s="329">
        <f t="shared" si="40"/>
        <v>1</v>
      </c>
      <c r="S58" s="225">
        <v>12</v>
      </c>
      <c r="T58" s="226"/>
      <c r="U58" s="226"/>
      <c r="V58" s="226"/>
      <c r="W58" s="330">
        <f t="shared" si="41"/>
        <v>0</v>
      </c>
      <c r="X58" s="330">
        <f t="shared" si="57"/>
        <v>12</v>
      </c>
      <c r="Y58" s="331">
        <f t="shared" si="58"/>
        <v>1</v>
      </c>
      <c r="Z58" s="228">
        <v>21</v>
      </c>
      <c r="AA58" s="255"/>
      <c r="AB58" s="256"/>
      <c r="AC58" s="255"/>
      <c r="AD58" s="280">
        <f t="shared" si="44"/>
        <v>0</v>
      </c>
      <c r="AE58" s="280">
        <f t="shared" si="45"/>
        <v>21</v>
      </c>
      <c r="AF58" s="281">
        <f t="shared" si="46"/>
        <v>1</v>
      </c>
      <c r="AG58" s="229">
        <v>18</v>
      </c>
      <c r="AH58" s="257"/>
      <c r="AI58" s="258"/>
      <c r="AJ58" s="257"/>
      <c r="AK58" s="305">
        <f t="shared" si="47"/>
        <v>0</v>
      </c>
      <c r="AL58" s="305">
        <f t="shared" si="48"/>
        <v>18</v>
      </c>
      <c r="AM58" s="306">
        <f t="shared" si="49"/>
        <v>1</v>
      </c>
      <c r="AN58" s="230">
        <v>14</v>
      </c>
      <c r="AO58" s="259"/>
      <c r="AP58" s="260"/>
      <c r="AQ58" s="259"/>
      <c r="AR58" s="307">
        <f t="shared" si="50"/>
        <v>0</v>
      </c>
      <c r="AS58" s="307">
        <f t="shared" si="51"/>
        <v>14</v>
      </c>
      <c r="AT58" s="308">
        <f t="shared" si="52"/>
        <v>1</v>
      </c>
      <c r="AU58" s="289"/>
      <c r="AV58" s="289"/>
      <c r="AW58" s="289"/>
      <c r="AX58" s="290">
        <v>98</v>
      </c>
      <c r="AY58" s="289">
        <f t="shared" si="53"/>
        <v>98</v>
      </c>
      <c r="AZ58" s="291">
        <f t="shared" si="54"/>
        <v>1</v>
      </c>
      <c r="BA58" s="310"/>
      <c r="BB58" s="386">
        <v>100</v>
      </c>
      <c r="BC58" s="379">
        <f t="shared" si="55"/>
        <v>0</v>
      </c>
      <c r="BD58" s="378">
        <f t="shared" si="56"/>
        <v>0</v>
      </c>
      <c r="BE58" s="379"/>
      <c r="BF58" s="387">
        <f t="shared" si="34"/>
        <v>100</v>
      </c>
    </row>
    <row r="59" spans="1:58" x14ac:dyDescent="0.35">
      <c r="A59" s="193" t="s">
        <v>123</v>
      </c>
      <c r="B59" s="263">
        <v>232410046</v>
      </c>
      <c r="C59" s="261" t="s">
        <v>1503</v>
      </c>
      <c r="D59" s="265" t="s">
        <v>6</v>
      </c>
      <c r="E59" s="215">
        <v>19</v>
      </c>
      <c r="F59" s="217"/>
      <c r="G59" s="217"/>
      <c r="H59" s="217"/>
      <c r="I59" s="326">
        <f t="shared" si="35"/>
        <v>0</v>
      </c>
      <c r="J59" s="326">
        <f t="shared" si="36"/>
        <v>19</v>
      </c>
      <c r="K59" s="327">
        <f t="shared" si="37"/>
        <v>1</v>
      </c>
      <c r="L59" s="221">
        <v>14</v>
      </c>
      <c r="M59" s="223"/>
      <c r="N59" s="222"/>
      <c r="O59" s="223"/>
      <c r="P59" s="328">
        <f t="shared" si="38"/>
        <v>0</v>
      </c>
      <c r="Q59" s="328">
        <f t="shared" si="39"/>
        <v>14</v>
      </c>
      <c r="R59" s="329">
        <f t="shared" si="40"/>
        <v>1</v>
      </c>
      <c r="S59" s="225">
        <v>12</v>
      </c>
      <c r="T59" s="226"/>
      <c r="U59" s="226"/>
      <c r="V59" s="226"/>
      <c r="W59" s="330">
        <f t="shared" si="41"/>
        <v>0</v>
      </c>
      <c r="X59" s="330">
        <f t="shared" si="57"/>
        <v>12</v>
      </c>
      <c r="Y59" s="331">
        <f t="shared" si="58"/>
        <v>1</v>
      </c>
      <c r="Z59" s="228">
        <v>21</v>
      </c>
      <c r="AA59" s="255"/>
      <c r="AB59" s="256"/>
      <c r="AC59" s="255"/>
      <c r="AD59" s="280">
        <f t="shared" si="44"/>
        <v>0</v>
      </c>
      <c r="AE59" s="280">
        <f t="shared" si="45"/>
        <v>21</v>
      </c>
      <c r="AF59" s="281">
        <f t="shared" si="46"/>
        <v>1</v>
      </c>
      <c r="AG59" s="229">
        <v>18</v>
      </c>
      <c r="AH59" s="257"/>
      <c r="AI59" s="258"/>
      <c r="AJ59" s="257"/>
      <c r="AK59" s="305">
        <f t="shared" si="47"/>
        <v>0</v>
      </c>
      <c r="AL59" s="305">
        <f t="shared" si="48"/>
        <v>18</v>
      </c>
      <c r="AM59" s="306">
        <f t="shared" si="49"/>
        <v>1</v>
      </c>
      <c r="AN59" s="230">
        <v>14</v>
      </c>
      <c r="AO59" s="259"/>
      <c r="AP59" s="260"/>
      <c r="AQ59" s="259"/>
      <c r="AR59" s="307">
        <f t="shared" si="50"/>
        <v>0</v>
      </c>
      <c r="AS59" s="307">
        <f t="shared" si="51"/>
        <v>14</v>
      </c>
      <c r="AT59" s="308">
        <f t="shared" si="52"/>
        <v>1</v>
      </c>
      <c r="AU59" s="289"/>
      <c r="AV59" s="289"/>
      <c r="AW59" s="289"/>
      <c r="AX59" s="290">
        <v>98</v>
      </c>
      <c r="AY59" s="289">
        <f t="shared" si="53"/>
        <v>98</v>
      </c>
      <c r="AZ59" s="291">
        <f t="shared" si="54"/>
        <v>1</v>
      </c>
      <c r="BA59" s="310">
        <v>4</v>
      </c>
      <c r="BB59" s="386">
        <v>80</v>
      </c>
      <c r="BC59" s="379">
        <f t="shared" si="55"/>
        <v>8</v>
      </c>
      <c r="BD59" s="378">
        <f t="shared" si="56"/>
        <v>0</v>
      </c>
      <c r="BE59" s="379"/>
      <c r="BF59" s="387">
        <f t="shared" si="34"/>
        <v>72</v>
      </c>
    </row>
    <row r="60" spans="1:58" s="323" customFormat="1" x14ac:dyDescent="0.35"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86"/>
      <c r="AV60" s="286"/>
      <c r="AW60" s="286"/>
      <c r="AX60" s="286"/>
      <c r="AY60" s="286"/>
      <c r="AZ60" s="286"/>
      <c r="BA60" s="288"/>
      <c r="BB60" s="319"/>
      <c r="BC60" s="288"/>
      <c r="BD60" s="288"/>
      <c r="BE60" s="288"/>
      <c r="BF60" s="304"/>
    </row>
    <row r="61" spans="1:58" s="323" customFormat="1" x14ac:dyDescent="0.35"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86"/>
      <c r="AV61" s="286"/>
      <c r="AW61" s="286"/>
      <c r="AX61" s="286"/>
      <c r="AY61" s="286"/>
      <c r="AZ61" s="286"/>
      <c r="BA61" s="288"/>
      <c r="BB61" s="319"/>
      <c r="BC61" s="288"/>
      <c r="BD61" s="288"/>
      <c r="BE61" s="288"/>
      <c r="BF61" s="304"/>
    </row>
    <row r="62" spans="1:58" s="323" customFormat="1" ht="16" thickBot="1" x14ac:dyDescent="0.4">
      <c r="A62" s="324" t="s">
        <v>1075</v>
      </c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86"/>
      <c r="AV62" s="286"/>
      <c r="AW62" s="286"/>
      <c r="AX62" s="286"/>
      <c r="AY62" s="286"/>
      <c r="AZ62" s="286"/>
      <c r="BA62" s="288"/>
      <c r="BB62" s="319"/>
      <c r="BC62" s="288"/>
      <c r="BD62" s="288"/>
      <c r="BE62" s="288"/>
      <c r="BF62" s="304"/>
    </row>
    <row r="63" spans="1:58" s="325" customFormat="1" ht="25" customHeight="1" thickBot="1" x14ac:dyDescent="0.4">
      <c r="A63" s="447" t="s">
        <v>1072</v>
      </c>
      <c r="B63" s="447" t="s">
        <v>2</v>
      </c>
      <c r="C63" s="448" t="s">
        <v>1606</v>
      </c>
      <c r="D63" s="448" t="s">
        <v>4</v>
      </c>
      <c r="E63" s="431" t="s">
        <v>1612</v>
      </c>
      <c r="F63" s="431"/>
      <c r="G63" s="431"/>
      <c r="H63" s="431"/>
      <c r="I63" s="431"/>
      <c r="J63" s="431"/>
      <c r="K63" s="431"/>
      <c r="L63" s="432" t="s">
        <v>1613</v>
      </c>
      <c r="M63" s="432"/>
      <c r="N63" s="432"/>
      <c r="O63" s="432"/>
      <c r="P63" s="432"/>
      <c r="Q63" s="432"/>
      <c r="R63" s="432"/>
      <c r="S63" s="433" t="s">
        <v>1614</v>
      </c>
      <c r="T63" s="433"/>
      <c r="U63" s="433"/>
      <c r="V63" s="433"/>
      <c r="W63" s="433"/>
      <c r="X63" s="433"/>
      <c r="Y63" s="433"/>
      <c r="Z63" s="434" t="s">
        <v>1615</v>
      </c>
      <c r="AA63" s="434"/>
      <c r="AB63" s="434"/>
      <c r="AC63" s="434"/>
      <c r="AD63" s="434"/>
      <c r="AE63" s="434"/>
      <c r="AF63" s="434"/>
      <c r="AG63" s="435" t="s">
        <v>1616</v>
      </c>
      <c r="AH63" s="435"/>
      <c r="AI63" s="435"/>
      <c r="AJ63" s="435"/>
      <c r="AK63" s="435"/>
      <c r="AL63" s="435"/>
      <c r="AM63" s="435"/>
      <c r="AN63" s="436" t="s">
        <v>1617</v>
      </c>
      <c r="AO63" s="436"/>
      <c r="AP63" s="436"/>
      <c r="AQ63" s="436"/>
      <c r="AR63" s="436"/>
      <c r="AS63" s="436"/>
      <c r="AT63" s="436"/>
      <c r="AU63" s="438" t="s">
        <v>224</v>
      </c>
      <c r="AV63" s="438"/>
      <c r="AW63" s="438"/>
      <c r="AX63" s="437" t="s">
        <v>1602</v>
      </c>
      <c r="AY63" s="437" t="s">
        <v>1603</v>
      </c>
      <c r="AZ63" s="437" t="s">
        <v>1604</v>
      </c>
      <c r="BA63" s="443" t="s">
        <v>1076</v>
      </c>
      <c r="BB63" s="430" t="s">
        <v>883</v>
      </c>
      <c r="BC63" s="428" t="s">
        <v>880</v>
      </c>
      <c r="BD63" s="428"/>
      <c r="BE63" s="428"/>
      <c r="BF63" s="429" t="s">
        <v>884</v>
      </c>
    </row>
    <row r="64" spans="1:58" s="325" customFormat="1" ht="55" customHeight="1" thickBot="1" x14ac:dyDescent="0.4">
      <c r="A64" s="447"/>
      <c r="B64" s="447"/>
      <c r="C64" s="448"/>
      <c r="D64" s="448"/>
      <c r="E64" s="235" t="s">
        <v>1598</v>
      </c>
      <c r="F64" s="236" t="s">
        <v>20</v>
      </c>
      <c r="G64" s="236" t="s">
        <v>19</v>
      </c>
      <c r="H64" s="236" t="s">
        <v>52</v>
      </c>
      <c r="I64" s="237" t="s">
        <v>1599</v>
      </c>
      <c r="J64" s="237" t="s">
        <v>1600</v>
      </c>
      <c r="K64" s="237" t="s">
        <v>1601</v>
      </c>
      <c r="L64" s="202" t="s">
        <v>1598</v>
      </c>
      <c r="M64" s="206" t="s">
        <v>20</v>
      </c>
      <c r="N64" s="206" t="s">
        <v>19</v>
      </c>
      <c r="O64" s="206" t="s">
        <v>52</v>
      </c>
      <c r="P64" s="207" t="s">
        <v>1599</v>
      </c>
      <c r="Q64" s="207" t="s">
        <v>1600</v>
      </c>
      <c r="R64" s="207" t="s">
        <v>1601</v>
      </c>
      <c r="S64" s="238" t="s">
        <v>1598</v>
      </c>
      <c r="T64" s="239" t="s">
        <v>20</v>
      </c>
      <c r="U64" s="239" t="s">
        <v>19</v>
      </c>
      <c r="V64" s="239" t="s">
        <v>52</v>
      </c>
      <c r="W64" s="224" t="s">
        <v>1599</v>
      </c>
      <c r="X64" s="224" t="s">
        <v>1600</v>
      </c>
      <c r="Y64" s="224" t="s">
        <v>1601</v>
      </c>
      <c r="Z64" s="240" t="s">
        <v>1598</v>
      </c>
      <c r="AA64" s="241" t="s">
        <v>20</v>
      </c>
      <c r="AB64" s="241" t="s">
        <v>19</v>
      </c>
      <c r="AC64" s="241" t="s">
        <v>52</v>
      </c>
      <c r="AD64" s="208" t="s">
        <v>1599</v>
      </c>
      <c r="AE64" s="208" t="s">
        <v>1600</v>
      </c>
      <c r="AF64" s="208" t="s">
        <v>1601</v>
      </c>
      <c r="AG64" s="209" t="s">
        <v>1598</v>
      </c>
      <c r="AH64" s="210" t="s">
        <v>20</v>
      </c>
      <c r="AI64" s="210" t="s">
        <v>19</v>
      </c>
      <c r="AJ64" s="210" t="s">
        <v>52</v>
      </c>
      <c r="AK64" s="211" t="s">
        <v>1599</v>
      </c>
      <c r="AL64" s="211" t="s">
        <v>1600</v>
      </c>
      <c r="AM64" s="211" t="s">
        <v>1601</v>
      </c>
      <c r="AN64" s="212" t="s">
        <v>1598</v>
      </c>
      <c r="AO64" s="213" t="s">
        <v>20</v>
      </c>
      <c r="AP64" s="213" t="s">
        <v>19</v>
      </c>
      <c r="AQ64" s="213" t="s">
        <v>52</v>
      </c>
      <c r="AR64" s="214" t="s">
        <v>1599</v>
      </c>
      <c r="AS64" s="214" t="s">
        <v>1600</v>
      </c>
      <c r="AT64" s="214" t="s">
        <v>1601</v>
      </c>
      <c r="AU64" s="203" t="s">
        <v>20</v>
      </c>
      <c r="AV64" s="204" t="s">
        <v>19</v>
      </c>
      <c r="AW64" s="204" t="s">
        <v>52</v>
      </c>
      <c r="AX64" s="437"/>
      <c r="AY64" s="437"/>
      <c r="AZ64" s="437"/>
      <c r="BA64" s="444"/>
      <c r="BB64" s="430"/>
      <c r="BC64" s="375" t="s">
        <v>881</v>
      </c>
      <c r="BD64" s="377" t="s">
        <v>885</v>
      </c>
      <c r="BE64" s="376" t="s">
        <v>882</v>
      </c>
      <c r="BF64" s="429"/>
    </row>
    <row r="65" spans="1:58" x14ac:dyDescent="0.35">
      <c r="A65" s="193" t="s">
        <v>21</v>
      </c>
      <c r="B65" s="266">
        <v>232410047</v>
      </c>
      <c r="C65" s="261" t="s">
        <v>1504</v>
      </c>
      <c r="D65" s="91" t="s">
        <v>6</v>
      </c>
      <c r="E65" s="215">
        <v>19</v>
      </c>
      <c r="F65" s="216"/>
      <c r="G65" s="216"/>
      <c r="H65" s="216">
        <v>1</v>
      </c>
      <c r="I65" s="326">
        <f>SUM(F65:H65)</f>
        <v>1</v>
      </c>
      <c r="J65" s="326">
        <f>E65-I65</f>
        <v>18</v>
      </c>
      <c r="K65" s="327">
        <f>J65/E65</f>
        <v>0.94736842105263153</v>
      </c>
      <c r="L65" s="221">
        <v>14</v>
      </c>
      <c r="M65" s="221"/>
      <c r="N65" s="221">
        <v>1</v>
      </c>
      <c r="O65" s="221">
        <v>1</v>
      </c>
      <c r="P65" s="328">
        <f>SUM(M65:O65)</f>
        <v>2</v>
      </c>
      <c r="Q65" s="328">
        <f>L65-P65</f>
        <v>12</v>
      </c>
      <c r="R65" s="329">
        <f>Q65/L65</f>
        <v>0.8571428571428571</v>
      </c>
      <c r="S65" s="225">
        <v>12</v>
      </c>
      <c r="T65" s="225"/>
      <c r="U65" s="225"/>
      <c r="V65" s="225"/>
      <c r="W65" s="330">
        <f>SUM(T65:V65)</f>
        <v>0</v>
      </c>
      <c r="X65" s="330">
        <f>S65-W65</f>
        <v>12</v>
      </c>
      <c r="Y65" s="331">
        <f>X65/S65</f>
        <v>1</v>
      </c>
      <c r="Z65" s="228">
        <v>21</v>
      </c>
      <c r="AA65" s="228"/>
      <c r="AB65" s="228"/>
      <c r="AC65" s="228"/>
      <c r="AD65" s="280">
        <f>SUM(AA65:AC65)</f>
        <v>0</v>
      </c>
      <c r="AE65" s="280">
        <f>Z65-AD65</f>
        <v>21</v>
      </c>
      <c r="AF65" s="281">
        <f>AE65/Z65</f>
        <v>1</v>
      </c>
      <c r="AG65" s="229">
        <v>18</v>
      </c>
      <c r="AH65" s="229"/>
      <c r="AI65" s="229"/>
      <c r="AJ65" s="229"/>
      <c r="AK65" s="305">
        <f>SUM(AH65:AJ65)</f>
        <v>0</v>
      </c>
      <c r="AL65" s="305">
        <f>AG65-AK65</f>
        <v>18</v>
      </c>
      <c r="AM65" s="306">
        <f>AL65/AG65</f>
        <v>1</v>
      </c>
      <c r="AN65" s="230">
        <v>14</v>
      </c>
      <c r="AO65" s="230"/>
      <c r="AP65" s="230"/>
      <c r="AQ65" s="230"/>
      <c r="AR65" s="307">
        <f>SUM(AO65:AQ65)</f>
        <v>0</v>
      </c>
      <c r="AS65" s="307">
        <f>AN65-AR65</f>
        <v>14</v>
      </c>
      <c r="AT65" s="308">
        <f>AS65/AN65</f>
        <v>1</v>
      </c>
      <c r="AU65" s="289"/>
      <c r="AV65" s="289"/>
      <c r="AW65" s="289"/>
      <c r="AX65" s="290">
        <v>98</v>
      </c>
      <c r="AY65" s="289">
        <f>AX65-AU65-AV65-AW65</f>
        <v>98</v>
      </c>
      <c r="AZ65" s="291">
        <f t="shared" ref="AZ65" si="59">AY65/AX65</f>
        <v>1</v>
      </c>
      <c r="BA65" s="310">
        <v>1</v>
      </c>
      <c r="BB65" s="390" cm="1">
        <f t="array" ref="BB65:BB96">[1]XII!$BF$65:$BF$96</f>
        <v>94</v>
      </c>
      <c r="BC65" s="379">
        <f t="shared" ref="BC65" si="60">BA65*2</f>
        <v>2</v>
      </c>
      <c r="BD65" s="378">
        <f>AW65*2</f>
        <v>0</v>
      </c>
      <c r="BE65" s="378"/>
      <c r="BF65" s="387">
        <f t="shared" ref="BF65:BF96" si="61">BB65-BC65-BD65-BE65</f>
        <v>92</v>
      </c>
    </row>
    <row r="66" spans="1:58" x14ac:dyDescent="0.35">
      <c r="A66" s="267" t="s">
        <v>22</v>
      </c>
      <c r="B66" s="266">
        <v>232410215</v>
      </c>
      <c r="C66" s="261" t="s">
        <v>1505</v>
      </c>
      <c r="D66" s="265" t="s">
        <v>6</v>
      </c>
      <c r="E66" s="215">
        <v>19</v>
      </c>
      <c r="F66" s="217"/>
      <c r="G66" s="217"/>
      <c r="H66" s="217"/>
      <c r="I66" s="326">
        <f t="shared" ref="I66:I96" si="62">SUM(F66:H66)</f>
        <v>0</v>
      </c>
      <c r="J66" s="326">
        <f t="shared" ref="J66:J95" si="63">E66-I66</f>
        <v>19</v>
      </c>
      <c r="K66" s="327">
        <f t="shared" ref="K66:K95" si="64">J66/E66</f>
        <v>1</v>
      </c>
      <c r="L66" s="221">
        <v>14</v>
      </c>
      <c r="M66" s="223"/>
      <c r="N66" s="223">
        <v>1</v>
      </c>
      <c r="O66" s="222">
        <v>3</v>
      </c>
      <c r="P66" s="328">
        <f t="shared" ref="P66:P96" si="65">SUM(M66:O66)</f>
        <v>4</v>
      </c>
      <c r="Q66" s="328">
        <f t="shared" ref="Q66:Q96" si="66">L66-P66</f>
        <v>10</v>
      </c>
      <c r="R66" s="329">
        <f t="shared" ref="R66:R96" si="67">Q66/L66</f>
        <v>0.7142857142857143</v>
      </c>
      <c r="S66" s="225">
        <v>12</v>
      </c>
      <c r="T66" s="226"/>
      <c r="U66" s="227"/>
      <c r="V66" s="226">
        <v>1</v>
      </c>
      <c r="W66" s="330">
        <f t="shared" ref="W66:W96" si="68">SUM(T66:V66)</f>
        <v>1</v>
      </c>
      <c r="X66" s="330">
        <f t="shared" ref="X66:X96" si="69">S66-W66</f>
        <v>11</v>
      </c>
      <c r="Y66" s="331">
        <f t="shared" ref="Y66:Y96" si="70">S66/X66</f>
        <v>1.0909090909090908</v>
      </c>
      <c r="Z66" s="228">
        <v>21</v>
      </c>
      <c r="AA66" s="255"/>
      <c r="AB66" s="256"/>
      <c r="AC66" s="255"/>
      <c r="AD66" s="280">
        <f t="shared" ref="AD66:AD96" si="71">SUM(AA66:AC66)</f>
        <v>0</v>
      </c>
      <c r="AE66" s="280">
        <f t="shared" ref="AE66:AE96" si="72">Z66-AD66</f>
        <v>21</v>
      </c>
      <c r="AF66" s="281">
        <f t="shared" ref="AF66:AF96" si="73">AE66/Z66</f>
        <v>1</v>
      </c>
      <c r="AG66" s="229">
        <v>18</v>
      </c>
      <c r="AH66" s="257"/>
      <c r="AI66" s="258"/>
      <c r="AJ66" s="257"/>
      <c r="AK66" s="305">
        <f t="shared" ref="AK66:AK96" si="74">SUM(AH66:AJ66)</f>
        <v>0</v>
      </c>
      <c r="AL66" s="305">
        <f t="shared" ref="AL66:AL96" si="75">AG66-AK66</f>
        <v>18</v>
      </c>
      <c r="AM66" s="306">
        <f t="shared" ref="AM66:AM96" si="76">AL66/AG66</f>
        <v>1</v>
      </c>
      <c r="AN66" s="230">
        <v>14</v>
      </c>
      <c r="AO66" s="259"/>
      <c r="AP66" s="260"/>
      <c r="AQ66" s="259"/>
      <c r="AR66" s="307">
        <f t="shared" ref="AR66:AR96" si="77">SUM(AO66:AQ66)</f>
        <v>0</v>
      </c>
      <c r="AS66" s="307">
        <f t="shared" ref="AS66:AS96" si="78">AN66-AR66</f>
        <v>14</v>
      </c>
      <c r="AT66" s="308">
        <f t="shared" ref="AT66:AT96" si="79">AS66/AN66</f>
        <v>1</v>
      </c>
      <c r="AU66" s="289"/>
      <c r="AV66" s="289"/>
      <c r="AW66" s="289"/>
      <c r="AX66" s="290">
        <v>98</v>
      </c>
      <c r="AY66" s="289">
        <f t="shared" ref="AY66:AY96" si="80">AX66-AU66-AV66-AW66</f>
        <v>98</v>
      </c>
      <c r="AZ66" s="291">
        <f t="shared" ref="AZ66:AZ96" si="81">AY66/AX66</f>
        <v>1</v>
      </c>
      <c r="BA66" s="310">
        <v>4</v>
      </c>
      <c r="BB66" s="386">
        <v>94</v>
      </c>
      <c r="BC66" s="379">
        <f t="shared" ref="BC66:BC96" si="82">BA66*2</f>
        <v>8</v>
      </c>
      <c r="BD66" s="378">
        <f t="shared" ref="BD66:BD96" si="83">AW66*2</f>
        <v>0</v>
      </c>
      <c r="BE66" s="379"/>
      <c r="BF66" s="387">
        <f t="shared" si="61"/>
        <v>86</v>
      </c>
    </row>
    <row r="67" spans="1:58" x14ac:dyDescent="0.35">
      <c r="A67" s="267" t="s">
        <v>23</v>
      </c>
      <c r="B67" s="266">
        <v>232410049</v>
      </c>
      <c r="C67" s="261" t="s">
        <v>1506</v>
      </c>
      <c r="D67" s="265" t="s">
        <v>6</v>
      </c>
      <c r="E67" s="215">
        <v>19</v>
      </c>
      <c r="F67" s="217">
        <v>1</v>
      </c>
      <c r="G67" s="217"/>
      <c r="H67" s="217">
        <v>1</v>
      </c>
      <c r="I67" s="326">
        <f t="shared" si="62"/>
        <v>2</v>
      </c>
      <c r="J67" s="326">
        <f t="shared" si="63"/>
        <v>17</v>
      </c>
      <c r="K67" s="327">
        <f t="shared" si="64"/>
        <v>0.89473684210526316</v>
      </c>
      <c r="L67" s="221">
        <v>14</v>
      </c>
      <c r="M67" s="223"/>
      <c r="N67" s="223">
        <v>3</v>
      </c>
      <c r="O67" s="222">
        <v>3</v>
      </c>
      <c r="P67" s="328">
        <f t="shared" si="65"/>
        <v>6</v>
      </c>
      <c r="Q67" s="328">
        <f t="shared" si="66"/>
        <v>8</v>
      </c>
      <c r="R67" s="329">
        <f t="shared" si="67"/>
        <v>0.5714285714285714</v>
      </c>
      <c r="S67" s="225">
        <v>12</v>
      </c>
      <c r="T67" s="226"/>
      <c r="U67" s="227">
        <v>1</v>
      </c>
      <c r="V67" s="226"/>
      <c r="W67" s="330">
        <f t="shared" si="68"/>
        <v>1</v>
      </c>
      <c r="X67" s="330">
        <f t="shared" si="69"/>
        <v>11</v>
      </c>
      <c r="Y67" s="331">
        <f t="shared" si="70"/>
        <v>1.0909090909090908</v>
      </c>
      <c r="Z67" s="228">
        <v>21</v>
      </c>
      <c r="AA67" s="255"/>
      <c r="AB67" s="256"/>
      <c r="AC67" s="255"/>
      <c r="AD67" s="280">
        <f t="shared" si="71"/>
        <v>0</v>
      </c>
      <c r="AE67" s="280">
        <f t="shared" si="72"/>
        <v>21</v>
      </c>
      <c r="AF67" s="281">
        <f t="shared" si="73"/>
        <v>1</v>
      </c>
      <c r="AG67" s="229">
        <v>18</v>
      </c>
      <c r="AH67" s="257"/>
      <c r="AI67" s="258"/>
      <c r="AJ67" s="257"/>
      <c r="AK67" s="305">
        <f t="shared" si="74"/>
        <v>0</v>
      </c>
      <c r="AL67" s="305">
        <f t="shared" si="75"/>
        <v>18</v>
      </c>
      <c r="AM67" s="306">
        <f t="shared" si="76"/>
        <v>1</v>
      </c>
      <c r="AN67" s="230">
        <v>14</v>
      </c>
      <c r="AO67" s="259"/>
      <c r="AP67" s="260"/>
      <c r="AQ67" s="259"/>
      <c r="AR67" s="307">
        <f t="shared" si="77"/>
        <v>0</v>
      </c>
      <c r="AS67" s="307">
        <f t="shared" si="78"/>
        <v>14</v>
      </c>
      <c r="AT67" s="308">
        <f t="shared" si="79"/>
        <v>1</v>
      </c>
      <c r="AU67" s="289"/>
      <c r="AV67" s="289"/>
      <c r="AW67" s="289"/>
      <c r="AX67" s="290">
        <v>98</v>
      </c>
      <c r="AY67" s="289">
        <f t="shared" si="80"/>
        <v>98</v>
      </c>
      <c r="AZ67" s="291">
        <f t="shared" si="81"/>
        <v>1</v>
      </c>
      <c r="BA67" s="310">
        <v>3</v>
      </c>
      <c r="BB67" s="386">
        <v>96</v>
      </c>
      <c r="BC67" s="379">
        <f t="shared" si="82"/>
        <v>6</v>
      </c>
      <c r="BD67" s="378">
        <f t="shared" si="83"/>
        <v>0</v>
      </c>
      <c r="BE67" s="379"/>
      <c r="BF67" s="387">
        <f t="shared" si="61"/>
        <v>90</v>
      </c>
    </row>
    <row r="68" spans="1:58" x14ac:dyDescent="0.35">
      <c r="A68" s="267" t="s">
        <v>24</v>
      </c>
      <c r="B68" s="266">
        <v>232410050</v>
      </c>
      <c r="C68" s="261" t="s">
        <v>1507</v>
      </c>
      <c r="D68" s="265" t="s">
        <v>6</v>
      </c>
      <c r="E68" s="215">
        <v>19</v>
      </c>
      <c r="F68" s="217"/>
      <c r="G68" s="217"/>
      <c r="H68" s="217"/>
      <c r="I68" s="326">
        <f t="shared" si="62"/>
        <v>0</v>
      </c>
      <c r="J68" s="326">
        <f t="shared" si="63"/>
        <v>19</v>
      </c>
      <c r="K68" s="327">
        <f t="shared" si="64"/>
        <v>1</v>
      </c>
      <c r="L68" s="221">
        <v>14</v>
      </c>
      <c r="M68" s="223"/>
      <c r="N68" s="223">
        <v>1</v>
      </c>
      <c r="O68" s="222">
        <v>1</v>
      </c>
      <c r="P68" s="328">
        <f t="shared" si="65"/>
        <v>2</v>
      </c>
      <c r="Q68" s="328">
        <f t="shared" si="66"/>
        <v>12</v>
      </c>
      <c r="R68" s="329">
        <f t="shared" si="67"/>
        <v>0.8571428571428571</v>
      </c>
      <c r="S68" s="225">
        <v>12</v>
      </c>
      <c r="T68" s="226"/>
      <c r="U68" s="227"/>
      <c r="V68" s="226"/>
      <c r="W68" s="330">
        <f t="shared" si="68"/>
        <v>0</v>
      </c>
      <c r="X68" s="330">
        <f t="shared" si="69"/>
        <v>12</v>
      </c>
      <c r="Y68" s="331">
        <f t="shared" si="70"/>
        <v>1</v>
      </c>
      <c r="Z68" s="228">
        <v>21</v>
      </c>
      <c r="AA68" s="255"/>
      <c r="AB68" s="256"/>
      <c r="AC68" s="255"/>
      <c r="AD68" s="280">
        <f t="shared" si="71"/>
        <v>0</v>
      </c>
      <c r="AE68" s="280">
        <f t="shared" si="72"/>
        <v>21</v>
      </c>
      <c r="AF68" s="281">
        <f t="shared" si="73"/>
        <v>1</v>
      </c>
      <c r="AG68" s="229">
        <v>18</v>
      </c>
      <c r="AH68" s="257"/>
      <c r="AI68" s="258"/>
      <c r="AJ68" s="257"/>
      <c r="AK68" s="305">
        <f t="shared" si="74"/>
        <v>0</v>
      </c>
      <c r="AL68" s="305">
        <f t="shared" si="75"/>
        <v>18</v>
      </c>
      <c r="AM68" s="306">
        <f t="shared" si="76"/>
        <v>1</v>
      </c>
      <c r="AN68" s="230">
        <v>14</v>
      </c>
      <c r="AO68" s="259"/>
      <c r="AP68" s="260"/>
      <c r="AQ68" s="259"/>
      <c r="AR68" s="307">
        <f t="shared" si="77"/>
        <v>0</v>
      </c>
      <c r="AS68" s="307">
        <f t="shared" si="78"/>
        <v>14</v>
      </c>
      <c r="AT68" s="308">
        <f t="shared" si="79"/>
        <v>1</v>
      </c>
      <c r="AU68" s="289"/>
      <c r="AV68" s="289"/>
      <c r="AW68" s="289"/>
      <c r="AX68" s="290">
        <v>98</v>
      </c>
      <c r="AY68" s="289">
        <f t="shared" si="80"/>
        <v>98</v>
      </c>
      <c r="AZ68" s="291">
        <f t="shared" si="81"/>
        <v>1</v>
      </c>
      <c r="BA68" s="310">
        <v>1</v>
      </c>
      <c r="BB68" s="386">
        <v>98</v>
      </c>
      <c r="BC68" s="379">
        <f t="shared" si="82"/>
        <v>2</v>
      </c>
      <c r="BD68" s="378">
        <f t="shared" si="83"/>
        <v>0</v>
      </c>
      <c r="BE68" s="379"/>
      <c r="BF68" s="387">
        <f t="shared" si="61"/>
        <v>96</v>
      </c>
    </row>
    <row r="69" spans="1:58" x14ac:dyDescent="0.35">
      <c r="A69" s="267" t="s">
        <v>25</v>
      </c>
      <c r="B69" s="266">
        <v>232410051</v>
      </c>
      <c r="C69" s="261" t="s">
        <v>1508</v>
      </c>
      <c r="D69" s="265" t="s">
        <v>6</v>
      </c>
      <c r="E69" s="215">
        <v>19</v>
      </c>
      <c r="F69" s="217"/>
      <c r="G69" s="217">
        <v>1</v>
      </c>
      <c r="H69" s="217"/>
      <c r="I69" s="326">
        <f t="shared" si="62"/>
        <v>1</v>
      </c>
      <c r="J69" s="326">
        <f t="shared" si="63"/>
        <v>18</v>
      </c>
      <c r="K69" s="327">
        <f t="shared" si="64"/>
        <v>0.94736842105263153</v>
      </c>
      <c r="L69" s="221">
        <v>14</v>
      </c>
      <c r="M69" s="223"/>
      <c r="N69" s="223"/>
      <c r="O69" s="222">
        <v>1</v>
      </c>
      <c r="P69" s="328">
        <f t="shared" si="65"/>
        <v>1</v>
      </c>
      <c r="Q69" s="328">
        <f t="shared" si="66"/>
        <v>13</v>
      </c>
      <c r="R69" s="329">
        <f t="shared" si="67"/>
        <v>0.9285714285714286</v>
      </c>
      <c r="S69" s="225">
        <v>12</v>
      </c>
      <c r="T69" s="226"/>
      <c r="U69" s="227"/>
      <c r="V69" s="226"/>
      <c r="W69" s="330">
        <f t="shared" si="68"/>
        <v>0</v>
      </c>
      <c r="X69" s="330">
        <f t="shared" si="69"/>
        <v>12</v>
      </c>
      <c r="Y69" s="331">
        <f t="shared" si="70"/>
        <v>1</v>
      </c>
      <c r="Z69" s="228">
        <v>21</v>
      </c>
      <c r="AA69" s="255"/>
      <c r="AB69" s="256"/>
      <c r="AC69" s="255"/>
      <c r="AD69" s="280">
        <f t="shared" si="71"/>
        <v>0</v>
      </c>
      <c r="AE69" s="280">
        <f t="shared" si="72"/>
        <v>21</v>
      </c>
      <c r="AF69" s="281">
        <f t="shared" si="73"/>
        <v>1</v>
      </c>
      <c r="AG69" s="229">
        <v>18</v>
      </c>
      <c r="AH69" s="257"/>
      <c r="AI69" s="258"/>
      <c r="AJ69" s="257"/>
      <c r="AK69" s="305">
        <f t="shared" si="74"/>
        <v>0</v>
      </c>
      <c r="AL69" s="305">
        <f t="shared" si="75"/>
        <v>18</v>
      </c>
      <c r="AM69" s="306">
        <f t="shared" si="76"/>
        <v>1</v>
      </c>
      <c r="AN69" s="230">
        <v>14</v>
      </c>
      <c r="AO69" s="259"/>
      <c r="AP69" s="260"/>
      <c r="AQ69" s="259"/>
      <c r="AR69" s="307">
        <f t="shared" si="77"/>
        <v>0</v>
      </c>
      <c r="AS69" s="307">
        <f t="shared" si="78"/>
        <v>14</v>
      </c>
      <c r="AT69" s="308">
        <f t="shared" si="79"/>
        <v>1</v>
      </c>
      <c r="AU69" s="289"/>
      <c r="AV69" s="289"/>
      <c r="AW69" s="289"/>
      <c r="AX69" s="290">
        <v>98</v>
      </c>
      <c r="AY69" s="289">
        <f t="shared" si="80"/>
        <v>98</v>
      </c>
      <c r="AZ69" s="291">
        <f t="shared" si="81"/>
        <v>1</v>
      </c>
      <c r="BA69" s="310">
        <v>3</v>
      </c>
      <c r="BB69" s="386">
        <v>100</v>
      </c>
      <c r="BC69" s="379">
        <f t="shared" si="82"/>
        <v>6</v>
      </c>
      <c r="BD69" s="378">
        <f t="shared" si="83"/>
        <v>0</v>
      </c>
      <c r="BE69" s="379"/>
      <c r="BF69" s="387">
        <f t="shared" si="61"/>
        <v>94</v>
      </c>
    </row>
    <row r="70" spans="1:58" x14ac:dyDescent="0.35">
      <c r="A70" s="267" t="s">
        <v>26</v>
      </c>
      <c r="B70" s="266">
        <v>232410053</v>
      </c>
      <c r="C70" s="261" t="s">
        <v>1509</v>
      </c>
      <c r="D70" s="265" t="s">
        <v>6</v>
      </c>
      <c r="E70" s="215">
        <v>19</v>
      </c>
      <c r="F70" s="217"/>
      <c r="G70" s="217"/>
      <c r="H70" s="217"/>
      <c r="I70" s="326">
        <f t="shared" si="62"/>
        <v>0</v>
      </c>
      <c r="J70" s="326">
        <f t="shared" si="63"/>
        <v>19</v>
      </c>
      <c r="K70" s="327">
        <f t="shared" si="64"/>
        <v>1</v>
      </c>
      <c r="L70" s="221">
        <v>14</v>
      </c>
      <c r="M70" s="223">
        <v>1</v>
      </c>
      <c r="N70" s="223">
        <v>1</v>
      </c>
      <c r="O70" s="222">
        <v>2</v>
      </c>
      <c r="P70" s="328">
        <f t="shared" si="65"/>
        <v>4</v>
      </c>
      <c r="Q70" s="328">
        <f t="shared" si="66"/>
        <v>10</v>
      </c>
      <c r="R70" s="329">
        <f t="shared" si="67"/>
        <v>0.7142857142857143</v>
      </c>
      <c r="S70" s="225">
        <v>12</v>
      </c>
      <c r="T70" s="226"/>
      <c r="U70" s="227"/>
      <c r="V70" s="226">
        <v>1</v>
      </c>
      <c r="W70" s="330">
        <f t="shared" si="68"/>
        <v>1</v>
      </c>
      <c r="X70" s="330">
        <f t="shared" si="69"/>
        <v>11</v>
      </c>
      <c r="Y70" s="331">
        <f t="shared" si="70"/>
        <v>1.0909090909090908</v>
      </c>
      <c r="Z70" s="228">
        <v>21</v>
      </c>
      <c r="AA70" s="255"/>
      <c r="AB70" s="256"/>
      <c r="AC70" s="255"/>
      <c r="AD70" s="280">
        <f t="shared" si="71"/>
        <v>0</v>
      </c>
      <c r="AE70" s="280">
        <f t="shared" si="72"/>
        <v>21</v>
      </c>
      <c r="AF70" s="281">
        <f t="shared" si="73"/>
        <v>1</v>
      </c>
      <c r="AG70" s="229">
        <v>18</v>
      </c>
      <c r="AH70" s="257"/>
      <c r="AI70" s="258"/>
      <c r="AJ70" s="257"/>
      <c r="AK70" s="305">
        <f t="shared" si="74"/>
        <v>0</v>
      </c>
      <c r="AL70" s="305">
        <f t="shared" si="75"/>
        <v>18</v>
      </c>
      <c r="AM70" s="306">
        <f t="shared" si="76"/>
        <v>1</v>
      </c>
      <c r="AN70" s="230">
        <v>14</v>
      </c>
      <c r="AO70" s="259"/>
      <c r="AP70" s="260"/>
      <c r="AQ70" s="259"/>
      <c r="AR70" s="307">
        <f t="shared" si="77"/>
        <v>0</v>
      </c>
      <c r="AS70" s="307">
        <f t="shared" si="78"/>
        <v>14</v>
      </c>
      <c r="AT70" s="308">
        <f t="shared" si="79"/>
        <v>1</v>
      </c>
      <c r="AU70" s="289"/>
      <c r="AV70" s="289"/>
      <c r="AW70" s="289"/>
      <c r="AX70" s="290">
        <v>98</v>
      </c>
      <c r="AY70" s="289">
        <f t="shared" si="80"/>
        <v>98</v>
      </c>
      <c r="AZ70" s="291">
        <f t="shared" si="81"/>
        <v>1</v>
      </c>
      <c r="BA70" s="310">
        <v>3</v>
      </c>
      <c r="BB70" s="386">
        <v>92</v>
      </c>
      <c r="BC70" s="379">
        <f t="shared" si="82"/>
        <v>6</v>
      </c>
      <c r="BD70" s="378">
        <f t="shared" si="83"/>
        <v>0</v>
      </c>
      <c r="BE70" s="379"/>
      <c r="BF70" s="387">
        <f t="shared" si="61"/>
        <v>86</v>
      </c>
    </row>
    <row r="71" spans="1:58" x14ac:dyDescent="0.35">
      <c r="A71" s="267" t="s">
        <v>27</v>
      </c>
      <c r="B71" s="266">
        <v>232410054</v>
      </c>
      <c r="C71" s="261" t="s">
        <v>1510</v>
      </c>
      <c r="D71" s="265" t="s">
        <v>6</v>
      </c>
      <c r="E71" s="215">
        <v>19</v>
      </c>
      <c r="F71" s="217"/>
      <c r="G71" s="217">
        <v>1</v>
      </c>
      <c r="H71" s="217"/>
      <c r="I71" s="326">
        <f t="shared" si="62"/>
        <v>1</v>
      </c>
      <c r="J71" s="326">
        <f t="shared" si="63"/>
        <v>18</v>
      </c>
      <c r="K71" s="327">
        <f t="shared" si="64"/>
        <v>0.94736842105263153</v>
      </c>
      <c r="L71" s="221">
        <v>14</v>
      </c>
      <c r="M71" s="223"/>
      <c r="N71" s="223"/>
      <c r="O71" s="222"/>
      <c r="P71" s="328">
        <f t="shared" si="65"/>
        <v>0</v>
      </c>
      <c r="Q71" s="328">
        <f t="shared" si="66"/>
        <v>14</v>
      </c>
      <c r="R71" s="329">
        <f t="shared" si="67"/>
        <v>1</v>
      </c>
      <c r="S71" s="225">
        <v>12</v>
      </c>
      <c r="T71" s="226"/>
      <c r="U71" s="227"/>
      <c r="V71" s="226"/>
      <c r="W71" s="330">
        <f t="shared" si="68"/>
        <v>0</v>
      </c>
      <c r="X71" s="330">
        <f t="shared" si="69"/>
        <v>12</v>
      </c>
      <c r="Y71" s="331">
        <f t="shared" si="70"/>
        <v>1</v>
      </c>
      <c r="Z71" s="228">
        <v>21</v>
      </c>
      <c r="AA71" s="255"/>
      <c r="AB71" s="256"/>
      <c r="AC71" s="255"/>
      <c r="AD71" s="280">
        <f t="shared" si="71"/>
        <v>0</v>
      </c>
      <c r="AE71" s="280">
        <f t="shared" si="72"/>
        <v>21</v>
      </c>
      <c r="AF71" s="281">
        <f t="shared" si="73"/>
        <v>1</v>
      </c>
      <c r="AG71" s="229">
        <v>18</v>
      </c>
      <c r="AH71" s="257"/>
      <c r="AI71" s="258"/>
      <c r="AJ71" s="257"/>
      <c r="AK71" s="305">
        <f t="shared" si="74"/>
        <v>0</v>
      </c>
      <c r="AL71" s="305">
        <f t="shared" si="75"/>
        <v>18</v>
      </c>
      <c r="AM71" s="306">
        <f t="shared" si="76"/>
        <v>1</v>
      </c>
      <c r="AN71" s="230">
        <v>14</v>
      </c>
      <c r="AO71" s="259"/>
      <c r="AP71" s="260"/>
      <c r="AQ71" s="259"/>
      <c r="AR71" s="307">
        <f t="shared" si="77"/>
        <v>0</v>
      </c>
      <c r="AS71" s="307">
        <f t="shared" si="78"/>
        <v>14</v>
      </c>
      <c r="AT71" s="308">
        <f t="shared" si="79"/>
        <v>1</v>
      </c>
      <c r="AU71" s="289"/>
      <c r="AV71" s="289"/>
      <c r="AW71" s="289"/>
      <c r="AX71" s="290">
        <v>98</v>
      </c>
      <c r="AY71" s="289">
        <f t="shared" si="80"/>
        <v>98</v>
      </c>
      <c r="AZ71" s="291">
        <f t="shared" si="81"/>
        <v>1</v>
      </c>
      <c r="BA71" s="310"/>
      <c r="BB71" s="386">
        <v>96</v>
      </c>
      <c r="BC71" s="379">
        <f t="shared" si="82"/>
        <v>0</v>
      </c>
      <c r="BD71" s="378">
        <f t="shared" si="83"/>
        <v>0</v>
      </c>
      <c r="BE71" s="379"/>
      <c r="BF71" s="387">
        <f t="shared" si="61"/>
        <v>96</v>
      </c>
    </row>
    <row r="72" spans="1:58" x14ac:dyDescent="0.35">
      <c r="A72" s="267" t="s">
        <v>28</v>
      </c>
      <c r="B72" s="266">
        <v>232410055</v>
      </c>
      <c r="C72" s="261" t="s">
        <v>1511</v>
      </c>
      <c r="D72" s="265" t="s">
        <v>6</v>
      </c>
      <c r="E72" s="215">
        <v>19</v>
      </c>
      <c r="F72" s="217"/>
      <c r="G72" s="217"/>
      <c r="H72" s="217"/>
      <c r="I72" s="326">
        <f t="shared" si="62"/>
        <v>0</v>
      </c>
      <c r="J72" s="326">
        <f t="shared" si="63"/>
        <v>19</v>
      </c>
      <c r="K72" s="327">
        <f t="shared" si="64"/>
        <v>1</v>
      </c>
      <c r="L72" s="221">
        <v>14</v>
      </c>
      <c r="M72" s="223"/>
      <c r="N72" s="223">
        <v>1</v>
      </c>
      <c r="O72" s="222"/>
      <c r="P72" s="328">
        <f t="shared" si="65"/>
        <v>1</v>
      </c>
      <c r="Q72" s="328">
        <f t="shared" si="66"/>
        <v>13</v>
      </c>
      <c r="R72" s="329">
        <f t="shared" si="67"/>
        <v>0.9285714285714286</v>
      </c>
      <c r="S72" s="225">
        <v>12</v>
      </c>
      <c r="T72" s="226"/>
      <c r="U72" s="227"/>
      <c r="V72" s="226"/>
      <c r="W72" s="330">
        <f t="shared" si="68"/>
        <v>0</v>
      </c>
      <c r="X72" s="330">
        <f t="shared" si="69"/>
        <v>12</v>
      </c>
      <c r="Y72" s="331">
        <f t="shared" si="70"/>
        <v>1</v>
      </c>
      <c r="Z72" s="228">
        <v>21</v>
      </c>
      <c r="AA72" s="255"/>
      <c r="AB72" s="256"/>
      <c r="AC72" s="255"/>
      <c r="AD72" s="280">
        <f t="shared" si="71"/>
        <v>0</v>
      </c>
      <c r="AE72" s="280">
        <f t="shared" si="72"/>
        <v>21</v>
      </c>
      <c r="AF72" s="281">
        <f t="shared" si="73"/>
        <v>1</v>
      </c>
      <c r="AG72" s="229">
        <v>18</v>
      </c>
      <c r="AH72" s="257"/>
      <c r="AI72" s="258"/>
      <c r="AJ72" s="257"/>
      <c r="AK72" s="305">
        <f t="shared" si="74"/>
        <v>0</v>
      </c>
      <c r="AL72" s="305">
        <f t="shared" si="75"/>
        <v>18</v>
      </c>
      <c r="AM72" s="306">
        <f t="shared" si="76"/>
        <v>1</v>
      </c>
      <c r="AN72" s="230">
        <v>14</v>
      </c>
      <c r="AO72" s="259"/>
      <c r="AP72" s="260"/>
      <c r="AQ72" s="259"/>
      <c r="AR72" s="307">
        <f t="shared" si="77"/>
        <v>0</v>
      </c>
      <c r="AS72" s="307">
        <f t="shared" si="78"/>
        <v>14</v>
      </c>
      <c r="AT72" s="308">
        <f t="shared" si="79"/>
        <v>1</v>
      </c>
      <c r="AU72" s="289"/>
      <c r="AV72" s="289"/>
      <c r="AW72" s="289"/>
      <c r="AX72" s="290">
        <v>98</v>
      </c>
      <c r="AY72" s="289">
        <f t="shared" si="80"/>
        <v>98</v>
      </c>
      <c r="AZ72" s="291">
        <f t="shared" si="81"/>
        <v>1</v>
      </c>
      <c r="BA72" s="310"/>
      <c r="BB72" s="386">
        <v>100</v>
      </c>
      <c r="BC72" s="379">
        <f t="shared" si="82"/>
        <v>0</v>
      </c>
      <c r="BD72" s="378">
        <f t="shared" si="83"/>
        <v>0</v>
      </c>
      <c r="BE72" s="379"/>
      <c r="BF72" s="387">
        <f t="shared" si="61"/>
        <v>100</v>
      </c>
    </row>
    <row r="73" spans="1:58" x14ac:dyDescent="0.35">
      <c r="A73" s="267" t="s">
        <v>29</v>
      </c>
      <c r="B73" s="266">
        <v>232410056</v>
      </c>
      <c r="C73" s="261" t="s">
        <v>1512</v>
      </c>
      <c r="D73" s="265" t="s">
        <v>6</v>
      </c>
      <c r="E73" s="215">
        <v>19</v>
      </c>
      <c r="F73" s="217"/>
      <c r="G73" s="217"/>
      <c r="H73" s="217">
        <v>1</v>
      </c>
      <c r="I73" s="326">
        <f t="shared" si="62"/>
        <v>1</v>
      </c>
      <c r="J73" s="326">
        <f t="shared" si="63"/>
        <v>18</v>
      </c>
      <c r="K73" s="327">
        <f t="shared" si="64"/>
        <v>0.94736842105263153</v>
      </c>
      <c r="L73" s="221">
        <v>14</v>
      </c>
      <c r="M73" s="223">
        <v>1</v>
      </c>
      <c r="N73" s="223">
        <v>1</v>
      </c>
      <c r="O73" s="222">
        <v>3</v>
      </c>
      <c r="P73" s="328">
        <f t="shared" si="65"/>
        <v>5</v>
      </c>
      <c r="Q73" s="328">
        <f t="shared" si="66"/>
        <v>9</v>
      </c>
      <c r="R73" s="329">
        <f t="shared" si="67"/>
        <v>0.6428571428571429</v>
      </c>
      <c r="S73" s="225">
        <v>12</v>
      </c>
      <c r="T73" s="226"/>
      <c r="U73" s="227"/>
      <c r="V73" s="226"/>
      <c r="W73" s="330">
        <f t="shared" si="68"/>
        <v>0</v>
      </c>
      <c r="X73" s="330">
        <f t="shared" si="69"/>
        <v>12</v>
      </c>
      <c r="Y73" s="331">
        <f t="shared" si="70"/>
        <v>1</v>
      </c>
      <c r="Z73" s="228">
        <v>21</v>
      </c>
      <c r="AA73" s="255"/>
      <c r="AB73" s="256"/>
      <c r="AC73" s="255"/>
      <c r="AD73" s="280">
        <f t="shared" si="71"/>
        <v>0</v>
      </c>
      <c r="AE73" s="280">
        <f t="shared" si="72"/>
        <v>21</v>
      </c>
      <c r="AF73" s="281">
        <f t="shared" si="73"/>
        <v>1</v>
      </c>
      <c r="AG73" s="229">
        <v>18</v>
      </c>
      <c r="AH73" s="257"/>
      <c r="AI73" s="258"/>
      <c r="AJ73" s="257"/>
      <c r="AK73" s="305">
        <f t="shared" si="74"/>
        <v>0</v>
      </c>
      <c r="AL73" s="305">
        <f t="shared" si="75"/>
        <v>18</v>
      </c>
      <c r="AM73" s="306">
        <f t="shared" si="76"/>
        <v>1</v>
      </c>
      <c r="AN73" s="230">
        <v>14</v>
      </c>
      <c r="AO73" s="259"/>
      <c r="AP73" s="260"/>
      <c r="AQ73" s="259"/>
      <c r="AR73" s="307">
        <f t="shared" si="77"/>
        <v>0</v>
      </c>
      <c r="AS73" s="307">
        <f t="shared" si="78"/>
        <v>14</v>
      </c>
      <c r="AT73" s="308">
        <f t="shared" si="79"/>
        <v>1</v>
      </c>
      <c r="AU73" s="289"/>
      <c r="AV73" s="289"/>
      <c r="AW73" s="289"/>
      <c r="AX73" s="290">
        <v>98</v>
      </c>
      <c r="AY73" s="289">
        <f t="shared" si="80"/>
        <v>98</v>
      </c>
      <c r="AZ73" s="291">
        <f t="shared" si="81"/>
        <v>1</v>
      </c>
      <c r="BA73" s="310"/>
      <c r="BB73" s="386">
        <v>92</v>
      </c>
      <c r="BC73" s="379">
        <f t="shared" si="82"/>
        <v>0</v>
      </c>
      <c r="BD73" s="378">
        <f t="shared" si="83"/>
        <v>0</v>
      </c>
      <c r="BE73" s="379"/>
      <c r="BF73" s="387">
        <f t="shared" si="61"/>
        <v>92</v>
      </c>
    </row>
    <row r="74" spans="1:58" x14ac:dyDescent="0.35">
      <c r="A74" s="267" t="s">
        <v>30</v>
      </c>
      <c r="B74" s="266">
        <v>232410057</v>
      </c>
      <c r="C74" s="261" t="s">
        <v>1513</v>
      </c>
      <c r="D74" s="265" t="s">
        <v>6</v>
      </c>
      <c r="E74" s="215">
        <v>19</v>
      </c>
      <c r="F74" s="217"/>
      <c r="G74" s="217"/>
      <c r="H74" s="217"/>
      <c r="I74" s="326">
        <f t="shared" si="62"/>
        <v>0</v>
      </c>
      <c r="J74" s="326">
        <f t="shared" si="63"/>
        <v>19</v>
      </c>
      <c r="K74" s="327">
        <f t="shared" si="64"/>
        <v>1</v>
      </c>
      <c r="L74" s="221">
        <v>14</v>
      </c>
      <c r="M74" s="223"/>
      <c r="N74" s="223"/>
      <c r="O74" s="222">
        <v>1</v>
      </c>
      <c r="P74" s="328">
        <f t="shared" si="65"/>
        <v>1</v>
      </c>
      <c r="Q74" s="328">
        <f t="shared" si="66"/>
        <v>13</v>
      </c>
      <c r="R74" s="329">
        <f t="shared" si="67"/>
        <v>0.9285714285714286</v>
      </c>
      <c r="S74" s="225">
        <v>12</v>
      </c>
      <c r="T74" s="226"/>
      <c r="U74" s="227"/>
      <c r="V74" s="226"/>
      <c r="W74" s="330">
        <f t="shared" si="68"/>
        <v>0</v>
      </c>
      <c r="X74" s="330">
        <f t="shared" si="69"/>
        <v>12</v>
      </c>
      <c r="Y74" s="331">
        <f t="shared" si="70"/>
        <v>1</v>
      </c>
      <c r="Z74" s="228">
        <v>21</v>
      </c>
      <c r="AA74" s="255"/>
      <c r="AB74" s="256"/>
      <c r="AC74" s="255"/>
      <c r="AD74" s="280">
        <f t="shared" si="71"/>
        <v>0</v>
      </c>
      <c r="AE74" s="280">
        <f t="shared" si="72"/>
        <v>21</v>
      </c>
      <c r="AF74" s="281">
        <f t="shared" si="73"/>
        <v>1</v>
      </c>
      <c r="AG74" s="229">
        <v>18</v>
      </c>
      <c r="AH74" s="257"/>
      <c r="AI74" s="258"/>
      <c r="AJ74" s="257"/>
      <c r="AK74" s="305">
        <f t="shared" si="74"/>
        <v>0</v>
      </c>
      <c r="AL74" s="305">
        <f t="shared" si="75"/>
        <v>18</v>
      </c>
      <c r="AM74" s="306">
        <f t="shared" si="76"/>
        <v>1</v>
      </c>
      <c r="AN74" s="230">
        <v>14</v>
      </c>
      <c r="AO74" s="259"/>
      <c r="AP74" s="260"/>
      <c r="AQ74" s="259"/>
      <c r="AR74" s="307">
        <f t="shared" si="77"/>
        <v>0</v>
      </c>
      <c r="AS74" s="307">
        <f t="shared" si="78"/>
        <v>14</v>
      </c>
      <c r="AT74" s="308">
        <f t="shared" si="79"/>
        <v>1</v>
      </c>
      <c r="AU74" s="289"/>
      <c r="AV74" s="289"/>
      <c r="AW74" s="289"/>
      <c r="AX74" s="290">
        <v>98</v>
      </c>
      <c r="AY74" s="289">
        <f t="shared" si="80"/>
        <v>98</v>
      </c>
      <c r="AZ74" s="291">
        <f t="shared" si="81"/>
        <v>1</v>
      </c>
      <c r="BA74" s="310">
        <v>2</v>
      </c>
      <c r="BB74" s="386">
        <v>92</v>
      </c>
      <c r="BC74" s="379">
        <f t="shared" si="82"/>
        <v>4</v>
      </c>
      <c r="BD74" s="378">
        <f t="shared" si="83"/>
        <v>0</v>
      </c>
      <c r="BE74" s="379"/>
      <c r="BF74" s="387">
        <f t="shared" si="61"/>
        <v>88</v>
      </c>
    </row>
    <row r="75" spans="1:58" x14ac:dyDescent="0.35">
      <c r="A75" s="267" t="s">
        <v>31</v>
      </c>
      <c r="B75" s="266">
        <v>232410059</v>
      </c>
      <c r="C75" s="261" t="s">
        <v>1514</v>
      </c>
      <c r="D75" s="265" t="s">
        <v>6</v>
      </c>
      <c r="E75" s="215">
        <v>19</v>
      </c>
      <c r="F75" s="217"/>
      <c r="G75" s="217"/>
      <c r="H75" s="217">
        <v>1</v>
      </c>
      <c r="I75" s="326">
        <f t="shared" si="62"/>
        <v>1</v>
      </c>
      <c r="J75" s="326">
        <f t="shared" si="63"/>
        <v>18</v>
      </c>
      <c r="K75" s="327">
        <f t="shared" si="64"/>
        <v>0.94736842105263153</v>
      </c>
      <c r="L75" s="221">
        <v>14</v>
      </c>
      <c r="M75" s="223"/>
      <c r="N75" s="223">
        <v>1</v>
      </c>
      <c r="O75" s="222">
        <v>1</v>
      </c>
      <c r="P75" s="328">
        <f t="shared" si="65"/>
        <v>2</v>
      </c>
      <c r="Q75" s="328">
        <f t="shared" si="66"/>
        <v>12</v>
      </c>
      <c r="R75" s="329">
        <f t="shared" si="67"/>
        <v>0.8571428571428571</v>
      </c>
      <c r="S75" s="225">
        <v>12</v>
      </c>
      <c r="T75" s="226"/>
      <c r="U75" s="227"/>
      <c r="V75" s="226"/>
      <c r="W75" s="330">
        <f t="shared" si="68"/>
        <v>0</v>
      </c>
      <c r="X75" s="330">
        <f t="shared" si="69"/>
        <v>12</v>
      </c>
      <c r="Y75" s="331">
        <f t="shared" si="70"/>
        <v>1</v>
      </c>
      <c r="Z75" s="228">
        <v>21</v>
      </c>
      <c r="AA75" s="255"/>
      <c r="AB75" s="256"/>
      <c r="AC75" s="255"/>
      <c r="AD75" s="280">
        <f t="shared" si="71"/>
        <v>0</v>
      </c>
      <c r="AE75" s="280">
        <f t="shared" si="72"/>
        <v>21</v>
      </c>
      <c r="AF75" s="281">
        <f t="shared" si="73"/>
        <v>1</v>
      </c>
      <c r="AG75" s="229">
        <v>18</v>
      </c>
      <c r="AH75" s="257"/>
      <c r="AI75" s="258"/>
      <c r="AJ75" s="257"/>
      <c r="AK75" s="305">
        <f t="shared" si="74"/>
        <v>0</v>
      </c>
      <c r="AL75" s="305">
        <f t="shared" si="75"/>
        <v>18</v>
      </c>
      <c r="AM75" s="306">
        <f t="shared" si="76"/>
        <v>1</v>
      </c>
      <c r="AN75" s="230">
        <v>14</v>
      </c>
      <c r="AO75" s="259"/>
      <c r="AP75" s="260"/>
      <c r="AQ75" s="259"/>
      <c r="AR75" s="307">
        <f t="shared" si="77"/>
        <v>0</v>
      </c>
      <c r="AS75" s="307">
        <f t="shared" si="78"/>
        <v>14</v>
      </c>
      <c r="AT75" s="308">
        <f t="shared" si="79"/>
        <v>1</v>
      </c>
      <c r="AU75" s="289"/>
      <c r="AV75" s="289"/>
      <c r="AW75" s="289"/>
      <c r="AX75" s="290">
        <v>98</v>
      </c>
      <c r="AY75" s="289">
        <f t="shared" si="80"/>
        <v>98</v>
      </c>
      <c r="AZ75" s="291">
        <f t="shared" si="81"/>
        <v>1</v>
      </c>
      <c r="BA75" s="310">
        <v>1</v>
      </c>
      <c r="BB75" s="386">
        <v>98</v>
      </c>
      <c r="BC75" s="379">
        <f t="shared" si="82"/>
        <v>2</v>
      </c>
      <c r="BD75" s="378">
        <f t="shared" si="83"/>
        <v>0</v>
      </c>
      <c r="BE75" s="379"/>
      <c r="BF75" s="387">
        <f t="shared" si="61"/>
        <v>96</v>
      </c>
    </row>
    <row r="76" spans="1:58" x14ac:dyDescent="0.35">
      <c r="A76" s="267" t="s">
        <v>32</v>
      </c>
      <c r="B76" s="266">
        <v>232410060</v>
      </c>
      <c r="C76" s="261" t="s">
        <v>1515</v>
      </c>
      <c r="D76" s="265" t="s">
        <v>6</v>
      </c>
      <c r="E76" s="215">
        <v>19</v>
      </c>
      <c r="F76" s="217"/>
      <c r="G76" s="217"/>
      <c r="H76" s="217">
        <v>1</v>
      </c>
      <c r="I76" s="326">
        <f t="shared" si="62"/>
        <v>1</v>
      </c>
      <c r="J76" s="326">
        <f t="shared" si="63"/>
        <v>18</v>
      </c>
      <c r="K76" s="327">
        <f t="shared" si="64"/>
        <v>0.94736842105263153</v>
      </c>
      <c r="L76" s="221">
        <v>14</v>
      </c>
      <c r="M76" s="223">
        <v>1</v>
      </c>
      <c r="N76" s="223"/>
      <c r="O76" s="222">
        <v>1</v>
      </c>
      <c r="P76" s="328">
        <f t="shared" si="65"/>
        <v>2</v>
      </c>
      <c r="Q76" s="328">
        <f t="shared" si="66"/>
        <v>12</v>
      </c>
      <c r="R76" s="329">
        <f t="shared" si="67"/>
        <v>0.8571428571428571</v>
      </c>
      <c r="S76" s="225">
        <v>12</v>
      </c>
      <c r="T76" s="226"/>
      <c r="U76" s="227"/>
      <c r="V76" s="226"/>
      <c r="W76" s="330">
        <f t="shared" si="68"/>
        <v>0</v>
      </c>
      <c r="X76" s="330">
        <f t="shared" si="69"/>
        <v>12</v>
      </c>
      <c r="Y76" s="331">
        <f t="shared" si="70"/>
        <v>1</v>
      </c>
      <c r="Z76" s="228">
        <v>21</v>
      </c>
      <c r="AA76" s="255"/>
      <c r="AB76" s="256"/>
      <c r="AC76" s="255"/>
      <c r="AD76" s="280">
        <f t="shared" si="71"/>
        <v>0</v>
      </c>
      <c r="AE76" s="280">
        <f t="shared" si="72"/>
        <v>21</v>
      </c>
      <c r="AF76" s="281">
        <f t="shared" si="73"/>
        <v>1</v>
      </c>
      <c r="AG76" s="229">
        <v>18</v>
      </c>
      <c r="AH76" s="257"/>
      <c r="AI76" s="258"/>
      <c r="AJ76" s="257"/>
      <c r="AK76" s="305">
        <f t="shared" si="74"/>
        <v>0</v>
      </c>
      <c r="AL76" s="305">
        <f t="shared" si="75"/>
        <v>18</v>
      </c>
      <c r="AM76" s="306">
        <f t="shared" si="76"/>
        <v>1</v>
      </c>
      <c r="AN76" s="230">
        <v>14</v>
      </c>
      <c r="AO76" s="259"/>
      <c r="AP76" s="260"/>
      <c r="AQ76" s="259"/>
      <c r="AR76" s="307">
        <f t="shared" si="77"/>
        <v>0</v>
      </c>
      <c r="AS76" s="307">
        <f t="shared" si="78"/>
        <v>14</v>
      </c>
      <c r="AT76" s="308">
        <f t="shared" si="79"/>
        <v>1</v>
      </c>
      <c r="AU76" s="289"/>
      <c r="AV76" s="289"/>
      <c r="AW76" s="289"/>
      <c r="AX76" s="290">
        <v>98</v>
      </c>
      <c r="AY76" s="289">
        <f t="shared" si="80"/>
        <v>98</v>
      </c>
      <c r="AZ76" s="291">
        <f t="shared" si="81"/>
        <v>1</v>
      </c>
      <c r="BA76" s="310">
        <v>2</v>
      </c>
      <c r="BB76" s="386">
        <v>98</v>
      </c>
      <c r="BC76" s="379">
        <f t="shared" si="82"/>
        <v>4</v>
      </c>
      <c r="BD76" s="378">
        <f t="shared" si="83"/>
        <v>0</v>
      </c>
      <c r="BE76" s="379"/>
      <c r="BF76" s="387">
        <f t="shared" si="61"/>
        <v>94</v>
      </c>
    </row>
    <row r="77" spans="1:58" x14ac:dyDescent="0.35">
      <c r="A77" s="267" t="s">
        <v>33</v>
      </c>
      <c r="B77" s="266">
        <v>232410061</v>
      </c>
      <c r="C77" s="261" t="s">
        <v>1516</v>
      </c>
      <c r="D77" s="265" t="s">
        <v>6</v>
      </c>
      <c r="E77" s="215">
        <v>19</v>
      </c>
      <c r="F77" s="217"/>
      <c r="G77" s="217"/>
      <c r="H77" s="217"/>
      <c r="I77" s="326">
        <f t="shared" si="62"/>
        <v>0</v>
      </c>
      <c r="J77" s="326">
        <f t="shared" si="63"/>
        <v>19</v>
      </c>
      <c r="K77" s="327">
        <f t="shared" si="64"/>
        <v>1</v>
      </c>
      <c r="L77" s="221">
        <v>14</v>
      </c>
      <c r="M77" s="223"/>
      <c r="N77" s="223"/>
      <c r="O77" s="222">
        <v>2</v>
      </c>
      <c r="P77" s="328">
        <f t="shared" si="65"/>
        <v>2</v>
      </c>
      <c r="Q77" s="328">
        <f t="shared" si="66"/>
        <v>12</v>
      </c>
      <c r="R77" s="329">
        <f t="shared" si="67"/>
        <v>0.8571428571428571</v>
      </c>
      <c r="S77" s="225">
        <v>12</v>
      </c>
      <c r="T77" s="226"/>
      <c r="U77" s="227"/>
      <c r="V77" s="226"/>
      <c r="W77" s="330">
        <f t="shared" si="68"/>
        <v>0</v>
      </c>
      <c r="X77" s="330">
        <f t="shared" si="69"/>
        <v>12</v>
      </c>
      <c r="Y77" s="331">
        <f t="shared" si="70"/>
        <v>1</v>
      </c>
      <c r="Z77" s="228">
        <v>21</v>
      </c>
      <c r="AA77" s="255"/>
      <c r="AB77" s="256"/>
      <c r="AC77" s="255"/>
      <c r="AD77" s="280">
        <f t="shared" si="71"/>
        <v>0</v>
      </c>
      <c r="AE77" s="280">
        <f t="shared" si="72"/>
        <v>21</v>
      </c>
      <c r="AF77" s="281">
        <f t="shared" si="73"/>
        <v>1</v>
      </c>
      <c r="AG77" s="229">
        <v>18</v>
      </c>
      <c r="AH77" s="257"/>
      <c r="AI77" s="258"/>
      <c r="AJ77" s="257"/>
      <c r="AK77" s="305">
        <f t="shared" si="74"/>
        <v>0</v>
      </c>
      <c r="AL77" s="305">
        <f t="shared" si="75"/>
        <v>18</v>
      </c>
      <c r="AM77" s="306">
        <f t="shared" si="76"/>
        <v>1</v>
      </c>
      <c r="AN77" s="230">
        <v>14</v>
      </c>
      <c r="AO77" s="259"/>
      <c r="AP77" s="260"/>
      <c r="AQ77" s="259"/>
      <c r="AR77" s="307">
        <f t="shared" si="77"/>
        <v>0</v>
      </c>
      <c r="AS77" s="307">
        <f t="shared" si="78"/>
        <v>14</v>
      </c>
      <c r="AT77" s="308">
        <f t="shared" si="79"/>
        <v>1</v>
      </c>
      <c r="AU77" s="289"/>
      <c r="AV77" s="289"/>
      <c r="AW77" s="289"/>
      <c r="AX77" s="290">
        <v>98</v>
      </c>
      <c r="AY77" s="289">
        <f t="shared" si="80"/>
        <v>98</v>
      </c>
      <c r="AZ77" s="291">
        <f t="shared" si="81"/>
        <v>1</v>
      </c>
      <c r="BA77" s="310">
        <v>5</v>
      </c>
      <c r="BB77" s="386">
        <v>86</v>
      </c>
      <c r="BC77" s="379">
        <f t="shared" si="82"/>
        <v>10</v>
      </c>
      <c r="BD77" s="378">
        <f t="shared" si="83"/>
        <v>0</v>
      </c>
      <c r="BE77" s="379"/>
      <c r="BF77" s="387">
        <f t="shared" si="61"/>
        <v>76</v>
      </c>
    </row>
    <row r="78" spans="1:58" x14ac:dyDescent="0.35">
      <c r="A78" s="267" t="s">
        <v>34</v>
      </c>
      <c r="B78" s="266">
        <v>232410062</v>
      </c>
      <c r="C78" s="261" t="s">
        <v>1517</v>
      </c>
      <c r="D78" s="265" t="s">
        <v>6</v>
      </c>
      <c r="E78" s="215">
        <v>19</v>
      </c>
      <c r="F78" s="217"/>
      <c r="G78" s="217">
        <v>1</v>
      </c>
      <c r="H78" s="217"/>
      <c r="I78" s="326">
        <f t="shared" si="62"/>
        <v>1</v>
      </c>
      <c r="J78" s="326">
        <f t="shared" si="63"/>
        <v>18</v>
      </c>
      <c r="K78" s="327">
        <f t="shared" si="64"/>
        <v>0.94736842105263153</v>
      </c>
      <c r="L78" s="221">
        <v>14</v>
      </c>
      <c r="M78" s="223">
        <v>1</v>
      </c>
      <c r="N78" s="223"/>
      <c r="O78" s="222">
        <v>1</v>
      </c>
      <c r="P78" s="328">
        <f t="shared" si="65"/>
        <v>2</v>
      </c>
      <c r="Q78" s="328">
        <f t="shared" si="66"/>
        <v>12</v>
      </c>
      <c r="R78" s="329">
        <f t="shared" si="67"/>
        <v>0.8571428571428571</v>
      </c>
      <c r="S78" s="225">
        <v>12</v>
      </c>
      <c r="T78" s="226"/>
      <c r="U78" s="227">
        <v>1</v>
      </c>
      <c r="V78" s="226"/>
      <c r="W78" s="330">
        <f t="shared" si="68"/>
        <v>1</v>
      </c>
      <c r="X78" s="330">
        <f t="shared" si="69"/>
        <v>11</v>
      </c>
      <c r="Y78" s="331">
        <f t="shared" si="70"/>
        <v>1.0909090909090908</v>
      </c>
      <c r="Z78" s="228">
        <v>21</v>
      </c>
      <c r="AA78" s="255"/>
      <c r="AB78" s="256"/>
      <c r="AC78" s="255"/>
      <c r="AD78" s="280">
        <f t="shared" si="71"/>
        <v>0</v>
      </c>
      <c r="AE78" s="280">
        <f t="shared" si="72"/>
        <v>21</v>
      </c>
      <c r="AF78" s="281">
        <f t="shared" si="73"/>
        <v>1</v>
      </c>
      <c r="AG78" s="229">
        <v>18</v>
      </c>
      <c r="AH78" s="257"/>
      <c r="AI78" s="258"/>
      <c r="AJ78" s="257"/>
      <c r="AK78" s="305">
        <f t="shared" si="74"/>
        <v>0</v>
      </c>
      <c r="AL78" s="305">
        <f t="shared" si="75"/>
        <v>18</v>
      </c>
      <c r="AM78" s="306">
        <f t="shared" si="76"/>
        <v>1</v>
      </c>
      <c r="AN78" s="230">
        <v>14</v>
      </c>
      <c r="AO78" s="259"/>
      <c r="AP78" s="260"/>
      <c r="AQ78" s="259"/>
      <c r="AR78" s="307">
        <f t="shared" si="77"/>
        <v>0</v>
      </c>
      <c r="AS78" s="307">
        <f t="shared" si="78"/>
        <v>14</v>
      </c>
      <c r="AT78" s="308">
        <f t="shared" si="79"/>
        <v>1</v>
      </c>
      <c r="AU78" s="289"/>
      <c r="AV78" s="289"/>
      <c r="AW78" s="289"/>
      <c r="AX78" s="290">
        <v>98</v>
      </c>
      <c r="AY78" s="289">
        <f t="shared" si="80"/>
        <v>98</v>
      </c>
      <c r="AZ78" s="291">
        <f t="shared" si="81"/>
        <v>1</v>
      </c>
      <c r="BA78" s="310"/>
      <c r="BB78" s="386">
        <v>98</v>
      </c>
      <c r="BC78" s="379">
        <f t="shared" si="82"/>
        <v>0</v>
      </c>
      <c r="BD78" s="378">
        <f t="shared" si="83"/>
        <v>0</v>
      </c>
      <c r="BE78" s="379"/>
      <c r="BF78" s="387">
        <f t="shared" si="61"/>
        <v>98</v>
      </c>
    </row>
    <row r="79" spans="1:58" x14ac:dyDescent="0.35">
      <c r="A79" s="267" t="s">
        <v>35</v>
      </c>
      <c r="B79" s="266">
        <v>232410064</v>
      </c>
      <c r="C79" s="261" t="s">
        <v>1518</v>
      </c>
      <c r="D79" s="265" t="s">
        <v>6</v>
      </c>
      <c r="E79" s="215">
        <v>19</v>
      </c>
      <c r="F79" s="217"/>
      <c r="G79" s="217">
        <v>1</v>
      </c>
      <c r="H79" s="217">
        <v>2</v>
      </c>
      <c r="I79" s="326">
        <f t="shared" si="62"/>
        <v>3</v>
      </c>
      <c r="J79" s="326">
        <f t="shared" si="63"/>
        <v>16</v>
      </c>
      <c r="K79" s="327">
        <f t="shared" si="64"/>
        <v>0.84210526315789469</v>
      </c>
      <c r="L79" s="221">
        <v>14</v>
      </c>
      <c r="M79" s="223"/>
      <c r="N79" s="223">
        <v>2</v>
      </c>
      <c r="O79" s="222">
        <v>1</v>
      </c>
      <c r="P79" s="328">
        <f t="shared" si="65"/>
        <v>3</v>
      </c>
      <c r="Q79" s="328">
        <f t="shared" si="66"/>
        <v>11</v>
      </c>
      <c r="R79" s="329">
        <f t="shared" si="67"/>
        <v>0.7857142857142857</v>
      </c>
      <c r="S79" s="225">
        <v>12</v>
      </c>
      <c r="T79" s="226"/>
      <c r="U79" s="227"/>
      <c r="V79" s="226"/>
      <c r="W79" s="330">
        <f t="shared" si="68"/>
        <v>0</v>
      </c>
      <c r="X79" s="330">
        <f t="shared" si="69"/>
        <v>12</v>
      </c>
      <c r="Y79" s="331">
        <f t="shared" si="70"/>
        <v>1</v>
      </c>
      <c r="Z79" s="228">
        <v>21</v>
      </c>
      <c r="AA79" s="255"/>
      <c r="AB79" s="256"/>
      <c r="AC79" s="255"/>
      <c r="AD79" s="280">
        <f t="shared" si="71"/>
        <v>0</v>
      </c>
      <c r="AE79" s="280">
        <f t="shared" si="72"/>
        <v>21</v>
      </c>
      <c r="AF79" s="281">
        <f t="shared" si="73"/>
        <v>1</v>
      </c>
      <c r="AG79" s="229">
        <v>18</v>
      </c>
      <c r="AH79" s="257"/>
      <c r="AI79" s="258"/>
      <c r="AJ79" s="257"/>
      <c r="AK79" s="305">
        <f t="shared" si="74"/>
        <v>0</v>
      </c>
      <c r="AL79" s="305">
        <f t="shared" si="75"/>
        <v>18</v>
      </c>
      <c r="AM79" s="306">
        <f t="shared" si="76"/>
        <v>1</v>
      </c>
      <c r="AN79" s="230">
        <v>14</v>
      </c>
      <c r="AO79" s="259"/>
      <c r="AP79" s="260"/>
      <c r="AQ79" s="259"/>
      <c r="AR79" s="307">
        <f t="shared" si="77"/>
        <v>0</v>
      </c>
      <c r="AS79" s="307">
        <f t="shared" si="78"/>
        <v>14</v>
      </c>
      <c r="AT79" s="308">
        <f t="shared" si="79"/>
        <v>1</v>
      </c>
      <c r="AU79" s="289"/>
      <c r="AV79" s="289"/>
      <c r="AW79" s="289"/>
      <c r="AX79" s="290">
        <v>98</v>
      </c>
      <c r="AY79" s="289">
        <f t="shared" si="80"/>
        <v>98</v>
      </c>
      <c r="AZ79" s="291">
        <f t="shared" si="81"/>
        <v>1</v>
      </c>
      <c r="BA79" s="310">
        <v>1</v>
      </c>
      <c r="BB79" s="386">
        <v>90</v>
      </c>
      <c r="BC79" s="379">
        <f t="shared" si="82"/>
        <v>2</v>
      </c>
      <c r="BD79" s="378">
        <f t="shared" si="83"/>
        <v>0</v>
      </c>
      <c r="BE79" s="379"/>
      <c r="BF79" s="387">
        <f t="shared" si="61"/>
        <v>88</v>
      </c>
    </row>
    <row r="80" spans="1:58" x14ac:dyDescent="0.35">
      <c r="A80" s="267" t="s">
        <v>36</v>
      </c>
      <c r="B80" s="266">
        <v>232410065</v>
      </c>
      <c r="C80" s="261" t="s">
        <v>1519</v>
      </c>
      <c r="D80" s="265" t="s">
        <v>6</v>
      </c>
      <c r="E80" s="215">
        <v>19</v>
      </c>
      <c r="F80" s="217"/>
      <c r="G80" s="217"/>
      <c r="H80" s="217"/>
      <c r="I80" s="326">
        <f t="shared" si="62"/>
        <v>0</v>
      </c>
      <c r="J80" s="326">
        <f t="shared" si="63"/>
        <v>19</v>
      </c>
      <c r="K80" s="327">
        <f t="shared" si="64"/>
        <v>1</v>
      </c>
      <c r="L80" s="221">
        <v>14</v>
      </c>
      <c r="M80" s="223"/>
      <c r="N80" s="223"/>
      <c r="O80" s="222">
        <v>1</v>
      </c>
      <c r="P80" s="328">
        <f t="shared" si="65"/>
        <v>1</v>
      </c>
      <c r="Q80" s="328">
        <f t="shared" si="66"/>
        <v>13</v>
      </c>
      <c r="R80" s="329">
        <f t="shared" si="67"/>
        <v>0.9285714285714286</v>
      </c>
      <c r="S80" s="225">
        <v>12</v>
      </c>
      <c r="T80" s="226"/>
      <c r="U80" s="227"/>
      <c r="V80" s="226"/>
      <c r="W80" s="330">
        <f t="shared" si="68"/>
        <v>0</v>
      </c>
      <c r="X80" s="330">
        <f t="shared" si="69"/>
        <v>12</v>
      </c>
      <c r="Y80" s="331">
        <f t="shared" si="70"/>
        <v>1</v>
      </c>
      <c r="Z80" s="228">
        <v>21</v>
      </c>
      <c r="AA80" s="255"/>
      <c r="AB80" s="256"/>
      <c r="AC80" s="255"/>
      <c r="AD80" s="280">
        <f t="shared" si="71"/>
        <v>0</v>
      </c>
      <c r="AE80" s="280">
        <f t="shared" si="72"/>
        <v>21</v>
      </c>
      <c r="AF80" s="281">
        <f t="shared" si="73"/>
        <v>1</v>
      </c>
      <c r="AG80" s="229">
        <v>18</v>
      </c>
      <c r="AH80" s="257"/>
      <c r="AI80" s="258"/>
      <c r="AJ80" s="257"/>
      <c r="AK80" s="305">
        <f t="shared" si="74"/>
        <v>0</v>
      </c>
      <c r="AL80" s="305">
        <f t="shared" si="75"/>
        <v>18</v>
      </c>
      <c r="AM80" s="306">
        <f t="shared" si="76"/>
        <v>1</v>
      </c>
      <c r="AN80" s="230">
        <v>14</v>
      </c>
      <c r="AO80" s="259"/>
      <c r="AP80" s="260"/>
      <c r="AQ80" s="259"/>
      <c r="AR80" s="307">
        <f t="shared" si="77"/>
        <v>0</v>
      </c>
      <c r="AS80" s="307">
        <f t="shared" si="78"/>
        <v>14</v>
      </c>
      <c r="AT80" s="308">
        <f t="shared" si="79"/>
        <v>1</v>
      </c>
      <c r="AU80" s="289"/>
      <c r="AV80" s="289"/>
      <c r="AW80" s="289"/>
      <c r="AX80" s="290">
        <v>98</v>
      </c>
      <c r="AY80" s="289">
        <f t="shared" si="80"/>
        <v>98</v>
      </c>
      <c r="AZ80" s="291">
        <f t="shared" si="81"/>
        <v>1</v>
      </c>
      <c r="BA80" s="310">
        <v>2</v>
      </c>
      <c r="BB80" s="386">
        <v>94</v>
      </c>
      <c r="BC80" s="379">
        <f t="shared" si="82"/>
        <v>4</v>
      </c>
      <c r="BD80" s="378">
        <f t="shared" si="83"/>
        <v>0</v>
      </c>
      <c r="BE80" s="379"/>
      <c r="BF80" s="387">
        <f t="shared" si="61"/>
        <v>90</v>
      </c>
    </row>
    <row r="81" spans="1:58" x14ac:dyDescent="0.35">
      <c r="A81" s="267" t="s">
        <v>37</v>
      </c>
      <c r="B81" s="266">
        <v>232410066</v>
      </c>
      <c r="C81" s="261" t="s">
        <v>1520</v>
      </c>
      <c r="D81" s="265" t="s">
        <v>6</v>
      </c>
      <c r="E81" s="215">
        <v>19</v>
      </c>
      <c r="F81" s="217"/>
      <c r="G81" s="217"/>
      <c r="H81" s="217">
        <v>1</v>
      </c>
      <c r="I81" s="326">
        <f t="shared" si="62"/>
        <v>1</v>
      </c>
      <c r="J81" s="326">
        <f t="shared" si="63"/>
        <v>18</v>
      </c>
      <c r="K81" s="327">
        <f t="shared" si="64"/>
        <v>0.94736842105263153</v>
      </c>
      <c r="L81" s="221">
        <v>14</v>
      </c>
      <c r="M81" s="223"/>
      <c r="N81" s="223">
        <v>1</v>
      </c>
      <c r="O81" s="222">
        <v>1</v>
      </c>
      <c r="P81" s="328">
        <f t="shared" si="65"/>
        <v>2</v>
      </c>
      <c r="Q81" s="328">
        <f t="shared" si="66"/>
        <v>12</v>
      </c>
      <c r="R81" s="329">
        <f t="shared" si="67"/>
        <v>0.8571428571428571</v>
      </c>
      <c r="S81" s="225">
        <v>12</v>
      </c>
      <c r="T81" s="226"/>
      <c r="U81" s="227">
        <v>1</v>
      </c>
      <c r="V81" s="226"/>
      <c r="W81" s="330">
        <f t="shared" si="68"/>
        <v>1</v>
      </c>
      <c r="X81" s="330">
        <f t="shared" si="69"/>
        <v>11</v>
      </c>
      <c r="Y81" s="331">
        <f t="shared" si="70"/>
        <v>1.0909090909090908</v>
      </c>
      <c r="Z81" s="228">
        <v>21</v>
      </c>
      <c r="AA81" s="255"/>
      <c r="AB81" s="256"/>
      <c r="AC81" s="255"/>
      <c r="AD81" s="280">
        <f t="shared" si="71"/>
        <v>0</v>
      </c>
      <c r="AE81" s="280">
        <f t="shared" si="72"/>
        <v>21</v>
      </c>
      <c r="AF81" s="281">
        <f t="shared" si="73"/>
        <v>1</v>
      </c>
      <c r="AG81" s="229">
        <v>18</v>
      </c>
      <c r="AH81" s="257"/>
      <c r="AI81" s="258"/>
      <c r="AJ81" s="257"/>
      <c r="AK81" s="305">
        <f t="shared" si="74"/>
        <v>0</v>
      </c>
      <c r="AL81" s="305">
        <f t="shared" si="75"/>
        <v>18</v>
      </c>
      <c r="AM81" s="306">
        <f t="shared" si="76"/>
        <v>1</v>
      </c>
      <c r="AN81" s="230">
        <v>14</v>
      </c>
      <c r="AO81" s="259"/>
      <c r="AP81" s="260"/>
      <c r="AQ81" s="259"/>
      <c r="AR81" s="307">
        <f t="shared" si="77"/>
        <v>0</v>
      </c>
      <c r="AS81" s="307">
        <f t="shared" si="78"/>
        <v>14</v>
      </c>
      <c r="AT81" s="308">
        <f t="shared" si="79"/>
        <v>1</v>
      </c>
      <c r="AU81" s="289"/>
      <c r="AV81" s="289"/>
      <c r="AW81" s="289"/>
      <c r="AX81" s="290">
        <v>98</v>
      </c>
      <c r="AY81" s="289">
        <f t="shared" si="80"/>
        <v>98</v>
      </c>
      <c r="AZ81" s="291">
        <f t="shared" si="81"/>
        <v>1</v>
      </c>
      <c r="BA81" s="310"/>
      <c r="BB81" s="386">
        <v>98</v>
      </c>
      <c r="BC81" s="379">
        <f t="shared" si="82"/>
        <v>0</v>
      </c>
      <c r="BD81" s="378">
        <f t="shared" si="83"/>
        <v>0</v>
      </c>
      <c r="BE81" s="379"/>
      <c r="BF81" s="387">
        <f t="shared" si="61"/>
        <v>98</v>
      </c>
    </row>
    <row r="82" spans="1:58" x14ac:dyDescent="0.35">
      <c r="A82" s="267" t="s">
        <v>38</v>
      </c>
      <c r="B82" s="266">
        <v>232410067</v>
      </c>
      <c r="C82" s="261" t="s">
        <v>1521</v>
      </c>
      <c r="D82" s="265" t="s">
        <v>6</v>
      </c>
      <c r="E82" s="215">
        <v>19</v>
      </c>
      <c r="F82" s="217"/>
      <c r="G82" s="217"/>
      <c r="H82" s="217">
        <v>2</v>
      </c>
      <c r="I82" s="326">
        <f t="shared" si="62"/>
        <v>2</v>
      </c>
      <c r="J82" s="326">
        <f t="shared" si="63"/>
        <v>17</v>
      </c>
      <c r="K82" s="327">
        <f t="shared" si="64"/>
        <v>0.89473684210526316</v>
      </c>
      <c r="L82" s="221">
        <v>14</v>
      </c>
      <c r="M82" s="223"/>
      <c r="N82" s="223">
        <v>1</v>
      </c>
      <c r="O82" s="222">
        <v>1</v>
      </c>
      <c r="P82" s="328">
        <f t="shared" si="65"/>
        <v>2</v>
      </c>
      <c r="Q82" s="328">
        <f t="shared" si="66"/>
        <v>12</v>
      </c>
      <c r="R82" s="329">
        <f t="shared" si="67"/>
        <v>0.8571428571428571</v>
      </c>
      <c r="S82" s="225">
        <v>12</v>
      </c>
      <c r="T82" s="226"/>
      <c r="U82" s="227"/>
      <c r="V82" s="226"/>
      <c r="W82" s="330">
        <f t="shared" si="68"/>
        <v>0</v>
      </c>
      <c r="X82" s="330">
        <f t="shared" si="69"/>
        <v>12</v>
      </c>
      <c r="Y82" s="331">
        <f t="shared" si="70"/>
        <v>1</v>
      </c>
      <c r="Z82" s="228">
        <v>21</v>
      </c>
      <c r="AA82" s="255"/>
      <c r="AB82" s="256"/>
      <c r="AC82" s="255"/>
      <c r="AD82" s="280">
        <f t="shared" si="71"/>
        <v>0</v>
      </c>
      <c r="AE82" s="280">
        <f t="shared" si="72"/>
        <v>21</v>
      </c>
      <c r="AF82" s="281">
        <f t="shared" si="73"/>
        <v>1</v>
      </c>
      <c r="AG82" s="229">
        <v>18</v>
      </c>
      <c r="AH82" s="257"/>
      <c r="AI82" s="258"/>
      <c r="AJ82" s="257"/>
      <c r="AK82" s="305">
        <f t="shared" si="74"/>
        <v>0</v>
      </c>
      <c r="AL82" s="305">
        <f t="shared" si="75"/>
        <v>18</v>
      </c>
      <c r="AM82" s="306">
        <f t="shared" si="76"/>
        <v>1</v>
      </c>
      <c r="AN82" s="230">
        <v>14</v>
      </c>
      <c r="AO82" s="259"/>
      <c r="AP82" s="260"/>
      <c r="AQ82" s="259"/>
      <c r="AR82" s="307">
        <f t="shared" si="77"/>
        <v>0</v>
      </c>
      <c r="AS82" s="307">
        <f t="shared" si="78"/>
        <v>14</v>
      </c>
      <c r="AT82" s="308">
        <f t="shared" si="79"/>
        <v>1</v>
      </c>
      <c r="AU82" s="289"/>
      <c r="AV82" s="289"/>
      <c r="AW82" s="289"/>
      <c r="AX82" s="290">
        <v>98</v>
      </c>
      <c r="AY82" s="289">
        <f t="shared" si="80"/>
        <v>98</v>
      </c>
      <c r="AZ82" s="291">
        <f t="shared" si="81"/>
        <v>1</v>
      </c>
      <c r="BA82" s="310">
        <v>7</v>
      </c>
      <c r="BB82" s="386">
        <v>82</v>
      </c>
      <c r="BC82" s="379">
        <f t="shared" si="82"/>
        <v>14</v>
      </c>
      <c r="BD82" s="378">
        <f t="shared" si="83"/>
        <v>0</v>
      </c>
      <c r="BE82" s="379"/>
      <c r="BF82" s="387">
        <f t="shared" si="61"/>
        <v>68</v>
      </c>
    </row>
    <row r="83" spans="1:58" x14ac:dyDescent="0.35">
      <c r="A83" s="267" t="s">
        <v>39</v>
      </c>
      <c r="B83" s="266">
        <v>232410070</v>
      </c>
      <c r="C83" s="261" t="s">
        <v>1522</v>
      </c>
      <c r="D83" s="265" t="s">
        <v>6</v>
      </c>
      <c r="E83" s="215">
        <v>19</v>
      </c>
      <c r="F83" s="217"/>
      <c r="G83" s="217">
        <v>1</v>
      </c>
      <c r="H83" s="217">
        <v>1</v>
      </c>
      <c r="I83" s="326">
        <f t="shared" si="62"/>
        <v>2</v>
      </c>
      <c r="J83" s="326">
        <f t="shared" si="63"/>
        <v>17</v>
      </c>
      <c r="K83" s="327">
        <f t="shared" si="64"/>
        <v>0.89473684210526316</v>
      </c>
      <c r="L83" s="221">
        <v>14</v>
      </c>
      <c r="M83" s="223"/>
      <c r="N83" s="223">
        <v>2</v>
      </c>
      <c r="O83" s="222">
        <v>1</v>
      </c>
      <c r="P83" s="328">
        <f t="shared" si="65"/>
        <v>3</v>
      </c>
      <c r="Q83" s="328">
        <f t="shared" si="66"/>
        <v>11</v>
      </c>
      <c r="R83" s="329">
        <f t="shared" si="67"/>
        <v>0.7857142857142857</v>
      </c>
      <c r="S83" s="225">
        <v>12</v>
      </c>
      <c r="T83" s="226"/>
      <c r="U83" s="227"/>
      <c r="V83" s="226"/>
      <c r="W83" s="330">
        <f t="shared" si="68"/>
        <v>0</v>
      </c>
      <c r="X83" s="330">
        <f t="shared" si="69"/>
        <v>12</v>
      </c>
      <c r="Y83" s="331">
        <f t="shared" si="70"/>
        <v>1</v>
      </c>
      <c r="Z83" s="228">
        <v>21</v>
      </c>
      <c r="AA83" s="255"/>
      <c r="AB83" s="256"/>
      <c r="AC83" s="255"/>
      <c r="AD83" s="280">
        <f t="shared" si="71"/>
        <v>0</v>
      </c>
      <c r="AE83" s="280">
        <f t="shared" si="72"/>
        <v>21</v>
      </c>
      <c r="AF83" s="281">
        <f t="shared" si="73"/>
        <v>1</v>
      </c>
      <c r="AG83" s="229">
        <v>18</v>
      </c>
      <c r="AH83" s="257"/>
      <c r="AI83" s="258"/>
      <c r="AJ83" s="257"/>
      <c r="AK83" s="305">
        <f t="shared" si="74"/>
        <v>0</v>
      </c>
      <c r="AL83" s="305">
        <f t="shared" si="75"/>
        <v>18</v>
      </c>
      <c r="AM83" s="306">
        <f t="shared" si="76"/>
        <v>1</v>
      </c>
      <c r="AN83" s="230">
        <v>14</v>
      </c>
      <c r="AO83" s="259"/>
      <c r="AP83" s="260"/>
      <c r="AQ83" s="259"/>
      <c r="AR83" s="307">
        <f t="shared" si="77"/>
        <v>0</v>
      </c>
      <c r="AS83" s="307">
        <f t="shared" si="78"/>
        <v>14</v>
      </c>
      <c r="AT83" s="308">
        <f t="shared" si="79"/>
        <v>1</v>
      </c>
      <c r="AU83" s="289"/>
      <c r="AV83" s="289"/>
      <c r="AW83" s="289"/>
      <c r="AX83" s="290">
        <v>98</v>
      </c>
      <c r="AY83" s="289">
        <f t="shared" si="80"/>
        <v>98</v>
      </c>
      <c r="AZ83" s="291">
        <f t="shared" si="81"/>
        <v>1</v>
      </c>
      <c r="BA83" s="310"/>
      <c r="BB83" s="386">
        <v>96</v>
      </c>
      <c r="BC83" s="379">
        <f t="shared" si="82"/>
        <v>0</v>
      </c>
      <c r="BD83" s="378">
        <f t="shared" si="83"/>
        <v>0</v>
      </c>
      <c r="BE83" s="379"/>
      <c r="BF83" s="387">
        <f t="shared" si="61"/>
        <v>96</v>
      </c>
    </row>
    <row r="84" spans="1:58" x14ac:dyDescent="0.35">
      <c r="A84" s="267" t="s">
        <v>40</v>
      </c>
      <c r="B84" s="266">
        <v>232410068</v>
      </c>
      <c r="C84" s="261" t="s">
        <v>1523</v>
      </c>
      <c r="D84" s="265" t="s">
        <v>6</v>
      </c>
      <c r="E84" s="215">
        <v>19</v>
      </c>
      <c r="F84" s="217"/>
      <c r="G84" s="217">
        <v>1</v>
      </c>
      <c r="H84" s="217"/>
      <c r="I84" s="326">
        <f t="shared" si="62"/>
        <v>1</v>
      </c>
      <c r="J84" s="326">
        <f t="shared" si="63"/>
        <v>18</v>
      </c>
      <c r="K84" s="327">
        <f t="shared" si="64"/>
        <v>0.94736842105263153</v>
      </c>
      <c r="L84" s="221">
        <v>14</v>
      </c>
      <c r="M84" s="223"/>
      <c r="N84" s="223">
        <v>2</v>
      </c>
      <c r="O84" s="222">
        <v>1</v>
      </c>
      <c r="P84" s="328">
        <f t="shared" si="65"/>
        <v>3</v>
      </c>
      <c r="Q84" s="328">
        <f t="shared" si="66"/>
        <v>11</v>
      </c>
      <c r="R84" s="329">
        <f t="shared" si="67"/>
        <v>0.7857142857142857</v>
      </c>
      <c r="S84" s="225">
        <v>12</v>
      </c>
      <c r="T84" s="226"/>
      <c r="U84" s="227"/>
      <c r="V84" s="226"/>
      <c r="W84" s="330">
        <f t="shared" si="68"/>
        <v>0</v>
      </c>
      <c r="X84" s="330">
        <f t="shared" si="69"/>
        <v>12</v>
      </c>
      <c r="Y84" s="331">
        <f t="shared" si="70"/>
        <v>1</v>
      </c>
      <c r="Z84" s="228">
        <v>21</v>
      </c>
      <c r="AA84" s="255"/>
      <c r="AB84" s="256"/>
      <c r="AC84" s="255"/>
      <c r="AD84" s="280">
        <f t="shared" si="71"/>
        <v>0</v>
      </c>
      <c r="AE84" s="280">
        <f t="shared" si="72"/>
        <v>21</v>
      </c>
      <c r="AF84" s="281">
        <f t="shared" si="73"/>
        <v>1</v>
      </c>
      <c r="AG84" s="229">
        <v>18</v>
      </c>
      <c r="AH84" s="257"/>
      <c r="AI84" s="258"/>
      <c r="AJ84" s="257"/>
      <c r="AK84" s="305">
        <f t="shared" si="74"/>
        <v>0</v>
      </c>
      <c r="AL84" s="305">
        <f t="shared" si="75"/>
        <v>18</v>
      </c>
      <c r="AM84" s="306">
        <f t="shared" si="76"/>
        <v>1</v>
      </c>
      <c r="AN84" s="230">
        <v>14</v>
      </c>
      <c r="AO84" s="259"/>
      <c r="AP84" s="260"/>
      <c r="AQ84" s="259"/>
      <c r="AR84" s="307">
        <f t="shared" si="77"/>
        <v>0</v>
      </c>
      <c r="AS84" s="307">
        <f t="shared" si="78"/>
        <v>14</v>
      </c>
      <c r="AT84" s="308">
        <f t="shared" si="79"/>
        <v>1</v>
      </c>
      <c r="AU84" s="289"/>
      <c r="AV84" s="289"/>
      <c r="AW84" s="289"/>
      <c r="AX84" s="290">
        <v>98</v>
      </c>
      <c r="AY84" s="289">
        <f t="shared" si="80"/>
        <v>98</v>
      </c>
      <c r="AZ84" s="291">
        <f t="shared" si="81"/>
        <v>1</v>
      </c>
      <c r="BA84" s="310">
        <v>2</v>
      </c>
      <c r="BB84" s="386">
        <v>80</v>
      </c>
      <c r="BC84" s="379">
        <f t="shared" si="82"/>
        <v>4</v>
      </c>
      <c r="BD84" s="378">
        <f t="shared" si="83"/>
        <v>0</v>
      </c>
      <c r="BE84" s="379"/>
      <c r="BF84" s="387">
        <f t="shared" si="61"/>
        <v>76</v>
      </c>
    </row>
    <row r="85" spans="1:58" x14ac:dyDescent="0.35">
      <c r="A85" s="267" t="s">
        <v>41</v>
      </c>
      <c r="B85" s="266">
        <v>232410069</v>
      </c>
      <c r="C85" s="261" t="s">
        <v>1524</v>
      </c>
      <c r="D85" s="265" t="s">
        <v>6</v>
      </c>
      <c r="E85" s="215">
        <v>19</v>
      </c>
      <c r="F85" s="217"/>
      <c r="G85" s="217">
        <v>1</v>
      </c>
      <c r="H85" s="218"/>
      <c r="I85" s="326">
        <f t="shared" si="62"/>
        <v>1</v>
      </c>
      <c r="J85" s="326">
        <f t="shared" si="63"/>
        <v>18</v>
      </c>
      <c r="K85" s="327">
        <f t="shared" si="64"/>
        <v>0.94736842105263153</v>
      </c>
      <c r="L85" s="221">
        <v>14</v>
      </c>
      <c r="M85" s="223"/>
      <c r="N85" s="223"/>
      <c r="O85" s="223">
        <v>1</v>
      </c>
      <c r="P85" s="328">
        <f t="shared" si="65"/>
        <v>1</v>
      </c>
      <c r="Q85" s="328">
        <f t="shared" si="66"/>
        <v>13</v>
      </c>
      <c r="R85" s="329">
        <f t="shared" si="67"/>
        <v>0.9285714285714286</v>
      </c>
      <c r="S85" s="225">
        <v>12</v>
      </c>
      <c r="T85" s="226"/>
      <c r="U85" s="226"/>
      <c r="V85" s="227"/>
      <c r="W85" s="330">
        <f t="shared" si="68"/>
        <v>0</v>
      </c>
      <c r="X85" s="330">
        <f t="shared" si="69"/>
        <v>12</v>
      </c>
      <c r="Y85" s="331">
        <f t="shared" si="70"/>
        <v>1</v>
      </c>
      <c r="Z85" s="228">
        <v>21</v>
      </c>
      <c r="AA85" s="255"/>
      <c r="AB85" s="255"/>
      <c r="AC85" s="256"/>
      <c r="AD85" s="280">
        <f t="shared" si="71"/>
        <v>0</v>
      </c>
      <c r="AE85" s="280">
        <f t="shared" si="72"/>
        <v>21</v>
      </c>
      <c r="AF85" s="281">
        <f t="shared" si="73"/>
        <v>1</v>
      </c>
      <c r="AG85" s="229">
        <v>18</v>
      </c>
      <c r="AH85" s="257"/>
      <c r="AI85" s="257"/>
      <c r="AJ85" s="258"/>
      <c r="AK85" s="305">
        <f t="shared" si="74"/>
        <v>0</v>
      </c>
      <c r="AL85" s="305">
        <f t="shared" si="75"/>
        <v>18</v>
      </c>
      <c r="AM85" s="306">
        <f t="shared" si="76"/>
        <v>1</v>
      </c>
      <c r="AN85" s="230">
        <v>14</v>
      </c>
      <c r="AO85" s="259"/>
      <c r="AP85" s="259"/>
      <c r="AQ85" s="260"/>
      <c r="AR85" s="307">
        <f t="shared" si="77"/>
        <v>0</v>
      </c>
      <c r="AS85" s="307">
        <f t="shared" si="78"/>
        <v>14</v>
      </c>
      <c r="AT85" s="308">
        <f t="shared" si="79"/>
        <v>1</v>
      </c>
      <c r="AU85" s="289"/>
      <c r="AV85" s="289"/>
      <c r="AW85" s="289"/>
      <c r="AX85" s="290">
        <v>98</v>
      </c>
      <c r="AY85" s="289">
        <f t="shared" si="80"/>
        <v>98</v>
      </c>
      <c r="AZ85" s="291">
        <f t="shared" si="81"/>
        <v>1</v>
      </c>
      <c r="BA85" s="310"/>
      <c r="BB85" s="386">
        <v>100</v>
      </c>
      <c r="BC85" s="379">
        <f t="shared" si="82"/>
        <v>0</v>
      </c>
      <c r="BD85" s="378">
        <f t="shared" si="83"/>
        <v>0</v>
      </c>
      <c r="BE85" s="379"/>
      <c r="BF85" s="387">
        <f t="shared" si="61"/>
        <v>100</v>
      </c>
    </row>
    <row r="86" spans="1:58" x14ac:dyDescent="0.35">
      <c r="A86" s="267" t="s">
        <v>42</v>
      </c>
      <c r="B86" s="266">
        <v>232410063</v>
      </c>
      <c r="C86" s="261" t="s">
        <v>1525</v>
      </c>
      <c r="D86" s="265" t="s">
        <v>6</v>
      </c>
      <c r="E86" s="215">
        <v>19</v>
      </c>
      <c r="F86" s="217"/>
      <c r="G86" s="217"/>
      <c r="H86" s="217">
        <v>1</v>
      </c>
      <c r="I86" s="326">
        <f t="shared" si="62"/>
        <v>1</v>
      </c>
      <c r="J86" s="326">
        <f t="shared" si="63"/>
        <v>18</v>
      </c>
      <c r="K86" s="327">
        <f t="shared" si="64"/>
        <v>0.94736842105263153</v>
      </c>
      <c r="L86" s="221">
        <v>14</v>
      </c>
      <c r="M86" s="222"/>
      <c r="N86" s="223"/>
      <c r="O86" s="222">
        <v>3</v>
      </c>
      <c r="P86" s="328">
        <f t="shared" si="65"/>
        <v>3</v>
      </c>
      <c r="Q86" s="328">
        <f t="shared" si="66"/>
        <v>11</v>
      </c>
      <c r="R86" s="329">
        <f t="shared" si="67"/>
        <v>0.7857142857142857</v>
      </c>
      <c r="S86" s="225">
        <v>12</v>
      </c>
      <c r="T86" s="226">
        <v>1</v>
      </c>
      <c r="U86" s="226"/>
      <c r="V86" s="226"/>
      <c r="W86" s="330">
        <f t="shared" si="68"/>
        <v>1</v>
      </c>
      <c r="X86" s="330">
        <f t="shared" si="69"/>
        <v>11</v>
      </c>
      <c r="Y86" s="331">
        <f t="shared" si="70"/>
        <v>1.0909090909090908</v>
      </c>
      <c r="Z86" s="228">
        <v>21</v>
      </c>
      <c r="AA86" s="255"/>
      <c r="AB86" s="255"/>
      <c r="AC86" s="255"/>
      <c r="AD86" s="280">
        <f t="shared" si="71"/>
        <v>0</v>
      </c>
      <c r="AE86" s="280">
        <f t="shared" si="72"/>
        <v>21</v>
      </c>
      <c r="AF86" s="281">
        <f t="shared" si="73"/>
        <v>1</v>
      </c>
      <c r="AG86" s="229">
        <v>18</v>
      </c>
      <c r="AH86" s="257"/>
      <c r="AI86" s="257"/>
      <c r="AJ86" s="257"/>
      <c r="AK86" s="305">
        <f t="shared" si="74"/>
        <v>0</v>
      </c>
      <c r="AL86" s="305">
        <f t="shared" si="75"/>
        <v>18</v>
      </c>
      <c r="AM86" s="306">
        <f t="shared" si="76"/>
        <v>1</v>
      </c>
      <c r="AN86" s="230">
        <v>14</v>
      </c>
      <c r="AO86" s="259"/>
      <c r="AP86" s="259"/>
      <c r="AQ86" s="259"/>
      <c r="AR86" s="307">
        <f t="shared" si="77"/>
        <v>0</v>
      </c>
      <c r="AS86" s="307">
        <f t="shared" si="78"/>
        <v>14</v>
      </c>
      <c r="AT86" s="308">
        <f t="shared" si="79"/>
        <v>1</v>
      </c>
      <c r="AU86" s="289"/>
      <c r="AV86" s="289"/>
      <c r="AW86" s="289"/>
      <c r="AX86" s="290">
        <v>98</v>
      </c>
      <c r="AY86" s="289">
        <f t="shared" si="80"/>
        <v>98</v>
      </c>
      <c r="AZ86" s="291">
        <f t="shared" si="81"/>
        <v>1</v>
      </c>
      <c r="BA86" s="310"/>
      <c r="BB86" s="386">
        <v>100</v>
      </c>
      <c r="BC86" s="379">
        <f t="shared" si="82"/>
        <v>0</v>
      </c>
      <c r="BD86" s="378">
        <f t="shared" si="83"/>
        <v>0</v>
      </c>
      <c r="BE86" s="379"/>
      <c r="BF86" s="387">
        <f t="shared" si="61"/>
        <v>100</v>
      </c>
    </row>
    <row r="87" spans="1:58" x14ac:dyDescent="0.35">
      <c r="A87" s="267" t="s">
        <v>43</v>
      </c>
      <c r="B87" s="266">
        <v>242511171</v>
      </c>
      <c r="C87" s="261" t="s">
        <v>1526</v>
      </c>
      <c r="D87" s="265" t="s">
        <v>6</v>
      </c>
      <c r="E87" s="215">
        <v>19</v>
      </c>
      <c r="F87" s="217"/>
      <c r="G87" s="217">
        <v>1</v>
      </c>
      <c r="H87" s="217">
        <v>1</v>
      </c>
      <c r="I87" s="326">
        <f t="shared" si="62"/>
        <v>2</v>
      </c>
      <c r="J87" s="326">
        <f t="shared" si="63"/>
        <v>17</v>
      </c>
      <c r="K87" s="327">
        <f t="shared" si="64"/>
        <v>0.89473684210526316</v>
      </c>
      <c r="L87" s="221">
        <v>14</v>
      </c>
      <c r="M87" s="222"/>
      <c r="N87" s="223">
        <v>2</v>
      </c>
      <c r="O87" s="222">
        <v>1</v>
      </c>
      <c r="P87" s="328">
        <f t="shared" si="65"/>
        <v>3</v>
      </c>
      <c r="Q87" s="328">
        <f t="shared" si="66"/>
        <v>11</v>
      </c>
      <c r="R87" s="329">
        <f t="shared" si="67"/>
        <v>0.7857142857142857</v>
      </c>
      <c r="S87" s="225">
        <v>12</v>
      </c>
      <c r="T87" s="226"/>
      <c r="U87" s="226"/>
      <c r="V87" s="226"/>
      <c r="W87" s="330">
        <f t="shared" si="68"/>
        <v>0</v>
      </c>
      <c r="X87" s="330">
        <f t="shared" si="69"/>
        <v>12</v>
      </c>
      <c r="Y87" s="331">
        <f t="shared" si="70"/>
        <v>1</v>
      </c>
      <c r="Z87" s="228">
        <v>21</v>
      </c>
      <c r="AA87" s="255"/>
      <c r="AB87" s="255"/>
      <c r="AC87" s="255"/>
      <c r="AD87" s="280">
        <f t="shared" si="71"/>
        <v>0</v>
      </c>
      <c r="AE87" s="280">
        <f t="shared" si="72"/>
        <v>21</v>
      </c>
      <c r="AF87" s="281">
        <f t="shared" si="73"/>
        <v>1</v>
      </c>
      <c r="AG87" s="229">
        <v>18</v>
      </c>
      <c r="AH87" s="257"/>
      <c r="AI87" s="257"/>
      <c r="AJ87" s="257"/>
      <c r="AK87" s="305">
        <f t="shared" si="74"/>
        <v>0</v>
      </c>
      <c r="AL87" s="305">
        <f t="shared" si="75"/>
        <v>18</v>
      </c>
      <c r="AM87" s="306">
        <f t="shared" si="76"/>
        <v>1</v>
      </c>
      <c r="AN87" s="230">
        <v>14</v>
      </c>
      <c r="AO87" s="259"/>
      <c r="AP87" s="259"/>
      <c r="AQ87" s="259"/>
      <c r="AR87" s="307">
        <f t="shared" si="77"/>
        <v>0</v>
      </c>
      <c r="AS87" s="307">
        <f t="shared" si="78"/>
        <v>14</v>
      </c>
      <c r="AT87" s="308">
        <f t="shared" si="79"/>
        <v>1</v>
      </c>
      <c r="AU87" s="289"/>
      <c r="AV87" s="289"/>
      <c r="AW87" s="289"/>
      <c r="AX87" s="290">
        <v>98</v>
      </c>
      <c r="AY87" s="289">
        <f t="shared" si="80"/>
        <v>98</v>
      </c>
      <c r="AZ87" s="291">
        <f t="shared" si="81"/>
        <v>1</v>
      </c>
      <c r="BA87" s="310">
        <v>11</v>
      </c>
      <c r="BB87" s="386">
        <v>88</v>
      </c>
      <c r="BC87" s="379">
        <f t="shared" si="82"/>
        <v>22</v>
      </c>
      <c r="BD87" s="378">
        <f t="shared" si="83"/>
        <v>0</v>
      </c>
      <c r="BE87" s="379"/>
      <c r="BF87" s="387">
        <f t="shared" si="61"/>
        <v>66</v>
      </c>
    </row>
    <row r="88" spans="1:58" x14ac:dyDescent="0.35">
      <c r="A88" s="267" t="s">
        <v>44</v>
      </c>
      <c r="B88" s="266">
        <v>232410071</v>
      </c>
      <c r="C88" s="261" t="s">
        <v>1527</v>
      </c>
      <c r="D88" s="265" t="s">
        <v>6</v>
      </c>
      <c r="E88" s="215">
        <v>19</v>
      </c>
      <c r="F88" s="217"/>
      <c r="G88" s="217"/>
      <c r="H88" s="217"/>
      <c r="I88" s="326">
        <f t="shared" si="62"/>
        <v>0</v>
      </c>
      <c r="J88" s="326">
        <f t="shared" si="63"/>
        <v>19</v>
      </c>
      <c r="K88" s="327">
        <f t="shared" si="64"/>
        <v>1</v>
      </c>
      <c r="L88" s="221">
        <v>14</v>
      </c>
      <c r="M88" s="222"/>
      <c r="N88" s="223"/>
      <c r="O88" s="222">
        <v>2</v>
      </c>
      <c r="P88" s="328">
        <f t="shared" si="65"/>
        <v>2</v>
      </c>
      <c r="Q88" s="328">
        <f t="shared" si="66"/>
        <v>12</v>
      </c>
      <c r="R88" s="329">
        <f t="shared" si="67"/>
        <v>0.8571428571428571</v>
      </c>
      <c r="S88" s="225">
        <v>12</v>
      </c>
      <c r="T88" s="226"/>
      <c r="U88" s="227"/>
      <c r="V88" s="226"/>
      <c r="W88" s="330">
        <f t="shared" si="68"/>
        <v>0</v>
      </c>
      <c r="X88" s="330">
        <f t="shared" si="69"/>
        <v>12</v>
      </c>
      <c r="Y88" s="331">
        <f t="shared" si="70"/>
        <v>1</v>
      </c>
      <c r="Z88" s="228">
        <v>21</v>
      </c>
      <c r="AA88" s="255"/>
      <c r="AB88" s="256"/>
      <c r="AC88" s="255"/>
      <c r="AD88" s="280">
        <f t="shared" si="71"/>
        <v>0</v>
      </c>
      <c r="AE88" s="280">
        <f t="shared" si="72"/>
        <v>21</v>
      </c>
      <c r="AF88" s="281">
        <f t="shared" si="73"/>
        <v>1</v>
      </c>
      <c r="AG88" s="229">
        <v>18</v>
      </c>
      <c r="AH88" s="257"/>
      <c r="AI88" s="258"/>
      <c r="AJ88" s="257"/>
      <c r="AK88" s="305">
        <f t="shared" si="74"/>
        <v>0</v>
      </c>
      <c r="AL88" s="305">
        <f t="shared" si="75"/>
        <v>18</v>
      </c>
      <c r="AM88" s="306">
        <f t="shared" si="76"/>
        <v>1</v>
      </c>
      <c r="AN88" s="230">
        <v>14</v>
      </c>
      <c r="AO88" s="259"/>
      <c r="AP88" s="260"/>
      <c r="AQ88" s="259"/>
      <c r="AR88" s="307">
        <f t="shared" si="77"/>
        <v>0</v>
      </c>
      <c r="AS88" s="307">
        <f t="shared" si="78"/>
        <v>14</v>
      </c>
      <c r="AT88" s="308">
        <f t="shared" si="79"/>
        <v>1</v>
      </c>
      <c r="AU88" s="289"/>
      <c r="AV88" s="289"/>
      <c r="AW88" s="289"/>
      <c r="AX88" s="290">
        <v>98</v>
      </c>
      <c r="AY88" s="289">
        <f t="shared" si="80"/>
        <v>98</v>
      </c>
      <c r="AZ88" s="291">
        <f t="shared" si="81"/>
        <v>1</v>
      </c>
      <c r="BA88" s="310"/>
      <c r="BB88" s="386">
        <v>96</v>
      </c>
      <c r="BC88" s="379">
        <f t="shared" si="82"/>
        <v>0</v>
      </c>
      <c r="BD88" s="378">
        <f>AW88*2</f>
        <v>0</v>
      </c>
      <c r="BE88" s="379"/>
      <c r="BF88" s="387">
        <f t="shared" si="61"/>
        <v>96</v>
      </c>
    </row>
    <row r="89" spans="1:58" x14ac:dyDescent="0.35">
      <c r="A89" s="267" t="s">
        <v>45</v>
      </c>
      <c r="B89" s="266">
        <v>252612237</v>
      </c>
      <c r="C89" s="261" t="s">
        <v>1528</v>
      </c>
      <c r="D89" s="265" t="s">
        <v>6</v>
      </c>
      <c r="E89" s="215">
        <v>19</v>
      </c>
      <c r="F89" s="217"/>
      <c r="G89" s="217"/>
      <c r="H89" s="217">
        <v>1</v>
      </c>
      <c r="I89" s="326">
        <f t="shared" si="62"/>
        <v>1</v>
      </c>
      <c r="J89" s="326">
        <f t="shared" si="63"/>
        <v>18</v>
      </c>
      <c r="K89" s="327">
        <f t="shared" si="64"/>
        <v>0.94736842105263153</v>
      </c>
      <c r="L89" s="221">
        <v>14</v>
      </c>
      <c r="M89" s="222"/>
      <c r="N89" s="223">
        <v>2</v>
      </c>
      <c r="O89" s="222">
        <v>2</v>
      </c>
      <c r="P89" s="328">
        <f t="shared" si="65"/>
        <v>4</v>
      </c>
      <c r="Q89" s="328">
        <f t="shared" si="66"/>
        <v>10</v>
      </c>
      <c r="R89" s="329">
        <f t="shared" si="67"/>
        <v>0.7142857142857143</v>
      </c>
      <c r="S89" s="225">
        <v>12</v>
      </c>
      <c r="T89" s="226"/>
      <c r="U89" s="227"/>
      <c r="V89" s="226"/>
      <c r="W89" s="330">
        <f t="shared" si="68"/>
        <v>0</v>
      </c>
      <c r="X89" s="330">
        <f t="shared" si="69"/>
        <v>12</v>
      </c>
      <c r="Y89" s="331">
        <f t="shared" si="70"/>
        <v>1</v>
      </c>
      <c r="Z89" s="228">
        <v>21</v>
      </c>
      <c r="AA89" s="255"/>
      <c r="AB89" s="256"/>
      <c r="AC89" s="255"/>
      <c r="AD89" s="280">
        <f t="shared" si="71"/>
        <v>0</v>
      </c>
      <c r="AE89" s="280">
        <f t="shared" si="72"/>
        <v>21</v>
      </c>
      <c r="AF89" s="281">
        <f t="shared" si="73"/>
        <v>1</v>
      </c>
      <c r="AG89" s="229">
        <v>18</v>
      </c>
      <c r="AH89" s="257"/>
      <c r="AI89" s="258"/>
      <c r="AJ89" s="257"/>
      <c r="AK89" s="305">
        <f t="shared" si="74"/>
        <v>0</v>
      </c>
      <c r="AL89" s="305">
        <f t="shared" si="75"/>
        <v>18</v>
      </c>
      <c r="AM89" s="306">
        <f t="shared" si="76"/>
        <v>1</v>
      </c>
      <c r="AN89" s="230">
        <v>14</v>
      </c>
      <c r="AO89" s="259"/>
      <c r="AP89" s="260"/>
      <c r="AQ89" s="259"/>
      <c r="AR89" s="307">
        <f t="shared" si="77"/>
        <v>0</v>
      </c>
      <c r="AS89" s="307">
        <f t="shared" si="78"/>
        <v>14</v>
      </c>
      <c r="AT89" s="308">
        <f t="shared" si="79"/>
        <v>1</v>
      </c>
      <c r="AU89" s="289"/>
      <c r="AV89" s="289"/>
      <c r="AW89" s="289"/>
      <c r="AX89" s="290">
        <v>98</v>
      </c>
      <c r="AY89" s="289">
        <f t="shared" si="80"/>
        <v>98</v>
      </c>
      <c r="AZ89" s="291">
        <f>AY89/AX89</f>
        <v>1</v>
      </c>
      <c r="BA89" s="310"/>
      <c r="BB89" s="386">
        <v>76</v>
      </c>
      <c r="BC89" s="379">
        <f t="shared" si="82"/>
        <v>0</v>
      </c>
      <c r="BD89" s="378">
        <f t="shared" si="83"/>
        <v>0</v>
      </c>
      <c r="BE89" s="379"/>
      <c r="BF89" s="387">
        <f t="shared" si="61"/>
        <v>76</v>
      </c>
    </row>
    <row r="90" spans="1:58" x14ac:dyDescent="0.35">
      <c r="A90" s="267" t="s">
        <v>46</v>
      </c>
      <c r="B90" s="268">
        <v>232410072</v>
      </c>
      <c r="C90" s="261" t="s">
        <v>1529</v>
      </c>
      <c r="D90" s="265" t="s">
        <v>6</v>
      </c>
      <c r="E90" s="215">
        <v>19</v>
      </c>
      <c r="F90" s="217"/>
      <c r="G90" s="217">
        <v>1</v>
      </c>
      <c r="H90" s="217"/>
      <c r="I90" s="326">
        <f t="shared" si="62"/>
        <v>1</v>
      </c>
      <c r="J90" s="326">
        <f t="shared" si="63"/>
        <v>18</v>
      </c>
      <c r="K90" s="327">
        <f t="shared" si="64"/>
        <v>0.94736842105263153</v>
      </c>
      <c r="L90" s="221">
        <v>14</v>
      </c>
      <c r="M90" s="222">
        <v>1</v>
      </c>
      <c r="N90" s="223">
        <v>1</v>
      </c>
      <c r="O90" s="223">
        <v>1</v>
      </c>
      <c r="P90" s="328">
        <f t="shared" si="65"/>
        <v>3</v>
      </c>
      <c r="Q90" s="328">
        <f t="shared" si="66"/>
        <v>11</v>
      </c>
      <c r="R90" s="329">
        <f t="shared" si="67"/>
        <v>0.7857142857142857</v>
      </c>
      <c r="S90" s="225">
        <v>12</v>
      </c>
      <c r="T90" s="226"/>
      <c r="U90" s="227"/>
      <c r="V90" s="227"/>
      <c r="W90" s="330">
        <f t="shared" si="68"/>
        <v>0</v>
      </c>
      <c r="X90" s="330">
        <f t="shared" si="69"/>
        <v>12</v>
      </c>
      <c r="Y90" s="331">
        <f t="shared" si="70"/>
        <v>1</v>
      </c>
      <c r="Z90" s="228">
        <v>21</v>
      </c>
      <c r="AA90" s="255"/>
      <c r="AB90" s="256"/>
      <c r="AC90" s="256"/>
      <c r="AD90" s="280">
        <f t="shared" si="71"/>
        <v>0</v>
      </c>
      <c r="AE90" s="280">
        <f t="shared" si="72"/>
        <v>21</v>
      </c>
      <c r="AF90" s="281">
        <f t="shared" si="73"/>
        <v>1</v>
      </c>
      <c r="AG90" s="229">
        <v>18</v>
      </c>
      <c r="AH90" s="257"/>
      <c r="AI90" s="258"/>
      <c r="AJ90" s="258"/>
      <c r="AK90" s="305">
        <f t="shared" si="74"/>
        <v>0</v>
      </c>
      <c r="AL90" s="305">
        <f t="shared" si="75"/>
        <v>18</v>
      </c>
      <c r="AM90" s="306">
        <f t="shared" si="76"/>
        <v>1</v>
      </c>
      <c r="AN90" s="230">
        <v>14</v>
      </c>
      <c r="AO90" s="259"/>
      <c r="AP90" s="260"/>
      <c r="AQ90" s="260"/>
      <c r="AR90" s="307">
        <f t="shared" si="77"/>
        <v>0</v>
      </c>
      <c r="AS90" s="307">
        <f t="shared" si="78"/>
        <v>14</v>
      </c>
      <c r="AT90" s="308">
        <f t="shared" si="79"/>
        <v>1</v>
      </c>
      <c r="AU90" s="289"/>
      <c r="AV90" s="289"/>
      <c r="AW90" s="289"/>
      <c r="AX90" s="290">
        <v>98</v>
      </c>
      <c r="AY90" s="289">
        <f t="shared" si="80"/>
        <v>98</v>
      </c>
      <c r="AZ90" s="291">
        <f t="shared" si="81"/>
        <v>1</v>
      </c>
      <c r="BA90" s="310"/>
      <c r="BB90" s="386">
        <v>100</v>
      </c>
      <c r="BC90" s="379">
        <f t="shared" si="82"/>
        <v>0</v>
      </c>
      <c r="BD90" s="378">
        <f t="shared" si="83"/>
        <v>0</v>
      </c>
      <c r="BE90" s="379"/>
      <c r="BF90" s="387">
        <f t="shared" si="61"/>
        <v>100</v>
      </c>
    </row>
    <row r="91" spans="1:58" x14ac:dyDescent="0.35">
      <c r="A91" s="267" t="s">
        <v>47</v>
      </c>
      <c r="B91" s="266">
        <v>232410073</v>
      </c>
      <c r="C91" s="261" t="s">
        <v>1530</v>
      </c>
      <c r="D91" s="265" t="s">
        <v>6</v>
      </c>
      <c r="E91" s="215">
        <v>19</v>
      </c>
      <c r="F91" s="217"/>
      <c r="G91" s="217"/>
      <c r="H91" s="217">
        <v>1</v>
      </c>
      <c r="I91" s="326">
        <f t="shared" si="62"/>
        <v>1</v>
      </c>
      <c r="J91" s="326">
        <f t="shared" si="63"/>
        <v>18</v>
      </c>
      <c r="K91" s="327">
        <f t="shared" si="64"/>
        <v>0.94736842105263153</v>
      </c>
      <c r="L91" s="221">
        <v>14</v>
      </c>
      <c r="M91" s="222"/>
      <c r="N91" s="223"/>
      <c r="O91" s="223">
        <v>1</v>
      </c>
      <c r="P91" s="328">
        <f t="shared" si="65"/>
        <v>1</v>
      </c>
      <c r="Q91" s="328">
        <f t="shared" si="66"/>
        <v>13</v>
      </c>
      <c r="R91" s="329">
        <f t="shared" si="67"/>
        <v>0.9285714285714286</v>
      </c>
      <c r="S91" s="225">
        <v>12</v>
      </c>
      <c r="T91" s="226"/>
      <c r="U91" s="227"/>
      <c r="V91" s="227"/>
      <c r="W91" s="330">
        <f t="shared" si="68"/>
        <v>0</v>
      </c>
      <c r="X91" s="330">
        <f t="shared" si="69"/>
        <v>12</v>
      </c>
      <c r="Y91" s="331">
        <f t="shared" si="70"/>
        <v>1</v>
      </c>
      <c r="Z91" s="228">
        <v>21</v>
      </c>
      <c r="AA91" s="255"/>
      <c r="AB91" s="256"/>
      <c r="AC91" s="256"/>
      <c r="AD91" s="280">
        <f t="shared" si="71"/>
        <v>0</v>
      </c>
      <c r="AE91" s="280">
        <f t="shared" si="72"/>
        <v>21</v>
      </c>
      <c r="AF91" s="281">
        <f t="shared" si="73"/>
        <v>1</v>
      </c>
      <c r="AG91" s="229">
        <v>18</v>
      </c>
      <c r="AH91" s="257"/>
      <c r="AI91" s="258"/>
      <c r="AJ91" s="258"/>
      <c r="AK91" s="305">
        <f t="shared" si="74"/>
        <v>0</v>
      </c>
      <c r="AL91" s="305">
        <f t="shared" si="75"/>
        <v>18</v>
      </c>
      <c r="AM91" s="306">
        <f t="shared" si="76"/>
        <v>1</v>
      </c>
      <c r="AN91" s="230">
        <v>14</v>
      </c>
      <c r="AO91" s="259"/>
      <c r="AP91" s="260"/>
      <c r="AQ91" s="260"/>
      <c r="AR91" s="307">
        <f t="shared" si="77"/>
        <v>0</v>
      </c>
      <c r="AS91" s="307">
        <f t="shared" si="78"/>
        <v>14</v>
      </c>
      <c r="AT91" s="308">
        <f t="shared" si="79"/>
        <v>1</v>
      </c>
      <c r="AU91" s="289"/>
      <c r="AV91" s="289"/>
      <c r="AW91" s="289"/>
      <c r="AX91" s="290">
        <v>98</v>
      </c>
      <c r="AY91" s="289">
        <f t="shared" si="80"/>
        <v>98</v>
      </c>
      <c r="AZ91" s="291">
        <f t="shared" si="81"/>
        <v>1</v>
      </c>
      <c r="BA91" s="310"/>
      <c r="BB91" s="386">
        <v>100</v>
      </c>
      <c r="BC91" s="379">
        <f t="shared" si="82"/>
        <v>0</v>
      </c>
      <c r="BD91" s="378">
        <f t="shared" si="83"/>
        <v>0</v>
      </c>
      <c r="BE91" s="379"/>
      <c r="BF91" s="387">
        <f t="shared" si="61"/>
        <v>100</v>
      </c>
    </row>
    <row r="92" spans="1:58" x14ac:dyDescent="0.35">
      <c r="A92" s="267" t="s">
        <v>48</v>
      </c>
      <c r="B92" s="266">
        <v>232410075</v>
      </c>
      <c r="C92" s="261" t="s">
        <v>1531</v>
      </c>
      <c r="D92" s="265" t="s">
        <v>6</v>
      </c>
      <c r="E92" s="215">
        <v>19</v>
      </c>
      <c r="F92" s="217"/>
      <c r="G92" s="218"/>
      <c r="H92" s="218"/>
      <c r="I92" s="326">
        <f t="shared" si="62"/>
        <v>0</v>
      </c>
      <c r="J92" s="326">
        <f t="shared" si="63"/>
        <v>19</v>
      </c>
      <c r="K92" s="327">
        <f t="shared" si="64"/>
        <v>1</v>
      </c>
      <c r="L92" s="221">
        <v>14</v>
      </c>
      <c r="M92" s="222">
        <v>1</v>
      </c>
      <c r="N92" s="223">
        <v>1</v>
      </c>
      <c r="O92" s="223">
        <v>1</v>
      </c>
      <c r="P92" s="328">
        <f t="shared" si="65"/>
        <v>3</v>
      </c>
      <c r="Q92" s="328">
        <f t="shared" si="66"/>
        <v>11</v>
      </c>
      <c r="R92" s="329">
        <f t="shared" si="67"/>
        <v>0.7857142857142857</v>
      </c>
      <c r="S92" s="225">
        <v>12</v>
      </c>
      <c r="T92" s="226"/>
      <c r="U92" s="227"/>
      <c r="V92" s="227"/>
      <c r="W92" s="330">
        <f t="shared" si="68"/>
        <v>0</v>
      </c>
      <c r="X92" s="330">
        <f t="shared" si="69"/>
        <v>12</v>
      </c>
      <c r="Y92" s="331">
        <f t="shared" si="70"/>
        <v>1</v>
      </c>
      <c r="Z92" s="228">
        <v>21</v>
      </c>
      <c r="AA92" s="255"/>
      <c r="AB92" s="256"/>
      <c r="AC92" s="256"/>
      <c r="AD92" s="280">
        <f t="shared" si="71"/>
        <v>0</v>
      </c>
      <c r="AE92" s="280">
        <f t="shared" si="72"/>
        <v>21</v>
      </c>
      <c r="AF92" s="281">
        <f t="shared" si="73"/>
        <v>1</v>
      </c>
      <c r="AG92" s="229">
        <v>18</v>
      </c>
      <c r="AH92" s="257"/>
      <c r="AI92" s="258"/>
      <c r="AJ92" s="258"/>
      <c r="AK92" s="305">
        <f t="shared" si="74"/>
        <v>0</v>
      </c>
      <c r="AL92" s="305">
        <f t="shared" si="75"/>
        <v>18</v>
      </c>
      <c r="AM92" s="306">
        <f t="shared" si="76"/>
        <v>1</v>
      </c>
      <c r="AN92" s="230">
        <v>14</v>
      </c>
      <c r="AO92" s="259"/>
      <c r="AP92" s="260"/>
      <c r="AQ92" s="260"/>
      <c r="AR92" s="307">
        <f t="shared" si="77"/>
        <v>0</v>
      </c>
      <c r="AS92" s="307">
        <f t="shared" si="78"/>
        <v>14</v>
      </c>
      <c r="AT92" s="308">
        <f t="shared" si="79"/>
        <v>1</v>
      </c>
      <c r="AU92" s="289"/>
      <c r="AV92" s="289"/>
      <c r="AW92" s="289"/>
      <c r="AX92" s="290">
        <v>98</v>
      </c>
      <c r="AY92" s="289">
        <f t="shared" si="80"/>
        <v>98</v>
      </c>
      <c r="AZ92" s="291">
        <f t="shared" si="81"/>
        <v>1</v>
      </c>
      <c r="BA92" s="310">
        <v>1</v>
      </c>
      <c r="BB92" s="386">
        <v>100</v>
      </c>
      <c r="BC92" s="379">
        <f t="shared" si="82"/>
        <v>2</v>
      </c>
      <c r="BD92" s="378">
        <f t="shared" si="83"/>
        <v>0</v>
      </c>
      <c r="BE92" s="379"/>
      <c r="BF92" s="387">
        <f t="shared" si="61"/>
        <v>98</v>
      </c>
    </row>
    <row r="93" spans="1:58" x14ac:dyDescent="0.35">
      <c r="A93" s="267" t="s">
        <v>49</v>
      </c>
      <c r="B93" s="266">
        <v>232410076</v>
      </c>
      <c r="C93" s="261" t="s">
        <v>1532</v>
      </c>
      <c r="D93" s="265" t="s">
        <v>6</v>
      </c>
      <c r="E93" s="215">
        <v>19</v>
      </c>
      <c r="F93" s="217"/>
      <c r="G93" s="217">
        <v>1</v>
      </c>
      <c r="H93" s="218"/>
      <c r="I93" s="326">
        <f t="shared" si="62"/>
        <v>1</v>
      </c>
      <c r="J93" s="326">
        <f t="shared" si="63"/>
        <v>18</v>
      </c>
      <c r="K93" s="327">
        <f t="shared" si="64"/>
        <v>0.94736842105263153</v>
      </c>
      <c r="L93" s="221">
        <v>14</v>
      </c>
      <c r="M93" s="223">
        <v>2</v>
      </c>
      <c r="N93" s="223"/>
      <c r="O93" s="223">
        <v>1</v>
      </c>
      <c r="P93" s="328">
        <f t="shared" si="65"/>
        <v>3</v>
      </c>
      <c r="Q93" s="328">
        <f t="shared" si="66"/>
        <v>11</v>
      </c>
      <c r="R93" s="329">
        <f t="shared" si="67"/>
        <v>0.7857142857142857</v>
      </c>
      <c r="S93" s="225">
        <v>12</v>
      </c>
      <c r="T93" s="226"/>
      <c r="U93" s="227"/>
      <c r="V93" s="226"/>
      <c r="W93" s="330">
        <f t="shared" si="68"/>
        <v>0</v>
      </c>
      <c r="X93" s="330">
        <f t="shared" si="69"/>
        <v>12</v>
      </c>
      <c r="Y93" s="331">
        <f t="shared" si="70"/>
        <v>1</v>
      </c>
      <c r="Z93" s="228">
        <v>21</v>
      </c>
      <c r="AA93" s="255"/>
      <c r="AB93" s="256"/>
      <c r="AC93" s="255"/>
      <c r="AD93" s="280">
        <f t="shared" si="71"/>
        <v>0</v>
      </c>
      <c r="AE93" s="280">
        <f t="shared" si="72"/>
        <v>21</v>
      </c>
      <c r="AF93" s="281">
        <f t="shared" si="73"/>
        <v>1</v>
      </c>
      <c r="AG93" s="229">
        <v>18</v>
      </c>
      <c r="AH93" s="257"/>
      <c r="AI93" s="258"/>
      <c r="AJ93" s="257"/>
      <c r="AK93" s="305">
        <f t="shared" si="74"/>
        <v>0</v>
      </c>
      <c r="AL93" s="305">
        <f t="shared" si="75"/>
        <v>18</v>
      </c>
      <c r="AM93" s="306">
        <f t="shared" si="76"/>
        <v>1</v>
      </c>
      <c r="AN93" s="230">
        <v>14</v>
      </c>
      <c r="AO93" s="259"/>
      <c r="AP93" s="260"/>
      <c r="AQ93" s="259"/>
      <c r="AR93" s="307">
        <f t="shared" si="77"/>
        <v>0</v>
      </c>
      <c r="AS93" s="307">
        <f t="shared" si="78"/>
        <v>14</v>
      </c>
      <c r="AT93" s="308">
        <f t="shared" si="79"/>
        <v>1</v>
      </c>
      <c r="AU93" s="289"/>
      <c r="AV93" s="289"/>
      <c r="AW93" s="289"/>
      <c r="AX93" s="290">
        <v>98</v>
      </c>
      <c r="AY93" s="289">
        <f t="shared" si="80"/>
        <v>98</v>
      </c>
      <c r="AZ93" s="291">
        <f t="shared" si="81"/>
        <v>1</v>
      </c>
      <c r="BA93" s="310">
        <v>6</v>
      </c>
      <c r="BB93" s="386">
        <v>96</v>
      </c>
      <c r="BC93" s="379">
        <f t="shared" si="82"/>
        <v>12</v>
      </c>
      <c r="BD93" s="378">
        <f t="shared" si="83"/>
        <v>0</v>
      </c>
      <c r="BE93" s="379"/>
      <c r="BF93" s="387">
        <f t="shared" si="61"/>
        <v>84</v>
      </c>
    </row>
    <row r="94" spans="1:58" x14ac:dyDescent="0.35">
      <c r="A94" s="267" t="s">
        <v>50</v>
      </c>
      <c r="B94" s="266">
        <v>232410077</v>
      </c>
      <c r="C94" s="261" t="s">
        <v>1533</v>
      </c>
      <c r="D94" s="265" t="s">
        <v>6</v>
      </c>
      <c r="E94" s="215">
        <v>19</v>
      </c>
      <c r="F94" s="217"/>
      <c r="G94" s="217"/>
      <c r="H94" s="217"/>
      <c r="I94" s="326">
        <f t="shared" si="62"/>
        <v>0</v>
      </c>
      <c r="J94" s="326">
        <f t="shared" si="63"/>
        <v>19</v>
      </c>
      <c r="K94" s="327">
        <f t="shared" si="64"/>
        <v>1</v>
      </c>
      <c r="L94" s="221">
        <v>14</v>
      </c>
      <c r="M94" s="222"/>
      <c r="N94" s="223"/>
      <c r="O94" s="222">
        <v>1</v>
      </c>
      <c r="P94" s="328">
        <f t="shared" si="65"/>
        <v>1</v>
      </c>
      <c r="Q94" s="328">
        <f t="shared" si="66"/>
        <v>13</v>
      </c>
      <c r="R94" s="329">
        <f t="shared" si="67"/>
        <v>0.9285714285714286</v>
      </c>
      <c r="S94" s="225">
        <v>12</v>
      </c>
      <c r="T94" s="226"/>
      <c r="U94" s="226"/>
      <c r="V94" s="226"/>
      <c r="W94" s="330">
        <f t="shared" si="68"/>
        <v>0</v>
      </c>
      <c r="X94" s="330">
        <f t="shared" si="69"/>
        <v>12</v>
      </c>
      <c r="Y94" s="331">
        <f t="shared" si="70"/>
        <v>1</v>
      </c>
      <c r="Z94" s="228">
        <v>21</v>
      </c>
      <c r="AA94" s="255"/>
      <c r="AB94" s="255"/>
      <c r="AC94" s="255"/>
      <c r="AD94" s="280">
        <f t="shared" si="71"/>
        <v>0</v>
      </c>
      <c r="AE94" s="280">
        <f t="shared" si="72"/>
        <v>21</v>
      </c>
      <c r="AF94" s="281">
        <f t="shared" si="73"/>
        <v>1</v>
      </c>
      <c r="AG94" s="229">
        <v>18</v>
      </c>
      <c r="AH94" s="257"/>
      <c r="AI94" s="257"/>
      <c r="AJ94" s="257"/>
      <c r="AK94" s="305">
        <f t="shared" si="74"/>
        <v>0</v>
      </c>
      <c r="AL94" s="305">
        <f t="shared" si="75"/>
        <v>18</v>
      </c>
      <c r="AM94" s="306">
        <f t="shared" si="76"/>
        <v>1</v>
      </c>
      <c r="AN94" s="230">
        <v>14</v>
      </c>
      <c r="AO94" s="259"/>
      <c r="AP94" s="259"/>
      <c r="AQ94" s="259"/>
      <c r="AR94" s="307">
        <f t="shared" si="77"/>
        <v>0</v>
      </c>
      <c r="AS94" s="307">
        <f t="shared" si="78"/>
        <v>14</v>
      </c>
      <c r="AT94" s="308">
        <f t="shared" si="79"/>
        <v>1</v>
      </c>
      <c r="AU94" s="289"/>
      <c r="AV94" s="289"/>
      <c r="AW94" s="289"/>
      <c r="AX94" s="290">
        <v>98</v>
      </c>
      <c r="AY94" s="289">
        <f t="shared" si="80"/>
        <v>98</v>
      </c>
      <c r="AZ94" s="291">
        <f t="shared" si="81"/>
        <v>1</v>
      </c>
      <c r="BA94" s="310">
        <v>3</v>
      </c>
      <c r="BB94" s="386">
        <v>90</v>
      </c>
      <c r="BC94" s="379">
        <f t="shared" si="82"/>
        <v>6</v>
      </c>
      <c r="BD94" s="378">
        <f t="shared" si="83"/>
        <v>0</v>
      </c>
      <c r="BE94" s="379"/>
      <c r="BF94" s="387">
        <f t="shared" si="61"/>
        <v>84</v>
      </c>
    </row>
    <row r="95" spans="1:58" x14ac:dyDescent="0.35">
      <c r="A95" s="269" t="s">
        <v>122</v>
      </c>
      <c r="B95" s="270">
        <v>232410078</v>
      </c>
      <c r="C95" s="364" t="s">
        <v>1534</v>
      </c>
      <c r="D95" s="271" t="s">
        <v>6</v>
      </c>
      <c r="E95" s="215">
        <v>19</v>
      </c>
      <c r="F95" s="217"/>
      <c r="G95" s="374">
        <v>1</v>
      </c>
      <c r="H95" s="374"/>
      <c r="I95" s="326">
        <f t="shared" si="62"/>
        <v>1</v>
      </c>
      <c r="J95" s="326">
        <f t="shared" si="63"/>
        <v>18</v>
      </c>
      <c r="K95" s="327">
        <f t="shared" si="64"/>
        <v>0.94736842105263153</v>
      </c>
      <c r="L95" s="221">
        <v>14</v>
      </c>
      <c r="M95" s="365"/>
      <c r="N95" s="366">
        <v>1</v>
      </c>
      <c r="O95" s="365">
        <v>3</v>
      </c>
      <c r="P95" s="328">
        <f t="shared" si="65"/>
        <v>4</v>
      </c>
      <c r="Q95" s="328">
        <f t="shared" si="66"/>
        <v>10</v>
      </c>
      <c r="R95" s="329">
        <f t="shared" si="67"/>
        <v>0.7142857142857143</v>
      </c>
      <c r="S95" s="225">
        <v>12</v>
      </c>
      <c r="T95" s="367">
        <v>1</v>
      </c>
      <c r="U95" s="367">
        <v>1</v>
      </c>
      <c r="V95" s="367">
        <v>1</v>
      </c>
      <c r="W95" s="330">
        <f t="shared" si="68"/>
        <v>3</v>
      </c>
      <c r="X95" s="330">
        <f t="shared" si="69"/>
        <v>9</v>
      </c>
      <c r="Y95" s="331">
        <f t="shared" si="70"/>
        <v>1.3333333333333333</v>
      </c>
      <c r="Z95" s="228">
        <v>21</v>
      </c>
      <c r="AA95" s="368"/>
      <c r="AB95" s="368"/>
      <c r="AC95" s="368"/>
      <c r="AD95" s="280">
        <f t="shared" si="71"/>
        <v>0</v>
      </c>
      <c r="AE95" s="280">
        <f t="shared" si="72"/>
        <v>21</v>
      </c>
      <c r="AF95" s="281">
        <f t="shared" si="73"/>
        <v>1</v>
      </c>
      <c r="AG95" s="229">
        <v>18</v>
      </c>
      <c r="AH95" s="311"/>
      <c r="AI95" s="311"/>
      <c r="AJ95" s="311"/>
      <c r="AK95" s="305">
        <f t="shared" si="74"/>
        <v>0</v>
      </c>
      <c r="AL95" s="305">
        <f t="shared" si="75"/>
        <v>18</v>
      </c>
      <c r="AM95" s="306">
        <f t="shared" si="76"/>
        <v>1</v>
      </c>
      <c r="AN95" s="230">
        <v>14</v>
      </c>
      <c r="AO95" s="312"/>
      <c r="AP95" s="312"/>
      <c r="AQ95" s="312"/>
      <c r="AR95" s="307">
        <f t="shared" si="77"/>
        <v>0</v>
      </c>
      <c r="AS95" s="307">
        <f t="shared" si="78"/>
        <v>14</v>
      </c>
      <c r="AT95" s="308">
        <f t="shared" si="79"/>
        <v>1</v>
      </c>
      <c r="AU95" s="289"/>
      <c r="AV95" s="289"/>
      <c r="AW95" s="289"/>
      <c r="AX95" s="290">
        <v>98</v>
      </c>
      <c r="AY95" s="289">
        <f t="shared" si="80"/>
        <v>98</v>
      </c>
      <c r="AZ95" s="291">
        <f t="shared" si="81"/>
        <v>1</v>
      </c>
      <c r="BA95" s="313">
        <v>4</v>
      </c>
      <c r="BB95" s="386">
        <v>92</v>
      </c>
      <c r="BC95" s="379">
        <f t="shared" si="82"/>
        <v>8</v>
      </c>
      <c r="BD95" s="378">
        <f t="shared" si="83"/>
        <v>0</v>
      </c>
      <c r="BE95" s="388"/>
      <c r="BF95" s="387">
        <f t="shared" si="61"/>
        <v>84</v>
      </c>
    </row>
    <row r="96" spans="1:58" x14ac:dyDescent="0.35">
      <c r="A96" s="269" t="s">
        <v>123</v>
      </c>
      <c r="B96" s="263">
        <v>232410079</v>
      </c>
      <c r="C96" s="261" t="s">
        <v>1535</v>
      </c>
      <c r="D96" s="91" t="s">
        <v>6</v>
      </c>
      <c r="E96" s="215">
        <v>19</v>
      </c>
      <c r="F96" s="217"/>
      <c r="G96" s="217">
        <v>4</v>
      </c>
      <c r="H96" s="217"/>
      <c r="I96" s="326">
        <f t="shared" si="62"/>
        <v>4</v>
      </c>
      <c r="J96" s="326">
        <f>E102-I96</f>
        <v>15</v>
      </c>
      <c r="K96" s="327">
        <f>J96/E102</f>
        <v>0.78947368421052633</v>
      </c>
      <c r="L96" s="221">
        <v>14</v>
      </c>
      <c r="M96" s="222"/>
      <c r="N96" s="222">
        <v>1</v>
      </c>
      <c r="O96" s="222">
        <v>1</v>
      </c>
      <c r="P96" s="328">
        <f t="shared" si="65"/>
        <v>2</v>
      </c>
      <c r="Q96" s="328">
        <f t="shared" si="66"/>
        <v>12</v>
      </c>
      <c r="R96" s="329">
        <f t="shared" si="67"/>
        <v>0.8571428571428571</v>
      </c>
      <c r="S96" s="225">
        <v>12</v>
      </c>
      <c r="T96" s="226"/>
      <c r="U96" s="226"/>
      <c r="V96" s="226"/>
      <c r="W96" s="330">
        <f t="shared" si="68"/>
        <v>0</v>
      </c>
      <c r="X96" s="330">
        <f t="shared" si="69"/>
        <v>12</v>
      </c>
      <c r="Y96" s="331">
        <f t="shared" si="70"/>
        <v>1</v>
      </c>
      <c r="Z96" s="228">
        <v>21</v>
      </c>
      <c r="AA96" s="255"/>
      <c r="AB96" s="255"/>
      <c r="AC96" s="255"/>
      <c r="AD96" s="280">
        <f t="shared" si="71"/>
        <v>0</v>
      </c>
      <c r="AE96" s="280">
        <f t="shared" si="72"/>
        <v>21</v>
      </c>
      <c r="AF96" s="281">
        <f t="shared" si="73"/>
        <v>1</v>
      </c>
      <c r="AG96" s="229">
        <v>18</v>
      </c>
      <c r="AH96" s="257"/>
      <c r="AI96" s="257"/>
      <c r="AJ96" s="257"/>
      <c r="AK96" s="305">
        <f t="shared" si="74"/>
        <v>0</v>
      </c>
      <c r="AL96" s="305">
        <f t="shared" si="75"/>
        <v>18</v>
      </c>
      <c r="AM96" s="306">
        <f t="shared" si="76"/>
        <v>1</v>
      </c>
      <c r="AN96" s="230">
        <v>14</v>
      </c>
      <c r="AO96" s="259"/>
      <c r="AP96" s="259"/>
      <c r="AQ96" s="259"/>
      <c r="AR96" s="307">
        <f t="shared" si="77"/>
        <v>0</v>
      </c>
      <c r="AS96" s="307">
        <f t="shared" si="78"/>
        <v>14</v>
      </c>
      <c r="AT96" s="308">
        <f t="shared" si="79"/>
        <v>1</v>
      </c>
      <c r="AU96" s="289"/>
      <c r="AV96" s="289"/>
      <c r="AW96" s="289"/>
      <c r="AX96" s="290">
        <v>98</v>
      </c>
      <c r="AY96" s="289">
        <f t="shared" si="80"/>
        <v>98</v>
      </c>
      <c r="AZ96" s="291">
        <f t="shared" si="81"/>
        <v>1</v>
      </c>
      <c r="BA96" s="245">
        <v>3</v>
      </c>
      <c r="BB96" s="386">
        <v>88</v>
      </c>
      <c r="BC96" s="379">
        <f t="shared" si="82"/>
        <v>6</v>
      </c>
      <c r="BD96" s="378">
        <f t="shared" si="83"/>
        <v>0</v>
      </c>
      <c r="BE96" s="389"/>
      <c r="BF96" s="387">
        <f t="shared" si="61"/>
        <v>82</v>
      </c>
    </row>
    <row r="97" spans="1:58" s="323" customFormat="1" x14ac:dyDescent="0.35">
      <c r="B97" s="272"/>
      <c r="C97" s="276"/>
      <c r="D97" s="97"/>
      <c r="E97" s="97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86"/>
      <c r="AV97" s="286"/>
      <c r="AW97" s="286"/>
      <c r="AX97" s="286"/>
      <c r="AY97" s="286"/>
      <c r="AZ97" s="286"/>
      <c r="BA97" s="288"/>
      <c r="BB97" s="319"/>
      <c r="BC97" s="288"/>
      <c r="BD97" s="288"/>
      <c r="BE97" s="288"/>
      <c r="BF97" s="304"/>
    </row>
    <row r="98" spans="1:58" s="323" customFormat="1" x14ac:dyDescent="0.35"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86"/>
      <c r="AV98" s="286"/>
      <c r="AW98" s="286"/>
      <c r="AX98" s="286"/>
      <c r="AY98" s="286"/>
      <c r="AZ98" s="286"/>
      <c r="BA98" s="288"/>
      <c r="BB98" s="319"/>
      <c r="BC98" s="288"/>
      <c r="BD98" s="288"/>
      <c r="BE98" s="288"/>
      <c r="BF98" s="304"/>
    </row>
    <row r="99" spans="1:58" s="323" customFormat="1" ht="16" thickBot="1" x14ac:dyDescent="0.4">
      <c r="A99" s="324" t="s">
        <v>1077</v>
      </c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86"/>
      <c r="AV99" s="286"/>
      <c r="AW99" s="286"/>
      <c r="AX99" s="286"/>
      <c r="AY99" s="286"/>
      <c r="AZ99" s="286"/>
      <c r="BA99" s="288"/>
      <c r="BB99" s="319"/>
      <c r="BC99" s="288"/>
      <c r="BD99" s="288"/>
      <c r="BE99" s="288"/>
      <c r="BF99" s="304"/>
    </row>
    <row r="100" spans="1:58" s="325" customFormat="1" ht="25" customHeight="1" thickBot="1" x14ac:dyDescent="0.4">
      <c r="A100" s="447" t="s">
        <v>1072</v>
      </c>
      <c r="B100" s="447" t="s">
        <v>2</v>
      </c>
      <c r="C100" s="448" t="s">
        <v>1606</v>
      </c>
      <c r="D100" s="448" t="s">
        <v>4</v>
      </c>
      <c r="E100" s="431" t="s">
        <v>1612</v>
      </c>
      <c r="F100" s="431"/>
      <c r="G100" s="431"/>
      <c r="H100" s="431"/>
      <c r="I100" s="431"/>
      <c r="J100" s="431"/>
      <c r="K100" s="431"/>
      <c r="L100" s="432" t="s">
        <v>1613</v>
      </c>
      <c r="M100" s="432"/>
      <c r="N100" s="432"/>
      <c r="O100" s="432"/>
      <c r="P100" s="432"/>
      <c r="Q100" s="432"/>
      <c r="R100" s="432"/>
      <c r="S100" s="433" t="s">
        <v>1614</v>
      </c>
      <c r="T100" s="433"/>
      <c r="U100" s="433"/>
      <c r="V100" s="433"/>
      <c r="W100" s="433"/>
      <c r="X100" s="433"/>
      <c r="Y100" s="433"/>
      <c r="Z100" s="434" t="s">
        <v>1615</v>
      </c>
      <c r="AA100" s="434"/>
      <c r="AB100" s="434"/>
      <c r="AC100" s="434"/>
      <c r="AD100" s="434"/>
      <c r="AE100" s="434"/>
      <c r="AF100" s="434"/>
      <c r="AG100" s="435" t="s">
        <v>1616</v>
      </c>
      <c r="AH100" s="435"/>
      <c r="AI100" s="435"/>
      <c r="AJ100" s="435"/>
      <c r="AK100" s="435"/>
      <c r="AL100" s="435"/>
      <c r="AM100" s="435"/>
      <c r="AN100" s="436" t="s">
        <v>1617</v>
      </c>
      <c r="AO100" s="436"/>
      <c r="AP100" s="436"/>
      <c r="AQ100" s="436"/>
      <c r="AR100" s="436"/>
      <c r="AS100" s="436"/>
      <c r="AT100" s="436"/>
      <c r="AU100" s="438" t="s">
        <v>224</v>
      </c>
      <c r="AV100" s="438"/>
      <c r="AW100" s="438"/>
      <c r="AX100" s="437" t="s">
        <v>1602</v>
      </c>
      <c r="AY100" s="437" t="s">
        <v>1603</v>
      </c>
      <c r="AZ100" s="437" t="s">
        <v>1604</v>
      </c>
      <c r="BA100" s="443" t="s">
        <v>1076</v>
      </c>
      <c r="BB100" s="430" t="s">
        <v>883</v>
      </c>
      <c r="BC100" s="428" t="s">
        <v>880</v>
      </c>
      <c r="BD100" s="428"/>
      <c r="BE100" s="428"/>
      <c r="BF100" s="429" t="s">
        <v>884</v>
      </c>
    </row>
    <row r="101" spans="1:58" s="325" customFormat="1" ht="55" customHeight="1" thickBot="1" x14ac:dyDescent="0.4">
      <c r="A101" s="447"/>
      <c r="B101" s="447"/>
      <c r="C101" s="448"/>
      <c r="D101" s="448"/>
      <c r="E101" s="235" t="s">
        <v>1598</v>
      </c>
      <c r="F101" s="236" t="s">
        <v>20</v>
      </c>
      <c r="G101" s="236" t="s">
        <v>19</v>
      </c>
      <c r="H101" s="236" t="s">
        <v>52</v>
      </c>
      <c r="I101" s="237" t="s">
        <v>1599</v>
      </c>
      <c r="J101" s="237" t="s">
        <v>1600</v>
      </c>
      <c r="K101" s="237" t="s">
        <v>1601</v>
      </c>
      <c r="L101" s="202" t="s">
        <v>1598</v>
      </c>
      <c r="M101" s="206" t="s">
        <v>20</v>
      </c>
      <c r="N101" s="206" t="s">
        <v>19</v>
      </c>
      <c r="O101" s="206" t="s">
        <v>52</v>
      </c>
      <c r="P101" s="207" t="s">
        <v>1599</v>
      </c>
      <c r="Q101" s="207" t="s">
        <v>1600</v>
      </c>
      <c r="R101" s="207" t="s">
        <v>1601</v>
      </c>
      <c r="S101" s="238" t="s">
        <v>1598</v>
      </c>
      <c r="T101" s="239" t="s">
        <v>20</v>
      </c>
      <c r="U101" s="239" t="s">
        <v>19</v>
      </c>
      <c r="V101" s="239" t="s">
        <v>52</v>
      </c>
      <c r="W101" s="224" t="s">
        <v>1599</v>
      </c>
      <c r="X101" s="224" t="s">
        <v>1600</v>
      </c>
      <c r="Y101" s="224" t="s">
        <v>1601</v>
      </c>
      <c r="Z101" s="240" t="s">
        <v>1598</v>
      </c>
      <c r="AA101" s="241" t="s">
        <v>20</v>
      </c>
      <c r="AB101" s="241" t="s">
        <v>19</v>
      </c>
      <c r="AC101" s="241" t="s">
        <v>52</v>
      </c>
      <c r="AD101" s="208" t="s">
        <v>1599</v>
      </c>
      <c r="AE101" s="208" t="s">
        <v>1600</v>
      </c>
      <c r="AF101" s="208" t="s">
        <v>1601</v>
      </c>
      <c r="AG101" s="209" t="s">
        <v>1598</v>
      </c>
      <c r="AH101" s="210" t="s">
        <v>20</v>
      </c>
      <c r="AI101" s="210" t="s">
        <v>19</v>
      </c>
      <c r="AJ101" s="210" t="s">
        <v>52</v>
      </c>
      <c r="AK101" s="211" t="s">
        <v>1599</v>
      </c>
      <c r="AL101" s="211" t="s">
        <v>1600</v>
      </c>
      <c r="AM101" s="211" t="s">
        <v>1601</v>
      </c>
      <c r="AN101" s="212" t="s">
        <v>1598</v>
      </c>
      <c r="AO101" s="213" t="s">
        <v>20</v>
      </c>
      <c r="AP101" s="213" t="s">
        <v>19</v>
      </c>
      <c r="AQ101" s="213" t="s">
        <v>52</v>
      </c>
      <c r="AR101" s="214" t="s">
        <v>1599</v>
      </c>
      <c r="AS101" s="214" t="s">
        <v>1600</v>
      </c>
      <c r="AT101" s="214" t="s">
        <v>1601</v>
      </c>
      <c r="AU101" s="203" t="s">
        <v>20</v>
      </c>
      <c r="AV101" s="204" t="s">
        <v>19</v>
      </c>
      <c r="AW101" s="204" t="s">
        <v>52</v>
      </c>
      <c r="AX101" s="437"/>
      <c r="AY101" s="437"/>
      <c r="AZ101" s="437"/>
      <c r="BA101" s="444"/>
      <c r="BB101" s="430"/>
      <c r="BC101" s="375" t="s">
        <v>881</v>
      </c>
      <c r="BD101" s="377" t="s">
        <v>885</v>
      </c>
      <c r="BE101" s="376" t="s">
        <v>882</v>
      </c>
      <c r="BF101" s="429"/>
    </row>
    <row r="102" spans="1:58" x14ac:dyDescent="0.35">
      <c r="A102" s="196" t="s">
        <v>21</v>
      </c>
      <c r="B102" s="268">
        <v>232410081</v>
      </c>
      <c r="C102" s="261" t="s">
        <v>1536</v>
      </c>
      <c r="D102" s="245" t="s">
        <v>6</v>
      </c>
      <c r="E102" s="215">
        <v>19</v>
      </c>
      <c r="F102" s="216">
        <v>1</v>
      </c>
      <c r="G102" s="216">
        <v>2</v>
      </c>
      <c r="H102" s="216">
        <v>1</v>
      </c>
      <c r="I102" s="326">
        <f>SUM(F102:H102)</f>
        <v>4</v>
      </c>
      <c r="J102" s="326">
        <f>E102-I102</f>
        <v>15</v>
      </c>
      <c r="K102" s="327">
        <f>J102/E102</f>
        <v>0.78947368421052633</v>
      </c>
      <c r="L102" s="221">
        <v>14</v>
      </c>
      <c r="M102" s="221"/>
      <c r="N102" s="221">
        <v>1</v>
      </c>
      <c r="O102" s="221">
        <v>2</v>
      </c>
      <c r="P102" s="328">
        <f>SUM(M102:O102)</f>
        <v>3</v>
      </c>
      <c r="Q102" s="328">
        <f>L102-P102</f>
        <v>11</v>
      </c>
      <c r="R102" s="329">
        <f>Q102/L102</f>
        <v>0.7857142857142857</v>
      </c>
      <c r="S102" s="225">
        <v>12</v>
      </c>
      <c r="T102" s="225"/>
      <c r="U102" s="225"/>
      <c r="V102" s="225"/>
      <c r="W102" s="330">
        <f>SUM(T102:V102)</f>
        <v>0</v>
      </c>
      <c r="X102" s="330">
        <f>S102-W102</f>
        <v>12</v>
      </c>
      <c r="Y102" s="331">
        <f>X102/S102</f>
        <v>1</v>
      </c>
      <c r="Z102" s="228">
        <v>21</v>
      </c>
      <c r="AA102" s="228"/>
      <c r="AB102" s="228"/>
      <c r="AC102" s="228"/>
      <c r="AD102" s="280">
        <f>SUM(AA102:AC102)</f>
        <v>0</v>
      </c>
      <c r="AE102" s="280">
        <f>Z102-AD102</f>
        <v>21</v>
      </c>
      <c r="AF102" s="281">
        <f>AE102/Z102</f>
        <v>1</v>
      </c>
      <c r="AG102" s="229">
        <v>18</v>
      </c>
      <c r="AH102" s="229"/>
      <c r="AI102" s="229"/>
      <c r="AJ102" s="229"/>
      <c r="AK102" s="305">
        <f>SUM(AH102:AJ102)</f>
        <v>0</v>
      </c>
      <c r="AL102" s="305">
        <f>AG102-AK102</f>
        <v>18</v>
      </c>
      <c r="AM102" s="306">
        <f>AL102/AG102</f>
        <v>1</v>
      </c>
      <c r="AN102" s="230">
        <v>14</v>
      </c>
      <c r="AO102" s="230"/>
      <c r="AP102" s="230"/>
      <c r="AQ102" s="230"/>
      <c r="AR102" s="307">
        <f>SUM(AO102:AQ102)</f>
        <v>0</v>
      </c>
      <c r="AS102" s="307">
        <f>AN102-AR102</f>
        <v>14</v>
      </c>
      <c r="AT102" s="308">
        <f>AS102/AN102</f>
        <v>1</v>
      </c>
      <c r="AU102" s="289"/>
      <c r="AV102" s="289"/>
      <c r="AW102" s="289"/>
      <c r="AX102" s="290">
        <v>98</v>
      </c>
      <c r="AY102" s="289">
        <f>AX102-AU102-AV102-AW102</f>
        <v>98</v>
      </c>
      <c r="AZ102" s="291">
        <f t="shared" ref="AZ102" si="84">AY102/AX102</f>
        <v>1</v>
      </c>
      <c r="BA102" s="245">
        <v>1</v>
      </c>
      <c r="BB102" s="390" cm="1">
        <f t="array" ref="BB102:BB131">[1]XII!$BF$102:$BF$131</f>
        <v>92</v>
      </c>
      <c r="BC102" s="379">
        <f t="shared" ref="BC102" si="85">BA102*2</f>
        <v>2</v>
      </c>
      <c r="BD102" s="378">
        <f>AW102*2</f>
        <v>0</v>
      </c>
      <c r="BE102" s="378"/>
      <c r="BF102" s="387">
        <f t="shared" ref="BF102:BF131" si="86">BB102-BC102-BD102-BE102</f>
        <v>90</v>
      </c>
    </row>
    <row r="103" spans="1:58" x14ac:dyDescent="0.35">
      <c r="A103" s="196" t="s">
        <v>22</v>
      </c>
      <c r="B103" s="266">
        <v>232410082</v>
      </c>
      <c r="C103" s="261" t="s">
        <v>1537</v>
      </c>
      <c r="D103" s="245" t="s">
        <v>8</v>
      </c>
      <c r="E103" s="215">
        <v>19</v>
      </c>
      <c r="F103" s="217"/>
      <c r="G103" s="217">
        <v>1</v>
      </c>
      <c r="H103" s="217"/>
      <c r="I103" s="326">
        <f t="shared" ref="I103:I131" si="87">SUM(F103:H103)</f>
        <v>1</v>
      </c>
      <c r="J103" s="326">
        <f t="shared" ref="J103:J125" si="88">E109-I103</f>
        <v>18</v>
      </c>
      <c r="K103" s="327">
        <f t="shared" ref="K103:K123" si="89">J103/E109</f>
        <v>0.94736842105263153</v>
      </c>
      <c r="L103" s="221">
        <v>14</v>
      </c>
      <c r="M103" s="222">
        <v>1</v>
      </c>
      <c r="N103" s="222"/>
      <c r="O103" s="222"/>
      <c r="P103" s="328">
        <f t="shared" ref="P103:P131" si="90">SUM(M103:O103)</f>
        <v>1</v>
      </c>
      <c r="Q103" s="328">
        <f t="shared" ref="Q103:Q131" si="91">L103-P103</f>
        <v>13</v>
      </c>
      <c r="R103" s="329">
        <f t="shared" ref="R103:R131" si="92">Q103/L103</f>
        <v>0.9285714285714286</v>
      </c>
      <c r="S103" s="225">
        <v>12</v>
      </c>
      <c r="T103" s="226">
        <v>1</v>
      </c>
      <c r="U103" s="226"/>
      <c r="V103" s="226"/>
      <c r="W103" s="330">
        <f t="shared" ref="W103:W131" si="93">SUM(T103:V103)</f>
        <v>1</v>
      </c>
      <c r="X103" s="330">
        <f t="shared" ref="X103:X131" si="94">S103-W103</f>
        <v>11</v>
      </c>
      <c r="Y103" s="331">
        <f t="shared" ref="Y103:Y131" si="95">S103/X103</f>
        <v>1.0909090909090908</v>
      </c>
      <c r="Z103" s="228">
        <v>21</v>
      </c>
      <c r="AA103" s="255"/>
      <c r="AB103" s="255"/>
      <c r="AC103" s="255"/>
      <c r="AD103" s="280">
        <f t="shared" ref="AD103:AD131" si="96">SUM(AA103:AC103)</f>
        <v>0</v>
      </c>
      <c r="AE103" s="280">
        <f t="shared" ref="AE103:AE131" si="97">Z103-AD103</f>
        <v>21</v>
      </c>
      <c r="AF103" s="281">
        <f t="shared" ref="AF103:AF131" si="98">AE103/Z103</f>
        <v>1</v>
      </c>
      <c r="AG103" s="229">
        <v>18</v>
      </c>
      <c r="AH103" s="257"/>
      <c r="AI103" s="257"/>
      <c r="AJ103" s="257"/>
      <c r="AK103" s="305">
        <f t="shared" ref="AK103:AK131" si="99">SUM(AH103:AJ103)</f>
        <v>0</v>
      </c>
      <c r="AL103" s="305">
        <f t="shared" ref="AL103:AL131" si="100">AG103-AK103</f>
        <v>18</v>
      </c>
      <c r="AM103" s="306">
        <f t="shared" ref="AM103:AM131" si="101">AL103/AG103</f>
        <v>1</v>
      </c>
      <c r="AN103" s="230">
        <v>14</v>
      </c>
      <c r="AO103" s="259"/>
      <c r="AP103" s="259"/>
      <c r="AQ103" s="259"/>
      <c r="AR103" s="307">
        <f t="shared" ref="AR103:AR131" si="102">SUM(AO103:AQ103)</f>
        <v>0</v>
      </c>
      <c r="AS103" s="307">
        <f t="shared" ref="AS103:AS131" si="103">AN103-AR103</f>
        <v>14</v>
      </c>
      <c r="AT103" s="308">
        <f t="shared" ref="AT103:AT131" si="104">AS103/AN103</f>
        <v>1</v>
      </c>
      <c r="AU103" s="289"/>
      <c r="AV103" s="289"/>
      <c r="AW103" s="289"/>
      <c r="AX103" s="290">
        <v>98</v>
      </c>
      <c r="AY103" s="289">
        <f t="shared" ref="AY103:AY131" si="105">AX103-AU103-AV103-AW103</f>
        <v>98</v>
      </c>
      <c r="AZ103" s="291">
        <f t="shared" ref="AZ103:AZ131" si="106">AY103/AX103</f>
        <v>1</v>
      </c>
      <c r="BA103" s="310"/>
      <c r="BB103" s="386">
        <v>100</v>
      </c>
      <c r="BC103" s="379">
        <f t="shared" ref="BC103:BC131" si="107">BA103*2</f>
        <v>0</v>
      </c>
      <c r="BD103" s="378">
        <f t="shared" ref="BD103:BD131" si="108">AW103*2</f>
        <v>0</v>
      </c>
      <c r="BE103" s="379"/>
      <c r="BF103" s="387">
        <f t="shared" si="86"/>
        <v>100</v>
      </c>
    </row>
    <row r="104" spans="1:58" x14ac:dyDescent="0.35">
      <c r="A104" s="196" t="s">
        <v>23</v>
      </c>
      <c r="B104" s="266">
        <v>232410083</v>
      </c>
      <c r="C104" s="261" t="s">
        <v>1538</v>
      </c>
      <c r="D104" s="245" t="s">
        <v>6</v>
      </c>
      <c r="E104" s="215">
        <v>19</v>
      </c>
      <c r="F104" s="217"/>
      <c r="G104" s="218"/>
      <c r="H104" s="217"/>
      <c r="I104" s="326">
        <f t="shared" si="87"/>
        <v>0</v>
      </c>
      <c r="J104" s="326">
        <f t="shared" si="88"/>
        <v>19</v>
      </c>
      <c r="K104" s="327">
        <f t="shared" si="89"/>
        <v>1</v>
      </c>
      <c r="L104" s="221">
        <v>14</v>
      </c>
      <c r="M104" s="222"/>
      <c r="N104" s="223"/>
      <c r="O104" s="222">
        <v>1</v>
      </c>
      <c r="P104" s="328">
        <f t="shared" si="90"/>
        <v>1</v>
      </c>
      <c r="Q104" s="328">
        <f t="shared" si="91"/>
        <v>13</v>
      </c>
      <c r="R104" s="329">
        <f t="shared" si="92"/>
        <v>0.9285714285714286</v>
      </c>
      <c r="S104" s="225">
        <v>12</v>
      </c>
      <c r="T104" s="226"/>
      <c r="U104" s="226"/>
      <c r="V104" s="226"/>
      <c r="W104" s="330">
        <f t="shared" si="93"/>
        <v>0</v>
      </c>
      <c r="X104" s="330">
        <f t="shared" si="94"/>
        <v>12</v>
      </c>
      <c r="Y104" s="331">
        <f t="shared" si="95"/>
        <v>1</v>
      </c>
      <c r="Z104" s="228">
        <v>21</v>
      </c>
      <c r="AA104" s="255"/>
      <c r="AB104" s="255"/>
      <c r="AC104" s="255"/>
      <c r="AD104" s="280">
        <f t="shared" si="96"/>
        <v>0</v>
      </c>
      <c r="AE104" s="280">
        <f t="shared" si="97"/>
        <v>21</v>
      </c>
      <c r="AF104" s="281">
        <f t="shared" si="98"/>
        <v>1</v>
      </c>
      <c r="AG104" s="229">
        <v>18</v>
      </c>
      <c r="AH104" s="257"/>
      <c r="AI104" s="257"/>
      <c r="AJ104" s="257"/>
      <c r="AK104" s="305">
        <f t="shared" si="99"/>
        <v>0</v>
      </c>
      <c r="AL104" s="305">
        <f t="shared" si="100"/>
        <v>18</v>
      </c>
      <c r="AM104" s="306">
        <f t="shared" si="101"/>
        <v>1</v>
      </c>
      <c r="AN104" s="230">
        <v>14</v>
      </c>
      <c r="AO104" s="259"/>
      <c r="AP104" s="259"/>
      <c r="AQ104" s="259"/>
      <c r="AR104" s="307">
        <f t="shared" si="102"/>
        <v>0</v>
      </c>
      <c r="AS104" s="307">
        <f t="shared" si="103"/>
        <v>14</v>
      </c>
      <c r="AT104" s="308">
        <f t="shared" si="104"/>
        <v>1</v>
      </c>
      <c r="AU104" s="289"/>
      <c r="AV104" s="289"/>
      <c r="AW104" s="289"/>
      <c r="AX104" s="290">
        <v>98</v>
      </c>
      <c r="AY104" s="289">
        <f t="shared" si="105"/>
        <v>98</v>
      </c>
      <c r="AZ104" s="291">
        <f t="shared" si="106"/>
        <v>1</v>
      </c>
      <c r="BA104" s="310">
        <v>2</v>
      </c>
      <c r="BB104" s="386">
        <v>82</v>
      </c>
      <c r="BC104" s="379">
        <f t="shared" si="107"/>
        <v>4</v>
      </c>
      <c r="BD104" s="378">
        <f t="shared" si="108"/>
        <v>0</v>
      </c>
      <c r="BE104" s="379"/>
      <c r="BF104" s="387">
        <f t="shared" si="86"/>
        <v>78</v>
      </c>
    </row>
    <row r="105" spans="1:58" x14ac:dyDescent="0.35">
      <c r="A105" s="196" t="s">
        <v>24</v>
      </c>
      <c r="B105" s="266">
        <v>232410084</v>
      </c>
      <c r="C105" s="261" t="s">
        <v>1539</v>
      </c>
      <c r="D105" s="245" t="s">
        <v>6</v>
      </c>
      <c r="E105" s="215">
        <v>19</v>
      </c>
      <c r="F105" s="217"/>
      <c r="G105" s="217"/>
      <c r="H105" s="217"/>
      <c r="I105" s="326">
        <f t="shared" si="87"/>
        <v>0</v>
      </c>
      <c r="J105" s="326">
        <f t="shared" si="88"/>
        <v>19</v>
      </c>
      <c r="K105" s="327">
        <f t="shared" si="89"/>
        <v>1</v>
      </c>
      <c r="L105" s="221">
        <v>14</v>
      </c>
      <c r="M105" s="222">
        <v>1</v>
      </c>
      <c r="N105" s="223"/>
      <c r="O105" s="222"/>
      <c r="P105" s="328">
        <f t="shared" si="90"/>
        <v>1</v>
      </c>
      <c r="Q105" s="328">
        <f t="shared" si="91"/>
        <v>13</v>
      </c>
      <c r="R105" s="329">
        <f t="shared" si="92"/>
        <v>0.9285714285714286</v>
      </c>
      <c r="S105" s="225">
        <v>12</v>
      </c>
      <c r="T105" s="226"/>
      <c r="U105" s="226"/>
      <c r="V105" s="226"/>
      <c r="W105" s="330">
        <f t="shared" si="93"/>
        <v>0</v>
      </c>
      <c r="X105" s="330">
        <f t="shared" si="94"/>
        <v>12</v>
      </c>
      <c r="Y105" s="331">
        <f t="shared" si="95"/>
        <v>1</v>
      </c>
      <c r="Z105" s="228">
        <v>21</v>
      </c>
      <c r="AA105" s="255"/>
      <c r="AB105" s="255"/>
      <c r="AC105" s="255"/>
      <c r="AD105" s="280">
        <f t="shared" si="96"/>
        <v>0</v>
      </c>
      <c r="AE105" s="280">
        <f t="shared" si="97"/>
        <v>21</v>
      </c>
      <c r="AF105" s="281">
        <f t="shared" si="98"/>
        <v>1</v>
      </c>
      <c r="AG105" s="229">
        <v>18</v>
      </c>
      <c r="AH105" s="257"/>
      <c r="AI105" s="257"/>
      <c r="AJ105" s="257"/>
      <c r="AK105" s="305">
        <f t="shared" si="99"/>
        <v>0</v>
      </c>
      <c r="AL105" s="305">
        <f t="shared" si="100"/>
        <v>18</v>
      </c>
      <c r="AM105" s="306">
        <f t="shared" si="101"/>
        <v>1</v>
      </c>
      <c r="AN105" s="230">
        <v>14</v>
      </c>
      <c r="AO105" s="259"/>
      <c r="AP105" s="259"/>
      <c r="AQ105" s="259"/>
      <c r="AR105" s="307">
        <f t="shared" si="102"/>
        <v>0</v>
      </c>
      <c r="AS105" s="307">
        <f t="shared" si="103"/>
        <v>14</v>
      </c>
      <c r="AT105" s="308">
        <f t="shared" si="104"/>
        <v>1</v>
      </c>
      <c r="AU105" s="289"/>
      <c r="AV105" s="289"/>
      <c r="AW105" s="289"/>
      <c r="AX105" s="290">
        <v>98</v>
      </c>
      <c r="AY105" s="289">
        <f t="shared" si="105"/>
        <v>98</v>
      </c>
      <c r="AZ105" s="291">
        <f t="shared" si="106"/>
        <v>1</v>
      </c>
      <c r="BA105" s="310">
        <v>4</v>
      </c>
      <c r="BB105" s="386">
        <v>74</v>
      </c>
      <c r="BC105" s="379">
        <f t="shared" si="107"/>
        <v>8</v>
      </c>
      <c r="BD105" s="378">
        <f t="shared" si="108"/>
        <v>0</v>
      </c>
      <c r="BE105" s="379"/>
      <c r="BF105" s="387">
        <f t="shared" si="86"/>
        <v>66</v>
      </c>
    </row>
    <row r="106" spans="1:58" x14ac:dyDescent="0.35">
      <c r="A106" s="196" t="s">
        <v>25</v>
      </c>
      <c r="B106" s="266">
        <v>232410085</v>
      </c>
      <c r="C106" s="261" t="s">
        <v>1540</v>
      </c>
      <c r="D106" s="245" t="s">
        <v>6</v>
      </c>
      <c r="E106" s="215">
        <v>19</v>
      </c>
      <c r="F106" s="217">
        <v>1</v>
      </c>
      <c r="G106" s="218"/>
      <c r="H106" s="217"/>
      <c r="I106" s="326">
        <f t="shared" si="87"/>
        <v>1</v>
      </c>
      <c r="J106" s="326">
        <f t="shared" si="88"/>
        <v>18</v>
      </c>
      <c r="K106" s="327">
        <f t="shared" si="89"/>
        <v>0.94736842105263153</v>
      </c>
      <c r="L106" s="221">
        <v>14</v>
      </c>
      <c r="M106" s="223"/>
      <c r="N106" s="223">
        <v>4</v>
      </c>
      <c r="O106" s="223"/>
      <c r="P106" s="328">
        <f t="shared" si="90"/>
        <v>4</v>
      </c>
      <c r="Q106" s="328">
        <f t="shared" si="91"/>
        <v>10</v>
      </c>
      <c r="R106" s="329">
        <f t="shared" si="92"/>
        <v>0.7142857142857143</v>
      </c>
      <c r="S106" s="225">
        <v>12</v>
      </c>
      <c r="T106" s="226"/>
      <c r="U106" s="226"/>
      <c r="V106" s="226">
        <v>1</v>
      </c>
      <c r="W106" s="330">
        <f t="shared" si="93"/>
        <v>1</v>
      </c>
      <c r="X106" s="330">
        <f t="shared" si="94"/>
        <v>11</v>
      </c>
      <c r="Y106" s="331">
        <f t="shared" si="95"/>
        <v>1.0909090909090908</v>
      </c>
      <c r="Z106" s="228">
        <v>21</v>
      </c>
      <c r="AA106" s="255"/>
      <c r="AB106" s="255"/>
      <c r="AC106" s="255"/>
      <c r="AD106" s="280">
        <f t="shared" si="96"/>
        <v>0</v>
      </c>
      <c r="AE106" s="280">
        <f t="shared" si="97"/>
        <v>21</v>
      </c>
      <c r="AF106" s="281">
        <f t="shared" si="98"/>
        <v>1</v>
      </c>
      <c r="AG106" s="229">
        <v>18</v>
      </c>
      <c r="AH106" s="257"/>
      <c r="AI106" s="257"/>
      <c r="AJ106" s="257"/>
      <c r="AK106" s="305">
        <f t="shared" si="99"/>
        <v>0</v>
      </c>
      <c r="AL106" s="305">
        <f t="shared" si="100"/>
        <v>18</v>
      </c>
      <c r="AM106" s="306">
        <f t="shared" si="101"/>
        <v>1</v>
      </c>
      <c r="AN106" s="230">
        <v>14</v>
      </c>
      <c r="AO106" s="259"/>
      <c r="AP106" s="259"/>
      <c r="AQ106" s="259"/>
      <c r="AR106" s="307">
        <f t="shared" si="102"/>
        <v>0</v>
      </c>
      <c r="AS106" s="307">
        <f t="shared" si="103"/>
        <v>14</v>
      </c>
      <c r="AT106" s="308">
        <f t="shared" si="104"/>
        <v>1</v>
      </c>
      <c r="AU106" s="289"/>
      <c r="AV106" s="289"/>
      <c r="AW106" s="289"/>
      <c r="AX106" s="290">
        <v>98</v>
      </c>
      <c r="AY106" s="289">
        <f t="shared" si="105"/>
        <v>98</v>
      </c>
      <c r="AZ106" s="291">
        <f t="shared" si="106"/>
        <v>1</v>
      </c>
      <c r="BA106" s="310">
        <v>6</v>
      </c>
      <c r="BB106" s="386">
        <v>96</v>
      </c>
      <c r="BC106" s="379">
        <f t="shared" si="107"/>
        <v>12</v>
      </c>
      <c r="BD106" s="378">
        <f t="shared" si="108"/>
        <v>0</v>
      </c>
      <c r="BE106" s="379"/>
      <c r="BF106" s="387">
        <f t="shared" si="86"/>
        <v>84</v>
      </c>
    </row>
    <row r="107" spans="1:58" x14ac:dyDescent="0.35">
      <c r="A107" s="196" t="s">
        <v>26</v>
      </c>
      <c r="B107" s="266">
        <v>232410086</v>
      </c>
      <c r="C107" s="261" t="s">
        <v>1541</v>
      </c>
      <c r="D107" s="245" t="s">
        <v>8</v>
      </c>
      <c r="E107" s="215">
        <v>19</v>
      </c>
      <c r="F107" s="217"/>
      <c r="G107" s="217"/>
      <c r="H107" s="217"/>
      <c r="I107" s="326">
        <f t="shared" si="87"/>
        <v>0</v>
      </c>
      <c r="J107" s="326">
        <f t="shared" si="88"/>
        <v>19</v>
      </c>
      <c r="K107" s="327">
        <f t="shared" si="89"/>
        <v>1</v>
      </c>
      <c r="L107" s="221">
        <v>14</v>
      </c>
      <c r="M107" s="223"/>
      <c r="N107" s="222"/>
      <c r="O107" s="222"/>
      <c r="P107" s="328">
        <f t="shared" si="90"/>
        <v>0</v>
      </c>
      <c r="Q107" s="328">
        <f t="shared" si="91"/>
        <v>14</v>
      </c>
      <c r="R107" s="329">
        <f t="shared" si="92"/>
        <v>1</v>
      </c>
      <c r="S107" s="225">
        <v>12</v>
      </c>
      <c r="T107" s="226"/>
      <c r="U107" s="226"/>
      <c r="V107" s="226">
        <v>1</v>
      </c>
      <c r="W107" s="330">
        <f t="shared" si="93"/>
        <v>1</v>
      </c>
      <c r="X107" s="330">
        <f t="shared" si="94"/>
        <v>11</v>
      </c>
      <c r="Y107" s="331">
        <f t="shared" si="95"/>
        <v>1.0909090909090908</v>
      </c>
      <c r="Z107" s="228">
        <v>21</v>
      </c>
      <c r="AA107" s="255"/>
      <c r="AB107" s="255"/>
      <c r="AC107" s="255"/>
      <c r="AD107" s="280">
        <f t="shared" si="96"/>
        <v>0</v>
      </c>
      <c r="AE107" s="280">
        <f t="shared" si="97"/>
        <v>21</v>
      </c>
      <c r="AF107" s="281">
        <f t="shared" si="98"/>
        <v>1</v>
      </c>
      <c r="AG107" s="229">
        <v>18</v>
      </c>
      <c r="AH107" s="257"/>
      <c r="AI107" s="257"/>
      <c r="AJ107" s="257"/>
      <c r="AK107" s="305">
        <f t="shared" si="99"/>
        <v>0</v>
      </c>
      <c r="AL107" s="305">
        <f t="shared" si="100"/>
        <v>18</v>
      </c>
      <c r="AM107" s="306">
        <f t="shared" si="101"/>
        <v>1</v>
      </c>
      <c r="AN107" s="230">
        <v>14</v>
      </c>
      <c r="AO107" s="259"/>
      <c r="AP107" s="259"/>
      <c r="AQ107" s="259"/>
      <c r="AR107" s="307">
        <f t="shared" si="102"/>
        <v>0</v>
      </c>
      <c r="AS107" s="307">
        <f t="shared" si="103"/>
        <v>14</v>
      </c>
      <c r="AT107" s="308">
        <f t="shared" si="104"/>
        <v>1</v>
      </c>
      <c r="AU107" s="289"/>
      <c r="AV107" s="289"/>
      <c r="AW107" s="289"/>
      <c r="AX107" s="290">
        <v>98</v>
      </c>
      <c r="AY107" s="289">
        <f t="shared" si="105"/>
        <v>98</v>
      </c>
      <c r="AZ107" s="291">
        <f t="shared" si="106"/>
        <v>1</v>
      </c>
      <c r="BA107" s="310"/>
      <c r="BB107" s="386">
        <v>100</v>
      </c>
      <c r="BC107" s="379">
        <f t="shared" si="107"/>
        <v>0</v>
      </c>
      <c r="BD107" s="378">
        <f t="shared" si="108"/>
        <v>0</v>
      </c>
      <c r="BE107" s="379"/>
      <c r="BF107" s="387">
        <f t="shared" si="86"/>
        <v>100</v>
      </c>
    </row>
    <row r="108" spans="1:58" x14ac:dyDescent="0.35">
      <c r="A108" s="425" t="s">
        <v>27</v>
      </c>
      <c r="B108" s="266">
        <v>232410087</v>
      </c>
      <c r="C108" s="94" t="s">
        <v>1542</v>
      </c>
      <c r="D108" s="246" t="s">
        <v>8</v>
      </c>
      <c r="E108" s="215">
        <v>19</v>
      </c>
      <c r="F108" s="217"/>
      <c r="G108" s="217">
        <v>2</v>
      </c>
      <c r="H108" s="217">
        <v>1</v>
      </c>
      <c r="I108" s="326">
        <f t="shared" si="87"/>
        <v>3</v>
      </c>
      <c r="J108" s="326">
        <f t="shared" si="88"/>
        <v>16</v>
      </c>
      <c r="K108" s="327">
        <f t="shared" si="89"/>
        <v>0.84210526315789469</v>
      </c>
      <c r="L108" s="221">
        <v>14</v>
      </c>
      <c r="M108" s="222">
        <v>2</v>
      </c>
      <c r="N108" s="222"/>
      <c r="O108" s="223">
        <v>2</v>
      </c>
      <c r="P108" s="328">
        <f t="shared" si="90"/>
        <v>4</v>
      </c>
      <c r="Q108" s="328">
        <f t="shared" si="91"/>
        <v>10</v>
      </c>
      <c r="R108" s="329">
        <f t="shared" si="92"/>
        <v>0.7142857142857143</v>
      </c>
      <c r="S108" s="225">
        <v>12</v>
      </c>
      <c r="T108" s="226"/>
      <c r="U108" s="226"/>
      <c r="V108" s="226">
        <v>1</v>
      </c>
      <c r="W108" s="330">
        <f t="shared" si="93"/>
        <v>1</v>
      </c>
      <c r="X108" s="330">
        <f t="shared" si="94"/>
        <v>11</v>
      </c>
      <c r="Y108" s="331">
        <f t="shared" si="95"/>
        <v>1.0909090909090908</v>
      </c>
      <c r="Z108" s="228">
        <v>21</v>
      </c>
      <c r="AA108" s="255"/>
      <c r="AB108" s="255"/>
      <c r="AC108" s="255"/>
      <c r="AD108" s="280">
        <f t="shared" si="96"/>
        <v>0</v>
      </c>
      <c r="AE108" s="280">
        <f t="shared" si="97"/>
        <v>21</v>
      </c>
      <c r="AF108" s="281">
        <f t="shared" si="98"/>
        <v>1</v>
      </c>
      <c r="AG108" s="229">
        <v>18</v>
      </c>
      <c r="AH108" s="257"/>
      <c r="AI108" s="257"/>
      <c r="AJ108" s="257"/>
      <c r="AK108" s="305">
        <f t="shared" si="99"/>
        <v>0</v>
      </c>
      <c r="AL108" s="305">
        <f t="shared" si="100"/>
        <v>18</v>
      </c>
      <c r="AM108" s="306">
        <f t="shared" si="101"/>
        <v>1</v>
      </c>
      <c r="AN108" s="230">
        <v>14</v>
      </c>
      <c r="AO108" s="259"/>
      <c r="AP108" s="259"/>
      <c r="AQ108" s="259"/>
      <c r="AR108" s="307">
        <f t="shared" si="102"/>
        <v>0</v>
      </c>
      <c r="AS108" s="307">
        <f t="shared" si="103"/>
        <v>14</v>
      </c>
      <c r="AT108" s="308">
        <f t="shared" si="104"/>
        <v>1</v>
      </c>
      <c r="AU108" s="344"/>
      <c r="AV108" s="344"/>
      <c r="AW108" s="344"/>
      <c r="AX108" s="290">
        <v>98</v>
      </c>
      <c r="AY108" s="344">
        <f t="shared" si="105"/>
        <v>98</v>
      </c>
      <c r="AZ108" s="424">
        <f t="shared" si="106"/>
        <v>1</v>
      </c>
      <c r="BA108" s="314"/>
      <c r="BB108" s="386">
        <v>82</v>
      </c>
      <c r="BC108" s="379">
        <f t="shared" si="107"/>
        <v>0</v>
      </c>
      <c r="BD108" s="378">
        <f t="shared" si="108"/>
        <v>0</v>
      </c>
      <c r="BE108" s="379"/>
      <c r="BF108" s="387">
        <f t="shared" si="86"/>
        <v>82</v>
      </c>
    </row>
    <row r="109" spans="1:58" x14ac:dyDescent="0.35">
      <c r="A109" s="425" t="s">
        <v>29</v>
      </c>
      <c r="B109" s="266">
        <v>232410089</v>
      </c>
      <c r="C109" s="94" t="s">
        <v>1543</v>
      </c>
      <c r="D109" s="246" t="s">
        <v>6</v>
      </c>
      <c r="E109" s="215">
        <v>19</v>
      </c>
      <c r="F109" s="217">
        <v>1</v>
      </c>
      <c r="G109" s="217">
        <v>3</v>
      </c>
      <c r="H109" s="217">
        <v>4</v>
      </c>
      <c r="I109" s="326">
        <f t="shared" si="87"/>
        <v>8</v>
      </c>
      <c r="J109" s="326">
        <f t="shared" si="88"/>
        <v>11</v>
      </c>
      <c r="K109" s="327">
        <f t="shared" si="89"/>
        <v>0.57894736842105265</v>
      </c>
      <c r="L109" s="221">
        <v>14</v>
      </c>
      <c r="M109" s="222"/>
      <c r="N109" s="223"/>
      <c r="O109" s="223">
        <v>2</v>
      </c>
      <c r="P109" s="328">
        <f t="shared" si="90"/>
        <v>2</v>
      </c>
      <c r="Q109" s="328">
        <f t="shared" si="91"/>
        <v>12</v>
      </c>
      <c r="R109" s="329">
        <f t="shared" si="92"/>
        <v>0.8571428571428571</v>
      </c>
      <c r="S109" s="225">
        <v>12</v>
      </c>
      <c r="T109" s="226"/>
      <c r="U109" s="226"/>
      <c r="V109" s="226">
        <v>4</v>
      </c>
      <c r="W109" s="330">
        <f t="shared" si="93"/>
        <v>4</v>
      </c>
      <c r="X109" s="330">
        <f t="shared" si="94"/>
        <v>8</v>
      </c>
      <c r="Y109" s="331">
        <f t="shared" si="95"/>
        <v>1.5</v>
      </c>
      <c r="Z109" s="228">
        <v>21</v>
      </c>
      <c r="AA109" s="255"/>
      <c r="AB109" s="255"/>
      <c r="AC109" s="255"/>
      <c r="AD109" s="280">
        <f t="shared" si="96"/>
        <v>0</v>
      </c>
      <c r="AE109" s="280">
        <f t="shared" si="97"/>
        <v>21</v>
      </c>
      <c r="AF109" s="281">
        <f t="shared" si="98"/>
        <v>1</v>
      </c>
      <c r="AG109" s="229">
        <v>18</v>
      </c>
      <c r="AH109" s="257"/>
      <c r="AI109" s="257"/>
      <c r="AJ109" s="257"/>
      <c r="AK109" s="305">
        <f t="shared" si="99"/>
        <v>0</v>
      </c>
      <c r="AL109" s="305">
        <f t="shared" si="100"/>
        <v>18</v>
      </c>
      <c r="AM109" s="306">
        <f t="shared" si="101"/>
        <v>1</v>
      </c>
      <c r="AN109" s="230">
        <v>14</v>
      </c>
      <c r="AO109" s="259"/>
      <c r="AP109" s="259"/>
      <c r="AQ109" s="259"/>
      <c r="AR109" s="307">
        <f t="shared" si="102"/>
        <v>0</v>
      </c>
      <c r="AS109" s="307">
        <f t="shared" si="103"/>
        <v>14</v>
      </c>
      <c r="AT109" s="308">
        <f t="shared" si="104"/>
        <v>1</v>
      </c>
      <c r="AU109" s="344"/>
      <c r="AV109" s="344"/>
      <c r="AW109" s="344"/>
      <c r="AX109" s="290">
        <v>98</v>
      </c>
      <c r="AY109" s="344">
        <f t="shared" si="105"/>
        <v>98</v>
      </c>
      <c r="AZ109" s="424">
        <f t="shared" si="106"/>
        <v>1</v>
      </c>
      <c r="BA109" s="314">
        <v>2</v>
      </c>
      <c r="BB109" s="386">
        <v>68</v>
      </c>
      <c r="BC109" s="379">
        <f t="shared" si="107"/>
        <v>4</v>
      </c>
      <c r="BD109" s="378">
        <f t="shared" si="108"/>
        <v>0</v>
      </c>
      <c r="BE109" s="379"/>
      <c r="BF109" s="387">
        <f t="shared" si="86"/>
        <v>64</v>
      </c>
    </row>
    <row r="110" spans="1:58" x14ac:dyDescent="0.35">
      <c r="A110" s="196" t="s">
        <v>30</v>
      </c>
      <c r="B110" s="266">
        <v>232410090</v>
      </c>
      <c r="C110" s="261" t="s">
        <v>1544</v>
      </c>
      <c r="D110" s="245" t="s">
        <v>6</v>
      </c>
      <c r="E110" s="215">
        <v>19</v>
      </c>
      <c r="F110" s="217"/>
      <c r="G110" s="217">
        <v>2</v>
      </c>
      <c r="H110" s="218"/>
      <c r="I110" s="326">
        <f t="shared" si="87"/>
        <v>2</v>
      </c>
      <c r="J110" s="326">
        <f t="shared" si="88"/>
        <v>17</v>
      </c>
      <c r="K110" s="327">
        <f t="shared" si="89"/>
        <v>0.89473684210526316</v>
      </c>
      <c r="L110" s="221">
        <v>14</v>
      </c>
      <c r="M110" s="222"/>
      <c r="N110" s="223"/>
      <c r="O110" s="223"/>
      <c r="P110" s="328">
        <f t="shared" si="90"/>
        <v>0</v>
      </c>
      <c r="Q110" s="328">
        <f t="shared" si="91"/>
        <v>14</v>
      </c>
      <c r="R110" s="329">
        <f t="shared" si="92"/>
        <v>1</v>
      </c>
      <c r="S110" s="225">
        <v>12</v>
      </c>
      <c r="T110" s="226"/>
      <c r="U110" s="226"/>
      <c r="V110" s="226"/>
      <c r="W110" s="330">
        <f t="shared" si="93"/>
        <v>0</v>
      </c>
      <c r="X110" s="330">
        <f t="shared" si="94"/>
        <v>12</v>
      </c>
      <c r="Y110" s="331">
        <f t="shared" si="95"/>
        <v>1</v>
      </c>
      <c r="Z110" s="228">
        <v>21</v>
      </c>
      <c r="AA110" s="255"/>
      <c r="AB110" s="255"/>
      <c r="AC110" s="255"/>
      <c r="AD110" s="280">
        <f t="shared" si="96"/>
        <v>0</v>
      </c>
      <c r="AE110" s="280">
        <f t="shared" si="97"/>
        <v>21</v>
      </c>
      <c r="AF110" s="281">
        <f t="shared" si="98"/>
        <v>1</v>
      </c>
      <c r="AG110" s="229">
        <v>18</v>
      </c>
      <c r="AH110" s="257"/>
      <c r="AI110" s="257"/>
      <c r="AJ110" s="257"/>
      <c r="AK110" s="305">
        <f t="shared" si="99"/>
        <v>0</v>
      </c>
      <c r="AL110" s="305">
        <f t="shared" si="100"/>
        <v>18</v>
      </c>
      <c r="AM110" s="306">
        <f t="shared" si="101"/>
        <v>1</v>
      </c>
      <c r="AN110" s="230">
        <v>14</v>
      </c>
      <c r="AO110" s="259"/>
      <c r="AP110" s="259"/>
      <c r="AQ110" s="259"/>
      <c r="AR110" s="307">
        <f t="shared" si="102"/>
        <v>0</v>
      </c>
      <c r="AS110" s="307">
        <f t="shared" si="103"/>
        <v>14</v>
      </c>
      <c r="AT110" s="308">
        <f t="shared" si="104"/>
        <v>1</v>
      </c>
      <c r="AU110" s="289"/>
      <c r="AV110" s="289"/>
      <c r="AW110" s="289"/>
      <c r="AX110" s="290">
        <v>98</v>
      </c>
      <c r="AY110" s="289">
        <f t="shared" si="105"/>
        <v>98</v>
      </c>
      <c r="AZ110" s="291">
        <f t="shared" si="106"/>
        <v>1</v>
      </c>
      <c r="BA110" s="310">
        <v>1</v>
      </c>
      <c r="BB110" s="386">
        <v>98</v>
      </c>
      <c r="BC110" s="379">
        <f t="shared" si="107"/>
        <v>2</v>
      </c>
      <c r="BD110" s="378">
        <f t="shared" si="108"/>
        <v>0</v>
      </c>
      <c r="BE110" s="379"/>
      <c r="BF110" s="387">
        <f t="shared" si="86"/>
        <v>96</v>
      </c>
    </row>
    <row r="111" spans="1:58" x14ac:dyDescent="0.35">
      <c r="A111" s="196" t="s">
        <v>31</v>
      </c>
      <c r="B111" s="266">
        <v>232410091</v>
      </c>
      <c r="C111" s="261" t="s">
        <v>1545</v>
      </c>
      <c r="D111" s="245" t="s">
        <v>8</v>
      </c>
      <c r="E111" s="215">
        <v>19</v>
      </c>
      <c r="F111" s="217"/>
      <c r="G111" s="217"/>
      <c r="H111" s="217"/>
      <c r="I111" s="326">
        <f t="shared" si="87"/>
        <v>0</v>
      </c>
      <c r="J111" s="326">
        <f t="shared" si="88"/>
        <v>19</v>
      </c>
      <c r="K111" s="327">
        <f t="shared" si="89"/>
        <v>1</v>
      </c>
      <c r="L111" s="221">
        <v>14</v>
      </c>
      <c r="M111" s="222"/>
      <c r="N111" s="223"/>
      <c r="O111" s="222">
        <v>1</v>
      </c>
      <c r="P111" s="328">
        <f t="shared" si="90"/>
        <v>1</v>
      </c>
      <c r="Q111" s="328">
        <f t="shared" si="91"/>
        <v>13</v>
      </c>
      <c r="R111" s="329">
        <f t="shared" si="92"/>
        <v>0.9285714285714286</v>
      </c>
      <c r="S111" s="225">
        <v>12</v>
      </c>
      <c r="T111" s="226"/>
      <c r="U111" s="226"/>
      <c r="V111" s="226"/>
      <c r="W111" s="330">
        <f t="shared" si="93"/>
        <v>0</v>
      </c>
      <c r="X111" s="330">
        <f t="shared" si="94"/>
        <v>12</v>
      </c>
      <c r="Y111" s="331">
        <f t="shared" si="95"/>
        <v>1</v>
      </c>
      <c r="Z111" s="228">
        <v>21</v>
      </c>
      <c r="AA111" s="255"/>
      <c r="AB111" s="255"/>
      <c r="AC111" s="255"/>
      <c r="AD111" s="280">
        <f t="shared" si="96"/>
        <v>0</v>
      </c>
      <c r="AE111" s="280">
        <f t="shared" si="97"/>
        <v>21</v>
      </c>
      <c r="AF111" s="281">
        <f t="shared" si="98"/>
        <v>1</v>
      </c>
      <c r="AG111" s="229">
        <v>18</v>
      </c>
      <c r="AH111" s="257"/>
      <c r="AI111" s="257"/>
      <c r="AJ111" s="257"/>
      <c r="AK111" s="305">
        <f t="shared" si="99"/>
        <v>0</v>
      </c>
      <c r="AL111" s="305">
        <f t="shared" si="100"/>
        <v>18</v>
      </c>
      <c r="AM111" s="306">
        <f t="shared" si="101"/>
        <v>1</v>
      </c>
      <c r="AN111" s="230">
        <v>14</v>
      </c>
      <c r="AO111" s="259"/>
      <c r="AP111" s="259"/>
      <c r="AQ111" s="259"/>
      <c r="AR111" s="307">
        <f t="shared" si="102"/>
        <v>0</v>
      </c>
      <c r="AS111" s="307">
        <f t="shared" si="103"/>
        <v>14</v>
      </c>
      <c r="AT111" s="308">
        <f t="shared" si="104"/>
        <v>1</v>
      </c>
      <c r="AU111" s="289"/>
      <c r="AV111" s="289"/>
      <c r="AW111" s="289"/>
      <c r="AX111" s="290">
        <v>98</v>
      </c>
      <c r="AY111" s="289">
        <f t="shared" si="105"/>
        <v>98</v>
      </c>
      <c r="AZ111" s="291">
        <f t="shared" si="106"/>
        <v>1</v>
      </c>
      <c r="BA111" s="310">
        <v>1</v>
      </c>
      <c r="BB111" s="386">
        <v>100</v>
      </c>
      <c r="BC111" s="379">
        <f t="shared" si="107"/>
        <v>2</v>
      </c>
      <c r="BD111" s="378">
        <f t="shared" si="108"/>
        <v>0</v>
      </c>
      <c r="BE111" s="379"/>
      <c r="BF111" s="387">
        <f t="shared" si="86"/>
        <v>98</v>
      </c>
    </row>
    <row r="112" spans="1:58" x14ac:dyDescent="0.35">
      <c r="A112" s="196" t="s">
        <v>32</v>
      </c>
      <c r="B112" s="266">
        <v>232410092</v>
      </c>
      <c r="C112" s="261" t="s">
        <v>1546</v>
      </c>
      <c r="D112" s="245" t="s">
        <v>8</v>
      </c>
      <c r="E112" s="215">
        <v>19</v>
      </c>
      <c r="F112" s="217">
        <v>1</v>
      </c>
      <c r="G112" s="217">
        <v>4</v>
      </c>
      <c r="H112" s="217"/>
      <c r="I112" s="326">
        <f t="shared" si="87"/>
        <v>5</v>
      </c>
      <c r="J112" s="326">
        <f t="shared" si="88"/>
        <v>14</v>
      </c>
      <c r="K112" s="327">
        <f t="shared" si="89"/>
        <v>0.73684210526315785</v>
      </c>
      <c r="L112" s="221">
        <v>14</v>
      </c>
      <c r="M112" s="222"/>
      <c r="N112" s="222"/>
      <c r="O112" s="223"/>
      <c r="P112" s="328">
        <f t="shared" si="90"/>
        <v>0</v>
      </c>
      <c r="Q112" s="328">
        <f t="shared" si="91"/>
        <v>14</v>
      </c>
      <c r="R112" s="329">
        <f t="shared" si="92"/>
        <v>1</v>
      </c>
      <c r="S112" s="225">
        <v>12</v>
      </c>
      <c r="T112" s="226"/>
      <c r="U112" s="226"/>
      <c r="V112" s="226"/>
      <c r="W112" s="330">
        <f t="shared" si="93"/>
        <v>0</v>
      </c>
      <c r="X112" s="330">
        <f t="shared" si="94"/>
        <v>12</v>
      </c>
      <c r="Y112" s="331">
        <f t="shared" si="95"/>
        <v>1</v>
      </c>
      <c r="Z112" s="228">
        <v>21</v>
      </c>
      <c r="AA112" s="255"/>
      <c r="AB112" s="255"/>
      <c r="AC112" s="255"/>
      <c r="AD112" s="280">
        <f t="shared" si="96"/>
        <v>0</v>
      </c>
      <c r="AE112" s="280">
        <f t="shared" si="97"/>
        <v>21</v>
      </c>
      <c r="AF112" s="281">
        <f t="shared" si="98"/>
        <v>1</v>
      </c>
      <c r="AG112" s="229">
        <v>18</v>
      </c>
      <c r="AH112" s="257"/>
      <c r="AI112" s="257"/>
      <c r="AJ112" s="257"/>
      <c r="AK112" s="305">
        <f t="shared" si="99"/>
        <v>0</v>
      </c>
      <c r="AL112" s="305">
        <f t="shared" si="100"/>
        <v>18</v>
      </c>
      <c r="AM112" s="306">
        <f t="shared" si="101"/>
        <v>1</v>
      </c>
      <c r="AN112" s="230">
        <v>14</v>
      </c>
      <c r="AO112" s="259"/>
      <c r="AP112" s="259"/>
      <c r="AQ112" s="259"/>
      <c r="AR112" s="307">
        <f t="shared" si="102"/>
        <v>0</v>
      </c>
      <c r="AS112" s="307">
        <f t="shared" si="103"/>
        <v>14</v>
      </c>
      <c r="AT112" s="308">
        <f t="shared" si="104"/>
        <v>1</v>
      </c>
      <c r="AU112" s="289"/>
      <c r="AV112" s="289"/>
      <c r="AW112" s="289"/>
      <c r="AX112" s="290">
        <v>98</v>
      </c>
      <c r="AY112" s="289">
        <f t="shared" si="105"/>
        <v>98</v>
      </c>
      <c r="AZ112" s="291">
        <f t="shared" si="106"/>
        <v>1</v>
      </c>
      <c r="BA112" s="310"/>
      <c r="BB112" s="386">
        <v>98</v>
      </c>
      <c r="BC112" s="379">
        <f t="shared" si="107"/>
        <v>0</v>
      </c>
      <c r="BD112" s="378">
        <f t="shared" si="108"/>
        <v>0</v>
      </c>
      <c r="BE112" s="379"/>
      <c r="BF112" s="387">
        <f t="shared" si="86"/>
        <v>98</v>
      </c>
    </row>
    <row r="113" spans="1:58" x14ac:dyDescent="0.35">
      <c r="A113" s="196" t="s">
        <v>33</v>
      </c>
      <c r="B113" s="266">
        <v>232410093</v>
      </c>
      <c r="C113" s="261" t="s">
        <v>1547</v>
      </c>
      <c r="D113" s="245" t="s">
        <v>8</v>
      </c>
      <c r="E113" s="215">
        <v>19</v>
      </c>
      <c r="F113" s="217">
        <v>1</v>
      </c>
      <c r="G113" s="217"/>
      <c r="H113" s="217"/>
      <c r="I113" s="326">
        <f t="shared" si="87"/>
        <v>1</v>
      </c>
      <c r="J113" s="326">
        <f t="shared" si="88"/>
        <v>18</v>
      </c>
      <c r="K113" s="327">
        <f t="shared" si="89"/>
        <v>0.94736842105263153</v>
      </c>
      <c r="L113" s="221">
        <v>14</v>
      </c>
      <c r="M113" s="222">
        <v>1</v>
      </c>
      <c r="N113" s="223"/>
      <c r="O113" s="223"/>
      <c r="P113" s="328">
        <f t="shared" si="90"/>
        <v>1</v>
      </c>
      <c r="Q113" s="328">
        <f t="shared" si="91"/>
        <v>13</v>
      </c>
      <c r="R113" s="329">
        <f t="shared" si="92"/>
        <v>0.9285714285714286</v>
      </c>
      <c r="S113" s="225">
        <v>12</v>
      </c>
      <c r="T113" s="226"/>
      <c r="U113" s="226"/>
      <c r="V113" s="226">
        <v>1</v>
      </c>
      <c r="W113" s="330">
        <f t="shared" si="93"/>
        <v>1</v>
      </c>
      <c r="X113" s="330">
        <f t="shared" si="94"/>
        <v>11</v>
      </c>
      <c r="Y113" s="331">
        <f t="shared" si="95"/>
        <v>1.0909090909090908</v>
      </c>
      <c r="Z113" s="228">
        <v>21</v>
      </c>
      <c r="AA113" s="255"/>
      <c r="AB113" s="255"/>
      <c r="AC113" s="255"/>
      <c r="AD113" s="280">
        <f t="shared" si="96"/>
        <v>0</v>
      </c>
      <c r="AE113" s="280">
        <f t="shared" si="97"/>
        <v>21</v>
      </c>
      <c r="AF113" s="281">
        <f t="shared" si="98"/>
        <v>1</v>
      </c>
      <c r="AG113" s="229">
        <v>18</v>
      </c>
      <c r="AH113" s="257"/>
      <c r="AI113" s="257"/>
      <c r="AJ113" s="257"/>
      <c r="AK113" s="305">
        <f t="shared" si="99"/>
        <v>0</v>
      </c>
      <c r="AL113" s="305">
        <f t="shared" si="100"/>
        <v>18</v>
      </c>
      <c r="AM113" s="306">
        <f t="shared" si="101"/>
        <v>1</v>
      </c>
      <c r="AN113" s="230">
        <v>14</v>
      </c>
      <c r="AO113" s="259"/>
      <c r="AP113" s="259"/>
      <c r="AQ113" s="259"/>
      <c r="AR113" s="307">
        <f t="shared" si="102"/>
        <v>0</v>
      </c>
      <c r="AS113" s="307">
        <f t="shared" si="103"/>
        <v>14</v>
      </c>
      <c r="AT113" s="308">
        <f t="shared" si="104"/>
        <v>1</v>
      </c>
      <c r="AU113" s="289"/>
      <c r="AV113" s="289"/>
      <c r="AW113" s="289"/>
      <c r="AX113" s="290">
        <v>98</v>
      </c>
      <c r="AY113" s="289">
        <f t="shared" si="105"/>
        <v>98</v>
      </c>
      <c r="AZ113" s="291">
        <f t="shared" si="106"/>
        <v>1</v>
      </c>
      <c r="BA113" s="310">
        <v>1</v>
      </c>
      <c r="BB113" s="386">
        <v>86</v>
      </c>
      <c r="BC113" s="379">
        <f t="shared" si="107"/>
        <v>2</v>
      </c>
      <c r="BD113" s="378">
        <f t="shared" si="108"/>
        <v>0</v>
      </c>
      <c r="BE113" s="379"/>
      <c r="BF113" s="387">
        <f t="shared" si="86"/>
        <v>84</v>
      </c>
    </row>
    <row r="114" spans="1:58" x14ac:dyDescent="0.35">
      <c r="A114" s="196" t="s">
        <v>34</v>
      </c>
      <c r="B114" s="266">
        <v>232410095</v>
      </c>
      <c r="C114" s="261" t="s">
        <v>1548</v>
      </c>
      <c r="D114" s="245" t="s">
        <v>6</v>
      </c>
      <c r="E114" s="215">
        <v>19</v>
      </c>
      <c r="F114" s="217"/>
      <c r="G114" s="217"/>
      <c r="H114" s="217"/>
      <c r="I114" s="326">
        <f t="shared" si="87"/>
        <v>0</v>
      </c>
      <c r="J114" s="326">
        <f t="shared" si="88"/>
        <v>19</v>
      </c>
      <c r="K114" s="327">
        <f t="shared" si="89"/>
        <v>1</v>
      </c>
      <c r="L114" s="221">
        <v>14</v>
      </c>
      <c r="M114" s="222"/>
      <c r="N114" s="223"/>
      <c r="O114" s="223"/>
      <c r="P114" s="328">
        <f t="shared" si="90"/>
        <v>0</v>
      </c>
      <c r="Q114" s="328">
        <f t="shared" si="91"/>
        <v>14</v>
      </c>
      <c r="R114" s="329">
        <f t="shared" si="92"/>
        <v>1</v>
      </c>
      <c r="S114" s="225">
        <v>12</v>
      </c>
      <c r="T114" s="226"/>
      <c r="U114" s="226"/>
      <c r="V114" s="226"/>
      <c r="W114" s="330">
        <f t="shared" si="93"/>
        <v>0</v>
      </c>
      <c r="X114" s="330">
        <f t="shared" si="94"/>
        <v>12</v>
      </c>
      <c r="Y114" s="331">
        <f t="shared" si="95"/>
        <v>1</v>
      </c>
      <c r="Z114" s="228">
        <v>21</v>
      </c>
      <c r="AA114" s="255"/>
      <c r="AB114" s="255"/>
      <c r="AC114" s="255"/>
      <c r="AD114" s="280">
        <f t="shared" si="96"/>
        <v>0</v>
      </c>
      <c r="AE114" s="280">
        <f t="shared" si="97"/>
        <v>21</v>
      </c>
      <c r="AF114" s="281">
        <f t="shared" si="98"/>
        <v>1</v>
      </c>
      <c r="AG114" s="229">
        <v>18</v>
      </c>
      <c r="AH114" s="257"/>
      <c r="AI114" s="257"/>
      <c r="AJ114" s="257"/>
      <c r="AK114" s="305">
        <f t="shared" si="99"/>
        <v>0</v>
      </c>
      <c r="AL114" s="305">
        <f t="shared" si="100"/>
        <v>18</v>
      </c>
      <c r="AM114" s="306">
        <f t="shared" si="101"/>
        <v>1</v>
      </c>
      <c r="AN114" s="230">
        <v>14</v>
      </c>
      <c r="AO114" s="259"/>
      <c r="AP114" s="259"/>
      <c r="AQ114" s="259"/>
      <c r="AR114" s="307">
        <f t="shared" si="102"/>
        <v>0</v>
      </c>
      <c r="AS114" s="307">
        <f t="shared" si="103"/>
        <v>14</v>
      </c>
      <c r="AT114" s="308">
        <f t="shared" si="104"/>
        <v>1</v>
      </c>
      <c r="AU114" s="289"/>
      <c r="AV114" s="289"/>
      <c r="AW114" s="289"/>
      <c r="AX114" s="290">
        <v>98</v>
      </c>
      <c r="AY114" s="289">
        <f t="shared" si="105"/>
        <v>98</v>
      </c>
      <c r="AZ114" s="291">
        <f t="shared" si="106"/>
        <v>1</v>
      </c>
      <c r="BA114" s="310"/>
      <c r="BB114" s="386">
        <v>100</v>
      </c>
      <c r="BC114" s="379">
        <f t="shared" si="107"/>
        <v>0</v>
      </c>
      <c r="BD114" s="378">
        <f t="shared" si="108"/>
        <v>0</v>
      </c>
      <c r="BE114" s="379"/>
      <c r="BF114" s="387">
        <f t="shared" si="86"/>
        <v>100</v>
      </c>
    </row>
    <row r="115" spans="1:58" x14ac:dyDescent="0.35">
      <c r="A115" s="196" t="s">
        <v>35</v>
      </c>
      <c r="B115" s="266">
        <v>232410096</v>
      </c>
      <c r="C115" s="261" t="s">
        <v>1549</v>
      </c>
      <c r="D115" s="245" t="s">
        <v>8</v>
      </c>
      <c r="E115" s="215">
        <v>19</v>
      </c>
      <c r="F115" s="217"/>
      <c r="G115" s="217"/>
      <c r="H115" s="217"/>
      <c r="I115" s="326">
        <f t="shared" si="87"/>
        <v>0</v>
      </c>
      <c r="J115" s="326">
        <f t="shared" si="88"/>
        <v>19</v>
      </c>
      <c r="K115" s="327">
        <f t="shared" si="89"/>
        <v>1</v>
      </c>
      <c r="L115" s="221">
        <v>14</v>
      </c>
      <c r="M115" s="222"/>
      <c r="N115" s="222"/>
      <c r="O115" s="222"/>
      <c r="P115" s="328">
        <f t="shared" si="90"/>
        <v>0</v>
      </c>
      <c r="Q115" s="328">
        <f t="shared" si="91"/>
        <v>14</v>
      </c>
      <c r="R115" s="329">
        <f t="shared" si="92"/>
        <v>1</v>
      </c>
      <c r="S115" s="225">
        <v>12</v>
      </c>
      <c r="T115" s="226"/>
      <c r="U115" s="226"/>
      <c r="V115" s="226"/>
      <c r="W115" s="330">
        <f t="shared" si="93"/>
        <v>0</v>
      </c>
      <c r="X115" s="330">
        <f t="shared" si="94"/>
        <v>12</v>
      </c>
      <c r="Y115" s="331">
        <f t="shared" si="95"/>
        <v>1</v>
      </c>
      <c r="Z115" s="228">
        <v>21</v>
      </c>
      <c r="AA115" s="255"/>
      <c r="AB115" s="255"/>
      <c r="AC115" s="255"/>
      <c r="AD115" s="280">
        <f t="shared" si="96"/>
        <v>0</v>
      </c>
      <c r="AE115" s="280">
        <f t="shared" si="97"/>
        <v>21</v>
      </c>
      <c r="AF115" s="281">
        <f t="shared" si="98"/>
        <v>1</v>
      </c>
      <c r="AG115" s="229">
        <v>18</v>
      </c>
      <c r="AH115" s="257"/>
      <c r="AI115" s="257"/>
      <c r="AJ115" s="257"/>
      <c r="AK115" s="305">
        <f t="shared" si="99"/>
        <v>0</v>
      </c>
      <c r="AL115" s="305">
        <f t="shared" si="100"/>
        <v>18</v>
      </c>
      <c r="AM115" s="306">
        <f t="shared" si="101"/>
        <v>1</v>
      </c>
      <c r="AN115" s="230">
        <v>14</v>
      </c>
      <c r="AO115" s="259"/>
      <c r="AP115" s="259"/>
      <c r="AQ115" s="259"/>
      <c r="AR115" s="307">
        <f t="shared" si="102"/>
        <v>0</v>
      </c>
      <c r="AS115" s="307">
        <f t="shared" si="103"/>
        <v>14</v>
      </c>
      <c r="AT115" s="308">
        <f t="shared" si="104"/>
        <v>1</v>
      </c>
      <c r="AU115" s="289"/>
      <c r="AV115" s="289"/>
      <c r="AW115" s="289"/>
      <c r="AX115" s="290">
        <v>98</v>
      </c>
      <c r="AY115" s="289">
        <f t="shared" si="105"/>
        <v>98</v>
      </c>
      <c r="AZ115" s="291">
        <f t="shared" si="106"/>
        <v>1</v>
      </c>
      <c r="BA115" s="310"/>
      <c r="BB115" s="386">
        <v>100</v>
      </c>
      <c r="BC115" s="379">
        <f t="shared" si="107"/>
        <v>0</v>
      </c>
      <c r="BD115" s="378">
        <f t="shared" si="108"/>
        <v>0</v>
      </c>
      <c r="BE115" s="379"/>
      <c r="BF115" s="387">
        <f t="shared" si="86"/>
        <v>100</v>
      </c>
    </row>
    <row r="116" spans="1:58" x14ac:dyDescent="0.35">
      <c r="A116" s="196" t="s">
        <v>36</v>
      </c>
      <c r="B116" s="266">
        <v>232410097</v>
      </c>
      <c r="C116" s="261" t="s">
        <v>1550</v>
      </c>
      <c r="D116" s="245" t="s">
        <v>8</v>
      </c>
      <c r="E116" s="215">
        <v>19</v>
      </c>
      <c r="F116" s="217"/>
      <c r="G116" s="217"/>
      <c r="H116" s="217"/>
      <c r="I116" s="326">
        <f t="shared" si="87"/>
        <v>0</v>
      </c>
      <c r="J116" s="326">
        <f t="shared" si="88"/>
        <v>19</v>
      </c>
      <c r="K116" s="327">
        <f t="shared" si="89"/>
        <v>1</v>
      </c>
      <c r="L116" s="221">
        <v>14</v>
      </c>
      <c r="M116" s="222"/>
      <c r="N116" s="223">
        <v>1</v>
      </c>
      <c r="O116" s="222">
        <v>1</v>
      </c>
      <c r="P116" s="328">
        <f t="shared" si="90"/>
        <v>2</v>
      </c>
      <c r="Q116" s="328">
        <f t="shared" si="91"/>
        <v>12</v>
      </c>
      <c r="R116" s="329">
        <f t="shared" si="92"/>
        <v>0.8571428571428571</v>
      </c>
      <c r="S116" s="225">
        <v>12</v>
      </c>
      <c r="T116" s="226">
        <v>1</v>
      </c>
      <c r="U116" s="226">
        <v>1</v>
      </c>
      <c r="V116" s="226"/>
      <c r="W116" s="330">
        <f t="shared" si="93"/>
        <v>2</v>
      </c>
      <c r="X116" s="330">
        <f t="shared" si="94"/>
        <v>10</v>
      </c>
      <c r="Y116" s="331">
        <f t="shared" si="95"/>
        <v>1.2</v>
      </c>
      <c r="Z116" s="228">
        <v>21</v>
      </c>
      <c r="AA116" s="255"/>
      <c r="AB116" s="255"/>
      <c r="AC116" s="255"/>
      <c r="AD116" s="280">
        <f t="shared" si="96"/>
        <v>0</v>
      </c>
      <c r="AE116" s="280">
        <f t="shared" si="97"/>
        <v>21</v>
      </c>
      <c r="AF116" s="281">
        <f t="shared" si="98"/>
        <v>1</v>
      </c>
      <c r="AG116" s="229">
        <v>18</v>
      </c>
      <c r="AH116" s="257"/>
      <c r="AI116" s="257"/>
      <c r="AJ116" s="257"/>
      <c r="AK116" s="305">
        <f t="shared" si="99"/>
        <v>0</v>
      </c>
      <c r="AL116" s="305">
        <f t="shared" si="100"/>
        <v>18</v>
      </c>
      <c r="AM116" s="306">
        <f t="shared" si="101"/>
        <v>1</v>
      </c>
      <c r="AN116" s="230">
        <v>14</v>
      </c>
      <c r="AO116" s="259"/>
      <c r="AP116" s="259"/>
      <c r="AQ116" s="259"/>
      <c r="AR116" s="307">
        <f t="shared" si="102"/>
        <v>0</v>
      </c>
      <c r="AS116" s="307">
        <f t="shared" si="103"/>
        <v>14</v>
      </c>
      <c r="AT116" s="308">
        <f t="shared" si="104"/>
        <v>1</v>
      </c>
      <c r="AU116" s="289"/>
      <c r="AV116" s="289"/>
      <c r="AW116" s="289"/>
      <c r="AX116" s="290">
        <v>98</v>
      </c>
      <c r="AY116" s="289">
        <f t="shared" si="105"/>
        <v>98</v>
      </c>
      <c r="AZ116" s="291">
        <f t="shared" si="106"/>
        <v>1</v>
      </c>
      <c r="BA116" s="310">
        <v>1</v>
      </c>
      <c r="BB116" s="386">
        <v>94</v>
      </c>
      <c r="BC116" s="379">
        <f t="shared" si="107"/>
        <v>2</v>
      </c>
      <c r="BD116" s="378">
        <f t="shared" si="108"/>
        <v>0</v>
      </c>
      <c r="BE116" s="379"/>
      <c r="BF116" s="387">
        <f t="shared" si="86"/>
        <v>92</v>
      </c>
    </row>
    <row r="117" spans="1:58" x14ac:dyDescent="0.35">
      <c r="A117" s="196" t="s">
        <v>37</v>
      </c>
      <c r="B117" s="266">
        <v>232410099</v>
      </c>
      <c r="C117" s="261" t="s">
        <v>1551</v>
      </c>
      <c r="D117" s="245" t="s">
        <v>6</v>
      </c>
      <c r="E117" s="215">
        <v>19</v>
      </c>
      <c r="F117" s="217">
        <v>1</v>
      </c>
      <c r="G117" s="217">
        <v>1</v>
      </c>
      <c r="H117" s="217">
        <v>1</v>
      </c>
      <c r="I117" s="326">
        <f t="shared" si="87"/>
        <v>3</v>
      </c>
      <c r="J117" s="326">
        <f t="shared" si="88"/>
        <v>16</v>
      </c>
      <c r="K117" s="327">
        <f t="shared" si="89"/>
        <v>0.84210526315789469</v>
      </c>
      <c r="L117" s="221">
        <v>14</v>
      </c>
      <c r="M117" s="222"/>
      <c r="N117" s="223">
        <v>1</v>
      </c>
      <c r="O117" s="223">
        <v>4</v>
      </c>
      <c r="P117" s="328">
        <f t="shared" si="90"/>
        <v>5</v>
      </c>
      <c r="Q117" s="328">
        <f t="shared" si="91"/>
        <v>9</v>
      </c>
      <c r="R117" s="329">
        <f t="shared" si="92"/>
        <v>0.6428571428571429</v>
      </c>
      <c r="S117" s="225">
        <v>12</v>
      </c>
      <c r="T117" s="226"/>
      <c r="U117" s="226"/>
      <c r="V117" s="226">
        <v>4</v>
      </c>
      <c r="W117" s="330">
        <f t="shared" si="93"/>
        <v>4</v>
      </c>
      <c r="X117" s="330">
        <f t="shared" si="94"/>
        <v>8</v>
      </c>
      <c r="Y117" s="331">
        <f t="shared" si="95"/>
        <v>1.5</v>
      </c>
      <c r="Z117" s="228">
        <v>21</v>
      </c>
      <c r="AA117" s="255"/>
      <c r="AB117" s="255"/>
      <c r="AC117" s="255"/>
      <c r="AD117" s="280">
        <f t="shared" si="96"/>
        <v>0</v>
      </c>
      <c r="AE117" s="280">
        <f t="shared" si="97"/>
        <v>21</v>
      </c>
      <c r="AF117" s="281">
        <f t="shared" si="98"/>
        <v>1</v>
      </c>
      <c r="AG117" s="229">
        <v>18</v>
      </c>
      <c r="AH117" s="257"/>
      <c r="AI117" s="257"/>
      <c r="AJ117" s="257"/>
      <c r="AK117" s="305">
        <f t="shared" si="99"/>
        <v>0</v>
      </c>
      <c r="AL117" s="305">
        <f t="shared" si="100"/>
        <v>18</v>
      </c>
      <c r="AM117" s="306">
        <f t="shared" si="101"/>
        <v>1</v>
      </c>
      <c r="AN117" s="230">
        <v>14</v>
      </c>
      <c r="AO117" s="259"/>
      <c r="AP117" s="259"/>
      <c r="AQ117" s="259"/>
      <c r="AR117" s="307">
        <f t="shared" si="102"/>
        <v>0</v>
      </c>
      <c r="AS117" s="307">
        <f t="shared" si="103"/>
        <v>14</v>
      </c>
      <c r="AT117" s="308">
        <f t="shared" si="104"/>
        <v>1</v>
      </c>
      <c r="AU117" s="289"/>
      <c r="AV117" s="289"/>
      <c r="AW117" s="289"/>
      <c r="AX117" s="290">
        <v>98</v>
      </c>
      <c r="AY117" s="289">
        <f t="shared" si="105"/>
        <v>98</v>
      </c>
      <c r="AZ117" s="291">
        <f t="shared" si="106"/>
        <v>1</v>
      </c>
      <c r="BA117" s="310">
        <v>1</v>
      </c>
      <c r="BB117" s="386">
        <v>80</v>
      </c>
      <c r="BC117" s="379">
        <f t="shared" si="107"/>
        <v>2</v>
      </c>
      <c r="BD117" s="378">
        <f t="shared" si="108"/>
        <v>0</v>
      </c>
      <c r="BE117" s="379"/>
      <c r="BF117" s="387">
        <f t="shared" si="86"/>
        <v>78</v>
      </c>
    </row>
    <row r="118" spans="1:58" x14ac:dyDescent="0.35">
      <c r="A118" s="196" t="s">
        <v>38</v>
      </c>
      <c r="B118" s="266">
        <v>232410098</v>
      </c>
      <c r="C118" s="261" t="s">
        <v>1552</v>
      </c>
      <c r="D118" s="245" t="s">
        <v>8</v>
      </c>
      <c r="E118" s="215">
        <v>19</v>
      </c>
      <c r="F118" s="217"/>
      <c r="G118" s="217"/>
      <c r="H118" s="217"/>
      <c r="I118" s="326">
        <f t="shared" si="87"/>
        <v>0</v>
      </c>
      <c r="J118" s="326">
        <f t="shared" si="88"/>
        <v>19</v>
      </c>
      <c r="K118" s="327">
        <f t="shared" si="89"/>
        <v>1</v>
      </c>
      <c r="L118" s="221">
        <v>14</v>
      </c>
      <c r="M118" s="222"/>
      <c r="N118" s="223"/>
      <c r="O118" s="222">
        <v>1</v>
      </c>
      <c r="P118" s="328">
        <f t="shared" si="90"/>
        <v>1</v>
      </c>
      <c r="Q118" s="328">
        <f t="shared" si="91"/>
        <v>13</v>
      </c>
      <c r="R118" s="329">
        <f t="shared" si="92"/>
        <v>0.9285714285714286</v>
      </c>
      <c r="S118" s="225">
        <v>12</v>
      </c>
      <c r="T118" s="226"/>
      <c r="U118" s="226"/>
      <c r="V118" s="226"/>
      <c r="W118" s="330">
        <f t="shared" si="93"/>
        <v>0</v>
      </c>
      <c r="X118" s="330">
        <f t="shared" si="94"/>
        <v>12</v>
      </c>
      <c r="Y118" s="331">
        <f t="shared" si="95"/>
        <v>1</v>
      </c>
      <c r="Z118" s="228">
        <v>21</v>
      </c>
      <c r="AA118" s="255"/>
      <c r="AB118" s="255"/>
      <c r="AC118" s="255"/>
      <c r="AD118" s="280">
        <f t="shared" si="96"/>
        <v>0</v>
      </c>
      <c r="AE118" s="280">
        <f t="shared" si="97"/>
        <v>21</v>
      </c>
      <c r="AF118" s="281">
        <f t="shared" si="98"/>
        <v>1</v>
      </c>
      <c r="AG118" s="229">
        <v>18</v>
      </c>
      <c r="AH118" s="257"/>
      <c r="AI118" s="257"/>
      <c r="AJ118" s="257"/>
      <c r="AK118" s="305">
        <f t="shared" si="99"/>
        <v>0</v>
      </c>
      <c r="AL118" s="305">
        <f t="shared" si="100"/>
        <v>18</v>
      </c>
      <c r="AM118" s="306">
        <f t="shared" si="101"/>
        <v>1</v>
      </c>
      <c r="AN118" s="230">
        <v>14</v>
      </c>
      <c r="AO118" s="259"/>
      <c r="AP118" s="259"/>
      <c r="AQ118" s="259"/>
      <c r="AR118" s="307">
        <f t="shared" si="102"/>
        <v>0</v>
      </c>
      <c r="AS118" s="307">
        <f t="shared" si="103"/>
        <v>14</v>
      </c>
      <c r="AT118" s="308">
        <f t="shared" si="104"/>
        <v>1</v>
      </c>
      <c r="AU118" s="289"/>
      <c r="AV118" s="289"/>
      <c r="AW118" s="289"/>
      <c r="AX118" s="290">
        <v>98</v>
      </c>
      <c r="AY118" s="289">
        <f t="shared" si="105"/>
        <v>98</v>
      </c>
      <c r="AZ118" s="291">
        <f t="shared" si="106"/>
        <v>1</v>
      </c>
      <c r="BA118" s="310">
        <v>1</v>
      </c>
      <c r="BB118" s="386">
        <v>98</v>
      </c>
      <c r="BC118" s="379">
        <f t="shared" si="107"/>
        <v>2</v>
      </c>
      <c r="BD118" s="378">
        <f t="shared" si="108"/>
        <v>0</v>
      </c>
      <c r="BE118" s="379"/>
      <c r="BF118" s="387">
        <f t="shared" si="86"/>
        <v>96</v>
      </c>
    </row>
    <row r="119" spans="1:58" x14ac:dyDescent="0.35">
      <c r="A119" s="196" t="s">
        <v>39</v>
      </c>
      <c r="B119" s="266">
        <v>232410100</v>
      </c>
      <c r="C119" s="261" t="s">
        <v>1553</v>
      </c>
      <c r="D119" s="245" t="s">
        <v>6</v>
      </c>
      <c r="E119" s="215">
        <v>19</v>
      </c>
      <c r="F119" s="217"/>
      <c r="G119" s="217"/>
      <c r="H119" s="217">
        <v>3</v>
      </c>
      <c r="I119" s="326">
        <f t="shared" si="87"/>
        <v>3</v>
      </c>
      <c r="J119" s="326">
        <f t="shared" si="88"/>
        <v>16</v>
      </c>
      <c r="K119" s="327">
        <f t="shared" si="89"/>
        <v>0.84210526315789469</v>
      </c>
      <c r="L119" s="221">
        <v>14</v>
      </c>
      <c r="M119" s="222"/>
      <c r="N119" s="222"/>
      <c r="O119" s="222">
        <v>3</v>
      </c>
      <c r="P119" s="328">
        <f t="shared" si="90"/>
        <v>3</v>
      </c>
      <c r="Q119" s="328">
        <f t="shared" si="91"/>
        <v>11</v>
      </c>
      <c r="R119" s="329">
        <f t="shared" si="92"/>
        <v>0.7857142857142857</v>
      </c>
      <c r="S119" s="225">
        <v>12</v>
      </c>
      <c r="T119" s="226"/>
      <c r="U119" s="226"/>
      <c r="V119" s="226">
        <v>5</v>
      </c>
      <c r="W119" s="330">
        <f t="shared" si="93"/>
        <v>5</v>
      </c>
      <c r="X119" s="330">
        <f t="shared" si="94"/>
        <v>7</v>
      </c>
      <c r="Y119" s="331">
        <f t="shared" si="95"/>
        <v>1.7142857142857142</v>
      </c>
      <c r="Z119" s="228">
        <v>21</v>
      </c>
      <c r="AA119" s="255"/>
      <c r="AB119" s="255"/>
      <c r="AC119" s="255"/>
      <c r="AD119" s="280">
        <f t="shared" si="96"/>
        <v>0</v>
      </c>
      <c r="AE119" s="280">
        <f t="shared" si="97"/>
        <v>21</v>
      </c>
      <c r="AF119" s="281">
        <f t="shared" si="98"/>
        <v>1</v>
      </c>
      <c r="AG119" s="229">
        <v>18</v>
      </c>
      <c r="AH119" s="257"/>
      <c r="AI119" s="257"/>
      <c r="AJ119" s="257"/>
      <c r="AK119" s="305">
        <f t="shared" si="99"/>
        <v>0</v>
      </c>
      <c r="AL119" s="305">
        <f t="shared" si="100"/>
        <v>18</v>
      </c>
      <c r="AM119" s="306">
        <f t="shared" si="101"/>
        <v>1</v>
      </c>
      <c r="AN119" s="230">
        <v>14</v>
      </c>
      <c r="AO119" s="259"/>
      <c r="AP119" s="259"/>
      <c r="AQ119" s="259"/>
      <c r="AR119" s="307">
        <f t="shared" si="102"/>
        <v>0</v>
      </c>
      <c r="AS119" s="307">
        <f t="shared" si="103"/>
        <v>14</v>
      </c>
      <c r="AT119" s="308">
        <f t="shared" si="104"/>
        <v>1</v>
      </c>
      <c r="AU119" s="289"/>
      <c r="AV119" s="289"/>
      <c r="AW119" s="289"/>
      <c r="AX119" s="290">
        <v>98</v>
      </c>
      <c r="AY119" s="289">
        <f t="shared" si="105"/>
        <v>98</v>
      </c>
      <c r="AZ119" s="291">
        <f t="shared" si="106"/>
        <v>1</v>
      </c>
      <c r="BA119" s="310">
        <v>1</v>
      </c>
      <c r="BB119" s="386">
        <v>90</v>
      </c>
      <c r="BC119" s="379">
        <f t="shared" si="107"/>
        <v>2</v>
      </c>
      <c r="BD119" s="378">
        <f t="shared" si="108"/>
        <v>0</v>
      </c>
      <c r="BE119" s="379"/>
      <c r="BF119" s="387">
        <f t="shared" si="86"/>
        <v>88</v>
      </c>
    </row>
    <row r="120" spans="1:58" x14ac:dyDescent="0.35">
      <c r="A120" s="196" t="s">
        <v>40</v>
      </c>
      <c r="B120" s="266">
        <v>232410101</v>
      </c>
      <c r="C120" s="261" t="s">
        <v>1554</v>
      </c>
      <c r="D120" s="245" t="s">
        <v>6</v>
      </c>
      <c r="E120" s="215">
        <v>19</v>
      </c>
      <c r="F120" s="217">
        <v>1</v>
      </c>
      <c r="G120" s="217"/>
      <c r="H120" s="217"/>
      <c r="I120" s="326">
        <f t="shared" si="87"/>
        <v>1</v>
      </c>
      <c r="J120" s="326">
        <f t="shared" si="88"/>
        <v>18</v>
      </c>
      <c r="K120" s="327">
        <f t="shared" si="89"/>
        <v>0.94736842105263153</v>
      </c>
      <c r="L120" s="221">
        <v>14</v>
      </c>
      <c r="M120" s="222"/>
      <c r="N120" s="223"/>
      <c r="O120" s="222"/>
      <c r="P120" s="328">
        <f t="shared" si="90"/>
        <v>0</v>
      </c>
      <c r="Q120" s="328">
        <f t="shared" si="91"/>
        <v>14</v>
      </c>
      <c r="R120" s="329">
        <f t="shared" si="92"/>
        <v>1</v>
      </c>
      <c r="S120" s="225">
        <v>12</v>
      </c>
      <c r="T120" s="226"/>
      <c r="U120" s="226"/>
      <c r="V120" s="226"/>
      <c r="W120" s="330">
        <f t="shared" si="93"/>
        <v>0</v>
      </c>
      <c r="X120" s="330">
        <f t="shared" si="94"/>
        <v>12</v>
      </c>
      <c r="Y120" s="331">
        <f t="shared" si="95"/>
        <v>1</v>
      </c>
      <c r="Z120" s="228">
        <v>21</v>
      </c>
      <c r="AA120" s="255"/>
      <c r="AB120" s="255"/>
      <c r="AC120" s="255"/>
      <c r="AD120" s="280">
        <f t="shared" si="96"/>
        <v>0</v>
      </c>
      <c r="AE120" s="280">
        <f t="shared" si="97"/>
        <v>21</v>
      </c>
      <c r="AF120" s="281">
        <f t="shared" si="98"/>
        <v>1</v>
      </c>
      <c r="AG120" s="229">
        <v>18</v>
      </c>
      <c r="AH120" s="257"/>
      <c r="AI120" s="257"/>
      <c r="AJ120" s="257"/>
      <c r="AK120" s="305">
        <f t="shared" si="99"/>
        <v>0</v>
      </c>
      <c r="AL120" s="305">
        <f t="shared" si="100"/>
        <v>18</v>
      </c>
      <c r="AM120" s="306">
        <f t="shared" si="101"/>
        <v>1</v>
      </c>
      <c r="AN120" s="230">
        <v>14</v>
      </c>
      <c r="AO120" s="259"/>
      <c r="AP120" s="259"/>
      <c r="AQ120" s="259"/>
      <c r="AR120" s="307">
        <f t="shared" si="102"/>
        <v>0</v>
      </c>
      <c r="AS120" s="307">
        <f t="shared" si="103"/>
        <v>14</v>
      </c>
      <c r="AT120" s="308">
        <f t="shared" si="104"/>
        <v>1</v>
      </c>
      <c r="AU120" s="289"/>
      <c r="AV120" s="289"/>
      <c r="AW120" s="289"/>
      <c r="AX120" s="290">
        <v>98</v>
      </c>
      <c r="AY120" s="289">
        <f t="shared" si="105"/>
        <v>98</v>
      </c>
      <c r="AZ120" s="291">
        <f t="shared" si="106"/>
        <v>1</v>
      </c>
      <c r="BA120" s="310"/>
      <c r="BB120" s="386">
        <v>100</v>
      </c>
      <c r="BC120" s="379">
        <f t="shared" si="107"/>
        <v>0</v>
      </c>
      <c r="BD120" s="378">
        <f t="shared" si="108"/>
        <v>0</v>
      </c>
      <c r="BE120" s="379"/>
      <c r="BF120" s="387">
        <f t="shared" si="86"/>
        <v>100</v>
      </c>
    </row>
    <row r="121" spans="1:58" x14ac:dyDescent="0.35">
      <c r="A121" s="196" t="s">
        <v>41</v>
      </c>
      <c r="B121" s="266">
        <v>232410102</v>
      </c>
      <c r="C121" s="261" t="s">
        <v>1555</v>
      </c>
      <c r="D121" s="245" t="s">
        <v>6</v>
      </c>
      <c r="E121" s="215">
        <v>19</v>
      </c>
      <c r="F121" s="217">
        <v>1</v>
      </c>
      <c r="G121" s="217"/>
      <c r="H121" s="217">
        <v>2</v>
      </c>
      <c r="I121" s="326">
        <f t="shared" si="87"/>
        <v>3</v>
      </c>
      <c r="J121" s="326">
        <f t="shared" si="88"/>
        <v>16</v>
      </c>
      <c r="K121" s="327">
        <f>J121/E127</f>
        <v>0.84210526315789469</v>
      </c>
      <c r="L121" s="221">
        <v>14</v>
      </c>
      <c r="M121" s="222">
        <v>2</v>
      </c>
      <c r="N121" s="223">
        <v>3</v>
      </c>
      <c r="O121" s="222">
        <v>2</v>
      </c>
      <c r="P121" s="328">
        <f t="shared" si="90"/>
        <v>7</v>
      </c>
      <c r="Q121" s="328">
        <f t="shared" si="91"/>
        <v>7</v>
      </c>
      <c r="R121" s="329">
        <f t="shared" si="92"/>
        <v>0.5</v>
      </c>
      <c r="S121" s="225">
        <v>12</v>
      </c>
      <c r="T121" s="226"/>
      <c r="U121" s="226"/>
      <c r="V121" s="226">
        <v>2</v>
      </c>
      <c r="W121" s="330">
        <f t="shared" si="93"/>
        <v>2</v>
      </c>
      <c r="X121" s="330">
        <f t="shared" si="94"/>
        <v>10</v>
      </c>
      <c r="Y121" s="331">
        <f t="shared" si="95"/>
        <v>1.2</v>
      </c>
      <c r="Z121" s="228">
        <v>21</v>
      </c>
      <c r="AA121" s="255"/>
      <c r="AB121" s="255"/>
      <c r="AC121" s="255"/>
      <c r="AD121" s="280">
        <f t="shared" si="96"/>
        <v>0</v>
      </c>
      <c r="AE121" s="280">
        <f t="shared" si="97"/>
        <v>21</v>
      </c>
      <c r="AF121" s="281">
        <f t="shared" si="98"/>
        <v>1</v>
      </c>
      <c r="AG121" s="229">
        <v>18</v>
      </c>
      <c r="AH121" s="257"/>
      <c r="AI121" s="257"/>
      <c r="AJ121" s="257"/>
      <c r="AK121" s="305">
        <f t="shared" si="99"/>
        <v>0</v>
      </c>
      <c r="AL121" s="305">
        <f t="shared" si="100"/>
        <v>18</v>
      </c>
      <c r="AM121" s="306">
        <f t="shared" si="101"/>
        <v>1</v>
      </c>
      <c r="AN121" s="230">
        <v>14</v>
      </c>
      <c r="AO121" s="259"/>
      <c r="AP121" s="259"/>
      <c r="AQ121" s="259"/>
      <c r="AR121" s="307">
        <f t="shared" si="102"/>
        <v>0</v>
      </c>
      <c r="AS121" s="307">
        <f t="shared" si="103"/>
        <v>14</v>
      </c>
      <c r="AT121" s="308">
        <f t="shared" si="104"/>
        <v>1</v>
      </c>
      <c r="AU121" s="289"/>
      <c r="AV121" s="289"/>
      <c r="AW121" s="289"/>
      <c r="AX121" s="290">
        <v>98</v>
      </c>
      <c r="AY121" s="289">
        <f t="shared" si="105"/>
        <v>98</v>
      </c>
      <c r="AZ121" s="291">
        <f t="shared" si="106"/>
        <v>1</v>
      </c>
      <c r="BA121" s="310">
        <v>2</v>
      </c>
      <c r="BB121" s="386">
        <v>80</v>
      </c>
      <c r="BC121" s="379">
        <f t="shared" si="107"/>
        <v>4</v>
      </c>
      <c r="BD121" s="378">
        <f t="shared" si="108"/>
        <v>0</v>
      </c>
      <c r="BE121" s="379"/>
      <c r="BF121" s="387">
        <f t="shared" si="86"/>
        <v>76</v>
      </c>
    </row>
    <row r="122" spans="1:58" x14ac:dyDescent="0.35">
      <c r="A122" s="196" t="s">
        <v>42</v>
      </c>
      <c r="B122" s="266">
        <v>232410103</v>
      </c>
      <c r="C122" s="261" t="s">
        <v>1556</v>
      </c>
      <c r="D122" s="245" t="s">
        <v>8</v>
      </c>
      <c r="E122" s="215">
        <v>19</v>
      </c>
      <c r="F122" s="217"/>
      <c r="G122" s="217">
        <v>2</v>
      </c>
      <c r="H122" s="217">
        <v>1</v>
      </c>
      <c r="I122" s="326">
        <f t="shared" si="87"/>
        <v>3</v>
      </c>
      <c r="J122" s="326">
        <f t="shared" si="88"/>
        <v>16</v>
      </c>
      <c r="K122" s="327">
        <f t="shared" si="89"/>
        <v>0.84210526315789469</v>
      </c>
      <c r="L122" s="221">
        <v>14</v>
      </c>
      <c r="M122" s="222">
        <v>1</v>
      </c>
      <c r="N122" s="223"/>
      <c r="O122" s="222"/>
      <c r="P122" s="328">
        <f t="shared" si="90"/>
        <v>1</v>
      </c>
      <c r="Q122" s="328">
        <f t="shared" si="91"/>
        <v>13</v>
      </c>
      <c r="R122" s="329">
        <f t="shared" si="92"/>
        <v>0.9285714285714286</v>
      </c>
      <c r="S122" s="225">
        <v>12</v>
      </c>
      <c r="T122" s="226">
        <v>1</v>
      </c>
      <c r="U122" s="226"/>
      <c r="V122" s="226"/>
      <c r="W122" s="330">
        <f t="shared" si="93"/>
        <v>1</v>
      </c>
      <c r="X122" s="330">
        <f t="shared" si="94"/>
        <v>11</v>
      </c>
      <c r="Y122" s="331">
        <f t="shared" si="95"/>
        <v>1.0909090909090908</v>
      </c>
      <c r="Z122" s="228">
        <v>21</v>
      </c>
      <c r="AA122" s="255"/>
      <c r="AB122" s="255"/>
      <c r="AC122" s="255"/>
      <c r="AD122" s="280">
        <f t="shared" si="96"/>
        <v>0</v>
      </c>
      <c r="AE122" s="280">
        <f t="shared" si="97"/>
        <v>21</v>
      </c>
      <c r="AF122" s="281">
        <f t="shared" si="98"/>
        <v>1</v>
      </c>
      <c r="AG122" s="229">
        <v>18</v>
      </c>
      <c r="AH122" s="257"/>
      <c r="AI122" s="257"/>
      <c r="AJ122" s="257"/>
      <c r="AK122" s="305">
        <f t="shared" si="99"/>
        <v>0</v>
      </c>
      <c r="AL122" s="305">
        <f t="shared" si="100"/>
        <v>18</v>
      </c>
      <c r="AM122" s="306">
        <f t="shared" si="101"/>
        <v>1</v>
      </c>
      <c r="AN122" s="230">
        <v>14</v>
      </c>
      <c r="AO122" s="259"/>
      <c r="AP122" s="259"/>
      <c r="AQ122" s="259"/>
      <c r="AR122" s="307">
        <f t="shared" si="102"/>
        <v>0</v>
      </c>
      <c r="AS122" s="307">
        <f t="shared" si="103"/>
        <v>14</v>
      </c>
      <c r="AT122" s="308">
        <f t="shared" si="104"/>
        <v>1</v>
      </c>
      <c r="AU122" s="289"/>
      <c r="AV122" s="289"/>
      <c r="AW122" s="289"/>
      <c r="AX122" s="290">
        <v>98</v>
      </c>
      <c r="AY122" s="289">
        <f t="shared" si="105"/>
        <v>98</v>
      </c>
      <c r="AZ122" s="291">
        <f t="shared" si="106"/>
        <v>1</v>
      </c>
      <c r="BA122" s="310">
        <v>1</v>
      </c>
      <c r="BB122" s="386">
        <v>100</v>
      </c>
      <c r="BC122" s="379">
        <f t="shared" si="107"/>
        <v>2</v>
      </c>
      <c r="BD122" s="378">
        <f t="shared" si="108"/>
        <v>0</v>
      </c>
      <c r="BE122" s="379"/>
      <c r="BF122" s="387">
        <f t="shared" si="86"/>
        <v>98</v>
      </c>
    </row>
    <row r="123" spans="1:58" x14ac:dyDescent="0.35">
      <c r="A123" s="196" t="s">
        <v>43</v>
      </c>
      <c r="B123" s="266">
        <v>232410104</v>
      </c>
      <c r="C123" s="261" t="s">
        <v>1557</v>
      </c>
      <c r="D123" s="245" t="s">
        <v>8</v>
      </c>
      <c r="E123" s="215">
        <v>19</v>
      </c>
      <c r="F123" s="217"/>
      <c r="G123" s="217"/>
      <c r="H123" s="217"/>
      <c r="I123" s="326">
        <f t="shared" si="87"/>
        <v>0</v>
      </c>
      <c r="J123" s="326">
        <f t="shared" si="88"/>
        <v>19</v>
      </c>
      <c r="K123" s="327">
        <f t="shared" si="89"/>
        <v>1</v>
      </c>
      <c r="L123" s="221">
        <v>14</v>
      </c>
      <c r="M123" s="222"/>
      <c r="N123" s="223"/>
      <c r="O123" s="222"/>
      <c r="P123" s="328">
        <f t="shared" si="90"/>
        <v>0</v>
      </c>
      <c r="Q123" s="328">
        <f t="shared" si="91"/>
        <v>14</v>
      </c>
      <c r="R123" s="329">
        <f t="shared" si="92"/>
        <v>1</v>
      </c>
      <c r="S123" s="225">
        <v>12</v>
      </c>
      <c r="T123" s="226"/>
      <c r="U123" s="226"/>
      <c r="V123" s="226"/>
      <c r="W123" s="330">
        <f t="shared" si="93"/>
        <v>0</v>
      </c>
      <c r="X123" s="330">
        <f t="shared" si="94"/>
        <v>12</v>
      </c>
      <c r="Y123" s="331">
        <f t="shared" si="95"/>
        <v>1</v>
      </c>
      <c r="Z123" s="228">
        <v>21</v>
      </c>
      <c r="AA123" s="255"/>
      <c r="AB123" s="255"/>
      <c r="AC123" s="255"/>
      <c r="AD123" s="280">
        <f t="shared" si="96"/>
        <v>0</v>
      </c>
      <c r="AE123" s="280">
        <f t="shared" si="97"/>
        <v>21</v>
      </c>
      <c r="AF123" s="281">
        <f t="shared" si="98"/>
        <v>1</v>
      </c>
      <c r="AG123" s="229">
        <v>18</v>
      </c>
      <c r="AH123" s="257"/>
      <c r="AI123" s="257"/>
      <c r="AJ123" s="257"/>
      <c r="AK123" s="305">
        <f t="shared" si="99"/>
        <v>0</v>
      </c>
      <c r="AL123" s="305">
        <f t="shared" si="100"/>
        <v>18</v>
      </c>
      <c r="AM123" s="306">
        <f t="shared" si="101"/>
        <v>1</v>
      </c>
      <c r="AN123" s="230">
        <v>14</v>
      </c>
      <c r="AO123" s="259"/>
      <c r="AP123" s="259"/>
      <c r="AQ123" s="259"/>
      <c r="AR123" s="307">
        <f t="shared" si="102"/>
        <v>0</v>
      </c>
      <c r="AS123" s="307">
        <f t="shared" si="103"/>
        <v>14</v>
      </c>
      <c r="AT123" s="308">
        <f t="shared" si="104"/>
        <v>1</v>
      </c>
      <c r="AU123" s="289"/>
      <c r="AV123" s="289"/>
      <c r="AW123" s="289"/>
      <c r="AX123" s="290">
        <v>98</v>
      </c>
      <c r="AY123" s="289">
        <f t="shared" si="105"/>
        <v>98</v>
      </c>
      <c r="AZ123" s="291">
        <f t="shared" si="106"/>
        <v>1</v>
      </c>
      <c r="BA123" s="310"/>
      <c r="BB123" s="386">
        <v>100</v>
      </c>
      <c r="BC123" s="379">
        <f t="shared" si="107"/>
        <v>0</v>
      </c>
      <c r="BD123" s="378">
        <f t="shared" si="108"/>
        <v>0</v>
      </c>
      <c r="BE123" s="379"/>
      <c r="BF123" s="387">
        <f t="shared" si="86"/>
        <v>100</v>
      </c>
    </row>
    <row r="124" spans="1:58" x14ac:dyDescent="0.35">
      <c r="A124" s="196" t="s">
        <v>44</v>
      </c>
      <c r="B124" s="266">
        <v>232410105</v>
      </c>
      <c r="C124" s="261" t="s">
        <v>1558</v>
      </c>
      <c r="D124" s="245" t="s">
        <v>8</v>
      </c>
      <c r="E124" s="215">
        <v>19</v>
      </c>
      <c r="F124" s="217"/>
      <c r="G124" s="217"/>
      <c r="H124" s="217"/>
      <c r="I124" s="326">
        <f t="shared" si="87"/>
        <v>0</v>
      </c>
      <c r="J124" s="326">
        <f t="shared" si="88"/>
        <v>19</v>
      </c>
      <c r="K124" s="327">
        <f>J124/E130</f>
        <v>1</v>
      </c>
      <c r="L124" s="221">
        <v>14</v>
      </c>
      <c r="M124" s="223"/>
      <c r="N124" s="223"/>
      <c r="O124" s="222"/>
      <c r="P124" s="328">
        <f t="shared" si="90"/>
        <v>0</v>
      </c>
      <c r="Q124" s="328">
        <f t="shared" si="91"/>
        <v>14</v>
      </c>
      <c r="R124" s="329">
        <f t="shared" si="92"/>
        <v>1</v>
      </c>
      <c r="S124" s="225">
        <v>12</v>
      </c>
      <c r="T124" s="226"/>
      <c r="U124" s="226"/>
      <c r="V124" s="226"/>
      <c r="W124" s="330">
        <f t="shared" si="93"/>
        <v>0</v>
      </c>
      <c r="X124" s="330">
        <f t="shared" si="94"/>
        <v>12</v>
      </c>
      <c r="Y124" s="331">
        <f t="shared" si="95"/>
        <v>1</v>
      </c>
      <c r="Z124" s="228">
        <v>21</v>
      </c>
      <c r="AA124" s="255"/>
      <c r="AB124" s="255"/>
      <c r="AC124" s="255"/>
      <c r="AD124" s="280">
        <f t="shared" si="96"/>
        <v>0</v>
      </c>
      <c r="AE124" s="280">
        <f t="shared" si="97"/>
        <v>21</v>
      </c>
      <c r="AF124" s="281">
        <f t="shared" si="98"/>
        <v>1</v>
      </c>
      <c r="AG124" s="229">
        <v>18</v>
      </c>
      <c r="AH124" s="257"/>
      <c r="AI124" s="257"/>
      <c r="AJ124" s="257"/>
      <c r="AK124" s="305">
        <f t="shared" si="99"/>
        <v>0</v>
      </c>
      <c r="AL124" s="305">
        <f t="shared" si="100"/>
        <v>18</v>
      </c>
      <c r="AM124" s="306">
        <f t="shared" si="101"/>
        <v>1</v>
      </c>
      <c r="AN124" s="230">
        <v>14</v>
      </c>
      <c r="AO124" s="259"/>
      <c r="AP124" s="259"/>
      <c r="AQ124" s="259"/>
      <c r="AR124" s="307">
        <f t="shared" si="102"/>
        <v>0</v>
      </c>
      <c r="AS124" s="307">
        <f t="shared" si="103"/>
        <v>14</v>
      </c>
      <c r="AT124" s="308">
        <f t="shared" si="104"/>
        <v>1</v>
      </c>
      <c r="AU124" s="289"/>
      <c r="AV124" s="289"/>
      <c r="AW124" s="289"/>
      <c r="AX124" s="290">
        <v>98</v>
      </c>
      <c r="AY124" s="289">
        <f t="shared" si="105"/>
        <v>98</v>
      </c>
      <c r="AZ124" s="291">
        <f t="shared" si="106"/>
        <v>1</v>
      </c>
      <c r="BA124" s="310">
        <v>1</v>
      </c>
      <c r="BB124" s="386">
        <v>90</v>
      </c>
      <c r="BC124" s="379">
        <f t="shared" si="107"/>
        <v>2</v>
      </c>
      <c r="BD124" s="378">
        <f t="shared" si="108"/>
        <v>0</v>
      </c>
      <c r="BE124" s="379"/>
      <c r="BF124" s="387">
        <f t="shared" si="86"/>
        <v>88</v>
      </c>
    </row>
    <row r="125" spans="1:58" x14ac:dyDescent="0.35">
      <c r="A125" s="196" t="s">
        <v>46</v>
      </c>
      <c r="B125" s="266">
        <v>232410107</v>
      </c>
      <c r="C125" s="261" t="s">
        <v>1559</v>
      </c>
      <c r="D125" s="245" t="s">
        <v>6</v>
      </c>
      <c r="E125" s="215">
        <v>19</v>
      </c>
      <c r="F125" s="217"/>
      <c r="G125" s="217"/>
      <c r="H125" s="217">
        <v>2</v>
      </c>
      <c r="I125" s="326">
        <f t="shared" si="87"/>
        <v>2</v>
      </c>
      <c r="J125" s="326">
        <f t="shared" si="88"/>
        <v>17</v>
      </c>
      <c r="K125" s="327">
        <f>J125/E125</f>
        <v>0.89473684210526316</v>
      </c>
      <c r="L125" s="221">
        <v>14</v>
      </c>
      <c r="M125" s="222"/>
      <c r="N125" s="223"/>
      <c r="O125" s="222"/>
      <c r="P125" s="328">
        <f t="shared" si="90"/>
        <v>0</v>
      </c>
      <c r="Q125" s="328">
        <f t="shared" si="91"/>
        <v>14</v>
      </c>
      <c r="R125" s="329">
        <f t="shared" si="92"/>
        <v>1</v>
      </c>
      <c r="S125" s="225">
        <v>12</v>
      </c>
      <c r="T125" s="226"/>
      <c r="U125" s="226"/>
      <c r="V125" s="226"/>
      <c r="W125" s="330">
        <f t="shared" si="93"/>
        <v>0</v>
      </c>
      <c r="X125" s="330">
        <f t="shared" si="94"/>
        <v>12</v>
      </c>
      <c r="Y125" s="331">
        <f t="shared" si="95"/>
        <v>1</v>
      </c>
      <c r="Z125" s="228">
        <v>21</v>
      </c>
      <c r="AA125" s="255"/>
      <c r="AB125" s="255"/>
      <c r="AC125" s="255"/>
      <c r="AD125" s="280">
        <f t="shared" si="96"/>
        <v>0</v>
      </c>
      <c r="AE125" s="280">
        <f t="shared" si="97"/>
        <v>21</v>
      </c>
      <c r="AF125" s="281">
        <f t="shared" si="98"/>
        <v>1</v>
      </c>
      <c r="AG125" s="229">
        <v>18</v>
      </c>
      <c r="AH125" s="257"/>
      <c r="AI125" s="257"/>
      <c r="AJ125" s="257"/>
      <c r="AK125" s="305">
        <f t="shared" si="99"/>
        <v>0</v>
      </c>
      <c r="AL125" s="305">
        <f t="shared" si="100"/>
        <v>18</v>
      </c>
      <c r="AM125" s="306">
        <f t="shared" si="101"/>
        <v>1</v>
      </c>
      <c r="AN125" s="230">
        <v>14</v>
      </c>
      <c r="AO125" s="259"/>
      <c r="AP125" s="259"/>
      <c r="AQ125" s="259"/>
      <c r="AR125" s="307">
        <f t="shared" si="102"/>
        <v>0</v>
      </c>
      <c r="AS125" s="307">
        <f t="shared" si="103"/>
        <v>14</v>
      </c>
      <c r="AT125" s="308">
        <f t="shared" si="104"/>
        <v>1</v>
      </c>
      <c r="AU125" s="289"/>
      <c r="AV125" s="289"/>
      <c r="AW125" s="289"/>
      <c r="AX125" s="290">
        <v>98</v>
      </c>
      <c r="AY125" s="289">
        <f t="shared" si="105"/>
        <v>98</v>
      </c>
      <c r="AZ125" s="291">
        <f t="shared" si="106"/>
        <v>1</v>
      </c>
      <c r="BA125" s="310"/>
      <c r="BB125" s="386">
        <v>98</v>
      </c>
      <c r="BC125" s="379">
        <f t="shared" si="107"/>
        <v>0</v>
      </c>
      <c r="BD125" s="378">
        <f t="shared" si="108"/>
        <v>0</v>
      </c>
      <c r="BE125" s="379"/>
      <c r="BF125" s="387">
        <f t="shared" si="86"/>
        <v>98</v>
      </c>
    </row>
    <row r="126" spans="1:58" x14ac:dyDescent="0.35">
      <c r="A126" s="196" t="s">
        <v>47</v>
      </c>
      <c r="B126" s="266">
        <v>232410108</v>
      </c>
      <c r="C126" s="261" t="s">
        <v>1560</v>
      </c>
      <c r="D126" s="245" t="s">
        <v>6</v>
      </c>
      <c r="E126" s="215">
        <v>19</v>
      </c>
      <c r="F126" s="217"/>
      <c r="G126" s="217"/>
      <c r="H126" s="217"/>
      <c r="I126" s="326">
        <f t="shared" si="87"/>
        <v>0</v>
      </c>
      <c r="J126" s="326">
        <f>E126-I126</f>
        <v>19</v>
      </c>
      <c r="K126" s="327">
        <f>J126/E126</f>
        <v>1</v>
      </c>
      <c r="L126" s="221">
        <v>14</v>
      </c>
      <c r="M126" s="222"/>
      <c r="N126" s="222">
        <v>2</v>
      </c>
      <c r="O126" s="222"/>
      <c r="P126" s="328">
        <f t="shared" si="90"/>
        <v>2</v>
      </c>
      <c r="Q126" s="328">
        <f t="shared" si="91"/>
        <v>12</v>
      </c>
      <c r="R126" s="329">
        <f t="shared" si="92"/>
        <v>0.8571428571428571</v>
      </c>
      <c r="S126" s="225">
        <v>12</v>
      </c>
      <c r="T126" s="226"/>
      <c r="U126" s="226"/>
      <c r="V126" s="226"/>
      <c r="W126" s="330">
        <f t="shared" si="93"/>
        <v>0</v>
      </c>
      <c r="X126" s="330">
        <f t="shared" si="94"/>
        <v>12</v>
      </c>
      <c r="Y126" s="331">
        <f t="shared" si="95"/>
        <v>1</v>
      </c>
      <c r="Z126" s="228">
        <v>21</v>
      </c>
      <c r="AA126" s="255"/>
      <c r="AB126" s="255"/>
      <c r="AC126" s="255"/>
      <c r="AD126" s="280">
        <f t="shared" si="96"/>
        <v>0</v>
      </c>
      <c r="AE126" s="280">
        <f t="shared" si="97"/>
        <v>21</v>
      </c>
      <c r="AF126" s="281">
        <f t="shared" si="98"/>
        <v>1</v>
      </c>
      <c r="AG126" s="229">
        <v>18</v>
      </c>
      <c r="AH126" s="257"/>
      <c r="AI126" s="257"/>
      <c r="AJ126" s="257"/>
      <c r="AK126" s="305">
        <f t="shared" si="99"/>
        <v>0</v>
      </c>
      <c r="AL126" s="305">
        <f t="shared" si="100"/>
        <v>18</v>
      </c>
      <c r="AM126" s="306">
        <f t="shared" si="101"/>
        <v>1</v>
      </c>
      <c r="AN126" s="230">
        <v>14</v>
      </c>
      <c r="AO126" s="259"/>
      <c r="AP126" s="259"/>
      <c r="AQ126" s="259"/>
      <c r="AR126" s="307">
        <f t="shared" si="102"/>
        <v>0</v>
      </c>
      <c r="AS126" s="307">
        <f t="shared" si="103"/>
        <v>14</v>
      </c>
      <c r="AT126" s="308">
        <f t="shared" si="104"/>
        <v>1</v>
      </c>
      <c r="AU126" s="289"/>
      <c r="AV126" s="289"/>
      <c r="AW126" s="289"/>
      <c r="AX126" s="290">
        <v>98</v>
      </c>
      <c r="AY126" s="289">
        <f t="shared" si="105"/>
        <v>98</v>
      </c>
      <c r="AZ126" s="291">
        <f t="shared" si="106"/>
        <v>1</v>
      </c>
      <c r="BA126" s="310"/>
      <c r="BB126" s="386">
        <v>100</v>
      </c>
      <c r="BC126" s="379">
        <f t="shared" si="107"/>
        <v>0</v>
      </c>
      <c r="BD126" s="378">
        <f t="shared" si="108"/>
        <v>0</v>
      </c>
      <c r="BE126" s="379"/>
      <c r="BF126" s="387">
        <f t="shared" si="86"/>
        <v>100</v>
      </c>
    </row>
    <row r="127" spans="1:58" x14ac:dyDescent="0.35">
      <c r="A127" s="196" t="s">
        <v>48</v>
      </c>
      <c r="B127" s="266">
        <v>232410110</v>
      </c>
      <c r="C127" s="261" t="s">
        <v>1561</v>
      </c>
      <c r="D127" s="245" t="s">
        <v>8</v>
      </c>
      <c r="E127" s="215">
        <v>19</v>
      </c>
      <c r="F127" s="217"/>
      <c r="G127" s="217">
        <v>1</v>
      </c>
      <c r="H127" s="217"/>
      <c r="I127" s="326">
        <f t="shared" si="87"/>
        <v>1</v>
      </c>
      <c r="J127" s="326">
        <f t="shared" ref="J127:J131" si="109">E127-I127</f>
        <v>18</v>
      </c>
      <c r="K127" s="327">
        <f t="shared" ref="K127:K131" si="110">J127/E127</f>
        <v>0.94736842105263153</v>
      </c>
      <c r="L127" s="221">
        <v>14</v>
      </c>
      <c r="M127" s="223">
        <v>1</v>
      </c>
      <c r="N127" s="223">
        <v>1</v>
      </c>
      <c r="O127" s="222"/>
      <c r="P127" s="328">
        <f t="shared" si="90"/>
        <v>2</v>
      </c>
      <c r="Q127" s="328">
        <f t="shared" si="91"/>
        <v>12</v>
      </c>
      <c r="R127" s="329">
        <f t="shared" si="92"/>
        <v>0.8571428571428571</v>
      </c>
      <c r="S127" s="225">
        <v>12</v>
      </c>
      <c r="T127" s="226"/>
      <c r="U127" s="226"/>
      <c r="V127" s="226"/>
      <c r="W127" s="330">
        <f t="shared" si="93"/>
        <v>0</v>
      </c>
      <c r="X127" s="330">
        <f t="shared" si="94"/>
        <v>12</v>
      </c>
      <c r="Y127" s="331">
        <f t="shared" si="95"/>
        <v>1</v>
      </c>
      <c r="Z127" s="228">
        <v>21</v>
      </c>
      <c r="AA127" s="255"/>
      <c r="AB127" s="255"/>
      <c r="AC127" s="255"/>
      <c r="AD127" s="280">
        <f t="shared" si="96"/>
        <v>0</v>
      </c>
      <c r="AE127" s="280">
        <f t="shared" si="97"/>
        <v>21</v>
      </c>
      <c r="AF127" s="281">
        <f t="shared" si="98"/>
        <v>1</v>
      </c>
      <c r="AG127" s="229">
        <v>18</v>
      </c>
      <c r="AH127" s="257"/>
      <c r="AI127" s="257"/>
      <c r="AJ127" s="257"/>
      <c r="AK127" s="305">
        <f t="shared" si="99"/>
        <v>0</v>
      </c>
      <c r="AL127" s="305">
        <f t="shared" si="100"/>
        <v>18</v>
      </c>
      <c r="AM127" s="306">
        <f t="shared" si="101"/>
        <v>1</v>
      </c>
      <c r="AN127" s="230">
        <v>14</v>
      </c>
      <c r="AO127" s="259"/>
      <c r="AP127" s="259"/>
      <c r="AQ127" s="259"/>
      <c r="AR127" s="307">
        <f t="shared" si="102"/>
        <v>0</v>
      </c>
      <c r="AS127" s="307">
        <f t="shared" si="103"/>
        <v>14</v>
      </c>
      <c r="AT127" s="308">
        <f t="shared" si="104"/>
        <v>1</v>
      </c>
      <c r="AU127" s="289"/>
      <c r="AV127" s="289"/>
      <c r="AW127" s="289"/>
      <c r="AX127" s="290">
        <v>98</v>
      </c>
      <c r="AY127" s="289">
        <f t="shared" si="105"/>
        <v>98</v>
      </c>
      <c r="AZ127" s="291">
        <f t="shared" si="106"/>
        <v>1</v>
      </c>
      <c r="BA127" s="310"/>
      <c r="BB127" s="386">
        <v>100</v>
      </c>
      <c r="BC127" s="379">
        <f t="shared" si="107"/>
        <v>0</v>
      </c>
      <c r="BD127" s="378">
        <f t="shared" si="108"/>
        <v>0</v>
      </c>
      <c r="BE127" s="379"/>
      <c r="BF127" s="387">
        <f t="shared" si="86"/>
        <v>100</v>
      </c>
    </row>
    <row r="128" spans="1:58" x14ac:dyDescent="0.35">
      <c r="A128" s="196" t="s">
        <v>49</v>
      </c>
      <c r="B128" s="266">
        <v>232410111</v>
      </c>
      <c r="C128" s="261" t="s">
        <v>1562</v>
      </c>
      <c r="D128" s="245" t="s">
        <v>8</v>
      </c>
      <c r="E128" s="215">
        <v>19</v>
      </c>
      <c r="F128" s="217">
        <v>1</v>
      </c>
      <c r="G128" s="217"/>
      <c r="H128" s="217"/>
      <c r="I128" s="326">
        <f t="shared" si="87"/>
        <v>1</v>
      </c>
      <c r="J128" s="326">
        <f t="shared" si="109"/>
        <v>18</v>
      </c>
      <c r="K128" s="327">
        <f t="shared" si="110"/>
        <v>0.94736842105263153</v>
      </c>
      <c r="L128" s="221">
        <v>14</v>
      </c>
      <c r="M128" s="223"/>
      <c r="N128" s="223"/>
      <c r="O128" s="223"/>
      <c r="P128" s="328">
        <f t="shared" si="90"/>
        <v>0</v>
      </c>
      <c r="Q128" s="328">
        <f t="shared" si="91"/>
        <v>14</v>
      </c>
      <c r="R128" s="329">
        <f t="shared" si="92"/>
        <v>1</v>
      </c>
      <c r="S128" s="225">
        <v>12</v>
      </c>
      <c r="T128" s="226">
        <v>1</v>
      </c>
      <c r="U128" s="226"/>
      <c r="V128" s="226"/>
      <c r="W128" s="330">
        <f t="shared" si="93"/>
        <v>1</v>
      </c>
      <c r="X128" s="330">
        <f t="shared" si="94"/>
        <v>11</v>
      </c>
      <c r="Y128" s="331">
        <f t="shared" si="95"/>
        <v>1.0909090909090908</v>
      </c>
      <c r="Z128" s="228">
        <v>21</v>
      </c>
      <c r="AA128" s="255"/>
      <c r="AB128" s="255"/>
      <c r="AC128" s="255"/>
      <c r="AD128" s="280">
        <f t="shared" si="96"/>
        <v>0</v>
      </c>
      <c r="AE128" s="280">
        <f t="shared" si="97"/>
        <v>21</v>
      </c>
      <c r="AF128" s="281">
        <f t="shared" si="98"/>
        <v>1</v>
      </c>
      <c r="AG128" s="229">
        <v>18</v>
      </c>
      <c r="AH128" s="257"/>
      <c r="AI128" s="257"/>
      <c r="AJ128" s="257"/>
      <c r="AK128" s="305">
        <f t="shared" si="99"/>
        <v>0</v>
      </c>
      <c r="AL128" s="305">
        <f t="shared" si="100"/>
        <v>18</v>
      </c>
      <c r="AM128" s="306">
        <f t="shared" si="101"/>
        <v>1</v>
      </c>
      <c r="AN128" s="230">
        <v>14</v>
      </c>
      <c r="AO128" s="259"/>
      <c r="AP128" s="259"/>
      <c r="AQ128" s="259"/>
      <c r="AR128" s="307">
        <f t="shared" si="102"/>
        <v>0</v>
      </c>
      <c r="AS128" s="307">
        <f t="shared" si="103"/>
        <v>14</v>
      </c>
      <c r="AT128" s="308">
        <f t="shared" si="104"/>
        <v>1</v>
      </c>
      <c r="AU128" s="289"/>
      <c r="AV128" s="289"/>
      <c r="AW128" s="289"/>
      <c r="AX128" s="290">
        <v>98</v>
      </c>
      <c r="AY128" s="289">
        <f t="shared" si="105"/>
        <v>98</v>
      </c>
      <c r="AZ128" s="291">
        <f t="shared" si="106"/>
        <v>1</v>
      </c>
      <c r="BA128" s="310"/>
      <c r="BB128" s="386">
        <v>100</v>
      </c>
      <c r="BC128" s="379">
        <f t="shared" si="107"/>
        <v>0</v>
      </c>
      <c r="BD128" s="378">
        <f t="shared" si="108"/>
        <v>0</v>
      </c>
      <c r="BE128" s="379"/>
      <c r="BF128" s="387">
        <f t="shared" si="86"/>
        <v>100</v>
      </c>
    </row>
    <row r="129" spans="1:58" x14ac:dyDescent="0.35">
      <c r="A129" s="196" t="s">
        <v>50</v>
      </c>
      <c r="B129" s="266">
        <v>232410112</v>
      </c>
      <c r="C129" s="261" t="s">
        <v>1563</v>
      </c>
      <c r="D129" s="245" t="s">
        <v>6</v>
      </c>
      <c r="E129" s="215">
        <v>19</v>
      </c>
      <c r="F129" s="217">
        <v>1</v>
      </c>
      <c r="G129" s="218">
        <v>2</v>
      </c>
      <c r="H129" s="217"/>
      <c r="I129" s="326">
        <f t="shared" si="87"/>
        <v>3</v>
      </c>
      <c r="J129" s="326">
        <f t="shared" si="109"/>
        <v>16</v>
      </c>
      <c r="K129" s="327">
        <f t="shared" si="110"/>
        <v>0.84210526315789469</v>
      </c>
      <c r="L129" s="221">
        <v>14</v>
      </c>
      <c r="M129" s="222">
        <v>1</v>
      </c>
      <c r="N129" s="222"/>
      <c r="O129" s="222">
        <v>2</v>
      </c>
      <c r="P129" s="328">
        <f t="shared" si="90"/>
        <v>3</v>
      </c>
      <c r="Q129" s="328">
        <f t="shared" si="91"/>
        <v>11</v>
      </c>
      <c r="R129" s="329">
        <f t="shared" si="92"/>
        <v>0.7857142857142857</v>
      </c>
      <c r="S129" s="225">
        <v>12</v>
      </c>
      <c r="T129" s="226"/>
      <c r="U129" s="226"/>
      <c r="V129" s="226">
        <v>1</v>
      </c>
      <c r="W129" s="330">
        <f t="shared" si="93"/>
        <v>1</v>
      </c>
      <c r="X129" s="330">
        <f t="shared" si="94"/>
        <v>11</v>
      </c>
      <c r="Y129" s="331">
        <f t="shared" si="95"/>
        <v>1.0909090909090908</v>
      </c>
      <c r="Z129" s="228">
        <v>21</v>
      </c>
      <c r="AA129" s="255"/>
      <c r="AB129" s="255"/>
      <c r="AC129" s="255"/>
      <c r="AD129" s="280">
        <f t="shared" si="96"/>
        <v>0</v>
      </c>
      <c r="AE129" s="280">
        <f t="shared" si="97"/>
        <v>21</v>
      </c>
      <c r="AF129" s="281">
        <f t="shared" si="98"/>
        <v>1</v>
      </c>
      <c r="AG129" s="229">
        <v>18</v>
      </c>
      <c r="AH129" s="257"/>
      <c r="AI129" s="257"/>
      <c r="AJ129" s="257"/>
      <c r="AK129" s="305">
        <f t="shared" si="99"/>
        <v>0</v>
      </c>
      <c r="AL129" s="305">
        <f t="shared" si="100"/>
        <v>18</v>
      </c>
      <c r="AM129" s="306">
        <f t="shared" si="101"/>
        <v>1</v>
      </c>
      <c r="AN129" s="230">
        <v>14</v>
      </c>
      <c r="AO129" s="259"/>
      <c r="AP129" s="259"/>
      <c r="AQ129" s="259"/>
      <c r="AR129" s="307">
        <f t="shared" si="102"/>
        <v>0</v>
      </c>
      <c r="AS129" s="307">
        <f t="shared" si="103"/>
        <v>14</v>
      </c>
      <c r="AT129" s="308">
        <f t="shared" si="104"/>
        <v>1</v>
      </c>
      <c r="AU129" s="289"/>
      <c r="AV129" s="289"/>
      <c r="AW129" s="289"/>
      <c r="AX129" s="290">
        <v>98</v>
      </c>
      <c r="AY129" s="289">
        <f t="shared" si="105"/>
        <v>98</v>
      </c>
      <c r="AZ129" s="291">
        <f t="shared" si="106"/>
        <v>1</v>
      </c>
      <c r="BA129" s="310">
        <v>4</v>
      </c>
      <c r="BB129" s="386">
        <v>84</v>
      </c>
      <c r="BC129" s="379">
        <f t="shared" si="107"/>
        <v>8</v>
      </c>
      <c r="BD129" s="378">
        <f t="shared" si="108"/>
        <v>0</v>
      </c>
      <c r="BE129" s="379"/>
      <c r="BF129" s="387">
        <f t="shared" si="86"/>
        <v>76</v>
      </c>
    </row>
    <row r="130" spans="1:58" x14ac:dyDescent="0.35">
      <c r="A130" s="196" t="s">
        <v>51</v>
      </c>
      <c r="B130" s="266">
        <v>232410113</v>
      </c>
      <c r="C130" s="261" t="s">
        <v>1564</v>
      </c>
      <c r="D130" s="245" t="s">
        <v>8</v>
      </c>
      <c r="E130" s="215">
        <v>19</v>
      </c>
      <c r="F130" s="217"/>
      <c r="G130" s="217"/>
      <c r="H130" s="217"/>
      <c r="I130" s="326">
        <f t="shared" si="87"/>
        <v>0</v>
      </c>
      <c r="J130" s="326">
        <f t="shared" si="109"/>
        <v>19</v>
      </c>
      <c r="K130" s="327">
        <f t="shared" si="110"/>
        <v>1</v>
      </c>
      <c r="L130" s="221">
        <v>14</v>
      </c>
      <c r="M130" s="222"/>
      <c r="N130" s="223"/>
      <c r="O130" s="222"/>
      <c r="P130" s="328">
        <f t="shared" si="90"/>
        <v>0</v>
      </c>
      <c r="Q130" s="328">
        <f t="shared" si="91"/>
        <v>14</v>
      </c>
      <c r="R130" s="329">
        <f t="shared" si="92"/>
        <v>1</v>
      </c>
      <c r="S130" s="225">
        <v>12</v>
      </c>
      <c r="T130" s="226"/>
      <c r="U130" s="226"/>
      <c r="V130" s="226"/>
      <c r="W130" s="330">
        <f t="shared" si="93"/>
        <v>0</v>
      </c>
      <c r="X130" s="330">
        <f t="shared" si="94"/>
        <v>12</v>
      </c>
      <c r="Y130" s="331">
        <f t="shared" si="95"/>
        <v>1</v>
      </c>
      <c r="Z130" s="228">
        <v>21</v>
      </c>
      <c r="AA130" s="255"/>
      <c r="AB130" s="255"/>
      <c r="AC130" s="255"/>
      <c r="AD130" s="280">
        <f t="shared" si="96"/>
        <v>0</v>
      </c>
      <c r="AE130" s="280">
        <f t="shared" si="97"/>
        <v>21</v>
      </c>
      <c r="AF130" s="281">
        <f t="shared" si="98"/>
        <v>1</v>
      </c>
      <c r="AG130" s="229">
        <v>18</v>
      </c>
      <c r="AH130" s="257"/>
      <c r="AI130" s="257"/>
      <c r="AJ130" s="257"/>
      <c r="AK130" s="305">
        <f t="shared" si="99"/>
        <v>0</v>
      </c>
      <c r="AL130" s="305">
        <f t="shared" si="100"/>
        <v>18</v>
      </c>
      <c r="AM130" s="306">
        <f t="shared" si="101"/>
        <v>1</v>
      </c>
      <c r="AN130" s="230">
        <v>14</v>
      </c>
      <c r="AO130" s="259"/>
      <c r="AP130" s="259"/>
      <c r="AQ130" s="259"/>
      <c r="AR130" s="307">
        <f t="shared" si="102"/>
        <v>0</v>
      </c>
      <c r="AS130" s="307">
        <f t="shared" si="103"/>
        <v>14</v>
      </c>
      <c r="AT130" s="308">
        <f t="shared" si="104"/>
        <v>1</v>
      </c>
      <c r="AU130" s="289"/>
      <c r="AV130" s="289"/>
      <c r="AW130" s="289"/>
      <c r="AX130" s="290">
        <v>98</v>
      </c>
      <c r="AY130" s="289">
        <f t="shared" si="105"/>
        <v>98</v>
      </c>
      <c r="AZ130" s="291">
        <f t="shared" si="106"/>
        <v>1</v>
      </c>
      <c r="BA130" s="310"/>
      <c r="BB130" s="386">
        <v>100</v>
      </c>
      <c r="BC130" s="379">
        <f t="shared" si="107"/>
        <v>0</v>
      </c>
      <c r="BD130" s="378">
        <f t="shared" si="108"/>
        <v>0</v>
      </c>
      <c r="BE130" s="379"/>
      <c r="BF130" s="387">
        <f t="shared" si="86"/>
        <v>100</v>
      </c>
    </row>
    <row r="131" spans="1:58" x14ac:dyDescent="0.35">
      <c r="A131" s="196" t="s">
        <v>122</v>
      </c>
      <c r="B131" s="266">
        <v>232410217</v>
      </c>
      <c r="C131" s="261" t="s">
        <v>1565</v>
      </c>
      <c r="D131" s="245" t="s">
        <v>8</v>
      </c>
      <c r="E131" s="215">
        <v>19</v>
      </c>
      <c r="F131" s="217"/>
      <c r="G131" s="217"/>
      <c r="H131" s="217">
        <v>2</v>
      </c>
      <c r="I131" s="326">
        <f t="shared" si="87"/>
        <v>2</v>
      </c>
      <c r="J131" s="326">
        <f t="shared" si="109"/>
        <v>17</v>
      </c>
      <c r="K131" s="327">
        <f t="shared" si="110"/>
        <v>0.89473684210526316</v>
      </c>
      <c r="L131" s="221">
        <v>14</v>
      </c>
      <c r="M131" s="222"/>
      <c r="N131" s="223"/>
      <c r="O131" s="222">
        <v>1</v>
      </c>
      <c r="P131" s="328">
        <f t="shared" si="90"/>
        <v>1</v>
      </c>
      <c r="Q131" s="328">
        <f t="shared" si="91"/>
        <v>13</v>
      </c>
      <c r="R131" s="329">
        <f t="shared" si="92"/>
        <v>0.9285714285714286</v>
      </c>
      <c r="S131" s="225">
        <v>12</v>
      </c>
      <c r="T131" s="226"/>
      <c r="U131" s="226"/>
      <c r="V131" s="226">
        <v>1</v>
      </c>
      <c r="W131" s="330">
        <f t="shared" si="93"/>
        <v>1</v>
      </c>
      <c r="X131" s="330">
        <f t="shared" si="94"/>
        <v>11</v>
      </c>
      <c r="Y131" s="331">
        <f t="shared" si="95"/>
        <v>1.0909090909090908</v>
      </c>
      <c r="Z131" s="228">
        <v>21</v>
      </c>
      <c r="AA131" s="255"/>
      <c r="AB131" s="255"/>
      <c r="AC131" s="255"/>
      <c r="AD131" s="280">
        <f t="shared" si="96"/>
        <v>0</v>
      </c>
      <c r="AE131" s="280">
        <f t="shared" si="97"/>
        <v>21</v>
      </c>
      <c r="AF131" s="281">
        <f t="shared" si="98"/>
        <v>1</v>
      </c>
      <c r="AG131" s="229">
        <v>18</v>
      </c>
      <c r="AH131" s="257"/>
      <c r="AI131" s="257"/>
      <c r="AJ131" s="257"/>
      <c r="AK131" s="305">
        <f t="shared" si="99"/>
        <v>0</v>
      </c>
      <c r="AL131" s="305">
        <f t="shared" si="100"/>
        <v>18</v>
      </c>
      <c r="AM131" s="306">
        <f t="shared" si="101"/>
        <v>1</v>
      </c>
      <c r="AN131" s="230">
        <v>14</v>
      </c>
      <c r="AO131" s="259"/>
      <c r="AP131" s="259"/>
      <c r="AQ131" s="259"/>
      <c r="AR131" s="307">
        <f t="shared" si="102"/>
        <v>0</v>
      </c>
      <c r="AS131" s="307">
        <f t="shared" si="103"/>
        <v>14</v>
      </c>
      <c r="AT131" s="308">
        <f t="shared" si="104"/>
        <v>1</v>
      </c>
      <c r="AU131" s="289"/>
      <c r="AV131" s="289"/>
      <c r="AW131" s="289"/>
      <c r="AX131" s="290">
        <v>98</v>
      </c>
      <c r="AY131" s="289">
        <f t="shared" si="105"/>
        <v>98</v>
      </c>
      <c r="AZ131" s="291">
        <f t="shared" si="106"/>
        <v>1</v>
      </c>
      <c r="BA131" s="310">
        <v>1</v>
      </c>
      <c r="BB131" s="386">
        <v>98</v>
      </c>
      <c r="BC131" s="379">
        <f t="shared" si="107"/>
        <v>2</v>
      </c>
      <c r="BD131" s="378">
        <f t="shared" si="108"/>
        <v>0</v>
      </c>
      <c r="BE131" s="379"/>
      <c r="BF131" s="387">
        <f t="shared" si="86"/>
        <v>96</v>
      </c>
    </row>
    <row r="132" spans="1:58" s="323" customFormat="1" x14ac:dyDescent="0.35"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86"/>
      <c r="AV132" s="286"/>
      <c r="AW132" s="286"/>
      <c r="AX132" s="286"/>
      <c r="AY132" s="286"/>
      <c r="AZ132" s="286"/>
      <c r="BA132" s="288"/>
      <c r="BB132" s="319"/>
      <c r="BC132" s="288"/>
      <c r="BD132" s="288"/>
      <c r="BE132" s="288"/>
      <c r="BF132" s="304"/>
    </row>
    <row r="133" spans="1:58" s="323" customFormat="1" x14ac:dyDescent="0.35"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86"/>
      <c r="AV133" s="286"/>
      <c r="AW133" s="286"/>
      <c r="AX133" s="286"/>
      <c r="AY133" s="286"/>
      <c r="AZ133" s="286"/>
      <c r="BA133" s="288"/>
      <c r="BB133" s="319"/>
      <c r="BC133" s="288"/>
      <c r="BD133" s="288"/>
      <c r="BE133" s="288"/>
      <c r="BF133" s="304"/>
    </row>
    <row r="134" spans="1:58" s="323" customFormat="1" ht="16" thickBot="1" x14ac:dyDescent="0.4">
      <c r="A134" s="324" t="s">
        <v>244</v>
      </c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86"/>
      <c r="AV134" s="286"/>
      <c r="AW134" s="286"/>
      <c r="AX134" s="286"/>
      <c r="AY134" s="286"/>
      <c r="AZ134" s="286"/>
      <c r="BA134" s="288"/>
      <c r="BB134" s="319"/>
      <c r="BC134" s="288"/>
      <c r="BD134" s="288"/>
      <c r="BE134" s="288"/>
      <c r="BF134" s="304"/>
    </row>
    <row r="135" spans="1:58" s="325" customFormat="1" ht="25" customHeight="1" thickBot="1" x14ac:dyDescent="0.4">
      <c r="A135" s="447" t="s">
        <v>1072</v>
      </c>
      <c r="B135" s="447" t="s">
        <v>2</v>
      </c>
      <c r="C135" s="448" t="s">
        <v>1606</v>
      </c>
      <c r="D135" s="448" t="s">
        <v>4</v>
      </c>
      <c r="E135" s="431" t="s">
        <v>1612</v>
      </c>
      <c r="F135" s="431"/>
      <c r="G135" s="431"/>
      <c r="H135" s="431"/>
      <c r="I135" s="431"/>
      <c r="J135" s="431"/>
      <c r="K135" s="431"/>
      <c r="L135" s="432" t="s">
        <v>1613</v>
      </c>
      <c r="M135" s="432"/>
      <c r="N135" s="432"/>
      <c r="O135" s="432"/>
      <c r="P135" s="432"/>
      <c r="Q135" s="432"/>
      <c r="R135" s="432"/>
      <c r="S135" s="433" t="s">
        <v>1614</v>
      </c>
      <c r="T135" s="433"/>
      <c r="U135" s="433"/>
      <c r="V135" s="433"/>
      <c r="W135" s="433"/>
      <c r="X135" s="433"/>
      <c r="Y135" s="433"/>
      <c r="Z135" s="434" t="s">
        <v>1615</v>
      </c>
      <c r="AA135" s="434"/>
      <c r="AB135" s="434"/>
      <c r="AC135" s="434"/>
      <c r="AD135" s="434"/>
      <c r="AE135" s="434"/>
      <c r="AF135" s="434"/>
      <c r="AG135" s="435" t="s">
        <v>1616</v>
      </c>
      <c r="AH135" s="435"/>
      <c r="AI135" s="435"/>
      <c r="AJ135" s="435"/>
      <c r="AK135" s="435"/>
      <c r="AL135" s="435"/>
      <c r="AM135" s="435"/>
      <c r="AN135" s="436" t="s">
        <v>1617</v>
      </c>
      <c r="AO135" s="436"/>
      <c r="AP135" s="436"/>
      <c r="AQ135" s="436"/>
      <c r="AR135" s="436"/>
      <c r="AS135" s="436"/>
      <c r="AT135" s="436"/>
      <c r="AU135" s="438" t="s">
        <v>224</v>
      </c>
      <c r="AV135" s="438"/>
      <c r="AW135" s="438"/>
      <c r="AX135" s="437" t="s">
        <v>1602</v>
      </c>
      <c r="AY135" s="437" t="s">
        <v>1603</v>
      </c>
      <c r="AZ135" s="437" t="s">
        <v>1604</v>
      </c>
      <c r="BA135" s="443" t="s">
        <v>1076</v>
      </c>
      <c r="BB135" s="430" t="s">
        <v>883</v>
      </c>
      <c r="BC135" s="428" t="s">
        <v>880</v>
      </c>
      <c r="BD135" s="428"/>
      <c r="BE135" s="428"/>
      <c r="BF135" s="429" t="s">
        <v>884</v>
      </c>
    </row>
    <row r="136" spans="1:58" s="325" customFormat="1" ht="55" customHeight="1" thickBot="1" x14ac:dyDescent="0.4">
      <c r="A136" s="447"/>
      <c r="B136" s="447"/>
      <c r="C136" s="448"/>
      <c r="D136" s="448"/>
      <c r="E136" s="235" t="s">
        <v>1598</v>
      </c>
      <c r="F136" s="236" t="s">
        <v>20</v>
      </c>
      <c r="G136" s="236" t="s">
        <v>19</v>
      </c>
      <c r="H136" s="236" t="s">
        <v>52</v>
      </c>
      <c r="I136" s="237" t="s">
        <v>1599</v>
      </c>
      <c r="J136" s="237" t="s">
        <v>1600</v>
      </c>
      <c r="K136" s="237" t="s">
        <v>1601</v>
      </c>
      <c r="L136" s="202" t="s">
        <v>1598</v>
      </c>
      <c r="M136" s="206" t="s">
        <v>20</v>
      </c>
      <c r="N136" s="206" t="s">
        <v>19</v>
      </c>
      <c r="O136" s="206" t="s">
        <v>52</v>
      </c>
      <c r="P136" s="207" t="s">
        <v>1599</v>
      </c>
      <c r="Q136" s="207" t="s">
        <v>1600</v>
      </c>
      <c r="R136" s="207" t="s">
        <v>1601</v>
      </c>
      <c r="S136" s="238" t="s">
        <v>1598</v>
      </c>
      <c r="T136" s="239" t="s">
        <v>20</v>
      </c>
      <c r="U136" s="239" t="s">
        <v>19</v>
      </c>
      <c r="V136" s="239" t="s">
        <v>52</v>
      </c>
      <c r="W136" s="224" t="s">
        <v>1599</v>
      </c>
      <c r="X136" s="224" t="s">
        <v>1600</v>
      </c>
      <c r="Y136" s="224" t="s">
        <v>1601</v>
      </c>
      <c r="Z136" s="240" t="s">
        <v>1598</v>
      </c>
      <c r="AA136" s="241" t="s">
        <v>20</v>
      </c>
      <c r="AB136" s="241" t="s">
        <v>19</v>
      </c>
      <c r="AC136" s="241" t="s">
        <v>52</v>
      </c>
      <c r="AD136" s="208" t="s">
        <v>1599</v>
      </c>
      <c r="AE136" s="208" t="s">
        <v>1600</v>
      </c>
      <c r="AF136" s="208" t="s">
        <v>1601</v>
      </c>
      <c r="AG136" s="209" t="s">
        <v>1598</v>
      </c>
      <c r="AH136" s="210" t="s">
        <v>20</v>
      </c>
      <c r="AI136" s="210" t="s">
        <v>19</v>
      </c>
      <c r="AJ136" s="210" t="s">
        <v>52</v>
      </c>
      <c r="AK136" s="211" t="s">
        <v>1599</v>
      </c>
      <c r="AL136" s="211" t="s">
        <v>1600</v>
      </c>
      <c r="AM136" s="211" t="s">
        <v>1601</v>
      </c>
      <c r="AN136" s="212" t="s">
        <v>1598</v>
      </c>
      <c r="AO136" s="213" t="s">
        <v>20</v>
      </c>
      <c r="AP136" s="213" t="s">
        <v>19</v>
      </c>
      <c r="AQ136" s="213" t="s">
        <v>52</v>
      </c>
      <c r="AR136" s="214" t="s">
        <v>1599</v>
      </c>
      <c r="AS136" s="214" t="s">
        <v>1600</v>
      </c>
      <c r="AT136" s="214" t="s">
        <v>1601</v>
      </c>
      <c r="AU136" s="203" t="s">
        <v>20</v>
      </c>
      <c r="AV136" s="204" t="s">
        <v>19</v>
      </c>
      <c r="AW136" s="204" t="s">
        <v>52</v>
      </c>
      <c r="AX136" s="437"/>
      <c r="AY136" s="437"/>
      <c r="AZ136" s="437"/>
      <c r="BA136" s="444"/>
      <c r="BB136" s="430"/>
      <c r="BC136" s="375" t="s">
        <v>881</v>
      </c>
      <c r="BD136" s="377" t="s">
        <v>885</v>
      </c>
      <c r="BE136" s="376" t="s">
        <v>882</v>
      </c>
      <c r="BF136" s="429"/>
    </row>
    <row r="137" spans="1:58" x14ac:dyDescent="0.35">
      <c r="A137" s="242">
        <v>1</v>
      </c>
      <c r="B137" s="266">
        <v>232410115</v>
      </c>
      <c r="C137" s="261" t="s">
        <v>1566</v>
      </c>
      <c r="D137" s="265" t="s">
        <v>6</v>
      </c>
      <c r="E137" s="215">
        <v>19</v>
      </c>
      <c r="F137" s="216"/>
      <c r="G137" s="216"/>
      <c r="H137" s="216"/>
      <c r="I137" s="326">
        <f>SUM(F137:H137)</f>
        <v>0</v>
      </c>
      <c r="J137" s="326">
        <f>E137-I137</f>
        <v>19</v>
      </c>
      <c r="K137" s="327">
        <f>J137/E137</f>
        <v>1</v>
      </c>
      <c r="L137" s="221">
        <v>14</v>
      </c>
      <c r="M137" s="221"/>
      <c r="N137" s="221"/>
      <c r="O137" s="221"/>
      <c r="P137" s="328">
        <f>SUM(M137:O137)</f>
        <v>0</v>
      </c>
      <c r="Q137" s="328">
        <f>L137-P137</f>
        <v>14</v>
      </c>
      <c r="R137" s="329">
        <f>Q137/L137</f>
        <v>1</v>
      </c>
      <c r="S137" s="225">
        <v>12</v>
      </c>
      <c r="T137" s="225"/>
      <c r="U137" s="225"/>
      <c r="V137" s="225"/>
      <c r="W137" s="330">
        <f>SUM(T137:V137)</f>
        <v>0</v>
      </c>
      <c r="X137" s="330">
        <f>S137-W137</f>
        <v>12</v>
      </c>
      <c r="Y137" s="331">
        <f>X137/S137</f>
        <v>1</v>
      </c>
      <c r="Z137" s="228">
        <v>21</v>
      </c>
      <c r="AA137" s="228"/>
      <c r="AB137" s="228"/>
      <c r="AC137" s="228"/>
      <c r="AD137" s="280">
        <f>SUM(AA137:AC137)</f>
        <v>0</v>
      </c>
      <c r="AE137" s="280">
        <f>Z137-AD137</f>
        <v>21</v>
      </c>
      <c r="AF137" s="281">
        <f>AE137/Z137</f>
        <v>1</v>
      </c>
      <c r="AG137" s="229">
        <v>18</v>
      </c>
      <c r="AH137" s="229"/>
      <c r="AI137" s="229"/>
      <c r="AJ137" s="229"/>
      <c r="AK137" s="305">
        <f>SUM(AH137:AJ137)</f>
        <v>0</v>
      </c>
      <c r="AL137" s="305">
        <f>AG137-AK137</f>
        <v>18</v>
      </c>
      <c r="AM137" s="306">
        <f>AL137/AG137</f>
        <v>1</v>
      </c>
      <c r="AN137" s="230">
        <v>14</v>
      </c>
      <c r="AO137" s="230"/>
      <c r="AP137" s="230"/>
      <c r="AQ137" s="230"/>
      <c r="AR137" s="307">
        <f>SUM(AO137:AQ137)</f>
        <v>0</v>
      </c>
      <c r="AS137" s="307">
        <f>AN137-AR137</f>
        <v>14</v>
      </c>
      <c r="AT137" s="308">
        <f>AS137/AN137</f>
        <v>1</v>
      </c>
      <c r="AU137" s="289"/>
      <c r="AV137" s="289"/>
      <c r="AW137" s="289"/>
      <c r="AX137" s="290">
        <v>98</v>
      </c>
      <c r="AY137" s="289">
        <f>AX137-AU137-AV137-AW137</f>
        <v>98</v>
      </c>
      <c r="AZ137" s="291">
        <f t="shared" ref="AZ137" si="111">AY137/AX137</f>
        <v>1</v>
      </c>
      <c r="BA137" s="310"/>
      <c r="BB137" s="390" cm="1">
        <f t="array" ref="BB137:BB168">[1]XII!$BF$137:$BF$168</f>
        <v>100</v>
      </c>
      <c r="BC137" s="379">
        <f t="shared" ref="BC137" si="112">BA137*2</f>
        <v>0</v>
      </c>
      <c r="BD137" s="378">
        <f>AW137*2</f>
        <v>0</v>
      </c>
      <c r="BE137" s="378"/>
      <c r="BF137" s="387">
        <f t="shared" ref="BF137:BF168" si="113">BB137-BC137-BD137-BE137</f>
        <v>100</v>
      </c>
    </row>
    <row r="138" spans="1:58" x14ac:dyDescent="0.35">
      <c r="A138" s="243">
        <v>2</v>
      </c>
      <c r="B138" s="268">
        <v>232410116</v>
      </c>
      <c r="C138" s="261" t="s">
        <v>1567</v>
      </c>
      <c r="D138" s="265" t="s">
        <v>6</v>
      </c>
      <c r="E138" s="215">
        <v>19</v>
      </c>
      <c r="F138" s="217"/>
      <c r="G138" s="217">
        <v>1</v>
      </c>
      <c r="H138" s="217">
        <v>1</v>
      </c>
      <c r="I138" s="326">
        <f t="shared" ref="I138:I168" si="114">SUM(F138:H138)</f>
        <v>2</v>
      </c>
      <c r="J138" s="326">
        <f t="shared" ref="J138:J168" si="115">E138-I138</f>
        <v>17</v>
      </c>
      <c r="K138" s="327">
        <f t="shared" ref="K138:K168" si="116">J138/E138</f>
        <v>0.89473684210526316</v>
      </c>
      <c r="L138" s="221">
        <v>14</v>
      </c>
      <c r="M138" s="222">
        <v>2</v>
      </c>
      <c r="N138" s="222">
        <v>3</v>
      </c>
      <c r="O138" s="222">
        <v>1</v>
      </c>
      <c r="P138" s="328">
        <f t="shared" ref="P138:P168" si="117">SUM(M138:O138)</f>
        <v>6</v>
      </c>
      <c r="Q138" s="328">
        <f t="shared" ref="Q138:Q168" si="118">L138-P138</f>
        <v>8</v>
      </c>
      <c r="R138" s="329">
        <f t="shared" ref="R138:R168" si="119">Q138/L138</f>
        <v>0.5714285714285714</v>
      </c>
      <c r="S138" s="225">
        <v>12</v>
      </c>
      <c r="T138" s="226"/>
      <c r="U138" s="226"/>
      <c r="V138" s="226"/>
      <c r="W138" s="330">
        <f t="shared" ref="W138:W168" si="120">SUM(T138:V138)</f>
        <v>0</v>
      </c>
      <c r="X138" s="330">
        <f t="shared" ref="X138:X168" si="121">S138-W138</f>
        <v>12</v>
      </c>
      <c r="Y138" s="331">
        <f t="shared" ref="Y138:Y168" si="122">S138/X138</f>
        <v>1</v>
      </c>
      <c r="Z138" s="228">
        <v>21</v>
      </c>
      <c r="AA138" s="255"/>
      <c r="AB138" s="255"/>
      <c r="AC138" s="255"/>
      <c r="AD138" s="280">
        <f t="shared" ref="AD138:AD168" si="123">SUM(AA138:AC138)</f>
        <v>0</v>
      </c>
      <c r="AE138" s="280">
        <f t="shared" ref="AE138:AE168" si="124">Z138-AD138</f>
        <v>21</v>
      </c>
      <c r="AF138" s="281">
        <f t="shared" ref="AF138:AF168" si="125">AE138/Z138</f>
        <v>1</v>
      </c>
      <c r="AG138" s="229">
        <v>18</v>
      </c>
      <c r="AH138" s="257"/>
      <c r="AI138" s="257"/>
      <c r="AJ138" s="257"/>
      <c r="AK138" s="305">
        <f t="shared" ref="AK138:AK168" si="126">SUM(AH138:AJ138)</f>
        <v>0</v>
      </c>
      <c r="AL138" s="305">
        <f t="shared" ref="AL138:AL168" si="127">AG138-AK138</f>
        <v>18</v>
      </c>
      <c r="AM138" s="306">
        <f t="shared" ref="AM138:AM168" si="128">AL138/AG138</f>
        <v>1</v>
      </c>
      <c r="AN138" s="230">
        <v>14</v>
      </c>
      <c r="AO138" s="259"/>
      <c r="AP138" s="259"/>
      <c r="AQ138" s="259"/>
      <c r="AR138" s="307">
        <f t="shared" ref="AR138:AR168" si="129">SUM(AO138:AQ138)</f>
        <v>0</v>
      </c>
      <c r="AS138" s="307">
        <f t="shared" ref="AS138:AS168" si="130">AN138-AR138</f>
        <v>14</v>
      </c>
      <c r="AT138" s="308">
        <f t="shared" ref="AT138:AT168" si="131">AS138/AN138</f>
        <v>1</v>
      </c>
      <c r="AU138" s="289"/>
      <c r="AV138" s="289"/>
      <c r="AW138" s="289"/>
      <c r="AX138" s="290">
        <v>98</v>
      </c>
      <c r="AY138" s="289">
        <f t="shared" ref="AY138:AY168" si="132">AX138-AU138-AV138-AW138</f>
        <v>98</v>
      </c>
      <c r="AZ138" s="291">
        <f t="shared" ref="AZ138:AZ168" si="133">AY138/AX138</f>
        <v>1</v>
      </c>
      <c r="BA138" s="314"/>
      <c r="BB138" s="386">
        <v>96</v>
      </c>
      <c r="BC138" s="379">
        <f t="shared" ref="BC138:BC168" si="134">BA138*2</f>
        <v>0</v>
      </c>
      <c r="BD138" s="378">
        <f t="shared" ref="BD138:BD168" si="135">AW138*2</f>
        <v>0</v>
      </c>
      <c r="BE138" s="379"/>
      <c r="BF138" s="387">
        <f t="shared" si="113"/>
        <v>96</v>
      </c>
    </row>
    <row r="139" spans="1:58" x14ac:dyDescent="0.35">
      <c r="A139" s="243">
        <v>3</v>
      </c>
      <c r="B139" s="266">
        <v>232410117</v>
      </c>
      <c r="C139" s="261" t="s">
        <v>1568</v>
      </c>
      <c r="D139" s="265" t="s">
        <v>6</v>
      </c>
      <c r="E139" s="215">
        <v>19</v>
      </c>
      <c r="F139" s="217"/>
      <c r="G139" s="217"/>
      <c r="H139" s="217"/>
      <c r="I139" s="326">
        <f t="shared" si="114"/>
        <v>0</v>
      </c>
      <c r="J139" s="326">
        <f t="shared" si="115"/>
        <v>19</v>
      </c>
      <c r="K139" s="327">
        <f t="shared" si="116"/>
        <v>1</v>
      </c>
      <c r="L139" s="221">
        <v>14</v>
      </c>
      <c r="M139" s="222"/>
      <c r="N139" s="222">
        <v>2</v>
      </c>
      <c r="O139" s="222">
        <v>2</v>
      </c>
      <c r="P139" s="328">
        <f t="shared" si="117"/>
        <v>4</v>
      </c>
      <c r="Q139" s="328">
        <f t="shared" si="118"/>
        <v>10</v>
      </c>
      <c r="R139" s="329">
        <f t="shared" si="119"/>
        <v>0.7142857142857143</v>
      </c>
      <c r="S139" s="225">
        <v>12</v>
      </c>
      <c r="T139" s="226"/>
      <c r="U139" s="226"/>
      <c r="V139" s="226"/>
      <c r="W139" s="330">
        <f t="shared" si="120"/>
        <v>0</v>
      </c>
      <c r="X139" s="330">
        <f t="shared" si="121"/>
        <v>12</v>
      </c>
      <c r="Y139" s="331">
        <f t="shared" si="122"/>
        <v>1</v>
      </c>
      <c r="Z139" s="228">
        <v>21</v>
      </c>
      <c r="AA139" s="255"/>
      <c r="AB139" s="255"/>
      <c r="AC139" s="255"/>
      <c r="AD139" s="280">
        <f t="shared" si="123"/>
        <v>0</v>
      </c>
      <c r="AE139" s="280">
        <f t="shared" si="124"/>
        <v>21</v>
      </c>
      <c r="AF139" s="281">
        <f t="shared" si="125"/>
        <v>1</v>
      </c>
      <c r="AG139" s="229">
        <v>18</v>
      </c>
      <c r="AH139" s="257"/>
      <c r="AI139" s="257"/>
      <c r="AJ139" s="257"/>
      <c r="AK139" s="305">
        <f t="shared" si="126"/>
        <v>0</v>
      </c>
      <c r="AL139" s="305">
        <f t="shared" si="127"/>
        <v>18</v>
      </c>
      <c r="AM139" s="306">
        <f t="shared" si="128"/>
        <v>1</v>
      </c>
      <c r="AN139" s="230">
        <v>14</v>
      </c>
      <c r="AO139" s="259"/>
      <c r="AP139" s="259"/>
      <c r="AQ139" s="259"/>
      <c r="AR139" s="307">
        <f t="shared" si="129"/>
        <v>0</v>
      </c>
      <c r="AS139" s="307">
        <f t="shared" si="130"/>
        <v>14</v>
      </c>
      <c r="AT139" s="308">
        <f t="shared" si="131"/>
        <v>1</v>
      </c>
      <c r="AU139" s="289"/>
      <c r="AV139" s="289"/>
      <c r="AW139" s="289"/>
      <c r="AX139" s="290">
        <v>98</v>
      </c>
      <c r="AY139" s="289">
        <f t="shared" si="132"/>
        <v>98</v>
      </c>
      <c r="AZ139" s="291">
        <f t="shared" si="133"/>
        <v>1</v>
      </c>
      <c r="BA139" s="314"/>
      <c r="BB139" s="386">
        <v>98</v>
      </c>
      <c r="BC139" s="379">
        <f t="shared" si="134"/>
        <v>0</v>
      </c>
      <c r="BD139" s="378">
        <f t="shared" si="135"/>
        <v>0</v>
      </c>
      <c r="BE139" s="379"/>
      <c r="BF139" s="387">
        <f t="shared" si="113"/>
        <v>98</v>
      </c>
    </row>
    <row r="140" spans="1:58" x14ac:dyDescent="0.35">
      <c r="A140" s="243">
        <v>4</v>
      </c>
      <c r="B140" s="268">
        <v>232410118</v>
      </c>
      <c r="C140" s="261" t="s">
        <v>1569</v>
      </c>
      <c r="D140" s="265" t="s">
        <v>6</v>
      </c>
      <c r="E140" s="215">
        <v>19</v>
      </c>
      <c r="F140" s="217"/>
      <c r="G140" s="217">
        <v>3</v>
      </c>
      <c r="H140" s="217"/>
      <c r="I140" s="326">
        <f t="shared" si="114"/>
        <v>3</v>
      </c>
      <c r="J140" s="326">
        <f t="shared" si="115"/>
        <v>16</v>
      </c>
      <c r="K140" s="327">
        <f t="shared" si="116"/>
        <v>0.84210526315789469</v>
      </c>
      <c r="L140" s="221">
        <v>14</v>
      </c>
      <c r="M140" s="222"/>
      <c r="N140" s="223">
        <v>1</v>
      </c>
      <c r="O140" s="222"/>
      <c r="P140" s="328">
        <f t="shared" si="117"/>
        <v>1</v>
      </c>
      <c r="Q140" s="328">
        <f t="shared" si="118"/>
        <v>13</v>
      </c>
      <c r="R140" s="329">
        <f t="shared" si="119"/>
        <v>0.9285714285714286</v>
      </c>
      <c r="S140" s="225">
        <v>12</v>
      </c>
      <c r="T140" s="226"/>
      <c r="U140" s="226"/>
      <c r="V140" s="226"/>
      <c r="W140" s="330">
        <f t="shared" si="120"/>
        <v>0</v>
      </c>
      <c r="X140" s="330">
        <f t="shared" si="121"/>
        <v>12</v>
      </c>
      <c r="Y140" s="331">
        <f t="shared" si="122"/>
        <v>1</v>
      </c>
      <c r="Z140" s="228">
        <v>21</v>
      </c>
      <c r="AA140" s="255"/>
      <c r="AB140" s="255"/>
      <c r="AC140" s="255"/>
      <c r="AD140" s="280">
        <f t="shared" si="123"/>
        <v>0</v>
      </c>
      <c r="AE140" s="280">
        <f t="shared" si="124"/>
        <v>21</v>
      </c>
      <c r="AF140" s="281">
        <f t="shared" si="125"/>
        <v>1</v>
      </c>
      <c r="AG140" s="229">
        <v>18</v>
      </c>
      <c r="AH140" s="257"/>
      <c r="AI140" s="257"/>
      <c r="AJ140" s="257"/>
      <c r="AK140" s="305">
        <f t="shared" si="126"/>
        <v>0</v>
      </c>
      <c r="AL140" s="305">
        <f t="shared" si="127"/>
        <v>18</v>
      </c>
      <c r="AM140" s="306">
        <f t="shared" si="128"/>
        <v>1</v>
      </c>
      <c r="AN140" s="230">
        <v>14</v>
      </c>
      <c r="AO140" s="259"/>
      <c r="AP140" s="259"/>
      <c r="AQ140" s="259"/>
      <c r="AR140" s="307">
        <f t="shared" si="129"/>
        <v>0</v>
      </c>
      <c r="AS140" s="307">
        <f t="shared" si="130"/>
        <v>14</v>
      </c>
      <c r="AT140" s="308">
        <f t="shared" si="131"/>
        <v>1</v>
      </c>
      <c r="AU140" s="289"/>
      <c r="AV140" s="289"/>
      <c r="AW140" s="289"/>
      <c r="AX140" s="290">
        <v>98</v>
      </c>
      <c r="AY140" s="289">
        <f t="shared" si="132"/>
        <v>98</v>
      </c>
      <c r="AZ140" s="291">
        <f t="shared" si="133"/>
        <v>1</v>
      </c>
      <c r="BA140" s="314"/>
      <c r="BB140" s="386">
        <v>96</v>
      </c>
      <c r="BC140" s="379">
        <f t="shared" si="134"/>
        <v>0</v>
      </c>
      <c r="BD140" s="378">
        <f t="shared" si="135"/>
        <v>0</v>
      </c>
      <c r="BE140" s="379"/>
      <c r="BF140" s="387">
        <f t="shared" si="113"/>
        <v>96</v>
      </c>
    </row>
    <row r="141" spans="1:58" x14ac:dyDescent="0.35">
      <c r="A141" s="243">
        <v>5</v>
      </c>
      <c r="B141" s="268">
        <v>232410119</v>
      </c>
      <c r="C141" s="261" t="s">
        <v>1570</v>
      </c>
      <c r="D141" s="265" t="s">
        <v>8</v>
      </c>
      <c r="E141" s="215">
        <v>19</v>
      </c>
      <c r="F141" s="217">
        <v>1</v>
      </c>
      <c r="G141" s="217">
        <v>1</v>
      </c>
      <c r="H141" s="217"/>
      <c r="I141" s="326">
        <f t="shared" si="114"/>
        <v>2</v>
      </c>
      <c r="J141" s="326">
        <f t="shared" si="115"/>
        <v>17</v>
      </c>
      <c r="K141" s="327">
        <f t="shared" si="116"/>
        <v>0.89473684210526316</v>
      </c>
      <c r="L141" s="221">
        <v>14</v>
      </c>
      <c r="M141" s="222"/>
      <c r="N141" s="223">
        <v>3</v>
      </c>
      <c r="O141" s="222"/>
      <c r="P141" s="328">
        <f t="shared" si="117"/>
        <v>3</v>
      </c>
      <c r="Q141" s="328">
        <f t="shared" si="118"/>
        <v>11</v>
      </c>
      <c r="R141" s="329">
        <f t="shared" si="119"/>
        <v>0.7857142857142857</v>
      </c>
      <c r="S141" s="225">
        <v>12</v>
      </c>
      <c r="T141" s="226"/>
      <c r="U141" s="226"/>
      <c r="V141" s="226"/>
      <c r="W141" s="330">
        <f t="shared" si="120"/>
        <v>0</v>
      </c>
      <c r="X141" s="330">
        <f t="shared" si="121"/>
        <v>12</v>
      </c>
      <c r="Y141" s="331">
        <f t="shared" si="122"/>
        <v>1</v>
      </c>
      <c r="Z141" s="228">
        <v>21</v>
      </c>
      <c r="AA141" s="255"/>
      <c r="AB141" s="255"/>
      <c r="AC141" s="255"/>
      <c r="AD141" s="280">
        <f t="shared" si="123"/>
        <v>0</v>
      </c>
      <c r="AE141" s="280">
        <f t="shared" si="124"/>
        <v>21</v>
      </c>
      <c r="AF141" s="281">
        <f t="shared" si="125"/>
        <v>1</v>
      </c>
      <c r="AG141" s="229">
        <v>18</v>
      </c>
      <c r="AH141" s="257"/>
      <c r="AI141" s="257"/>
      <c r="AJ141" s="257"/>
      <c r="AK141" s="305">
        <f t="shared" si="126"/>
        <v>0</v>
      </c>
      <c r="AL141" s="305">
        <f t="shared" si="127"/>
        <v>18</v>
      </c>
      <c r="AM141" s="306">
        <f t="shared" si="128"/>
        <v>1</v>
      </c>
      <c r="AN141" s="230">
        <v>14</v>
      </c>
      <c r="AO141" s="259"/>
      <c r="AP141" s="259"/>
      <c r="AQ141" s="259"/>
      <c r="AR141" s="307">
        <f t="shared" si="129"/>
        <v>0</v>
      </c>
      <c r="AS141" s="307">
        <f t="shared" si="130"/>
        <v>14</v>
      </c>
      <c r="AT141" s="308">
        <f t="shared" si="131"/>
        <v>1</v>
      </c>
      <c r="AU141" s="289"/>
      <c r="AV141" s="289"/>
      <c r="AW141" s="289"/>
      <c r="AX141" s="290">
        <v>98</v>
      </c>
      <c r="AY141" s="289">
        <f t="shared" si="132"/>
        <v>98</v>
      </c>
      <c r="AZ141" s="291">
        <f t="shared" si="133"/>
        <v>1</v>
      </c>
      <c r="BA141" s="314"/>
      <c r="BB141" s="386">
        <v>94</v>
      </c>
      <c r="BC141" s="379">
        <f t="shared" si="134"/>
        <v>0</v>
      </c>
      <c r="BD141" s="378">
        <f t="shared" si="135"/>
        <v>0</v>
      </c>
      <c r="BE141" s="379"/>
      <c r="BF141" s="387">
        <f t="shared" si="113"/>
        <v>94</v>
      </c>
    </row>
    <row r="142" spans="1:58" x14ac:dyDescent="0.35">
      <c r="A142" s="243">
        <v>6</v>
      </c>
      <c r="B142" s="268">
        <v>232410120</v>
      </c>
      <c r="C142" s="261" t="s">
        <v>1571</v>
      </c>
      <c r="D142" s="265" t="s">
        <v>6</v>
      </c>
      <c r="E142" s="215">
        <v>19</v>
      </c>
      <c r="F142" s="217"/>
      <c r="G142" s="217">
        <v>2</v>
      </c>
      <c r="H142" s="217"/>
      <c r="I142" s="326">
        <f t="shared" si="114"/>
        <v>2</v>
      </c>
      <c r="J142" s="326">
        <f t="shared" si="115"/>
        <v>17</v>
      </c>
      <c r="K142" s="327">
        <f t="shared" si="116"/>
        <v>0.89473684210526316</v>
      </c>
      <c r="L142" s="221">
        <v>14</v>
      </c>
      <c r="M142" s="222"/>
      <c r="N142" s="223">
        <v>2</v>
      </c>
      <c r="O142" s="222">
        <v>1</v>
      </c>
      <c r="P142" s="328">
        <f t="shared" si="117"/>
        <v>3</v>
      </c>
      <c r="Q142" s="328">
        <f t="shared" si="118"/>
        <v>11</v>
      </c>
      <c r="R142" s="329">
        <f t="shared" si="119"/>
        <v>0.7857142857142857</v>
      </c>
      <c r="S142" s="225">
        <v>12</v>
      </c>
      <c r="T142" s="226"/>
      <c r="U142" s="226"/>
      <c r="V142" s="226"/>
      <c r="W142" s="330">
        <f t="shared" si="120"/>
        <v>0</v>
      </c>
      <c r="X142" s="330">
        <f t="shared" si="121"/>
        <v>12</v>
      </c>
      <c r="Y142" s="331">
        <f t="shared" si="122"/>
        <v>1</v>
      </c>
      <c r="Z142" s="228">
        <v>21</v>
      </c>
      <c r="AA142" s="255"/>
      <c r="AB142" s="255"/>
      <c r="AC142" s="255"/>
      <c r="AD142" s="280">
        <f t="shared" si="123"/>
        <v>0</v>
      </c>
      <c r="AE142" s="280">
        <f t="shared" si="124"/>
        <v>21</v>
      </c>
      <c r="AF142" s="281">
        <f t="shared" si="125"/>
        <v>1</v>
      </c>
      <c r="AG142" s="229">
        <v>18</v>
      </c>
      <c r="AH142" s="257"/>
      <c r="AI142" s="257"/>
      <c r="AJ142" s="257"/>
      <c r="AK142" s="305">
        <f t="shared" si="126"/>
        <v>0</v>
      </c>
      <c r="AL142" s="305">
        <f t="shared" si="127"/>
        <v>18</v>
      </c>
      <c r="AM142" s="306">
        <f t="shared" si="128"/>
        <v>1</v>
      </c>
      <c r="AN142" s="230">
        <v>14</v>
      </c>
      <c r="AO142" s="259"/>
      <c r="AP142" s="259"/>
      <c r="AQ142" s="259"/>
      <c r="AR142" s="307">
        <f t="shared" si="129"/>
        <v>0</v>
      </c>
      <c r="AS142" s="307">
        <f t="shared" si="130"/>
        <v>14</v>
      </c>
      <c r="AT142" s="308">
        <f t="shared" si="131"/>
        <v>1</v>
      </c>
      <c r="AU142" s="289"/>
      <c r="AV142" s="289"/>
      <c r="AW142" s="289"/>
      <c r="AX142" s="290">
        <v>98</v>
      </c>
      <c r="AY142" s="289">
        <f t="shared" si="132"/>
        <v>98</v>
      </c>
      <c r="AZ142" s="291">
        <f t="shared" si="133"/>
        <v>1</v>
      </c>
      <c r="BA142" s="314"/>
      <c r="BB142" s="386">
        <v>94</v>
      </c>
      <c r="BC142" s="379">
        <f t="shared" si="134"/>
        <v>0</v>
      </c>
      <c r="BD142" s="378">
        <f t="shared" si="135"/>
        <v>0</v>
      </c>
      <c r="BE142" s="379"/>
      <c r="BF142" s="387">
        <f t="shared" si="113"/>
        <v>94</v>
      </c>
    </row>
    <row r="143" spans="1:58" x14ac:dyDescent="0.35">
      <c r="A143" s="243">
        <v>7</v>
      </c>
      <c r="B143" s="266">
        <v>232410121</v>
      </c>
      <c r="C143" s="261" t="s">
        <v>1572</v>
      </c>
      <c r="D143" s="265" t="s">
        <v>6</v>
      </c>
      <c r="E143" s="215">
        <v>19</v>
      </c>
      <c r="F143" s="217"/>
      <c r="G143" s="217">
        <v>1</v>
      </c>
      <c r="H143" s="217"/>
      <c r="I143" s="326">
        <f t="shared" si="114"/>
        <v>1</v>
      </c>
      <c r="J143" s="326">
        <f t="shared" si="115"/>
        <v>18</v>
      </c>
      <c r="K143" s="327">
        <f t="shared" si="116"/>
        <v>0.94736842105263153</v>
      </c>
      <c r="L143" s="221">
        <v>14</v>
      </c>
      <c r="M143" s="222"/>
      <c r="N143" s="222">
        <v>2</v>
      </c>
      <c r="O143" s="223"/>
      <c r="P143" s="328">
        <f t="shared" si="117"/>
        <v>2</v>
      </c>
      <c r="Q143" s="328">
        <f t="shared" si="118"/>
        <v>12</v>
      </c>
      <c r="R143" s="329">
        <f t="shared" si="119"/>
        <v>0.8571428571428571</v>
      </c>
      <c r="S143" s="225">
        <v>12</v>
      </c>
      <c r="T143" s="226"/>
      <c r="U143" s="226"/>
      <c r="V143" s="226"/>
      <c r="W143" s="330">
        <f t="shared" si="120"/>
        <v>0</v>
      </c>
      <c r="X143" s="330">
        <f t="shared" si="121"/>
        <v>12</v>
      </c>
      <c r="Y143" s="331">
        <f t="shared" si="122"/>
        <v>1</v>
      </c>
      <c r="Z143" s="228">
        <v>21</v>
      </c>
      <c r="AA143" s="255"/>
      <c r="AB143" s="255"/>
      <c r="AC143" s="255"/>
      <c r="AD143" s="280">
        <f t="shared" si="123"/>
        <v>0</v>
      </c>
      <c r="AE143" s="280">
        <f t="shared" si="124"/>
        <v>21</v>
      </c>
      <c r="AF143" s="281">
        <f t="shared" si="125"/>
        <v>1</v>
      </c>
      <c r="AG143" s="229">
        <v>18</v>
      </c>
      <c r="AH143" s="257"/>
      <c r="AI143" s="257"/>
      <c r="AJ143" s="257"/>
      <c r="AK143" s="305">
        <f t="shared" si="126"/>
        <v>0</v>
      </c>
      <c r="AL143" s="305">
        <f t="shared" si="127"/>
        <v>18</v>
      </c>
      <c r="AM143" s="306">
        <f t="shared" si="128"/>
        <v>1</v>
      </c>
      <c r="AN143" s="230">
        <v>14</v>
      </c>
      <c r="AO143" s="259"/>
      <c r="AP143" s="259"/>
      <c r="AQ143" s="259"/>
      <c r="AR143" s="307">
        <f t="shared" si="129"/>
        <v>0</v>
      </c>
      <c r="AS143" s="307">
        <f t="shared" si="130"/>
        <v>14</v>
      </c>
      <c r="AT143" s="308">
        <f t="shared" si="131"/>
        <v>1</v>
      </c>
      <c r="AU143" s="289"/>
      <c r="AV143" s="289"/>
      <c r="AW143" s="289"/>
      <c r="AX143" s="290">
        <v>98</v>
      </c>
      <c r="AY143" s="289">
        <f t="shared" si="132"/>
        <v>98</v>
      </c>
      <c r="AZ143" s="291">
        <f t="shared" si="133"/>
        <v>1</v>
      </c>
      <c r="BA143" s="314"/>
      <c r="BB143" s="386">
        <v>100</v>
      </c>
      <c r="BC143" s="379">
        <f t="shared" si="134"/>
        <v>0</v>
      </c>
      <c r="BD143" s="378">
        <f t="shared" si="135"/>
        <v>0</v>
      </c>
      <c r="BE143" s="379"/>
      <c r="BF143" s="387">
        <f t="shared" si="113"/>
        <v>100</v>
      </c>
    </row>
    <row r="144" spans="1:58" x14ac:dyDescent="0.35">
      <c r="A144" s="243">
        <v>8</v>
      </c>
      <c r="B144" s="266">
        <v>232410122</v>
      </c>
      <c r="C144" s="261" t="s">
        <v>1573</v>
      </c>
      <c r="D144" s="265" t="s">
        <v>6</v>
      </c>
      <c r="E144" s="215">
        <v>19</v>
      </c>
      <c r="F144" s="217"/>
      <c r="G144" s="217"/>
      <c r="H144" s="217">
        <v>1</v>
      </c>
      <c r="I144" s="326">
        <f t="shared" si="114"/>
        <v>1</v>
      </c>
      <c r="J144" s="326">
        <f t="shared" si="115"/>
        <v>18</v>
      </c>
      <c r="K144" s="327">
        <f t="shared" si="116"/>
        <v>0.94736842105263153</v>
      </c>
      <c r="L144" s="221">
        <v>14</v>
      </c>
      <c r="M144" s="222"/>
      <c r="N144" s="223">
        <v>3</v>
      </c>
      <c r="O144" s="223"/>
      <c r="P144" s="328">
        <f t="shared" si="117"/>
        <v>3</v>
      </c>
      <c r="Q144" s="328">
        <f t="shared" si="118"/>
        <v>11</v>
      </c>
      <c r="R144" s="329">
        <f t="shared" si="119"/>
        <v>0.7857142857142857</v>
      </c>
      <c r="S144" s="225">
        <v>12</v>
      </c>
      <c r="T144" s="226"/>
      <c r="U144" s="226"/>
      <c r="V144" s="226"/>
      <c r="W144" s="330">
        <f t="shared" si="120"/>
        <v>0</v>
      </c>
      <c r="X144" s="330">
        <f t="shared" si="121"/>
        <v>12</v>
      </c>
      <c r="Y144" s="331">
        <f t="shared" si="122"/>
        <v>1</v>
      </c>
      <c r="Z144" s="228">
        <v>21</v>
      </c>
      <c r="AA144" s="255"/>
      <c r="AB144" s="255"/>
      <c r="AC144" s="255"/>
      <c r="AD144" s="280">
        <f t="shared" si="123"/>
        <v>0</v>
      </c>
      <c r="AE144" s="280">
        <f t="shared" si="124"/>
        <v>21</v>
      </c>
      <c r="AF144" s="281">
        <f t="shared" si="125"/>
        <v>1</v>
      </c>
      <c r="AG144" s="229">
        <v>18</v>
      </c>
      <c r="AH144" s="257"/>
      <c r="AI144" s="257"/>
      <c r="AJ144" s="257"/>
      <c r="AK144" s="305">
        <f t="shared" si="126"/>
        <v>0</v>
      </c>
      <c r="AL144" s="305">
        <f t="shared" si="127"/>
        <v>18</v>
      </c>
      <c r="AM144" s="306">
        <f t="shared" si="128"/>
        <v>1</v>
      </c>
      <c r="AN144" s="230">
        <v>14</v>
      </c>
      <c r="AO144" s="259"/>
      <c r="AP144" s="259"/>
      <c r="AQ144" s="259"/>
      <c r="AR144" s="307">
        <f t="shared" si="129"/>
        <v>0</v>
      </c>
      <c r="AS144" s="307">
        <f t="shared" si="130"/>
        <v>14</v>
      </c>
      <c r="AT144" s="308">
        <f t="shared" si="131"/>
        <v>1</v>
      </c>
      <c r="AU144" s="289"/>
      <c r="AV144" s="289"/>
      <c r="AW144" s="289"/>
      <c r="AX144" s="290">
        <v>98</v>
      </c>
      <c r="AY144" s="289">
        <f t="shared" si="132"/>
        <v>98</v>
      </c>
      <c r="AZ144" s="291">
        <f t="shared" si="133"/>
        <v>1</v>
      </c>
      <c r="BA144" s="314"/>
      <c r="BB144" s="386">
        <v>98</v>
      </c>
      <c r="BC144" s="379">
        <f t="shared" si="134"/>
        <v>0</v>
      </c>
      <c r="BD144" s="378">
        <f t="shared" si="135"/>
        <v>0</v>
      </c>
      <c r="BE144" s="379"/>
      <c r="BF144" s="387">
        <f t="shared" si="113"/>
        <v>98</v>
      </c>
    </row>
    <row r="145" spans="1:58" x14ac:dyDescent="0.35">
      <c r="A145" s="243">
        <v>9</v>
      </c>
      <c r="B145" s="268">
        <v>232410123</v>
      </c>
      <c r="C145" s="261" t="s">
        <v>1574</v>
      </c>
      <c r="D145" s="265" t="s">
        <v>8</v>
      </c>
      <c r="E145" s="215">
        <v>19</v>
      </c>
      <c r="F145" s="217">
        <v>1</v>
      </c>
      <c r="G145" s="217">
        <v>1</v>
      </c>
      <c r="H145" s="217">
        <v>1</v>
      </c>
      <c r="I145" s="326">
        <f t="shared" si="114"/>
        <v>3</v>
      </c>
      <c r="J145" s="326">
        <f t="shared" si="115"/>
        <v>16</v>
      </c>
      <c r="K145" s="327">
        <f t="shared" si="116"/>
        <v>0.84210526315789469</v>
      </c>
      <c r="L145" s="221">
        <v>14</v>
      </c>
      <c r="M145" s="222"/>
      <c r="N145" s="223"/>
      <c r="O145" s="223">
        <v>1</v>
      </c>
      <c r="P145" s="328">
        <f t="shared" si="117"/>
        <v>1</v>
      </c>
      <c r="Q145" s="328">
        <f t="shared" si="118"/>
        <v>13</v>
      </c>
      <c r="R145" s="329">
        <f t="shared" si="119"/>
        <v>0.9285714285714286</v>
      </c>
      <c r="S145" s="225">
        <v>12</v>
      </c>
      <c r="T145" s="226"/>
      <c r="U145" s="226"/>
      <c r="V145" s="226"/>
      <c r="W145" s="330">
        <f t="shared" si="120"/>
        <v>0</v>
      </c>
      <c r="X145" s="330">
        <f t="shared" si="121"/>
        <v>12</v>
      </c>
      <c r="Y145" s="331">
        <f t="shared" si="122"/>
        <v>1</v>
      </c>
      <c r="Z145" s="228">
        <v>21</v>
      </c>
      <c r="AA145" s="255"/>
      <c r="AB145" s="255"/>
      <c r="AC145" s="255"/>
      <c r="AD145" s="280">
        <f t="shared" si="123"/>
        <v>0</v>
      </c>
      <c r="AE145" s="280">
        <f t="shared" si="124"/>
        <v>21</v>
      </c>
      <c r="AF145" s="281">
        <f t="shared" si="125"/>
        <v>1</v>
      </c>
      <c r="AG145" s="229">
        <v>18</v>
      </c>
      <c r="AH145" s="257"/>
      <c r="AI145" s="257"/>
      <c r="AJ145" s="257"/>
      <c r="AK145" s="305">
        <f t="shared" si="126"/>
        <v>0</v>
      </c>
      <c r="AL145" s="305">
        <f t="shared" si="127"/>
        <v>18</v>
      </c>
      <c r="AM145" s="306">
        <f t="shared" si="128"/>
        <v>1</v>
      </c>
      <c r="AN145" s="230">
        <v>14</v>
      </c>
      <c r="AO145" s="259"/>
      <c r="AP145" s="259"/>
      <c r="AQ145" s="259"/>
      <c r="AR145" s="307">
        <f t="shared" si="129"/>
        <v>0</v>
      </c>
      <c r="AS145" s="307">
        <f t="shared" si="130"/>
        <v>14</v>
      </c>
      <c r="AT145" s="308">
        <f t="shared" si="131"/>
        <v>1</v>
      </c>
      <c r="AU145" s="289"/>
      <c r="AV145" s="289"/>
      <c r="AW145" s="289"/>
      <c r="AX145" s="290">
        <v>98</v>
      </c>
      <c r="AY145" s="289">
        <f t="shared" si="132"/>
        <v>98</v>
      </c>
      <c r="AZ145" s="291">
        <f t="shared" si="133"/>
        <v>1</v>
      </c>
      <c r="BA145" s="314"/>
      <c r="BB145" s="386">
        <v>92</v>
      </c>
      <c r="BC145" s="379">
        <f t="shared" si="134"/>
        <v>0</v>
      </c>
      <c r="BD145" s="378">
        <f t="shared" si="135"/>
        <v>0</v>
      </c>
      <c r="BE145" s="379"/>
      <c r="BF145" s="387">
        <f t="shared" si="113"/>
        <v>92</v>
      </c>
    </row>
    <row r="146" spans="1:58" x14ac:dyDescent="0.35">
      <c r="A146" s="243">
        <v>10</v>
      </c>
      <c r="B146" s="266">
        <v>232410124</v>
      </c>
      <c r="C146" s="261" t="s">
        <v>1575</v>
      </c>
      <c r="D146" s="265" t="s">
        <v>6</v>
      </c>
      <c r="E146" s="215">
        <v>19</v>
      </c>
      <c r="F146" s="217"/>
      <c r="G146" s="217"/>
      <c r="H146" s="218"/>
      <c r="I146" s="326">
        <f t="shared" si="114"/>
        <v>0</v>
      </c>
      <c r="J146" s="326">
        <f t="shared" si="115"/>
        <v>19</v>
      </c>
      <c r="K146" s="327">
        <f t="shared" si="116"/>
        <v>1</v>
      </c>
      <c r="L146" s="221">
        <v>14</v>
      </c>
      <c r="M146" s="222"/>
      <c r="N146" s="223"/>
      <c r="O146" s="223"/>
      <c r="P146" s="328">
        <f t="shared" si="117"/>
        <v>0</v>
      </c>
      <c r="Q146" s="328">
        <f t="shared" si="118"/>
        <v>14</v>
      </c>
      <c r="R146" s="329">
        <f t="shared" si="119"/>
        <v>1</v>
      </c>
      <c r="S146" s="225">
        <v>12</v>
      </c>
      <c r="T146" s="226"/>
      <c r="U146" s="226"/>
      <c r="V146" s="226"/>
      <c r="W146" s="330">
        <f t="shared" si="120"/>
        <v>0</v>
      </c>
      <c r="X146" s="330">
        <f t="shared" si="121"/>
        <v>12</v>
      </c>
      <c r="Y146" s="331">
        <f t="shared" si="122"/>
        <v>1</v>
      </c>
      <c r="Z146" s="228">
        <v>21</v>
      </c>
      <c r="AA146" s="255"/>
      <c r="AB146" s="255"/>
      <c r="AC146" s="255"/>
      <c r="AD146" s="280">
        <f t="shared" si="123"/>
        <v>0</v>
      </c>
      <c r="AE146" s="280">
        <f t="shared" si="124"/>
        <v>21</v>
      </c>
      <c r="AF146" s="281">
        <f t="shared" si="125"/>
        <v>1</v>
      </c>
      <c r="AG146" s="229">
        <v>18</v>
      </c>
      <c r="AH146" s="257"/>
      <c r="AI146" s="257"/>
      <c r="AJ146" s="257"/>
      <c r="AK146" s="305">
        <f t="shared" si="126"/>
        <v>0</v>
      </c>
      <c r="AL146" s="305">
        <f t="shared" si="127"/>
        <v>18</v>
      </c>
      <c r="AM146" s="306">
        <f t="shared" si="128"/>
        <v>1</v>
      </c>
      <c r="AN146" s="230">
        <v>14</v>
      </c>
      <c r="AO146" s="259"/>
      <c r="AP146" s="259"/>
      <c r="AQ146" s="259"/>
      <c r="AR146" s="307">
        <f t="shared" si="129"/>
        <v>0</v>
      </c>
      <c r="AS146" s="307">
        <f t="shared" si="130"/>
        <v>14</v>
      </c>
      <c r="AT146" s="308">
        <f t="shared" si="131"/>
        <v>1</v>
      </c>
      <c r="AU146" s="289"/>
      <c r="AV146" s="289"/>
      <c r="AW146" s="289"/>
      <c r="AX146" s="290">
        <v>98</v>
      </c>
      <c r="AY146" s="289">
        <f t="shared" si="132"/>
        <v>98</v>
      </c>
      <c r="AZ146" s="291">
        <f t="shared" si="133"/>
        <v>1</v>
      </c>
      <c r="BA146" s="314"/>
      <c r="BB146" s="386">
        <v>96</v>
      </c>
      <c r="BC146" s="379">
        <f t="shared" si="134"/>
        <v>0</v>
      </c>
      <c r="BD146" s="378">
        <f t="shared" si="135"/>
        <v>0</v>
      </c>
      <c r="BE146" s="379"/>
      <c r="BF146" s="387">
        <f t="shared" si="113"/>
        <v>96</v>
      </c>
    </row>
    <row r="147" spans="1:58" x14ac:dyDescent="0.35">
      <c r="A147" s="243">
        <v>11</v>
      </c>
      <c r="B147" s="268">
        <v>232410125</v>
      </c>
      <c r="C147" s="261" t="s">
        <v>1576</v>
      </c>
      <c r="D147" s="265" t="s">
        <v>6</v>
      </c>
      <c r="E147" s="215">
        <v>19</v>
      </c>
      <c r="F147" s="217"/>
      <c r="G147" s="217"/>
      <c r="H147" s="217"/>
      <c r="I147" s="326">
        <f t="shared" si="114"/>
        <v>0</v>
      </c>
      <c r="J147" s="326">
        <f t="shared" si="115"/>
        <v>19</v>
      </c>
      <c r="K147" s="327">
        <f t="shared" si="116"/>
        <v>1</v>
      </c>
      <c r="L147" s="221">
        <v>14</v>
      </c>
      <c r="M147" s="222"/>
      <c r="N147" s="223">
        <v>2</v>
      </c>
      <c r="O147" s="222"/>
      <c r="P147" s="328">
        <f t="shared" si="117"/>
        <v>2</v>
      </c>
      <c r="Q147" s="328">
        <f t="shared" si="118"/>
        <v>12</v>
      </c>
      <c r="R147" s="329">
        <f t="shared" si="119"/>
        <v>0.8571428571428571</v>
      </c>
      <c r="S147" s="225">
        <v>12</v>
      </c>
      <c r="T147" s="226"/>
      <c r="U147" s="226"/>
      <c r="V147" s="226"/>
      <c r="W147" s="330">
        <f t="shared" si="120"/>
        <v>0</v>
      </c>
      <c r="X147" s="330">
        <f t="shared" si="121"/>
        <v>12</v>
      </c>
      <c r="Y147" s="331">
        <f t="shared" si="122"/>
        <v>1</v>
      </c>
      <c r="Z147" s="228">
        <v>21</v>
      </c>
      <c r="AA147" s="255"/>
      <c r="AB147" s="255"/>
      <c r="AC147" s="255"/>
      <c r="AD147" s="280">
        <f t="shared" si="123"/>
        <v>0</v>
      </c>
      <c r="AE147" s="280">
        <f t="shared" si="124"/>
        <v>21</v>
      </c>
      <c r="AF147" s="281">
        <f t="shared" si="125"/>
        <v>1</v>
      </c>
      <c r="AG147" s="229">
        <v>18</v>
      </c>
      <c r="AH147" s="257"/>
      <c r="AI147" s="257"/>
      <c r="AJ147" s="257"/>
      <c r="AK147" s="305">
        <f t="shared" si="126"/>
        <v>0</v>
      </c>
      <c r="AL147" s="305">
        <f t="shared" si="127"/>
        <v>18</v>
      </c>
      <c r="AM147" s="306">
        <f t="shared" si="128"/>
        <v>1</v>
      </c>
      <c r="AN147" s="230">
        <v>14</v>
      </c>
      <c r="AO147" s="259"/>
      <c r="AP147" s="259"/>
      <c r="AQ147" s="259"/>
      <c r="AR147" s="307">
        <f t="shared" si="129"/>
        <v>0</v>
      </c>
      <c r="AS147" s="307">
        <f t="shared" si="130"/>
        <v>14</v>
      </c>
      <c r="AT147" s="308">
        <f t="shared" si="131"/>
        <v>1</v>
      </c>
      <c r="AU147" s="289"/>
      <c r="AV147" s="289"/>
      <c r="AW147" s="289"/>
      <c r="AX147" s="290">
        <v>98</v>
      </c>
      <c r="AY147" s="289">
        <f t="shared" si="132"/>
        <v>98</v>
      </c>
      <c r="AZ147" s="291">
        <f t="shared" si="133"/>
        <v>1</v>
      </c>
      <c r="BA147" s="314"/>
      <c r="BB147" s="386">
        <v>98</v>
      </c>
      <c r="BC147" s="379">
        <f t="shared" si="134"/>
        <v>0</v>
      </c>
      <c r="BD147" s="378">
        <f t="shared" si="135"/>
        <v>0</v>
      </c>
      <c r="BE147" s="379"/>
      <c r="BF147" s="387">
        <f t="shared" si="113"/>
        <v>98</v>
      </c>
    </row>
    <row r="148" spans="1:58" x14ac:dyDescent="0.35">
      <c r="A148" s="243">
        <v>12</v>
      </c>
      <c r="B148" s="266">
        <v>232410126</v>
      </c>
      <c r="C148" s="261" t="s">
        <v>1577</v>
      </c>
      <c r="D148" s="265" t="s">
        <v>8</v>
      </c>
      <c r="E148" s="215">
        <v>19</v>
      </c>
      <c r="F148" s="217"/>
      <c r="G148" s="217">
        <v>6</v>
      </c>
      <c r="H148" s="217">
        <v>1</v>
      </c>
      <c r="I148" s="326">
        <f t="shared" si="114"/>
        <v>7</v>
      </c>
      <c r="J148" s="326">
        <f t="shared" si="115"/>
        <v>12</v>
      </c>
      <c r="K148" s="327">
        <f t="shared" si="116"/>
        <v>0.63157894736842102</v>
      </c>
      <c r="L148" s="221">
        <v>14</v>
      </c>
      <c r="M148" s="222">
        <v>1</v>
      </c>
      <c r="N148" s="222">
        <v>5</v>
      </c>
      <c r="O148" s="223"/>
      <c r="P148" s="328">
        <f t="shared" si="117"/>
        <v>6</v>
      </c>
      <c r="Q148" s="328">
        <f t="shared" si="118"/>
        <v>8</v>
      </c>
      <c r="R148" s="329">
        <f t="shared" si="119"/>
        <v>0.5714285714285714</v>
      </c>
      <c r="S148" s="225">
        <v>12</v>
      </c>
      <c r="T148" s="226"/>
      <c r="U148" s="226"/>
      <c r="V148" s="226"/>
      <c r="W148" s="330">
        <f t="shared" si="120"/>
        <v>0</v>
      </c>
      <c r="X148" s="330">
        <f t="shared" si="121"/>
        <v>12</v>
      </c>
      <c r="Y148" s="331">
        <f t="shared" si="122"/>
        <v>1</v>
      </c>
      <c r="Z148" s="228">
        <v>21</v>
      </c>
      <c r="AA148" s="255"/>
      <c r="AB148" s="255"/>
      <c r="AC148" s="255"/>
      <c r="AD148" s="280">
        <f t="shared" si="123"/>
        <v>0</v>
      </c>
      <c r="AE148" s="280">
        <f t="shared" si="124"/>
        <v>21</v>
      </c>
      <c r="AF148" s="281">
        <f t="shared" si="125"/>
        <v>1</v>
      </c>
      <c r="AG148" s="229">
        <v>18</v>
      </c>
      <c r="AH148" s="257"/>
      <c r="AI148" s="257"/>
      <c r="AJ148" s="257"/>
      <c r="AK148" s="305">
        <f t="shared" si="126"/>
        <v>0</v>
      </c>
      <c r="AL148" s="305">
        <f t="shared" si="127"/>
        <v>18</v>
      </c>
      <c r="AM148" s="306">
        <f t="shared" si="128"/>
        <v>1</v>
      </c>
      <c r="AN148" s="230">
        <v>14</v>
      </c>
      <c r="AO148" s="259"/>
      <c r="AP148" s="259"/>
      <c r="AQ148" s="259"/>
      <c r="AR148" s="307">
        <f t="shared" si="129"/>
        <v>0</v>
      </c>
      <c r="AS148" s="307">
        <f t="shared" si="130"/>
        <v>14</v>
      </c>
      <c r="AT148" s="308">
        <f t="shared" si="131"/>
        <v>1</v>
      </c>
      <c r="AU148" s="289"/>
      <c r="AV148" s="289"/>
      <c r="AW148" s="289"/>
      <c r="AX148" s="290">
        <v>98</v>
      </c>
      <c r="AY148" s="289">
        <f t="shared" si="132"/>
        <v>98</v>
      </c>
      <c r="AZ148" s="291">
        <f t="shared" si="133"/>
        <v>1</v>
      </c>
      <c r="BA148" s="314"/>
      <c r="BB148" s="386">
        <v>82</v>
      </c>
      <c r="BC148" s="379">
        <f t="shared" si="134"/>
        <v>0</v>
      </c>
      <c r="BD148" s="378">
        <f t="shared" si="135"/>
        <v>0</v>
      </c>
      <c r="BE148" s="379"/>
      <c r="BF148" s="387">
        <f t="shared" si="113"/>
        <v>82</v>
      </c>
    </row>
    <row r="149" spans="1:58" x14ac:dyDescent="0.35">
      <c r="A149" s="243">
        <v>13</v>
      </c>
      <c r="B149" s="268">
        <v>232410127</v>
      </c>
      <c r="C149" s="261" t="s">
        <v>1578</v>
      </c>
      <c r="D149" s="265" t="s">
        <v>8</v>
      </c>
      <c r="E149" s="215">
        <v>19</v>
      </c>
      <c r="F149" s="217"/>
      <c r="G149" s="217"/>
      <c r="H149" s="217"/>
      <c r="I149" s="326">
        <f t="shared" si="114"/>
        <v>0</v>
      </c>
      <c r="J149" s="326">
        <f t="shared" si="115"/>
        <v>19</v>
      </c>
      <c r="K149" s="327">
        <f t="shared" si="116"/>
        <v>1</v>
      </c>
      <c r="L149" s="221">
        <v>14</v>
      </c>
      <c r="M149" s="222"/>
      <c r="N149" s="222"/>
      <c r="O149" s="222"/>
      <c r="P149" s="328">
        <f t="shared" si="117"/>
        <v>0</v>
      </c>
      <c r="Q149" s="328">
        <f t="shared" si="118"/>
        <v>14</v>
      </c>
      <c r="R149" s="329">
        <f t="shared" si="119"/>
        <v>1</v>
      </c>
      <c r="S149" s="225">
        <v>12</v>
      </c>
      <c r="T149" s="226"/>
      <c r="U149" s="226"/>
      <c r="V149" s="226"/>
      <c r="W149" s="330">
        <f t="shared" si="120"/>
        <v>0</v>
      </c>
      <c r="X149" s="330">
        <f t="shared" si="121"/>
        <v>12</v>
      </c>
      <c r="Y149" s="331">
        <f t="shared" si="122"/>
        <v>1</v>
      </c>
      <c r="Z149" s="228">
        <v>21</v>
      </c>
      <c r="AA149" s="255"/>
      <c r="AB149" s="255"/>
      <c r="AC149" s="255"/>
      <c r="AD149" s="280">
        <f t="shared" si="123"/>
        <v>0</v>
      </c>
      <c r="AE149" s="280">
        <f t="shared" si="124"/>
        <v>21</v>
      </c>
      <c r="AF149" s="281">
        <f t="shared" si="125"/>
        <v>1</v>
      </c>
      <c r="AG149" s="229">
        <v>18</v>
      </c>
      <c r="AH149" s="257"/>
      <c r="AI149" s="257"/>
      <c r="AJ149" s="257"/>
      <c r="AK149" s="305">
        <f t="shared" si="126"/>
        <v>0</v>
      </c>
      <c r="AL149" s="305">
        <f t="shared" si="127"/>
        <v>18</v>
      </c>
      <c r="AM149" s="306">
        <f t="shared" si="128"/>
        <v>1</v>
      </c>
      <c r="AN149" s="230">
        <v>14</v>
      </c>
      <c r="AO149" s="259"/>
      <c r="AP149" s="259"/>
      <c r="AQ149" s="259"/>
      <c r="AR149" s="307">
        <f t="shared" si="129"/>
        <v>0</v>
      </c>
      <c r="AS149" s="307">
        <f t="shared" si="130"/>
        <v>14</v>
      </c>
      <c r="AT149" s="308">
        <f t="shared" si="131"/>
        <v>1</v>
      </c>
      <c r="AU149" s="289"/>
      <c r="AV149" s="289"/>
      <c r="AW149" s="289"/>
      <c r="AX149" s="290">
        <v>98</v>
      </c>
      <c r="AY149" s="289">
        <f t="shared" si="132"/>
        <v>98</v>
      </c>
      <c r="AZ149" s="291">
        <f t="shared" si="133"/>
        <v>1</v>
      </c>
      <c r="BA149" s="314">
        <v>1</v>
      </c>
      <c r="BB149" s="386">
        <v>98</v>
      </c>
      <c r="BC149" s="379">
        <f t="shared" si="134"/>
        <v>2</v>
      </c>
      <c r="BD149" s="378">
        <f t="shared" si="135"/>
        <v>0</v>
      </c>
      <c r="BE149" s="379"/>
      <c r="BF149" s="387">
        <f t="shared" si="113"/>
        <v>96</v>
      </c>
    </row>
    <row r="150" spans="1:58" x14ac:dyDescent="0.35">
      <c r="A150" s="243">
        <v>14</v>
      </c>
      <c r="B150" s="266">
        <v>232410128</v>
      </c>
      <c r="C150" s="261" t="s">
        <v>1579</v>
      </c>
      <c r="D150" s="265" t="s">
        <v>6</v>
      </c>
      <c r="E150" s="215">
        <v>19</v>
      </c>
      <c r="F150" s="217">
        <v>1</v>
      </c>
      <c r="G150" s="217"/>
      <c r="H150" s="217">
        <v>1</v>
      </c>
      <c r="I150" s="326">
        <f t="shared" si="114"/>
        <v>2</v>
      </c>
      <c r="J150" s="326">
        <f t="shared" si="115"/>
        <v>17</v>
      </c>
      <c r="K150" s="327">
        <f t="shared" si="116"/>
        <v>0.89473684210526316</v>
      </c>
      <c r="L150" s="221">
        <v>14</v>
      </c>
      <c r="M150" s="222"/>
      <c r="N150" s="223"/>
      <c r="O150" s="222">
        <v>1</v>
      </c>
      <c r="P150" s="328">
        <f t="shared" si="117"/>
        <v>1</v>
      </c>
      <c r="Q150" s="328">
        <f t="shared" si="118"/>
        <v>13</v>
      </c>
      <c r="R150" s="329">
        <f t="shared" si="119"/>
        <v>0.9285714285714286</v>
      </c>
      <c r="S150" s="225">
        <v>12</v>
      </c>
      <c r="T150" s="226"/>
      <c r="U150" s="226"/>
      <c r="V150" s="226"/>
      <c r="W150" s="330">
        <f t="shared" si="120"/>
        <v>0</v>
      </c>
      <c r="X150" s="330">
        <f t="shared" si="121"/>
        <v>12</v>
      </c>
      <c r="Y150" s="331">
        <f t="shared" si="122"/>
        <v>1</v>
      </c>
      <c r="Z150" s="228">
        <v>21</v>
      </c>
      <c r="AA150" s="255"/>
      <c r="AB150" s="255"/>
      <c r="AC150" s="255"/>
      <c r="AD150" s="280">
        <f t="shared" si="123"/>
        <v>0</v>
      </c>
      <c r="AE150" s="280">
        <f t="shared" si="124"/>
        <v>21</v>
      </c>
      <c r="AF150" s="281">
        <f t="shared" si="125"/>
        <v>1</v>
      </c>
      <c r="AG150" s="229">
        <v>18</v>
      </c>
      <c r="AH150" s="257"/>
      <c r="AI150" s="257"/>
      <c r="AJ150" s="257"/>
      <c r="AK150" s="305">
        <f t="shared" si="126"/>
        <v>0</v>
      </c>
      <c r="AL150" s="305">
        <f t="shared" si="127"/>
        <v>18</v>
      </c>
      <c r="AM150" s="306">
        <f t="shared" si="128"/>
        <v>1</v>
      </c>
      <c r="AN150" s="230">
        <v>14</v>
      </c>
      <c r="AO150" s="259"/>
      <c r="AP150" s="259"/>
      <c r="AQ150" s="259"/>
      <c r="AR150" s="307">
        <f t="shared" si="129"/>
        <v>0</v>
      </c>
      <c r="AS150" s="307">
        <f t="shared" si="130"/>
        <v>14</v>
      </c>
      <c r="AT150" s="308">
        <f t="shared" si="131"/>
        <v>1</v>
      </c>
      <c r="AU150" s="289"/>
      <c r="AV150" s="289"/>
      <c r="AW150" s="289"/>
      <c r="AX150" s="290">
        <v>98</v>
      </c>
      <c r="AY150" s="289">
        <f t="shared" si="132"/>
        <v>98</v>
      </c>
      <c r="AZ150" s="291">
        <f t="shared" si="133"/>
        <v>1</v>
      </c>
      <c r="BA150" s="314"/>
      <c r="BB150" s="386">
        <v>92</v>
      </c>
      <c r="BC150" s="379">
        <f t="shared" si="134"/>
        <v>0</v>
      </c>
      <c r="BD150" s="378">
        <f t="shared" si="135"/>
        <v>0</v>
      </c>
      <c r="BE150" s="379"/>
      <c r="BF150" s="387">
        <f t="shared" si="113"/>
        <v>92</v>
      </c>
    </row>
    <row r="151" spans="1:58" x14ac:dyDescent="0.35">
      <c r="A151" s="243">
        <v>15</v>
      </c>
      <c r="B151" s="266">
        <v>232410129</v>
      </c>
      <c r="C151" s="261" t="s">
        <v>1580</v>
      </c>
      <c r="D151" s="265" t="s">
        <v>6</v>
      </c>
      <c r="E151" s="215">
        <v>19</v>
      </c>
      <c r="F151" s="217">
        <v>1</v>
      </c>
      <c r="G151" s="217">
        <v>1</v>
      </c>
      <c r="H151" s="217"/>
      <c r="I151" s="326">
        <f t="shared" si="114"/>
        <v>2</v>
      </c>
      <c r="J151" s="326">
        <f t="shared" si="115"/>
        <v>17</v>
      </c>
      <c r="K151" s="327">
        <f t="shared" si="116"/>
        <v>0.89473684210526316</v>
      </c>
      <c r="L151" s="221">
        <v>14</v>
      </c>
      <c r="M151" s="222"/>
      <c r="N151" s="222"/>
      <c r="O151" s="222"/>
      <c r="P151" s="328">
        <f t="shared" si="117"/>
        <v>0</v>
      </c>
      <c r="Q151" s="328">
        <f t="shared" si="118"/>
        <v>14</v>
      </c>
      <c r="R151" s="329">
        <f t="shared" si="119"/>
        <v>1</v>
      </c>
      <c r="S151" s="225">
        <v>12</v>
      </c>
      <c r="T151" s="226"/>
      <c r="U151" s="226"/>
      <c r="V151" s="226"/>
      <c r="W151" s="330">
        <f t="shared" si="120"/>
        <v>0</v>
      </c>
      <c r="X151" s="330">
        <f t="shared" si="121"/>
        <v>12</v>
      </c>
      <c r="Y151" s="331">
        <f t="shared" si="122"/>
        <v>1</v>
      </c>
      <c r="Z151" s="228">
        <v>21</v>
      </c>
      <c r="AA151" s="255"/>
      <c r="AB151" s="255"/>
      <c r="AC151" s="255"/>
      <c r="AD151" s="280">
        <f t="shared" si="123"/>
        <v>0</v>
      </c>
      <c r="AE151" s="280">
        <f t="shared" si="124"/>
        <v>21</v>
      </c>
      <c r="AF151" s="281">
        <f t="shared" si="125"/>
        <v>1</v>
      </c>
      <c r="AG151" s="229">
        <v>18</v>
      </c>
      <c r="AH151" s="257"/>
      <c r="AI151" s="257"/>
      <c r="AJ151" s="257"/>
      <c r="AK151" s="305">
        <f t="shared" si="126"/>
        <v>0</v>
      </c>
      <c r="AL151" s="305">
        <f t="shared" si="127"/>
        <v>18</v>
      </c>
      <c r="AM151" s="306">
        <f t="shared" si="128"/>
        <v>1</v>
      </c>
      <c r="AN151" s="230">
        <v>14</v>
      </c>
      <c r="AO151" s="259"/>
      <c r="AP151" s="259"/>
      <c r="AQ151" s="259"/>
      <c r="AR151" s="307">
        <f t="shared" si="129"/>
        <v>0</v>
      </c>
      <c r="AS151" s="307">
        <f t="shared" si="130"/>
        <v>14</v>
      </c>
      <c r="AT151" s="308">
        <f t="shared" si="131"/>
        <v>1</v>
      </c>
      <c r="AU151" s="289"/>
      <c r="AV151" s="289"/>
      <c r="AW151" s="289"/>
      <c r="AX151" s="290">
        <v>98</v>
      </c>
      <c r="AY151" s="289">
        <f t="shared" si="132"/>
        <v>98</v>
      </c>
      <c r="AZ151" s="291">
        <f t="shared" si="133"/>
        <v>1</v>
      </c>
      <c r="BA151" s="314"/>
      <c r="BB151" s="386">
        <v>98</v>
      </c>
      <c r="BC151" s="379">
        <f t="shared" si="134"/>
        <v>0</v>
      </c>
      <c r="BD151" s="378">
        <f t="shared" si="135"/>
        <v>0</v>
      </c>
      <c r="BE151" s="379"/>
      <c r="BF151" s="387">
        <f t="shared" si="113"/>
        <v>98</v>
      </c>
    </row>
    <row r="152" spans="1:58" x14ac:dyDescent="0.35">
      <c r="A152" s="243">
        <v>16</v>
      </c>
      <c r="B152" s="268">
        <v>232410130</v>
      </c>
      <c r="C152" s="261" t="s">
        <v>1581</v>
      </c>
      <c r="D152" s="265" t="s">
        <v>6</v>
      </c>
      <c r="E152" s="215">
        <v>19</v>
      </c>
      <c r="F152" s="217">
        <v>1</v>
      </c>
      <c r="G152" s="217"/>
      <c r="H152" s="217">
        <v>2</v>
      </c>
      <c r="I152" s="326">
        <f t="shared" si="114"/>
        <v>3</v>
      </c>
      <c r="J152" s="326">
        <f t="shared" si="115"/>
        <v>16</v>
      </c>
      <c r="K152" s="327">
        <f t="shared" si="116"/>
        <v>0.84210526315789469</v>
      </c>
      <c r="L152" s="221">
        <v>14</v>
      </c>
      <c r="M152" s="222"/>
      <c r="N152" s="223"/>
      <c r="O152" s="222">
        <v>2</v>
      </c>
      <c r="P152" s="328">
        <f t="shared" si="117"/>
        <v>2</v>
      </c>
      <c r="Q152" s="328">
        <f t="shared" si="118"/>
        <v>12</v>
      </c>
      <c r="R152" s="329">
        <f t="shared" si="119"/>
        <v>0.8571428571428571</v>
      </c>
      <c r="S152" s="225">
        <v>12</v>
      </c>
      <c r="T152" s="226"/>
      <c r="U152" s="226"/>
      <c r="V152" s="226"/>
      <c r="W152" s="330">
        <f t="shared" si="120"/>
        <v>0</v>
      </c>
      <c r="X152" s="330">
        <f t="shared" si="121"/>
        <v>12</v>
      </c>
      <c r="Y152" s="331">
        <f t="shared" si="122"/>
        <v>1</v>
      </c>
      <c r="Z152" s="228">
        <v>21</v>
      </c>
      <c r="AA152" s="255"/>
      <c r="AB152" s="255"/>
      <c r="AC152" s="255"/>
      <c r="AD152" s="280">
        <f t="shared" si="123"/>
        <v>0</v>
      </c>
      <c r="AE152" s="280">
        <f t="shared" si="124"/>
        <v>21</v>
      </c>
      <c r="AF152" s="281">
        <f t="shared" si="125"/>
        <v>1</v>
      </c>
      <c r="AG152" s="229">
        <v>18</v>
      </c>
      <c r="AH152" s="257"/>
      <c r="AI152" s="257"/>
      <c r="AJ152" s="257"/>
      <c r="AK152" s="305">
        <f t="shared" si="126"/>
        <v>0</v>
      </c>
      <c r="AL152" s="305">
        <f t="shared" si="127"/>
        <v>18</v>
      </c>
      <c r="AM152" s="306">
        <f t="shared" si="128"/>
        <v>1</v>
      </c>
      <c r="AN152" s="230">
        <v>14</v>
      </c>
      <c r="AO152" s="259"/>
      <c r="AP152" s="259"/>
      <c r="AQ152" s="259"/>
      <c r="AR152" s="307">
        <f t="shared" si="129"/>
        <v>0</v>
      </c>
      <c r="AS152" s="307">
        <f t="shared" si="130"/>
        <v>14</v>
      </c>
      <c r="AT152" s="308">
        <f t="shared" si="131"/>
        <v>1</v>
      </c>
      <c r="AU152" s="289"/>
      <c r="AV152" s="289"/>
      <c r="AW152" s="289"/>
      <c r="AX152" s="290">
        <v>98</v>
      </c>
      <c r="AY152" s="289">
        <f t="shared" si="132"/>
        <v>98</v>
      </c>
      <c r="AZ152" s="291">
        <f t="shared" si="133"/>
        <v>1</v>
      </c>
      <c r="BA152" s="314">
        <v>1</v>
      </c>
      <c r="BB152" s="386">
        <v>58</v>
      </c>
      <c r="BC152" s="379">
        <f t="shared" si="134"/>
        <v>2</v>
      </c>
      <c r="BD152" s="378">
        <f t="shared" si="135"/>
        <v>0</v>
      </c>
      <c r="BE152" s="379"/>
      <c r="BF152" s="387">
        <f t="shared" si="113"/>
        <v>56</v>
      </c>
    </row>
    <row r="153" spans="1:58" x14ac:dyDescent="0.35">
      <c r="A153" s="243">
        <v>17</v>
      </c>
      <c r="B153" s="266">
        <v>232410131</v>
      </c>
      <c r="C153" s="261" t="s">
        <v>1582</v>
      </c>
      <c r="D153" s="273" t="s">
        <v>8</v>
      </c>
      <c r="E153" s="215">
        <v>19</v>
      </c>
      <c r="F153" s="217"/>
      <c r="G153" s="217"/>
      <c r="H153" s="217"/>
      <c r="I153" s="326">
        <f t="shared" si="114"/>
        <v>0</v>
      </c>
      <c r="J153" s="326">
        <f t="shared" si="115"/>
        <v>19</v>
      </c>
      <c r="K153" s="327">
        <f t="shared" si="116"/>
        <v>1</v>
      </c>
      <c r="L153" s="221">
        <v>14</v>
      </c>
      <c r="M153" s="222">
        <v>1</v>
      </c>
      <c r="N153" s="223"/>
      <c r="O153" s="222"/>
      <c r="P153" s="328">
        <f t="shared" si="117"/>
        <v>1</v>
      </c>
      <c r="Q153" s="328">
        <f t="shared" si="118"/>
        <v>13</v>
      </c>
      <c r="R153" s="329">
        <f t="shared" si="119"/>
        <v>0.9285714285714286</v>
      </c>
      <c r="S153" s="225">
        <v>12</v>
      </c>
      <c r="T153" s="226"/>
      <c r="U153" s="226"/>
      <c r="V153" s="226"/>
      <c r="W153" s="330">
        <f t="shared" si="120"/>
        <v>0</v>
      </c>
      <c r="X153" s="330">
        <f t="shared" si="121"/>
        <v>12</v>
      </c>
      <c r="Y153" s="331">
        <f t="shared" si="122"/>
        <v>1</v>
      </c>
      <c r="Z153" s="228">
        <v>21</v>
      </c>
      <c r="AA153" s="255"/>
      <c r="AB153" s="255"/>
      <c r="AC153" s="255"/>
      <c r="AD153" s="280">
        <f t="shared" si="123"/>
        <v>0</v>
      </c>
      <c r="AE153" s="280">
        <f t="shared" si="124"/>
        <v>21</v>
      </c>
      <c r="AF153" s="281">
        <f t="shared" si="125"/>
        <v>1</v>
      </c>
      <c r="AG153" s="229">
        <v>18</v>
      </c>
      <c r="AH153" s="257"/>
      <c r="AI153" s="257"/>
      <c r="AJ153" s="257"/>
      <c r="AK153" s="305">
        <f t="shared" si="126"/>
        <v>0</v>
      </c>
      <c r="AL153" s="305">
        <f t="shared" si="127"/>
        <v>18</v>
      </c>
      <c r="AM153" s="306">
        <f t="shared" si="128"/>
        <v>1</v>
      </c>
      <c r="AN153" s="230">
        <v>14</v>
      </c>
      <c r="AO153" s="259"/>
      <c r="AP153" s="259"/>
      <c r="AQ153" s="259"/>
      <c r="AR153" s="307">
        <f t="shared" si="129"/>
        <v>0</v>
      </c>
      <c r="AS153" s="307">
        <f t="shared" si="130"/>
        <v>14</v>
      </c>
      <c r="AT153" s="308">
        <f t="shared" si="131"/>
        <v>1</v>
      </c>
      <c r="AU153" s="289"/>
      <c r="AV153" s="289"/>
      <c r="AW153" s="289"/>
      <c r="AX153" s="290">
        <v>98</v>
      </c>
      <c r="AY153" s="289">
        <f t="shared" si="132"/>
        <v>98</v>
      </c>
      <c r="AZ153" s="291">
        <f t="shared" si="133"/>
        <v>1</v>
      </c>
      <c r="BA153" s="314"/>
      <c r="BB153" s="386">
        <v>90</v>
      </c>
      <c r="BC153" s="379">
        <f t="shared" si="134"/>
        <v>0</v>
      </c>
      <c r="BD153" s="378">
        <f t="shared" si="135"/>
        <v>0</v>
      </c>
      <c r="BE153" s="379"/>
      <c r="BF153" s="387">
        <f t="shared" si="113"/>
        <v>90</v>
      </c>
    </row>
    <row r="154" spans="1:58" x14ac:dyDescent="0.35">
      <c r="A154" s="243">
        <v>18</v>
      </c>
      <c r="B154" s="266">
        <v>232410132</v>
      </c>
      <c r="C154" s="261" t="s">
        <v>1583</v>
      </c>
      <c r="D154" s="265" t="s">
        <v>6</v>
      </c>
      <c r="E154" s="215">
        <v>19</v>
      </c>
      <c r="F154" s="217"/>
      <c r="G154" s="217">
        <v>1</v>
      </c>
      <c r="H154" s="217"/>
      <c r="I154" s="326">
        <f t="shared" si="114"/>
        <v>1</v>
      </c>
      <c r="J154" s="326">
        <f t="shared" si="115"/>
        <v>18</v>
      </c>
      <c r="K154" s="327">
        <f t="shared" si="116"/>
        <v>0.94736842105263153</v>
      </c>
      <c r="L154" s="221">
        <v>14</v>
      </c>
      <c r="M154" s="222"/>
      <c r="N154" s="223">
        <v>2</v>
      </c>
      <c r="O154" s="222"/>
      <c r="P154" s="328">
        <f t="shared" si="117"/>
        <v>2</v>
      </c>
      <c r="Q154" s="328">
        <f t="shared" si="118"/>
        <v>12</v>
      </c>
      <c r="R154" s="329">
        <f t="shared" si="119"/>
        <v>0.8571428571428571</v>
      </c>
      <c r="S154" s="225">
        <v>12</v>
      </c>
      <c r="T154" s="226"/>
      <c r="U154" s="226"/>
      <c r="V154" s="226"/>
      <c r="W154" s="330">
        <f t="shared" si="120"/>
        <v>0</v>
      </c>
      <c r="X154" s="330">
        <f t="shared" si="121"/>
        <v>12</v>
      </c>
      <c r="Y154" s="331">
        <f t="shared" si="122"/>
        <v>1</v>
      </c>
      <c r="Z154" s="228">
        <v>21</v>
      </c>
      <c r="AA154" s="255"/>
      <c r="AB154" s="255"/>
      <c r="AC154" s="255"/>
      <c r="AD154" s="280">
        <f t="shared" si="123"/>
        <v>0</v>
      </c>
      <c r="AE154" s="280">
        <f t="shared" si="124"/>
        <v>21</v>
      </c>
      <c r="AF154" s="281">
        <f t="shared" si="125"/>
        <v>1</v>
      </c>
      <c r="AG154" s="229">
        <v>18</v>
      </c>
      <c r="AH154" s="257"/>
      <c r="AI154" s="257"/>
      <c r="AJ154" s="257"/>
      <c r="AK154" s="305">
        <f t="shared" si="126"/>
        <v>0</v>
      </c>
      <c r="AL154" s="305">
        <f t="shared" si="127"/>
        <v>18</v>
      </c>
      <c r="AM154" s="306">
        <f t="shared" si="128"/>
        <v>1</v>
      </c>
      <c r="AN154" s="230">
        <v>14</v>
      </c>
      <c r="AO154" s="259"/>
      <c r="AP154" s="259"/>
      <c r="AQ154" s="259"/>
      <c r="AR154" s="307">
        <f t="shared" si="129"/>
        <v>0</v>
      </c>
      <c r="AS154" s="307">
        <f t="shared" si="130"/>
        <v>14</v>
      </c>
      <c r="AT154" s="308">
        <f t="shared" si="131"/>
        <v>1</v>
      </c>
      <c r="AU154" s="289"/>
      <c r="AV154" s="289"/>
      <c r="AW154" s="289"/>
      <c r="AX154" s="290">
        <v>98</v>
      </c>
      <c r="AY154" s="289">
        <f t="shared" si="132"/>
        <v>98</v>
      </c>
      <c r="AZ154" s="291">
        <f t="shared" si="133"/>
        <v>1</v>
      </c>
      <c r="BA154" s="314"/>
      <c r="BB154" s="386">
        <v>96</v>
      </c>
      <c r="BC154" s="379">
        <f t="shared" si="134"/>
        <v>0</v>
      </c>
      <c r="BD154" s="378">
        <f t="shared" si="135"/>
        <v>0</v>
      </c>
      <c r="BE154" s="379"/>
      <c r="BF154" s="387">
        <f t="shared" si="113"/>
        <v>96</v>
      </c>
    </row>
    <row r="155" spans="1:58" x14ac:dyDescent="0.35">
      <c r="A155" s="243">
        <v>19</v>
      </c>
      <c r="B155" s="268">
        <v>232410134</v>
      </c>
      <c r="C155" s="261" t="s">
        <v>1584</v>
      </c>
      <c r="D155" s="265" t="s">
        <v>8</v>
      </c>
      <c r="E155" s="215">
        <v>19</v>
      </c>
      <c r="F155" s="217"/>
      <c r="G155" s="217"/>
      <c r="H155" s="217"/>
      <c r="I155" s="326">
        <f t="shared" si="114"/>
        <v>0</v>
      </c>
      <c r="J155" s="326">
        <f t="shared" si="115"/>
        <v>19</v>
      </c>
      <c r="K155" s="327">
        <f t="shared" si="116"/>
        <v>1</v>
      </c>
      <c r="L155" s="221">
        <v>14</v>
      </c>
      <c r="M155" s="223"/>
      <c r="N155" s="223"/>
      <c r="O155" s="222"/>
      <c r="P155" s="328">
        <f t="shared" si="117"/>
        <v>0</v>
      </c>
      <c r="Q155" s="328">
        <f t="shared" si="118"/>
        <v>14</v>
      </c>
      <c r="R155" s="329">
        <f t="shared" si="119"/>
        <v>1</v>
      </c>
      <c r="S155" s="225">
        <v>12</v>
      </c>
      <c r="T155" s="226"/>
      <c r="U155" s="226"/>
      <c r="V155" s="226"/>
      <c r="W155" s="330">
        <f t="shared" si="120"/>
        <v>0</v>
      </c>
      <c r="X155" s="330">
        <f t="shared" si="121"/>
        <v>12</v>
      </c>
      <c r="Y155" s="331">
        <f t="shared" si="122"/>
        <v>1</v>
      </c>
      <c r="Z155" s="228">
        <v>21</v>
      </c>
      <c r="AA155" s="255"/>
      <c r="AB155" s="255"/>
      <c r="AC155" s="255"/>
      <c r="AD155" s="280">
        <f t="shared" si="123"/>
        <v>0</v>
      </c>
      <c r="AE155" s="280">
        <f t="shared" si="124"/>
        <v>21</v>
      </c>
      <c r="AF155" s="281">
        <f t="shared" si="125"/>
        <v>1</v>
      </c>
      <c r="AG155" s="229">
        <v>18</v>
      </c>
      <c r="AH155" s="257"/>
      <c r="AI155" s="257"/>
      <c r="AJ155" s="257"/>
      <c r="AK155" s="305">
        <f t="shared" si="126"/>
        <v>0</v>
      </c>
      <c r="AL155" s="305">
        <f t="shared" si="127"/>
        <v>18</v>
      </c>
      <c r="AM155" s="306">
        <f t="shared" si="128"/>
        <v>1</v>
      </c>
      <c r="AN155" s="230">
        <v>14</v>
      </c>
      <c r="AO155" s="259"/>
      <c r="AP155" s="259"/>
      <c r="AQ155" s="259"/>
      <c r="AR155" s="307">
        <f t="shared" si="129"/>
        <v>0</v>
      </c>
      <c r="AS155" s="307">
        <f t="shared" si="130"/>
        <v>14</v>
      </c>
      <c r="AT155" s="308">
        <f t="shared" si="131"/>
        <v>1</v>
      </c>
      <c r="AU155" s="289"/>
      <c r="AV155" s="289"/>
      <c r="AW155" s="289"/>
      <c r="AX155" s="290">
        <v>98</v>
      </c>
      <c r="AY155" s="289">
        <f t="shared" si="132"/>
        <v>98</v>
      </c>
      <c r="AZ155" s="291">
        <f t="shared" si="133"/>
        <v>1</v>
      </c>
      <c r="BA155" s="314"/>
      <c r="BB155" s="386">
        <v>76</v>
      </c>
      <c r="BC155" s="379">
        <f t="shared" si="134"/>
        <v>0</v>
      </c>
      <c r="BD155" s="378">
        <f t="shared" si="135"/>
        <v>0</v>
      </c>
      <c r="BE155" s="379"/>
      <c r="BF155" s="387">
        <f t="shared" si="113"/>
        <v>76</v>
      </c>
    </row>
    <row r="156" spans="1:58" x14ac:dyDescent="0.35">
      <c r="A156" s="243">
        <v>20</v>
      </c>
      <c r="B156" s="266">
        <v>232410135</v>
      </c>
      <c r="C156" s="261" t="s">
        <v>1585</v>
      </c>
      <c r="D156" s="265" t="s">
        <v>8</v>
      </c>
      <c r="E156" s="215">
        <v>19</v>
      </c>
      <c r="F156" s="217">
        <v>1</v>
      </c>
      <c r="G156" s="217"/>
      <c r="H156" s="217">
        <v>1</v>
      </c>
      <c r="I156" s="326">
        <f t="shared" si="114"/>
        <v>2</v>
      </c>
      <c r="J156" s="326">
        <f t="shared" si="115"/>
        <v>17</v>
      </c>
      <c r="K156" s="327">
        <f t="shared" si="116"/>
        <v>0.89473684210526316</v>
      </c>
      <c r="L156" s="221">
        <v>14</v>
      </c>
      <c r="M156" s="222"/>
      <c r="N156" s="223"/>
      <c r="O156" s="223"/>
      <c r="P156" s="328">
        <f t="shared" si="117"/>
        <v>0</v>
      </c>
      <c r="Q156" s="328">
        <f t="shared" si="118"/>
        <v>14</v>
      </c>
      <c r="R156" s="329">
        <f t="shared" si="119"/>
        <v>1</v>
      </c>
      <c r="S156" s="225">
        <v>12</v>
      </c>
      <c r="T156" s="226"/>
      <c r="U156" s="226"/>
      <c r="V156" s="226"/>
      <c r="W156" s="330">
        <f t="shared" si="120"/>
        <v>0</v>
      </c>
      <c r="X156" s="330">
        <f t="shared" si="121"/>
        <v>12</v>
      </c>
      <c r="Y156" s="331">
        <f t="shared" si="122"/>
        <v>1</v>
      </c>
      <c r="Z156" s="228">
        <v>21</v>
      </c>
      <c r="AA156" s="255"/>
      <c r="AB156" s="255"/>
      <c r="AC156" s="255"/>
      <c r="AD156" s="280">
        <f t="shared" si="123"/>
        <v>0</v>
      </c>
      <c r="AE156" s="280">
        <f t="shared" si="124"/>
        <v>21</v>
      </c>
      <c r="AF156" s="281">
        <f t="shared" si="125"/>
        <v>1</v>
      </c>
      <c r="AG156" s="229">
        <v>18</v>
      </c>
      <c r="AH156" s="257"/>
      <c r="AI156" s="257"/>
      <c r="AJ156" s="257"/>
      <c r="AK156" s="305">
        <f t="shared" si="126"/>
        <v>0</v>
      </c>
      <c r="AL156" s="305">
        <f t="shared" si="127"/>
        <v>18</v>
      </c>
      <c r="AM156" s="306">
        <f t="shared" si="128"/>
        <v>1</v>
      </c>
      <c r="AN156" s="230">
        <v>14</v>
      </c>
      <c r="AO156" s="259"/>
      <c r="AP156" s="259"/>
      <c r="AQ156" s="259"/>
      <c r="AR156" s="307">
        <f t="shared" si="129"/>
        <v>0</v>
      </c>
      <c r="AS156" s="307">
        <f t="shared" si="130"/>
        <v>14</v>
      </c>
      <c r="AT156" s="308">
        <f t="shared" si="131"/>
        <v>1</v>
      </c>
      <c r="AU156" s="289"/>
      <c r="AV156" s="289"/>
      <c r="AW156" s="289"/>
      <c r="AX156" s="290">
        <v>98</v>
      </c>
      <c r="AY156" s="289">
        <f t="shared" si="132"/>
        <v>98</v>
      </c>
      <c r="AZ156" s="291">
        <f t="shared" si="133"/>
        <v>1</v>
      </c>
      <c r="BA156" s="314"/>
      <c r="BB156" s="386">
        <v>94</v>
      </c>
      <c r="BC156" s="379">
        <f t="shared" si="134"/>
        <v>0</v>
      </c>
      <c r="BD156" s="378">
        <f t="shared" si="135"/>
        <v>0</v>
      </c>
      <c r="BE156" s="379"/>
      <c r="BF156" s="387">
        <f t="shared" si="113"/>
        <v>94</v>
      </c>
    </row>
    <row r="157" spans="1:58" x14ac:dyDescent="0.35">
      <c r="A157" s="243">
        <v>21</v>
      </c>
      <c r="B157" s="268">
        <v>232410136</v>
      </c>
      <c r="C157" s="261" t="s">
        <v>1586</v>
      </c>
      <c r="D157" s="265" t="s">
        <v>8</v>
      </c>
      <c r="E157" s="215">
        <v>19</v>
      </c>
      <c r="F157" s="217"/>
      <c r="G157" s="218"/>
      <c r="H157" s="217"/>
      <c r="I157" s="326">
        <f t="shared" si="114"/>
        <v>0</v>
      </c>
      <c r="J157" s="326">
        <f t="shared" si="115"/>
        <v>19</v>
      </c>
      <c r="K157" s="327">
        <f t="shared" si="116"/>
        <v>1</v>
      </c>
      <c r="L157" s="221">
        <v>14</v>
      </c>
      <c r="M157" s="222">
        <v>1</v>
      </c>
      <c r="N157" s="223">
        <v>1</v>
      </c>
      <c r="O157" s="223">
        <v>1</v>
      </c>
      <c r="P157" s="328">
        <f t="shared" si="117"/>
        <v>3</v>
      </c>
      <c r="Q157" s="328">
        <f t="shared" si="118"/>
        <v>11</v>
      </c>
      <c r="R157" s="329">
        <f t="shared" si="119"/>
        <v>0.7857142857142857</v>
      </c>
      <c r="S157" s="225">
        <v>12</v>
      </c>
      <c r="T157" s="226"/>
      <c r="U157" s="226"/>
      <c r="V157" s="226"/>
      <c r="W157" s="330">
        <f t="shared" si="120"/>
        <v>0</v>
      </c>
      <c r="X157" s="330">
        <f t="shared" si="121"/>
        <v>12</v>
      </c>
      <c r="Y157" s="331">
        <f t="shared" si="122"/>
        <v>1</v>
      </c>
      <c r="Z157" s="228">
        <v>21</v>
      </c>
      <c r="AA157" s="255"/>
      <c r="AB157" s="255"/>
      <c r="AC157" s="255"/>
      <c r="AD157" s="280">
        <f t="shared" si="123"/>
        <v>0</v>
      </c>
      <c r="AE157" s="280">
        <f t="shared" si="124"/>
        <v>21</v>
      </c>
      <c r="AF157" s="281">
        <f t="shared" si="125"/>
        <v>1</v>
      </c>
      <c r="AG157" s="229">
        <v>18</v>
      </c>
      <c r="AH157" s="257"/>
      <c r="AI157" s="257"/>
      <c r="AJ157" s="257"/>
      <c r="AK157" s="305">
        <f t="shared" si="126"/>
        <v>0</v>
      </c>
      <c r="AL157" s="305">
        <f t="shared" si="127"/>
        <v>18</v>
      </c>
      <c r="AM157" s="306">
        <f t="shared" si="128"/>
        <v>1</v>
      </c>
      <c r="AN157" s="230">
        <v>14</v>
      </c>
      <c r="AO157" s="259"/>
      <c r="AP157" s="259"/>
      <c r="AQ157" s="259"/>
      <c r="AR157" s="307">
        <f t="shared" si="129"/>
        <v>0</v>
      </c>
      <c r="AS157" s="307">
        <f t="shared" si="130"/>
        <v>14</v>
      </c>
      <c r="AT157" s="308">
        <f t="shared" si="131"/>
        <v>1</v>
      </c>
      <c r="AU157" s="289"/>
      <c r="AV157" s="289"/>
      <c r="AW157" s="289"/>
      <c r="AX157" s="290">
        <v>98</v>
      </c>
      <c r="AY157" s="289">
        <f t="shared" si="132"/>
        <v>98</v>
      </c>
      <c r="AZ157" s="291">
        <f t="shared" si="133"/>
        <v>1</v>
      </c>
      <c r="BA157" s="314"/>
      <c r="BB157" s="386">
        <v>94</v>
      </c>
      <c r="BC157" s="379">
        <f t="shared" si="134"/>
        <v>0</v>
      </c>
      <c r="BD157" s="378">
        <f t="shared" si="135"/>
        <v>0</v>
      </c>
      <c r="BE157" s="379"/>
      <c r="BF157" s="387">
        <f t="shared" si="113"/>
        <v>94</v>
      </c>
    </row>
    <row r="158" spans="1:58" x14ac:dyDescent="0.35">
      <c r="A158" s="243">
        <v>22</v>
      </c>
      <c r="B158" s="268">
        <v>232410138</v>
      </c>
      <c r="C158" s="261" t="s">
        <v>1587</v>
      </c>
      <c r="D158" s="265" t="s">
        <v>8</v>
      </c>
      <c r="E158" s="215">
        <v>19</v>
      </c>
      <c r="F158" s="217">
        <v>2</v>
      </c>
      <c r="G158" s="217">
        <v>1</v>
      </c>
      <c r="H158" s="217"/>
      <c r="I158" s="326">
        <f t="shared" si="114"/>
        <v>3</v>
      </c>
      <c r="J158" s="326">
        <f t="shared" si="115"/>
        <v>16</v>
      </c>
      <c r="K158" s="327">
        <f t="shared" si="116"/>
        <v>0.84210526315789469</v>
      </c>
      <c r="L158" s="221">
        <v>14</v>
      </c>
      <c r="M158" s="222">
        <v>1</v>
      </c>
      <c r="N158" s="222">
        <v>1</v>
      </c>
      <c r="O158" s="222">
        <v>2</v>
      </c>
      <c r="P158" s="328">
        <f t="shared" si="117"/>
        <v>4</v>
      </c>
      <c r="Q158" s="328">
        <f t="shared" si="118"/>
        <v>10</v>
      </c>
      <c r="R158" s="329">
        <f t="shared" si="119"/>
        <v>0.7142857142857143</v>
      </c>
      <c r="S158" s="225">
        <v>12</v>
      </c>
      <c r="T158" s="226"/>
      <c r="U158" s="226"/>
      <c r="V158" s="226"/>
      <c r="W158" s="330">
        <f t="shared" si="120"/>
        <v>0</v>
      </c>
      <c r="X158" s="330">
        <f t="shared" si="121"/>
        <v>12</v>
      </c>
      <c r="Y158" s="331">
        <f t="shared" si="122"/>
        <v>1</v>
      </c>
      <c r="Z158" s="228">
        <v>21</v>
      </c>
      <c r="AA158" s="255"/>
      <c r="AB158" s="255"/>
      <c r="AC158" s="255"/>
      <c r="AD158" s="280">
        <f t="shared" si="123"/>
        <v>0</v>
      </c>
      <c r="AE158" s="280">
        <f t="shared" si="124"/>
        <v>21</v>
      </c>
      <c r="AF158" s="281">
        <f t="shared" si="125"/>
        <v>1</v>
      </c>
      <c r="AG158" s="229">
        <v>18</v>
      </c>
      <c r="AH158" s="257"/>
      <c r="AI158" s="257"/>
      <c r="AJ158" s="257"/>
      <c r="AK158" s="305">
        <f t="shared" si="126"/>
        <v>0</v>
      </c>
      <c r="AL158" s="305">
        <f t="shared" si="127"/>
        <v>18</v>
      </c>
      <c r="AM158" s="306">
        <f t="shared" si="128"/>
        <v>1</v>
      </c>
      <c r="AN158" s="230">
        <v>14</v>
      </c>
      <c r="AO158" s="259"/>
      <c r="AP158" s="259"/>
      <c r="AQ158" s="259"/>
      <c r="AR158" s="307">
        <f t="shared" si="129"/>
        <v>0</v>
      </c>
      <c r="AS158" s="307">
        <f t="shared" si="130"/>
        <v>14</v>
      </c>
      <c r="AT158" s="308">
        <f t="shared" si="131"/>
        <v>1</v>
      </c>
      <c r="AU158" s="289"/>
      <c r="AV158" s="289"/>
      <c r="AW158" s="289"/>
      <c r="AX158" s="290">
        <v>98</v>
      </c>
      <c r="AY158" s="289">
        <f t="shared" si="132"/>
        <v>98</v>
      </c>
      <c r="AZ158" s="291">
        <f t="shared" si="133"/>
        <v>1</v>
      </c>
      <c r="BA158" s="314"/>
      <c r="BB158" s="386">
        <v>94</v>
      </c>
      <c r="BC158" s="379">
        <f t="shared" si="134"/>
        <v>0</v>
      </c>
      <c r="BD158" s="378">
        <f t="shared" si="135"/>
        <v>0</v>
      </c>
      <c r="BE158" s="379"/>
      <c r="BF158" s="387">
        <f t="shared" si="113"/>
        <v>94</v>
      </c>
    </row>
    <row r="159" spans="1:58" x14ac:dyDescent="0.35">
      <c r="A159" s="243">
        <v>23</v>
      </c>
      <c r="B159" s="266">
        <v>232410139</v>
      </c>
      <c r="C159" s="261" t="s">
        <v>1588</v>
      </c>
      <c r="D159" s="265" t="s">
        <v>6</v>
      </c>
      <c r="E159" s="215">
        <v>19</v>
      </c>
      <c r="F159" s="217"/>
      <c r="G159" s="217"/>
      <c r="H159" s="217"/>
      <c r="I159" s="326">
        <f t="shared" si="114"/>
        <v>0</v>
      </c>
      <c r="J159" s="326">
        <f t="shared" si="115"/>
        <v>19</v>
      </c>
      <c r="K159" s="327">
        <f t="shared" si="116"/>
        <v>1</v>
      </c>
      <c r="L159" s="221">
        <v>14</v>
      </c>
      <c r="M159" s="222">
        <v>1</v>
      </c>
      <c r="N159" s="223">
        <v>1</v>
      </c>
      <c r="O159" s="222"/>
      <c r="P159" s="328">
        <f t="shared" si="117"/>
        <v>2</v>
      </c>
      <c r="Q159" s="328">
        <f t="shared" si="118"/>
        <v>12</v>
      </c>
      <c r="R159" s="329">
        <f t="shared" si="119"/>
        <v>0.8571428571428571</v>
      </c>
      <c r="S159" s="225">
        <v>12</v>
      </c>
      <c r="T159" s="226"/>
      <c r="U159" s="226"/>
      <c r="V159" s="226"/>
      <c r="W159" s="330">
        <f t="shared" si="120"/>
        <v>0</v>
      </c>
      <c r="X159" s="330">
        <f t="shared" si="121"/>
        <v>12</v>
      </c>
      <c r="Y159" s="331">
        <f t="shared" si="122"/>
        <v>1</v>
      </c>
      <c r="Z159" s="228">
        <v>21</v>
      </c>
      <c r="AA159" s="255"/>
      <c r="AB159" s="255"/>
      <c r="AC159" s="255"/>
      <c r="AD159" s="280">
        <f t="shared" si="123"/>
        <v>0</v>
      </c>
      <c r="AE159" s="280">
        <f t="shared" si="124"/>
        <v>21</v>
      </c>
      <c r="AF159" s="281">
        <f t="shared" si="125"/>
        <v>1</v>
      </c>
      <c r="AG159" s="229">
        <v>18</v>
      </c>
      <c r="AH159" s="257"/>
      <c r="AI159" s="257"/>
      <c r="AJ159" s="257"/>
      <c r="AK159" s="305">
        <f t="shared" si="126"/>
        <v>0</v>
      </c>
      <c r="AL159" s="305">
        <f t="shared" si="127"/>
        <v>18</v>
      </c>
      <c r="AM159" s="306">
        <f t="shared" si="128"/>
        <v>1</v>
      </c>
      <c r="AN159" s="230">
        <v>14</v>
      </c>
      <c r="AO159" s="259"/>
      <c r="AP159" s="259"/>
      <c r="AQ159" s="259"/>
      <c r="AR159" s="307">
        <f t="shared" si="129"/>
        <v>0</v>
      </c>
      <c r="AS159" s="307">
        <f t="shared" si="130"/>
        <v>14</v>
      </c>
      <c r="AT159" s="308">
        <f t="shared" si="131"/>
        <v>1</v>
      </c>
      <c r="AU159" s="289"/>
      <c r="AV159" s="289"/>
      <c r="AW159" s="289"/>
      <c r="AX159" s="290">
        <v>98</v>
      </c>
      <c r="AY159" s="289">
        <f t="shared" si="132"/>
        <v>98</v>
      </c>
      <c r="AZ159" s="291">
        <f t="shared" si="133"/>
        <v>1</v>
      </c>
      <c r="BA159" s="314"/>
      <c r="BB159" s="386">
        <v>100</v>
      </c>
      <c r="BC159" s="379">
        <f t="shared" si="134"/>
        <v>0</v>
      </c>
      <c r="BD159" s="378">
        <f t="shared" si="135"/>
        <v>0</v>
      </c>
      <c r="BE159" s="379"/>
      <c r="BF159" s="387">
        <f t="shared" si="113"/>
        <v>100</v>
      </c>
    </row>
    <row r="160" spans="1:58" x14ac:dyDescent="0.35">
      <c r="A160" s="243">
        <v>24</v>
      </c>
      <c r="B160" s="268">
        <v>232410140</v>
      </c>
      <c r="C160" s="261" t="s">
        <v>1589</v>
      </c>
      <c r="D160" s="265" t="s">
        <v>6</v>
      </c>
      <c r="E160" s="215">
        <v>19</v>
      </c>
      <c r="F160" s="217"/>
      <c r="G160" s="217">
        <v>1</v>
      </c>
      <c r="H160" s="217"/>
      <c r="I160" s="326">
        <f t="shared" si="114"/>
        <v>1</v>
      </c>
      <c r="J160" s="326">
        <f t="shared" si="115"/>
        <v>18</v>
      </c>
      <c r="K160" s="327">
        <f t="shared" si="116"/>
        <v>0.94736842105263153</v>
      </c>
      <c r="L160" s="221">
        <v>14</v>
      </c>
      <c r="M160" s="222"/>
      <c r="N160" s="223">
        <v>3</v>
      </c>
      <c r="O160" s="222"/>
      <c r="P160" s="328">
        <f t="shared" si="117"/>
        <v>3</v>
      </c>
      <c r="Q160" s="328">
        <f t="shared" si="118"/>
        <v>11</v>
      </c>
      <c r="R160" s="329">
        <f t="shared" si="119"/>
        <v>0.7857142857142857</v>
      </c>
      <c r="S160" s="225">
        <v>12</v>
      </c>
      <c r="T160" s="226"/>
      <c r="U160" s="226"/>
      <c r="V160" s="226"/>
      <c r="W160" s="330">
        <f t="shared" si="120"/>
        <v>0</v>
      </c>
      <c r="X160" s="330">
        <f t="shared" si="121"/>
        <v>12</v>
      </c>
      <c r="Y160" s="331">
        <f t="shared" si="122"/>
        <v>1</v>
      </c>
      <c r="Z160" s="228">
        <v>21</v>
      </c>
      <c r="AA160" s="255"/>
      <c r="AB160" s="255"/>
      <c r="AC160" s="255"/>
      <c r="AD160" s="280">
        <f t="shared" si="123"/>
        <v>0</v>
      </c>
      <c r="AE160" s="280">
        <f t="shared" si="124"/>
        <v>21</v>
      </c>
      <c r="AF160" s="281">
        <f t="shared" si="125"/>
        <v>1</v>
      </c>
      <c r="AG160" s="229">
        <v>18</v>
      </c>
      <c r="AH160" s="257"/>
      <c r="AI160" s="257"/>
      <c r="AJ160" s="257"/>
      <c r="AK160" s="305">
        <f t="shared" si="126"/>
        <v>0</v>
      </c>
      <c r="AL160" s="305">
        <f t="shared" si="127"/>
        <v>18</v>
      </c>
      <c r="AM160" s="306">
        <f t="shared" si="128"/>
        <v>1</v>
      </c>
      <c r="AN160" s="230">
        <v>14</v>
      </c>
      <c r="AO160" s="259"/>
      <c r="AP160" s="259"/>
      <c r="AQ160" s="259"/>
      <c r="AR160" s="307">
        <f t="shared" si="129"/>
        <v>0</v>
      </c>
      <c r="AS160" s="307">
        <f t="shared" si="130"/>
        <v>14</v>
      </c>
      <c r="AT160" s="308">
        <f t="shared" si="131"/>
        <v>1</v>
      </c>
      <c r="AU160" s="289"/>
      <c r="AV160" s="289"/>
      <c r="AW160" s="289"/>
      <c r="AX160" s="290">
        <v>98</v>
      </c>
      <c r="AY160" s="289">
        <f t="shared" si="132"/>
        <v>98</v>
      </c>
      <c r="AZ160" s="291">
        <f t="shared" si="133"/>
        <v>1</v>
      </c>
      <c r="BA160" s="314"/>
      <c r="BB160" s="386">
        <v>100</v>
      </c>
      <c r="BC160" s="379">
        <f t="shared" si="134"/>
        <v>0</v>
      </c>
      <c r="BD160" s="378">
        <f t="shared" si="135"/>
        <v>0</v>
      </c>
      <c r="BE160" s="379"/>
      <c r="BF160" s="387">
        <f t="shared" si="113"/>
        <v>100</v>
      </c>
    </row>
    <row r="161" spans="1:58" x14ac:dyDescent="0.35">
      <c r="A161" s="243">
        <v>25</v>
      </c>
      <c r="B161" s="268">
        <v>232410074</v>
      </c>
      <c r="C161" s="261" t="s">
        <v>1590</v>
      </c>
      <c r="D161" s="265" t="s">
        <v>6</v>
      </c>
      <c r="E161" s="215">
        <v>19</v>
      </c>
      <c r="F161" s="217"/>
      <c r="G161" s="217"/>
      <c r="H161" s="217"/>
      <c r="I161" s="326">
        <f t="shared" si="114"/>
        <v>0</v>
      </c>
      <c r="J161" s="326">
        <f t="shared" si="115"/>
        <v>19</v>
      </c>
      <c r="K161" s="327">
        <f t="shared" si="116"/>
        <v>1</v>
      </c>
      <c r="L161" s="221">
        <v>14</v>
      </c>
      <c r="M161" s="222"/>
      <c r="N161" s="223">
        <v>3</v>
      </c>
      <c r="O161" s="222">
        <v>1</v>
      </c>
      <c r="P161" s="328">
        <f t="shared" si="117"/>
        <v>4</v>
      </c>
      <c r="Q161" s="328">
        <f t="shared" si="118"/>
        <v>10</v>
      </c>
      <c r="R161" s="329">
        <f t="shared" si="119"/>
        <v>0.7142857142857143</v>
      </c>
      <c r="S161" s="225">
        <v>12</v>
      </c>
      <c r="T161" s="226"/>
      <c r="U161" s="226"/>
      <c r="V161" s="226"/>
      <c r="W161" s="330">
        <f t="shared" si="120"/>
        <v>0</v>
      </c>
      <c r="X161" s="330">
        <f t="shared" si="121"/>
        <v>12</v>
      </c>
      <c r="Y161" s="331">
        <f t="shared" si="122"/>
        <v>1</v>
      </c>
      <c r="Z161" s="228">
        <v>21</v>
      </c>
      <c r="AA161" s="255"/>
      <c r="AB161" s="255"/>
      <c r="AC161" s="255"/>
      <c r="AD161" s="280">
        <f t="shared" si="123"/>
        <v>0</v>
      </c>
      <c r="AE161" s="280">
        <f t="shared" si="124"/>
        <v>21</v>
      </c>
      <c r="AF161" s="281">
        <f t="shared" si="125"/>
        <v>1</v>
      </c>
      <c r="AG161" s="229">
        <v>18</v>
      </c>
      <c r="AH161" s="257"/>
      <c r="AI161" s="257"/>
      <c r="AJ161" s="257"/>
      <c r="AK161" s="305">
        <f t="shared" si="126"/>
        <v>0</v>
      </c>
      <c r="AL161" s="305">
        <f t="shared" si="127"/>
        <v>18</v>
      </c>
      <c r="AM161" s="306">
        <f t="shared" si="128"/>
        <v>1</v>
      </c>
      <c r="AN161" s="230">
        <v>14</v>
      </c>
      <c r="AO161" s="259"/>
      <c r="AP161" s="259"/>
      <c r="AQ161" s="259"/>
      <c r="AR161" s="307">
        <f t="shared" si="129"/>
        <v>0</v>
      </c>
      <c r="AS161" s="307">
        <f t="shared" si="130"/>
        <v>14</v>
      </c>
      <c r="AT161" s="308">
        <f t="shared" si="131"/>
        <v>1</v>
      </c>
      <c r="AU161" s="289"/>
      <c r="AV161" s="289"/>
      <c r="AW161" s="289"/>
      <c r="AX161" s="290">
        <v>98</v>
      </c>
      <c r="AY161" s="289">
        <f t="shared" si="132"/>
        <v>98</v>
      </c>
      <c r="AZ161" s="291">
        <f t="shared" si="133"/>
        <v>1</v>
      </c>
      <c r="BA161" s="314">
        <v>1</v>
      </c>
      <c r="BB161" s="386">
        <v>100</v>
      </c>
      <c r="BC161" s="379">
        <f t="shared" si="134"/>
        <v>2</v>
      </c>
      <c r="BD161" s="378">
        <f t="shared" si="135"/>
        <v>0</v>
      </c>
      <c r="BE161" s="379"/>
      <c r="BF161" s="387">
        <f t="shared" si="113"/>
        <v>98</v>
      </c>
    </row>
    <row r="162" spans="1:58" x14ac:dyDescent="0.35">
      <c r="A162" s="243">
        <v>26</v>
      </c>
      <c r="B162" s="268">
        <v>232410141</v>
      </c>
      <c r="C162" s="261" t="s">
        <v>1591</v>
      </c>
      <c r="D162" s="265" t="s">
        <v>8</v>
      </c>
      <c r="E162" s="215">
        <v>19</v>
      </c>
      <c r="F162" s="217"/>
      <c r="G162" s="217">
        <v>1</v>
      </c>
      <c r="H162" s="217">
        <v>1</v>
      </c>
      <c r="I162" s="326">
        <f t="shared" si="114"/>
        <v>2</v>
      </c>
      <c r="J162" s="326">
        <f t="shared" si="115"/>
        <v>17</v>
      </c>
      <c r="K162" s="327">
        <f t="shared" si="116"/>
        <v>0.89473684210526316</v>
      </c>
      <c r="L162" s="221">
        <v>14</v>
      </c>
      <c r="M162" s="222">
        <v>1</v>
      </c>
      <c r="N162" s="223">
        <v>1</v>
      </c>
      <c r="O162" s="222"/>
      <c r="P162" s="328">
        <f t="shared" si="117"/>
        <v>2</v>
      </c>
      <c r="Q162" s="328">
        <f t="shared" si="118"/>
        <v>12</v>
      </c>
      <c r="R162" s="329">
        <f t="shared" si="119"/>
        <v>0.8571428571428571</v>
      </c>
      <c r="S162" s="225">
        <v>12</v>
      </c>
      <c r="T162" s="226"/>
      <c r="U162" s="226"/>
      <c r="V162" s="226"/>
      <c r="W162" s="330">
        <f t="shared" si="120"/>
        <v>0</v>
      </c>
      <c r="X162" s="330">
        <f t="shared" si="121"/>
        <v>12</v>
      </c>
      <c r="Y162" s="331">
        <f t="shared" si="122"/>
        <v>1</v>
      </c>
      <c r="Z162" s="228">
        <v>21</v>
      </c>
      <c r="AA162" s="255"/>
      <c r="AB162" s="255"/>
      <c r="AC162" s="255"/>
      <c r="AD162" s="280">
        <f t="shared" si="123"/>
        <v>0</v>
      </c>
      <c r="AE162" s="280">
        <f t="shared" si="124"/>
        <v>21</v>
      </c>
      <c r="AF162" s="281">
        <f t="shared" si="125"/>
        <v>1</v>
      </c>
      <c r="AG162" s="229">
        <v>18</v>
      </c>
      <c r="AH162" s="257"/>
      <c r="AI162" s="257"/>
      <c r="AJ162" s="257"/>
      <c r="AK162" s="305">
        <f t="shared" si="126"/>
        <v>0</v>
      </c>
      <c r="AL162" s="305">
        <f t="shared" si="127"/>
        <v>18</v>
      </c>
      <c r="AM162" s="306">
        <f t="shared" si="128"/>
        <v>1</v>
      </c>
      <c r="AN162" s="230">
        <v>14</v>
      </c>
      <c r="AO162" s="259"/>
      <c r="AP162" s="259"/>
      <c r="AQ162" s="259"/>
      <c r="AR162" s="307">
        <f t="shared" si="129"/>
        <v>0</v>
      </c>
      <c r="AS162" s="307">
        <f t="shared" si="130"/>
        <v>14</v>
      </c>
      <c r="AT162" s="308">
        <f t="shared" si="131"/>
        <v>1</v>
      </c>
      <c r="AU162" s="289"/>
      <c r="AV162" s="289"/>
      <c r="AW162" s="289"/>
      <c r="AX162" s="290">
        <v>98</v>
      </c>
      <c r="AY162" s="289">
        <f t="shared" si="132"/>
        <v>98</v>
      </c>
      <c r="AZ162" s="291">
        <f t="shared" si="133"/>
        <v>1</v>
      </c>
      <c r="BA162" s="314"/>
      <c r="BB162" s="386">
        <v>90</v>
      </c>
      <c r="BC162" s="379">
        <f t="shared" si="134"/>
        <v>0</v>
      </c>
      <c r="BD162" s="378">
        <f t="shared" si="135"/>
        <v>0</v>
      </c>
      <c r="BE162" s="379"/>
      <c r="BF162" s="387">
        <f t="shared" si="113"/>
        <v>90</v>
      </c>
    </row>
    <row r="163" spans="1:58" x14ac:dyDescent="0.35">
      <c r="A163" s="243">
        <v>27</v>
      </c>
      <c r="B163" s="268">
        <v>232410142</v>
      </c>
      <c r="C163" s="261" t="s">
        <v>1592</v>
      </c>
      <c r="D163" s="265" t="s">
        <v>8</v>
      </c>
      <c r="E163" s="215">
        <v>19</v>
      </c>
      <c r="F163" s="217"/>
      <c r="G163" s="217">
        <v>2</v>
      </c>
      <c r="H163" s="217"/>
      <c r="I163" s="326">
        <f t="shared" si="114"/>
        <v>2</v>
      </c>
      <c r="J163" s="326">
        <f t="shared" si="115"/>
        <v>17</v>
      </c>
      <c r="K163" s="327">
        <f t="shared" si="116"/>
        <v>0.89473684210526316</v>
      </c>
      <c r="L163" s="221">
        <v>14</v>
      </c>
      <c r="M163" s="222"/>
      <c r="N163" s="223">
        <v>4</v>
      </c>
      <c r="O163" s="222"/>
      <c r="P163" s="328">
        <f t="shared" si="117"/>
        <v>4</v>
      </c>
      <c r="Q163" s="328">
        <f t="shared" si="118"/>
        <v>10</v>
      </c>
      <c r="R163" s="329">
        <f t="shared" si="119"/>
        <v>0.7142857142857143</v>
      </c>
      <c r="S163" s="225">
        <v>12</v>
      </c>
      <c r="T163" s="226"/>
      <c r="U163" s="226"/>
      <c r="V163" s="226"/>
      <c r="W163" s="330">
        <f t="shared" si="120"/>
        <v>0</v>
      </c>
      <c r="X163" s="330">
        <f t="shared" si="121"/>
        <v>12</v>
      </c>
      <c r="Y163" s="331">
        <f t="shared" si="122"/>
        <v>1</v>
      </c>
      <c r="Z163" s="228">
        <v>21</v>
      </c>
      <c r="AA163" s="255"/>
      <c r="AB163" s="255"/>
      <c r="AC163" s="255"/>
      <c r="AD163" s="280">
        <f t="shared" si="123"/>
        <v>0</v>
      </c>
      <c r="AE163" s="280">
        <f t="shared" si="124"/>
        <v>21</v>
      </c>
      <c r="AF163" s="281">
        <f t="shared" si="125"/>
        <v>1</v>
      </c>
      <c r="AG163" s="229">
        <v>18</v>
      </c>
      <c r="AH163" s="257"/>
      <c r="AI163" s="257"/>
      <c r="AJ163" s="257"/>
      <c r="AK163" s="305">
        <f t="shared" si="126"/>
        <v>0</v>
      </c>
      <c r="AL163" s="305">
        <f t="shared" si="127"/>
        <v>18</v>
      </c>
      <c r="AM163" s="306">
        <f t="shared" si="128"/>
        <v>1</v>
      </c>
      <c r="AN163" s="230">
        <v>14</v>
      </c>
      <c r="AO163" s="259"/>
      <c r="AP163" s="259"/>
      <c r="AQ163" s="259"/>
      <c r="AR163" s="307">
        <f t="shared" si="129"/>
        <v>0</v>
      </c>
      <c r="AS163" s="307">
        <f t="shared" si="130"/>
        <v>14</v>
      </c>
      <c r="AT163" s="308">
        <f t="shared" si="131"/>
        <v>1</v>
      </c>
      <c r="AU163" s="289"/>
      <c r="AV163" s="289"/>
      <c r="AW163" s="289"/>
      <c r="AX163" s="290">
        <v>98</v>
      </c>
      <c r="AY163" s="289">
        <f t="shared" si="132"/>
        <v>98</v>
      </c>
      <c r="AZ163" s="291">
        <f t="shared" si="133"/>
        <v>1</v>
      </c>
      <c r="BA163" s="314"/>
      <c r="BB163" s="386">
        <v>100</v>
      </c>
      <c r="BC163" s="379">
        <f t="shared" si="134"/>
        <v>0</v>
      </c>
      <c r="BD163" s="378">
        <f t="shared" si="135"/>
        <v>0</v>
      </c>
      <c r="BE163" s="379"/>
      <c r="BF163" s="387">
        <f t="shared" si="113"/>
        <v>100</v>
      </c>
    </row>
    <row r="164" spans="1:58" x14ac:dyDescent="0.35">
      <c r="A164" s="243">
        <v>28</v>
      </c>
      <c r="B164" s="268">
        <v>232410143</v>
      </c>
      <c r="C164" s="261" t="s">
        <v>1593</v>
      </c>
      <c r="D164" s="265" t="s">
        <v>8</v>
      </c>
      <c r="E164" s="215">
        <v>19</v>
      </c>
      <c r="F164" s="217"/>
      <c r="G164" s="217"/>
      <c r="H164" s="217"/>
      <c r="I164" s="326">
        <f t="shared" si="114"/>
        <v>0</v>
      </c>
      <c r="J164" s="326">
        <f t="shared" si="115"/>
        <v>19</v>
      </c>
      <c r="K164" s="327">
        <f t="shared" si="116"/>
        <v>1</v>
      </c>
      <c r="L164" s="221">
        <v>14</v>
      </c>
      <c r="M164" s="223"/>
      <c r="N164" s="223">
        <v>1</v>
      </c>
      <c r="O164" s="222">
        <v>1</v>
      </c>
      <c r="P164" s="328">
        <f t="shared" si="117"/>
        <v>2</v>
      </c>
      <c r="Q164" s="328">
        <f t="shared" si="118"/>
        <v>12</v>
      </c>
      <c r="R164" s="329">
        <f t="shared" si="119"/>
        <v>0.8571428571428571</v>
      </c>
      <c r="S164" s="225">
        <v>12</v>
      </c>
      <c r="T164" s="226"/>
      <c r="U164" s="226"/>
      <c r="V164" s="226"/>
      <c r="W164" s="330">
        <f t="shared" si="120"/>
        <v>0</v>
      </c>
      <c r="X164" s="330">
        <f t="shared" si="121"/>
        <v>12</v>
      </c>
      <c r="Y164" s="331">
        <f t="shared" si="122"/>
        <v>1</v>
      </c>
      <c r="Z164" s="228">
        <v>21</v>
      </c>
      <c r="AA164" s="255"/>
      <c r="AB164" s="255"/>
      <c r="AC164" s="255"/>
      <c r="AD164" s="280">
        <f t="shared" si="123"/>
        <v>0</v>
      </c>
      <c r="AE164" s="280">
        <f t="shared" si="124"/>
        <v>21</v>
      </c>
      <c r="AF164" s="281">
        <f t="shared" si="125"/>
        <v>1</v>
      </c>
      <c r="AG164" s="229">
        <v>18</v>
      </c>
      <c r="AH164" s="257"/>
      <c r="AI164" s="257"/>
      <c r="AJ164" s="257"/>
      <c r="AK164" s="305">
        <f t="shared" si="126"/>
        <v>0</v>
      </c>
      <c r="AL164" s="305">
        <f t="shared" si="127"/>
        <v>18</v>
      </c>
      <c r="AM164" s="306">
        <f t="shared" si="128"/>
        <v>1</v>
      </c>
      <c r="AN164" s="230">
        <v>14</v>
      </c>
      <c r="AO164" s="259"/>
      <c r="AP164" s="259"/>
      <c r="AQ164" s="259"/>
      <c r="AR164" s="307">
        <f t="shared" si="129"/>
        <v>0</v>
      </c>
      <c r="AS164" s="307">
        <f t="shared" si="130"/>
        <v>14</v>
      </c>
      <c r="AT164" s="308">
        <f t="shared" si="131"/>
        <v>1</v>
      </c>
      <c r="AU164" s="289"/>
      <c r="AV164" s="289"/>
      <c r="AW164" s="289"/>
      <c r="AX164" s="290">
        <v>98</v>
      </c>
      <c r="AY164" s="289">
        <f t="shared" si="132"/>
        <v>98</v>
      </c>
      <c r="AZ164" s="291">
        <f t="shared" si="133"/>
        <v>1</v>
      </c>
      <c r="BA164" s="314"/>
      <c r="BB164" s="386">
        <v>96</v>
      </c>
      <c r="BC164" s="379">
        <f t="shared" si="134"/>
        <v>0</v>
      </c>
      <c r="BD164" s="378">
        <f t="shared" si="135"/>
        <v>0</v>
      </c>
      <c r="BE164" s="379"/>
      <c r="BF164" s="387">
        <f t="shared" si="113"/>
        <v>96</v>
      </c>
    </row>
    <row r="165" spans="1:58" x14ac:dyDescent="0.35">
      <c r="A165" s="243">
        <v>29</v>
      </c>
      <c r="B165" s="266">
        <v>232410144</v>
      </c>
      <c r="C165" s="261" t="s">
        <v>1594</v>
      </c>
      <c r="D165" s="273" t="s">
        <v>8</v>
      </c>
      <c r="E165" s="215">
        <v>19</v>
      </c>
      <c r="F165" s="217"/>
      <c r="G165" s="217">
        <v>1</v>
      </c>
      <c r="H165" s="217">
        <v>1</v>
      </c>
      <c r="I165" s="326">
        <f t="shared" si="114"/>
        <v>2</v>
      </c>
      <c r="J165" s="326">
        <f t="shared" si="115"/>
        <v>17</v>
      </c>
      <c r="K165" s="327">
        <f t="shared" si="116"/>
        <v>0.89473684210526316</v>
      </c>
      <c r="L165" s="221">
        <v>14</v>
      </c>
      <c r="M165" s="222">
        <v>1</v>
      </c>
      <c r="N165" s="222"/>
      <c r="O165" s="222">
        <v>1</v>
      </c>
      <c r="P165" s="328">
        <f t="shared" si="117"/>
        <v>2</v>
      </c>
      <c r="Q165" s="328">
        <f t="shared" si="118"/>
        <v>12</v>
      </c>
      <c r="R165" s="329">
        <f t="shared" si="119"/>
        <v>0.8571428571428571</v>
      </c>
      <c r="S165" s="225">
        <v>12</v>
      </c>
      <c r="T165" s="226"/>
      <c r="U165" s="226"/>
      <c r="V165" s="226"/>
      <c r="W165" s="330">
        <f t="shared" si="120"/>
        <v>0</v>
      </c>
      <c r="X165" s="330">
        <f t="shared" si="121"/>
        <v>12</v>
      </c>
      <c r="Y165" s="331">
        <f t="shared" si="122"/>
        <v>1</v>
      </c>
      <c r="Z165" s="228">
        <v>21</v>
      </c>
      <c r="AA165" s="255"/>
      <c r="AB165" s="255"/>
      <c r="AC165" s="255"/>
      <c r="AD165" s="280">
        <f t="shared" si="123"/>
        <v>0</v>
      </c>
      <c r="AE165" s="280">
        <f t="shared" si="124"/>
        <v>21</v>
      </c>
      <c r="AF165" s="281">
        <f t="shared" si="125"/>
        <v>1</v>
      </c>
      <c r="AG165" s="229">
        <v>18</v>
      </c>
      <c r="AH165" s="257"/>
      <c r="AI165" s="257"/>
      <c r="AJ165" s="257"/>
      <c r="AK165" s="305">
        <f t="shared" si="126"/>
        <v>0</v>
      </c>
      <c r="AL165" s="305">
        <f t="shared" si="127"/>
        <v>18</v>
      </c>
      <c r="AM165" s="306">
        <f t="shared" si="128"/>
        <v>1</v>
      </c>
      <c r="AN165" s="230">
        <v>14</v>
      </c>
      <c r="AO165" s="259"/>
      <c r="AP165" s="259"/>
      <c r="AQ165" s="259"/>
      <c r="AR165" s="307">
        <f t="shared" si="129"/>
        <v>0</v>
      </c>
      <c r="AS165" s="307">
        <f t="shared" si="130"/>
        <v>14</v>
      </c>
      <c r="AT165" s="308">
        <f t="shared" si="131"/>
        <v>1</v>
      </c>
      <c r="AU165" s="289"/>
      <c r="AV165" s="289"/>
      <c r="AW165" s="289"/>
      <c r="AX165" s="290">
        <v>98</v>
      </c>
      <c r="AY165" s="289">
        <f t="shared" si="132"/>
        <v>98</v>
      </c>
      <c r="AZ165" s="291">
        <f t="shared" si="133"/>
        <v>1</v>
      </c>
      <c r="BA165" s="314">
        <v>1</v>
      </c>
      <c r="BB165" s="386">
        <v>90</v>
      </c>
      <c r="BC165" s="379">
        <f t="shared" si="134"/>
        <v>2</v>
      </c>
      <c r="BD165" s="378">
        <f t="shared" si="135"/>
        <v>0</v>
      </c>
      <c r="BE165" s="379"/>
      <c r="BF165" s="387">
        <f t="shared" si="113"/>
        <v>88</v>
      </c>
    </row>
    <row r="166" spans="1:58" x14ac:dyDescent="0.35">
      <c r="A166" s="243">
        <v>30</v>
      </c>
      <c r="B166" s="268">
        <v>232410145</v>
      </c>
      <c r="C166" s="261" t="s">
        <v>1595</v>
      </c>
      <c r="D166" s="273" t="s">
        <v>8</v>
      </c>
      <c r="E166" s="215">
        <v>19</v>
      </c>
      <c r="F166" s="217"/>
      <c r="G166" s="217"/>
      <c r="H166" s="217"/>
      <c r="I166" s="326">
        <f t="shared" si="114"/>
        <v>0</v>
      </c>
      <c r="J166" s="326">
        <f t="shared" si="115"/>
        <v>19</v>
      </c>
      <c r="K166" s="327">
        <f t="shared" si="116"/>
        <v>1</v>
      </c>
      <c r="L166" s="221">
        <v>14</v>
      </c>
      <c r="M166" s="222"/>
      <c r="N166" s="223"/>
      <c r="O166" s="222"/>
      <c r="P166" s="328">
        <f t="shared" si="117"/>
        <v>0</v>
      </c>
      <c r="Q166" s="328">
        <f t="shared" si="118"/>
        <v>14</v>
      </c>
      <c r="R166" s="329">
        <f t="shared" si="119"/>
        <v>1</v>
      </c>
      <c r="S166" s="225">
        <v>12</v>
      </c>
      <c r="T166" s="226"/>
      <c r="U166" s="226"/>
      <c r="V166" s="226"/>
      <c r="W166" s="330">
        <f t="shared" si="120"/>
        <v>0</v>
      </c>
      <c r="X166" s="330">
        <f t="shared" si="121"/>
        <v>12</v>
      </c>
      <c r="Y166" s="331">
        <f t="shared" si="122"/>
        <v>1</v>
      </c>
      <c r="Z166" s="228">
        <v>21</v>
      </c>
      <c r="AA166" s="255"/>
      <c r="AB166" s="255"/>
      <c r="AC166" s="255"/>
      <c r="AD166" s="280">
        <f t="shared" si="123"/>
        <v>0</v>
      </c>
      <c r="AE166" s="280">
        <f t="shared" si="124"/>
        <v>21</v>
      </c>
      <c r="AF166" s="281">
        <f t="shared" si="125"/>
        <v>1</v>
      </c>
      <c r="AG166" s="229">
        <v>18</v>
      </c>
      <c r="AH166" s="257"/>
      <c r="AI166" s="257"/>
      <c r="AJ166" s="257"/>
      <c r="AK166" s="305">
        <f t="shared" si="126"/>
        <v>0</v>
      </c>
      <c r="AL166" s="305">
        <f t="shared" si="127"/>
        <v>18</v>
      </c>
      <c r="AM166" s="306">
        <f t="shared" si="128"/>
        <v>1</v>
      </c>
      <c r="AN166" s="230">
        <v>14</v>
      </c>
      <c r="AO166" s="259"/>
      <c r="AP166" s="259"/>
      <c r="AQ166" s="259"/>
      <c r="AR166" s="307">
        <f t="shared" si="129"/>
        <v>0</v>
      </c>
      <c r="AS166" s="307">
        <f t="shared" si="130"/>
        <v>14</v>
      </c>
      <c r="AT166" s="308">
        <f t="shared" si="131"/>
        <v>1</v>
      </c>
      <c r="AU166" s="289"/>
      <c r="AV166" s="289"/>
      <c r="AW166" s="289"/>
      <c r="AX166" s="290">
        <v>98</v>
      </c>
      <c r="AY166" s="289">
        <f t="shared" si="132"/>
        <v>98</v>
      </c>
      <c r="AZ166" s="291">
        <f t="shared" si="133"/>
        <v>1</v>
      </c>
      <c r="BA166" s="314"/>
      <c r="BB166" s="386">
        <v>98</v>
      </c>
      <c r="BC166" s="379">
        <f t="shared" si="134"/>
        <v>0</v>
      </c>
      <c r="BD166" s="378">
        <f t="shared" si="135"/>
        <v>0</v>
      </c>
      <c r="BE166" s="379"/>
      <c r="BF166" s="387">
        <f t="shared" si="113"/>
        <v>98</v>
      </c>
    </row>
    <row r="167" spans="1:58" x14ac:dyDescent="0.35">
      <c r="A167" s="243">
        <v>31</v>
      </c>
      <c r="B167" s="274">
        <v>232410146</v>
      </c>
      <c r="C167" s="364" t="s">
        <v>1596</v>
      </c>
      <c r="D167" s="271" t="s">
        <v>8</v>
      </c>
      <c r="E167" s="215">
        <v>19</v>
      </c>
      <c r="F167" s="217"/>
      <c r="G167" s="217">
        <v>1</v>
      </c>
      <c r="H167" s="217">
        <v>1</v>
      </c>
      <c r="I167" s="326">
        <f t="shared" si="114"/>
        <v>2</v>
      </c>
      <c r="J167" s="326">
        <f t="shared" si="115"/>
        <v>17</v>
      </c>
      <c r="K167" s="327">
        <f t="shared" si="116"/>
        <v>0.89473684210526316</v>
      </c>
      <c r="L167" s="221">
        <v>14</v>
      </c>
      <c r="M167" s="222"/>
      <c r="N167" s="222">
        <v>1</v>
      </c>
      <c r="O167" s="222">
        <v>1</v>
      </c>
      <c r="P167" s="328">
        <f t="shared" si="117"/>
        <v>2</v>
      </c>
      <c r="Q167" s="328">
        <f t="shared" si="118"/>
        <v>12</v>
      </c>
      <c r="R167" s="329">
        <f t="shared" si="119"/>
        <v>0.8571428571428571</v>
      </c>
      <c r="S167" s="225">
        <v>12</v>
      </c>
      <c r="T167" s="226"/>
      <c r="U167" s="226"/>
      <c r="V167" s="226"/>
      <c r="W167" s="330">
        <f t="shared" si="120"/>
        <v>0</v>
      </c>
      <c r="X167" s="330">
        <f t="shared" si="121"/>
        <v>12</v>
      </c>
      <c r="Y167" s="331">
        <f t="shared" si="122"/>
        <v>1</v>
      </c>
      <c r="Z167" s="228">
        <v>21</v>
      </c>
      <c r="AA167" s="255"/>
      <c r="AB167" s="255"/>
      <c r="AC167" s="255"/>
      <c r="AD167" s="280">
        <f t="shared" si="123"/>
        <v>0</v>
      </c>
      <c r="AE167" s="280">
        <f t="shared" si="124"/>
        <v>21</v>
      </c>
      <c r="AF167" s="281">
        <f t="shared" si="125"/>
        <v>1</v>
      </c>
      <c r="AG167" s="229">
        <v>18</v>
      </c>
      <c r="AH167" s="257"/>
      <c r="AI167" s="257"/>
      <c r="AJ167" s="257"/>
      <c r="AK167" s="305">
        <f t="shared" si="126"/>
        <v>0</v>
      </c>
      <c r="AL167" s="305">
        <f t="shared" si="127"/>
        <v>18</v>
      </c>
      <c r="AM167" s="306">
        <f t="shared" si="128"/>
        <v>1</v>
      </c>
      <c r="AN167" s="230">
        <v>14</v>
      </c>
      <c r="AO167" s="259"/>
      <c r="AP167" s="259"/>
      <c r="AQ167" s="259"/>
      <c r="AR167" s="307">
        <f t="shared" si="129"/>
        <v>0</v>
      </c>
      <c r="AS167" s="307">
        <f t="shared" si="130"/>
        <v>14</v>
      </c>
      <c r="AT167" s="308">
        <f t="shared" si="131"/>
        <v>1</v>
      </c>
      <c r="AU167" s="289"/>
      <c r="AV167" s="289"/>
      <c r="AW167" s="289"/>
      <c r="AX167" s="290">
        <v>98</v>
      </c>
      <c r="AY167" s="289">
        <f t="shared" si="132"/>
        <v>98</v>
      </c>
      <c r="AZ167" s="291">
        <f t="shared" si="133"/>
        <v>1</v>
      </c>
      <c r="BA167" s="314">
        <v>1</v>
      </c>
      <c r="BB167" s="386">
        <v>94</v>
      </c>
      <c r="BC167" s="379">
        <f t="shared" si="134"/>
        <v>2</v>
      </c>
      <c r="BD167" s="378">
        <f t="shared" si="135"/>
        <v>0</v>
      </c>
      <c r="BE167" s="379"/>
      <c r="BF167" s="387">
        <f t="shared" si="113"/>
        <v>92</v>
      </c>
    </row>
    <row r="168" spans="1:58" x14ac:dyDescent="0.35">
      <c r="A168" s="243">
        <v>32</v>
      </c>
      <c r="B168" s="275">
        <v>232410147</v>
      </c>
      <c r="C168" s="261" t="s">
        <v>1597</v>
      </c>
      <c r="D168" s="265" t="s">
        <v>8</v>
      </c>
      <c r="E168" s="215">
        <v>19</v>
      </c>
      <c r="F168" s="217">
        <v>1</v>
      </c>
      <c r="G168" s="217"/>
      <c r="H168" s="217"/>
      <c r="I168" s="326">
        <f t="shared" si="114"/>
        <v>1</v>
      </c>
      <c r="J168" s="326">
        <f t="shared" si="115"/>
        <v>18</v>
      </c>
      <c r="K168" s="327">
        <f t="shared" si="116"/>
        <v>0.94736842105263153</v>
      </c>
      <c r="L168" s="221">
        <v>14</v>
      </c>
      <c r="M168" s="222">
        <v>1</v>
      </c>
      <c r="N168" s="223">
        <v>1</v>
      </c>
      <c r="O168" s="223"/>
      <c r="P168" s="328">
        <f t="shared" si="117"/>
        <v>2</v>
      </c>
      <c r="Q168" s="328">
        <f t="shared" si="118"/>
        <v>12</v>
      </c>
      <c r="R168" s="329">
        <f t="shared" si="119"/>
        <v>0.8571428571428571</v>
      </c>
      <c r="S168" s="225">
        <v>12</v>
      </c>
      <c r="T168" s="226"/>
      <c r="U168" s="226"/>
      <c r="V168" s="226"/>
      <c r="W168" s="330">
        <f t="shared" si="120"/>
        <v>0</v>
      </c>
      <c r="X168" s="330">
        <f t="shared" si="121"/>
        <v>12</v>
      </c>
      <c r="Y168" s="331">
        <f t="shared" si="122"/>
        <v>1</v>
      </c>
      <c r="Z168" s="228">
        <v>21</v>
      </c>
      <c r="AA168" s="255"/>
      <c r="AB168" s="255"/>
      <c r="AC168" s="255"/>
      <c r="AD168" s="280">
        <f t="shared" si="123"/>
        <v>0</v>
      </c>
      <c r="AE168" s="280">
        <f t="shared" si="124"/>
        <v>21</v>
      </c>
      <c r="AF168" s="281">
        <f t="shared" si="125"/>
        <v>1</v>
      </c>
      <c r="AG168" s="229">
        <v>18</v>
      </c>
      <c r="AH168" s="257"/>
      <c r="AI168" s="257"/>
      <c r="AJ168" s="257"/>
      <c r="AK168" s="305">
        <f t="shared" si="126"/>
        <v>0</v>
      </c>
      <c r="AL168" s="305">
        <f t="shared" si="127"/>
        <v>18</v>
      </c>
      <c r="AM168" s="306">
        <f t="shared" si="128"/>
        <v>1</v>
      </c>
      <c r="AN168" s="230">
        <v>14</v>
      </c>
      <c r="AO168" s="259"/>
      <c r="AP168" s="259"/>
      <c r="AQ168" s="259"/>
      <c r="AR168" s="307">
        <f t="shared" si="129"/>
        <v>0</v>
      </c>
      <c r="AS168" s="307">
        <f t="shared" si="130"/>
        <v>14</v>
      </c>
      <c r="AT168" s="308">
        <f t="shared" si="131"/>
        <v>1</v>
      </c>
      <c r="AU168" s="289"/>
      <c r="AV168" s="289"/>
      <c r="AW168" s="289"/>
      <c r="AX168" s="290">
        <v>98</v>
      </c>
      <c r="AY168" s="289">
        <f t="shared" si="132"/>
        <v>98</v>
      </c>
      <c r="AZ168" s="291">
        <f t="shared" si="133"/>
        <v>1</v>
      </c>
      <c r="BA168" s="314"/>
      <c r="BB168" s="386">
        <v>96</v>
      </c>
      <c r="BC168" s="379">
        <f t="shared" si="134"/>
        <v>0</v>
      </c>
      <c r="BD168" s="378">
        <f t="shared" si="135"/>
        <v>0</v>
      </c>
      <c r="BE168" s="379"/>
      <c r="BF168" s="387">
        <f t="shared" si="113"/>
        <v>96</v>
      </c>
    </row>
    <row r="169" spans="1:58" s="323" customFormat="1" x14ac:dyDescent="0.35"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86"/>
      <c r="AV169" s="286"/>
      <c r="AW169" s="286"/>
      <c r="AX169" s="286"/>
      <c r="AY169" s="286"/>
      <c r="AZ169" s="286"/>
      <c r="BA169" s="288"/>
      <c r="BB169" s="319"/>
      <c r="BC169" s="288"/>
      <c r="BD169" s="288"/>
      <c r="BE169" s="288"/>
      <c r="BF169" s="304"/>
    </row>
    <row r="170" spans="1:58" s="323" customFormat="1" x14ac:dyDescent="0.35"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86"/>
      <c r="AV170" s="286"/>
      <c r="AW170" s="286"/>
      <c r="AX170" s="286"/>
      <c r="AY170" s="286"/>
      <c r="AZ170" s="286"/>
      <c r="BA170" s="288"/>
      <c r="BB170" s="319"/>
      <c r="BC170" s="288"/>
      <c r="BD170" s="288"/>
      <c r="BE170" s="288"/>
      <c r="BF170" s="304"/>
    </row>
    <row r="171" spans="1:58" s="323" customFormat="1" ht="16" thickBot="1" x14ac:dyDescent="0.4">
      <c r="A171" s="324" t="s">
        <v>245</v>
      </c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86"/>
      <c r="AV171" s="286"/>
      <c r="AW171" s="286"/>
      <c r="AX171" s="286"/>
      <c r="AY171" s="286"/>
      <c r="AZ171" s="286"/>
      <c r="BA171" s="288"/>
      <c r="BB171" s="319"/>
      <c r="BC171" s="288"/>
      <c r="BD171" s="288"/>
      <c r="BE171" s="288"/>
      <c r="BF171" s="304"/>
    </row>
    <row r="172" spans="1:58" s="325" customFormat="1" ht="25" customHeight="1" thickBot="1" x14ac:dyDescent="0.4">
      <c r="A172" s="447" t="s">
        <v>1072</v>
      </c>
      <c r="B172" s="447" t="s">
        <v>2</v>
      </c>
      <c r="C172" s="448" t="s">
        <v>1606</v>
      </c>
      <c r="D172" s="448" t="s">
        <v>4</v>
      </c>
      <c r="E172" s="431" t="s">
        <v>1612</v>
      </c>
      <c r="F172" s="431"/>
      <c r="G172" s="431"/>
      <c r="H172" s="431"/>
      <c r="I172" s="431"/>
      <c r="J172" s="431"/>
      <c r="K172" s="431"/>
      <c r="L172" s="432" t="s">
        <v>1613</v>
      </c>
      <c r="M172" s="432"/>
      <c r="N172" s="432"/>
      <c r="O172" s="432"/>
      <c r="P172" s="432"/>
      <c r="Q172" s="432"/>
      <c r="R172" s="432"/>
      <c r="S172" s="433" t="s">
        <v>1614</v>
      </c>
      <c r="T172" s="433"/>
      <c r="U172" s="433"/>
      <c r="V172" s="433"/>
      <c r="W172" s="433"/>
      <c r="X172" s="433"/>
      <c r="Y172" s="433"/>
      <c r="Z172" s="434" t="s">
        <v>1615</v>
      </c>
      <c r="AA172" s="434"/>
      <c r="AB172" s="434"/>
      <c r="AC172" s="434"/>
      <c r="AD172" s="434"/>
      <c r="AE172" s="434"/>
      <c r="AF172" s="434"/>
      <c r="AG172" s="435" t="s">
        <v>1616</v>
      </c>
      <c r="AH172" s="435"/>
      <c r="AI172" s="435"/>
      <c r="AJ172" s="435"/>
      <c r="AK172" s="435"/>
      <c r="AL172" s="435"/>
      <c r="AM172" s="435"/>
      <c r="AN172" s="436" t="s">
        <v>1617</v>
      </c>
      <c r="AO172" s="436"/>
      <c r="AP172" s="436"/>
      <c r="AQ172" s="436"/>
      <c r="AR172" s="436"/>
      <c r="AS172" s="436"/>
      <c r="AT172" s="436"/>
      <c r="AU172" s="438" t="s">
        <v>224</v>
      </c>
      <c r="AV172" s="438"/>
      <c r="AW172" s="438"/>
      <c r="AX172" s="437" t="s">
        <v>1602</v>
      </c>
      <c r="AY172" s="437" t="s">
        <v>1603</v>
      </c>
      <c r="AZ172" s="437" t="s">
        <v>1604</v>
      </c>
      <c r="BA172" s="443" t="s">
        <v>1076</v>
      </c>
      <c r="BB172" s="430" t="s">
        <v>883</v>
      </c>
      <c r="BC172" s="428" t="s">
        <v>880</v>
      </c>
      <c r="BD172" s="428"/>
      <c r="BE172" s="428"/>
      <c r="BF172" s="429" t="s">
        <v>884</v>
      </c>
    </row>
    <row r="173" spans="1:58" s="325" customFormat="1" ht="55" customHeight="1" thickBot="1" x14ac:dyDescent="0.4">
      <c r="A173" s="447"/>
      <c r="B173" s="447"/>
      <c r="C173" s="448"/>
      <c r="D173" s="448"/>
      <c r="E173" s="235" t="s">
        <v>1598</v>
      </c>
      <c r="F173" s="236" t="s">
        <v>20</v>
      </c>
      <c r="G173" s="236" t="s">
        <v>19</v>
      </c>
      <c r="H173" s="236" t="s">
        <v>52</v>
      </c>
      <c r="I173" s="237" t="s">
        <v>1599</v>
      </c>
      <c r="J173" s="237" t="s">
        <v>1600</v>
      </c>
      <c r="K173" s="237" t="s">
        <v>1601</v>
      </c>
      <c r="L173" s="202" t="s">
        <v>1598</v>
      </c>
      <c r="M173" s="206" t="s">
        <v>20</v>
      </c>
      <c r="N173" s="206" t="s">
        <v>19</v>
      </c>
      <c r="O173" s="206" t="s">
        <v>52</v>
      </c>
      <c r="P173" s="207" t="s">
        <v>1599</v>
      </c>
      <c r="Q173" s="207" t="s">
        <v>1600</v>
      </c>
      <c r="R173" s="207" t="s">
        <v>1601</v>
      </c>
      <c r="S173" s="238" t="s">
        <v>1598</v>
      </c>
      <c r="T173" s="239" t="s">
        <v>20</v>
      </c>
      <c r="U173" s="239" t="s">
        <v>19</v>
      </c>
      <c r="V173" s="239" t="s">
        <v>52</v>
      </c>
      <c r="W173" s="224" t="s">
        <v>1599</v>
      </c>
      <c r="X173" s="224" t="s">
        <v>1600</v>
      </c>
      <c r="Y173" s="224" t="s">
        <v>1601</v>
      </c>
      <c r="Z173" s="240" t="s">
        <v>1598</v>
      </c>
      <c r="AA173" s="241" t="s">
        <v>20</v>
      </c>
      <c r="AB173" s="241" t="s">
        <v>19</v>
      </c>
      <c r="AC173" s="241" t="s">
        <v>52</v>
      </c>
      <c r="AD173" s="208" t="s">
        <v>1599</v>
      </c>
      <c r="AE173" s="208" t="s">
        <v>1600</v>
      </c>
      <c r="AF173" s="208" t="s">
        <v>1601</v>
      </c>
      <c r="AG173" s="209" t="s">
        <v>1598</v>
      </c>
      <c r="AH173" s="210" t="s">
        <v>20</v>
      </c>
      <c r="AI173" s="210" t="s">
        <v>19</v>
      </c>
      <c r="AJ173" s="210" t="s">
        <v>52</v>
      </c>
      <c r="AK173" s="211" t="s">
        <v>1599</v>
      </c>
      <c r="AL173" s="211" t="s">
        <v>1600</v>
      </c>
      <c r="AM173" s="211" t="s">
        <v>1601</v>
      </c>
      <c r="AN173" s="212" t="s">
        <v>1598</v>
      </c>
      <c r="AO173" s="213" t="s">
        <v>20</v>
      </c>
      <c r="AP173" s="213" t="s">
        <v>19</v>
      </c>
      <c r="AQ173" s="213" t="s">
        <v>52</v>
      </c>
      <c r="AR173" s="214" t="s">
        <v>1599</v>
      </c>
      <c r="AS173" s="214" t="s">
        <v>1600</v>
      </c>
      <c r="AT173" s="214" t="s">
        <v>1601</v>
      </c>
      <c r="AU173" s="203" t="s">
        <v>20</v>
      </c>
      <c r="AV173" s="204" t="s">
        <v>19</v>
      </c>
      <c r="AW173" s="204" t="s">
        <v>52</v>
      </c>
      <c r="AX173" s="437"/>
      <c r="AY173" s="437"/>
      <c r="AZ173" s="437"/>
      <c r="BA173" s="444"/>
      <c r="BB173" s="430"/>
      <c r="BC173" s="375" t="s">
        <v>881</v>
      </c>
      <c r="BD173" s="377" t="s">
        <v>885</v>
      </c>
      <c r="BE173" s="376" t="s">
        <v>882</v>
      </c>
      <c r="BF173" s="429"/>
    </row>
    <row r="174" spans="1:58" x14ac:dyDescent="0.35">
      <c r="A174" s="193" t="s">
        <v>21</v>
      </c>
      <c r="B174" s="119" t="s">
        <v>786</v>
      </c>
      <c r="C174" s="123" t="s">
        <v>371</v>
      </c>
      <c r="D174" s="121" t="s">
        <v>6</v>
      </c>
      <c r="E174" s="215">
        <v>19</v>
      </c>
      <c r="F174" s="216"/>
      <c r="G174" s="216"/>
      <c r="H174" s="216"/>
      <c r="I174" s="326">
        <f>SUM(F174:H174)</f>
        <v>0</v>
      </c>
      <c r="J174" s="326">
        <f>E174-I174</f>
        <v>19</v>
      </c>
      <c r="K174" s="327">
        <f>J174/E174</f>
        <v>1</v>
      </c>
      <c r="L174" s="221">
        <v>14</v>
      </c>
      <c r="M174" s="221"/>
      <c r="N174" s="221"/>
      <c r="O174" s="221"/>
      <c r="P174" s="328">
        <f>SUM(M174:O174)</f>
        <v>0</v>
      </c>
      <c r="Q174" s="328">
        <f>L174-P174</f>
        <v>14</v>
      </c>
      <c r="R174" s="329">
        <f>Q174/L174</f>
        <v>1</v>
      </c>
      <c r="S174" s="225">
        <v>12</v>
      </c>
      <c r="T174" s="225"/>
      <c r="U174" s="225"/>
      <c r="V174" s="225"/>
      <c r="W174" s="330">
        <f>SUM(T174:V174)</f>
        <v>0</v>
      </c>
      <c r="X174" s="330">
        <f>S174-W174</f>
        <v>12</v>
      </c>
      <c r="Y174" s="331">
        <f>X174/S174</f>
        <v>1</v>
      </c>
      <c r="Z174" s="228">
        <v>21</v>
      </c>
      <c r="AA174" s="228"/>
      <c r="AB174" s="228"/>
      <c r="AC174" s="228"/>
      <c r="AD174" s="280">
        <f>SUM(AA174:AC174)</f>
        <v>0</v>
      </c>
      <c r="AE174" s="280">
        <f>Z174-AD174</f>
        <v>21</v>
      </c>
      <c r="AF174" s="281">
        <f>AE174/Z174</f>
        <v>1</v>
      </c>
      <c r="AG174" s="229">
        <v>18</v>
      </c>
      <c r="AH174" s="229"/>
      <c r="AI174" s="229"/>
      <c r="AJ174" s="229"/>
      <c r="AK174" s="305">
        <f>SUM(AH174:AJ174)</f>
        <v>0</v>
      </c>
      <c r="AL174" s="305">
        <f>AG174-AK174</f>
        <v>18</v>
      </c>
      <c r="AM174" s="306">
        <f>AL174/AG174</f>
        <v>1</v>
      </c>
      <c r="AN174" s="230">
        <v>14</v>
      </c>
      <c r="AO174" s="230"/>
      <c r="AP174" s="230"/>
      <c r="AQ174" s="230"/>
      <c r="AR174" s="307">
        <f>SUM(AO174:AQ174)</f>
        <v>0</v>
      </c>
      <c r="AS174" s="307">
        <f>AN174-AR174</f>
        <v>14</v>
      </c>
      <c r="AT174" s="308">
        <f>AS174/AN174</f>
        <v>1</v>
      </c>
      <c r="AU174" s="289"/>
      <c r="AV174" s="289"/>
      <c r="AW174" s="289"/>
      <c r="AX174" s="290">
        <v>98</v>
      </c>
      <c r="AY174" s="289">
        <f>AX174-AU174-AV174-AW174</f>
        <v>98</v>
      </c>
      <c r="AZ174" s="291">
        <f t="shared" ref="AZ174" si="136">AY174/AX174</f>
        <v>1</v>
      </c>
      <c r="BA174" s="314"/>
      <c r="BB174" s="390" cm="1">
        <f t="array" ref="BB174:BB207">[1]XII!$BF$174:$BF$207</f>
        <v>100</v>
      </c>
      <c r="BC174" s="379">
        <f t="shared" ref="BC174" si="137">BA174*2</f>
        <v>0</v>
      </c>
      <c r="BD174" s="378">
        <f>AW174*2</f>
        <v>0</v>
      </c>
      <c r="BE174" s="378"/>
      <c r="BF174" s="387">
        <f t="shared" ref="BF174:BF207" si="138">BB174-BC174-BD174-BE174</f>
        <v>100</v>
      </c>
    </row>
    <row r="175" spans="1:58" x14ac:dyDescent="0.35">
      <c r="A175" s="193" t="s">
        <v>22</v>
      </c>
      <c r="B175" s="56" t="s">
        <v>787</v>
      </c>
      <c r="C175" s="47" t="s">
        <v>372</v>
      </c>
      <c r="D175" s="42" t="s">
        <v>8</v>
      </c>
      <c r="E175" s="215">
        <v>19</v>
      </c>
      <c r="F175" s="217"/>
      <c r="G175" s="217"/>
      <c r="H175" s="217"/>
      <c r="I175" s="326">
        <f t="shared" ref="I175:I207" si="139">SUM(F175:H175)</f>
        <v>0</v>
      </c>
      <c r="J175" s="326">
        <f t="shared" ref="J175:J207" si="140">E175-I175</f>
        <v>19</v>
      </c>
      <c r="K175" s="327">
        <f t="shared" ref="K175:K207" si="141">J175/E175</f>
        <v>1</v>
      </c>
      <c r="L175" s="221">
        <v>14</v>
      </c>
      <c r="M175" s="222"/>
      <c r="N175" s="222"/>
      <c r="O175" s="222"/>
      <c r="P175" s="328">
        <f t="shared" ref="P175:P207" si="142">SUM(M175:O175)</f>
        <v>0</v>
      </c>
      <c r="Q175" s="328">
        <f t="shared" ref="Q175:Q207" si="143">L175-P175</f>
        <v>14</v>
      </c>
      <c r="R175" s="329">
        <f t="shared" ref="R175:R207" si="144">Q175/L175</f>
        <v>1</v>
      </c>
      <c r="S175" s="225">
        <v>12</v>
      </c>
      <c r="T175" s="226"/>
      <c r="U175" s="226"/>
      <c r="V175" s="226"/>
      <c r="W175" s="330">
        <f t="shared" ref="W175:W207" si="145">SUM(T175:V175)</f>
        <v>0</v>
      </c>
      <c r="X175" s="330">
        <f t="shared" ref="X175:X207" si="146">S175-W175</f>
        <v>12</v>
      </c>
      <c r="Y175" s="331">
        <f t="shared" ref="Y175:Y207" si="147">S175/X175</f>
        <v>1</v>
      </c>
      <c r="Z175" s="228">
        <v>21</v>
      </c>
      <c r="AA175" s="255"/>
      <c r="AB175" s="255"/>
      <c r="AC175" s="255"/>
      <c r="AD175" s="280">
        <f t="shared" ref="AD175:AD207" si="148">SUM(AA175:AC175)</f>
        <v>0</v>
      </c>
      <c r="AE175" s="280">
        <f t="shared" ref="AE175:AE207" si="149">Z175-AD175</f>
        <v>21</v>
      </c>
      <c r="AF175" s="281">
        <f t="shared" ref="AF175:AF207" si="150">AE175/Z175</f>
        <v>1</v>
      </c>
      <c r="AG175" s="229">
        <v>18</v>
      </c>
      <c r="AH175" s="257"/>
      <c r="AI175" s="257"/>
      <c r="AJ175" s="257"/>
      <c r="AK175" s="305">
        <f t="shared" ref="AK175:AK207" si="151">SUM(AH175:AJ175)</f>
        <v>0</v>
      </c>
      <c r="AL175" s="305">
        <f t="shared" ref="AL175:AL207" si="152">AG175-AK175</f>
        <v>18</v>
      </c>
      <c r="AM175" s="306">
        <f t="shared" ref="AM175:AM207" si="153">AL175/AG175</f>
        <v>1</v>
      </c>
      <c r="AN175" s="230">
        <v>14</v>
      </c>
      <c r="AO175" s="259"/>
      <c r="AP175" s="259"/>
      <c r="AQ175" s="259"/>
      <c r="AR175" s="307">
        <f t="shared" ref="AR175:AR207" si="154">SUM(AO175:AQ175)</f>
        <v>0</v>
      </c>
      <c r="AS175" s="307">
        <f t="shared" ref="AS175:AS207" si="155">AN175-AR175</f>
        <v>14</v>
      </c>
      <c r="AT175" s="308">
        <f t="shared" ref="AT175:AT207" si="156">AS175/AN175</f>
        <v>1</v>
      </c>
      <c r="AU175" s="289"/>
      <c r="AV175" s="289"/>
      <c r="AW175" s="289"/>
      <c r="AX175" s="290">
        <v>98</v>
      </c>
      <c r="AY175" s="289">
        <f t="shared" ref="AY175:AY207" si="157">AX175-AU175-AV175-AW175</f>
        <v>98</v>
      </c>
      <c r="AZ175" s="291">
        <f t="shared" ref="AZ175:AZ207" si="158">AY175/AX175</f>
        <v>1</v>
      </c>
      <c r="BA175" s="310"/>
      <c r="BB175" s="386">
        <v>100</v>
      </c>
      <c r="BC175" s="379">
        <f t="shared" ref="BC175:BC207" si="159">BA175*2</f>
        <v>0</v>
      </c>
      <c r="BD175" s="378">
        <f t="shared" ref="BD175:BD207" si="160">AW175*2</f>
        <v>0</v>
      </c>
      <c r="BE175" s="379"/>
      <c r="BF175" s="387">
        <f t="shared" si="138"/>
        <v>100</v>
      </c>
    </row>
    <row r="176" spans="1:58" x14ac:dyDescent="0.35">
      <c r="A176" s="193" t="s">
        <v>23</v>
      </c>
      <c r="B176" s="56" t="s">
        <v>788</v>
      </c>
      <c r="C176" s="58" t="s">
        <v>373</v>
      </c>
      <c r="D176" s="42" t="s">
        <v>6</v>
      </c>
      <c r="E176" s="215">
        <v>19</v>
      </c>
      <c r="F176" s="217"/>
      <c r="G176" s="217"/>
      <c r="H176" s="217"/>
      <c r="I176" s="326">
        <f t="shared" si="139"/>
        <v>0</v>
      </c>
      <c r="J176" s="326">
        <f t="shared" si="140"/>
        <v>19</v>
      </c>
      <c r="K176" s="327">
        <f t="shared" si="141"/>
        <v>1</v>
      </c>
      <c r="L176" s="221">
        <v>14</v>
      </c>
      <c r="M176" s="222"/>
      <c r="N176" s="223"/>
      <c r="O176" s="222"/>
      <c r="P176" s="328">
        <f t="shared" si="142"/>
        <v>0</v>
      </c>
      <c r="Q176" s="328">
        <f t="shared" si="143"/>
        <v>14</v>
      </c>
      <c r="R176" s="329">
        <f t="shared" si="144"/>
        <v>1</v>
      </c>
      <c r="S176" s="225">
        <v>12</v>
      </c>
      <c r="T176" s="226"/>
      <c r="U176" s="226"/>
      <c r="V176" s="226"/>
      <c r="W176" s="330">
        <f t="shared" si="145"/>
        <v>0</v>
      </c>
      <c r="X176" s="330">
        <f t="shared" si="146"/>
        <v>12</v>
      </c>
      <c r="Y176" s="331">
        <f t="shared" si="147"/>
        <v>1</v>
      </c>
      <c r="Z176" s="228">
        <v>21</v>
      </c>
      <c r="AA176" s="255"/>
      <c r="AB176" s="255"/>
      <c r="AC176" s="255"/>
      <c r="AD176" s="280">
        <f t="shared" si="148"/>
        <v>0</v>
      </c>
      <c r="AE176" s="280">
        <f t="shared" si="149"/>
        <v>21</v>
      </c>
      <c r="AF176" s="281">
        <f t="shared" si="150"/>
        <v>1</v>
      </c>
      <c r="AG176" s="229">
        <v>18</v>
      </c>
      <c r="AH176" s="257"/>
      <c r="AI176" s="257"/>
      <c r="AJ176" s="257"/>
      <c r="AK176" s="305">
        <f t="shared" si="151"/>
        <v>0</v>
      </c>
      <c r="AL176" s="305">
        <f t="shared" si="152"/>
        <v>18</v>
      </c>
      <c r="AM176" s="306">
        <f t="shared" si="153"/>
        <v>1</v>
      </c>
      <c r="AN176" s="230">
        <v>14</v>
      </c>
      <c r="AO176" s="259"/>
      <c r="AP176" s="259"/>
      <c r="AQ176" s="259"/>
      <c r="AR176" s="307">
        <f t="shared" si="154"/>
        <v>0</v>
      </c>
      <c r="AS176" s="307">
        <f t="shared" si="155"/>
        <v>14</v>
      </c>
      <c r="AT176" s="308">
        <f t="shared" si="156"/>
        <v>1</v>
      </c>
      <c r="AU176" s="289"/>
      <c r="AV176" s="289"/>
      <c r="AW176" s="289"/>
      <c r="AX176" s="290">
        <v>98</v>
      </c>
      <c r="AY176" s="289">
        <f t="shared" si="157"/>
        <v>98</v>
      </c>
      <c r="AZ176" s="291">
        <f t="shared" si="158"/>
        <v>1</v>
      </c>
      <c r="BA176" s="310"/>
      <c r="BB176" s="386">
        <v>98</v>
      </c>
      <c r="BC176" s="379">
        <f t="shared" si="159"/>
        <v>0</v>
      </c>
      <c r="BD176" s="378">
        <f t="shared" si="160"/>
        <v>0</v>
      </c>
      <c r="BE176" s="379"/>
      <c r="BF176" s="387">
        <f t="shared" si="138"/>
        <v>98</v>
      </c>
    </row>
    <row r="177" spans="1:58" x14ac:dyDescent="0.35">
      <c r="A177" s="193" t="s">
        <v>24</v>
      </c>
      <c r="B177" s="56" t="s">
        <v>789</v>
      </c>
      <c r="C177" s="47" t="s">
        <v>374</v>
      </c>
      <c r="D177" s="42" t="s">
        <v>8</v>
      </c>
      <c r="E177" s="215">
        <v>19</v>
      </c>
      <c r="F177" s="217"/>
      <c r="G177" s="217"/>
      <c r="H177" s="217"/>
      <c r="I177" s="326">
        <f t="shared" si="139"/>
        <v>0</v>
      </c>
      <c r="J177" s="326">
        <f t="shared" si="140"/>
        <v>19</v>
      </c>
      <c r="K177" s="327">
        <f t="shared" si="141"/>
        <v>1</v>
      </c>
      <c r="L177" s="221">
        <v>14</v>
      </c>
      <c r="M177" s="223"/>
      <c r="N177" s="223"/>
      <c r="O177" s="222"/>
      <c r="P177" s="328">
        <f t="shared" si="142"/>
        <v>0</v>
      </c>
      <c r="Q177" s="328">
        <f t="shared" si="143"/>
        <v>14</v>
      </c>
      <c r="R177" s="329">
        <f t="shared" si="144"/>
        <v>1</v>
      </c>
      <c r="S177" s="225">
        <v>12</v>
      </c>
      <c r="T177" s="226"/>
      <c r="U177" s="226"/>
      <c r="V177" s="226"/>
      <c r="W177" s="330">
        <f t="shared" si="145"/>
        <v>0</v>
      </c>
      <c r="X177" s="330">
        <f t="shared" si="146"/>
        <v>12</v>
      </c>
      <c r="Y177" s="331">
        <f t="shared" si="147"/>
        <v>1</v>
      </c>
      <c r="Z177" s="228">
        <v>21</v>
      </c>
      <c r="AA177" s="255"/>
      <c r="AB177" s="255"/>
      <c r="AC177" s="255"/>
      <c r="AD177" s="280">
        <f t="shared" si="148"/>
        <v>0</v>
      </c>
      <c r="AE177" s="280">
        <f t="shared" si="149"/>
        <v>21</v>
      </c>
      <c r="AF177" s="281">
        <f t="shared" si="150"/>
        <v>1</v>
      </c>
      <c r="AG177" s="229">
        <v>18</v>
      </c>
      <c r="AH177" s="257"/>
      <c r="AI177" s="257"/>
      <c r="AJ177" s="257"/>
      <c r="AK177" s="305">
        <f t="shared" si="151"/>
        <v>0</v>
      </c>
      <c r="AL177" s="305">
        <f t="shared" si="152"/>
        <v>18</v>
      </c>
      <c r="AM177" s="306">
        <f t="shared" si="153"/>
        <v>1</v>
      </c>
      <c r="AN177" s="230">
        <v>14</v>
      </c>
      <c r="AO177" s="259"/>
      <c r="AP177" s="259"/>
      <c r="AQ177" s="259"/>
      <c r="AR177" s="307">
        <f t="shared" si="154"/>
        <v>0</v>
      </c>
      <c r="AS177" s="307">
        <f t="shared" si="155"/>
        <v>14</v>
      </c>
      <c r="AT177" s="308">
        <f t="shared" si="156"/>
        <v>1</v>
      </c>
      <c r="AU177" s="289"/>
      <c r="AV177" s="289"/>
      <c r="AW177" s="289"/>
      <c r="AX177" s="290">
        <v>98</v>
      </c>
      <c r="AY177" s="289">
        <f t="shared" si="157"/>
        <v>98</v>
      </c>
      <c r="AZ177" s="291">
        <f t="shared" si="158"/>
        <v>1</v>
      </c>
      <c r="BA177" s="310">
        <v>1</v>
      </c>
      <c r="BB177" s="386">
        <v>98</v>
      </c>
      <c r="BC177" s="379">
        <f t="shared" si="159"/>
        <v>2</v>
      </c>
      <c r="BD177" s="378">
        <f t="shared" si="160"/>
        <v>0</v>
      </c>
      <c r="BE177" s="379"/>
      <c r="BF177" s="387">
        <f t="shared" si="138"/>
        <v>96</v>
      </c>
    </row>
    <row r="178" spans="1:58" x14ac:dyDescent="0.35">
      <c r="A178" s="193" t="s">
        <v>25</v>
      </c>
      <c r="B178" s="56" t="s">
        <v>790</v>
      </c>
      <c r="C178" s="47" t="s">
        <v>375</v>
      </c>
      <c r="D178" s="42" t="s">
        <v>6</v>
      </c>
      <c r="E178" s="215">
        <v>19</v>
      </c>
      <c r="F178" s="217"/>
      <c r="G178" s="217"/>
      <c r="H178" s="217"/>
      <c r="I178" s="326">
        <f t="shared" si="139"/>
        <v>0</v>
      </c>
      <c r="J178" s="326">
        <f t="shared" si="140"/>
        <v>19</v>
      </c>
      <c r="K178" s="327">
        <f t="shared" si="141"/>
        <v>1</v>
      </c>
      <c r="L178" s="221">
        <v>14</v>
      </c>
      <c r="M178" s="222"/>
      <c r="N178" s="223"/>
      <c r="O178" s="222"/>
      <c r="P178" s="328">
        <f t="shared" si="142"/>
        <v>0</v>
      </c>
      <c r="Q178" s="328">
        <f t="shared" si="143"/>
        <v>14</v>
      </c>
      <c r="R178" s="329">
        <f t="shared" si="144"/>
        <v>1</v>
      </c>
      <c r="S178" s="225">
        <v>12</v>
      </c>
      <c r="T178" s="226"/>
      <c r="U178" s="226"/>
      <c r="V178" s="226"/>
      <c r="W178" s="330">
        <f t="shared" si="145"/>
        <v>0</v>
      </c>
      <c r="X178" s="330">
        <f t="shared" si="146"/>
        <v>12</v>
      </c>
      <c r="Y178" s="331">
        <f t="shared" si="147"/>
        <v>1</v>
      </c>
      <c r="Z178" s="228">
        <v>21</v>
      </c>
      <c r="AA178" s="255"/>
      <c r="AB178" s="255"/>
      <c r="AC178" s="255"/>
      <c r="AD178" s="280">
        <f t="shared" si="148"/>
        <v>0</v>
      </c>
      <c r="AE178" s="280">
        <f t="shared" si="149"/>
        <v>21</v>
      </c>
      <c r="AF178" s="281">
        <f t="shared" si="150"/>
        <v>1</v>
      </c>
      <c r="AG178" s="229">
        <v>18</v>
      </c>
      <c r="AH178" s="257"/>
      <c r="AI178" s="257"/>
      <c r="AJ178" s="257"/>
      <c r="AK178" s="305">
        <f t="shared" si="151"/>
        <v>0</v>
      </c>
      <c r="AL178" s="305">
        <f t="shared" si="152"/>
        <v>18</v>
      </c>
      <c r="AM178" s="306">
        <f t="shared" si="153"/>
        <v>1</v>
      </c>
      <c r="AN178" s="230">
        <v>14</v>
      </c>
      <c r="AO178" s="259"/>
      <c r="AP178" s="259"/>
      <c r="AQ178" s="259"/>
      <c r="AR178" s="307">
        <f t="shared" si="154"/>
        <v>0</v>
      </c>
      <c r="AS178" s="307">
        <f t="shared" si="155"/>
        <v>14</v>
      </c>
      <c r="AT178" s="308">
        <f t="shared" si="156"/>
        <v>1</v>
      </c>
      <c r="AU178" s="289"/>
      <c r="AV178" s="289"/>
      <c r="AW178" s="289"/>
      <c r="AX178" s="290">
        <v>98</v>
      </c>
      <c r="AY178" s="289">
        <f t="shared" si="157"/>
        <v>98</v>
      </c>
      <c r="AZ178" s="291">
        <f t="shared" si="158"/>
        <v>1</v>
      </c>
      <c r="BA178" s="310"/>
      <c r="BB178" s="386">
        <v>100</v>
      </c>
      <c r="BC178" s="379">
        <f t="shared" si="159"/>
        <v>0</v>
      </c>
      <c r="BD178" s="378">
        <f t="shared" si="160"/>
        <v>0</v>
      </c>
      <c r="BE178" s="379"/>
      <c r="BF178" s="387">
        <f t="shared" si="138"/>
        <v>100</v>
      </c>
    </row>
    <row r="179" spans="1:58" x14ac:dyDescent="0.35">
      <c r="A179" s="193" t="s">
        <v>26</v>
      </c>
      <c r="B179" s="56" t="s">
        <v>791</v>
      </c>
      <c r="C179" s="47" t="s">
        <v>376</v>
      </c>
      <c r="D179" s="42" t="s">
        <v>8</v>
      </c>
      <c r="E179" s="215">
        <v>19</v>
      </c>
      <c r="F179" s="217"/>
      <c r="G179" s="217"/>
      <c r="H179" s="217"/>
      <c r="I179" s="326">
        <f t="shared" si="139"/>
        <v>0</v>
      </c>
      <c r="J179" s="326">
        <f t="shared" si="140"/>
        <v>19</v>
      </c>
      <c r="K179" s="327">
        <f t="shared" si="141"/>
        <v>1</v>
      </c>
      <c r="L179" s="221">
        <v>14</v>
      </c>
      <c r="M179" s="222"/>
      <c r="N179" s="222"/>
      <c r="O179" s="222"/>
      <c r="P179" s="328">
        <f t="shared" si="142"/>
        <v>0</v>
      </c>
      <c r="Q179" s="328">
        <f t="shared" si="143"/>
        <v>14</v>
      </c>
      <c r="R179" s="329">
        <f t="shared" si="144"/>
        <v>1</v>
      </c>
      <c r="S179" s="225">
        <v>12</v>
      </c>
      <c r="T179" s="226"/>
      <c r="U179" s="226"/>
      <c r="V179" s="226"/>
      <c r="W179" s="330">
        <f t="shared" si="145"/>
        <v>0</v>
      </c>
      <c r="X179" s="330">
        <f t="shared" si="146"/>
        <v>12</v>
      </c>
      <c r="Y179" s="331">
        <f t="shared" si="147"/>
        <v>1</v>
      </c>
      <c r="Z179" s="228">
        <v>21</v>
      </c>
      <c r="AA179" s="255"/>
      <c r="AB179" s="255"/>
      <c r="AC179" s="255"/>
      <c r="AD179" s="280">
        <f t="shared" si="148"/>
        <v>0</v>
      </c>
      <c r="AE179" s="280">
        <f t="shared" si="149"/>
        <v>21</v>
      </c>
      <c r="AF179" s="281">
        <f t="shared" si="150"/>
        <v>1</v>
      </c>
      <c r="AG179" s="229">
        <v>18</v>
      </c>
      <c r="AH179" s="257"/>
      <c r="AI179" s="257"/>
      <c r="AJ179" s="257"/>
      <c r="AK179" s="305">
        <f t="shared" si="151"/>
        <v>0</v>
      </c>
      <c r="AL179" s="305">
        <f t="shared" si="152"/>
        <v>18</v>
      </c>
      <c r="AM179" s="306">
        <f t="shared" si="153"/>
        <v>1</v>
      </c>
      <c r="AN179" s="230">
        <v>14</v>
      </c>
      <c r="AO179" s="259"/>
      <c r="AP179" s="259"/>
      <c r="AQ179" s="259"/>
      <c r="AR179" s="307">
        <f t="shared" si="154"/>
        <v>0</v>
      </c>
      <c r="AS179" s="307">
        <f t="shared" si="155"/>
        <v>14</v>
      </c>
      <c r="AT179" s="308">
        <f t="shared" si="156"/>
        <v>1</v>
      </c>
      <c r="AU179" s="289"/>
      <c r="AV179" s="289"/>
      <c r="AW179" s="289"/>
      <c r="AX179" s="290">
        <v>98</v>
      </c>
      <c r="AY179" s="289">
        <f t="shared" si="157"/>
        <v>98</v>
      </c>
      <c r="AZ179" s="291">
        <f t="shared" si="158"/>
        <v>1</v>
      </c>
      <c r="BA179" s="310"/>
      <c r="BB179" s="386">
        <v>100</v>
      </c>
      <c r="BC179" s="379">
        <f t="shared" si="159"/>
        <v>0</v>
      </c>
      <c r="BD179" s="378">
        <f t="shared" si="160"/>
        <v>0</v>
      </c>
      <c r="BE179" s="379"/>
      <c r="BF179" s="387">
        <f t="shared" si="138"/>
        <v>100</v>
      </c>
    </row>
    <row r="180" spans="1:58" x14ac:dyDescent="0.35">
      <c r="A180" s="193" t="s">
        <v>27</v>
      </c>
      <c r="B180" s="56" t="s">
        <v>792</v>
      </c>
      <c r="C180" s="47" t="s">
        <v>377</v>
      </c>
      <c r="D180" s="42" t="s">
        <v>8</v>
      </c>
      <c r="E180" s="215">
        <v>19</v>
      </c>
      <c r="F180" s="217"/>
      <c r="G180" s="217"/>
      <c r="H180" s="217"/>
      <c r="I180" s="326">
        <f t="shared" si="139"/>
        <v>0</v>
      </c>
      <c r="J180" s="326">
        <f t="shared" si="140"/>
        <v>19</v>
      </c>
      <c r="K180" s="327">
        <f t="shared" si="141"/>
        <v>1</v>
      </c>
      <c r="L180" s="221">
        <v>14</v>
      </c>
      <c r="M180" s="222"/>
      <c r="N180" s="223"/>
      <c r="O180" s="223"/>
      <c r="P180" s="328">
        <f t="shared" si="142"/>
        <v>0</v>
      </c>
      <c r="Q180" s="328">
        <f t="shared" si="143"/>
        <v>14</v>
      </c>
      <c r="R180" s="329">
        <f t="shared" si="144"/>
        <v>1</v>
      </c>
      <c r="S180" s="225">
        <v>12</v>
      </c>
      <c r="T180" s="226"/>
      <c r="U180" s="226"/>
      <c r="V180" s="226"/>
      <c r="W180" s="330">
        <f t="shared" si="145"/>
        <v>0</v>
      </c>
      <c r="X180" s="330">
        <f t="shared" si="146"/>
        <v>12</v>
      </c>
      <c r="Y180" s="331">
        <f t="shared" si="147"/>
        <v>1</v>
      </c>
      <c r="Z180" s="228">
        <v>21</v>
      </c>
      <c r="AA180" s="255"/>
      <c r="AB180" s="255"/>
      <c r="AC180" s="255"/>
      <c r="AD180" s="280">
        <f t="shared" si="148"/>
        <v>0</v>
      </c>
      <c r="AE180" s="280">
        <f t="shared" si="149"/>
        <v>21</v>
      </c>
      <c r="AF180" s="281">
        <f t="shared" si="150"/>
        <v>1</v>
      </c>
      <c r="AG180" s="229">
        <v>18</v>
      </c>
      <c r="AH180" s="257"/>
      <c r="AI180" s="257"/>
      <c r="AJ180" s="257"/>
      <c r="AK180" s="305">
        <f t="shared" si="151"/>
        <v>0</v>
      </c>
      <c r="AL180" s="305">
        <f t="shared" si="152"/>
        <v>18</v>
      </c>
      <c r="AM180" s="306">
        <f t="shared" si="153"/>
        <v>1</v>
      </c>
      <c r="AN180" s="230">
        <v>14</v>
      </c>
      <c r="AO180" s="259"/>
      <c r="AP180" s="259"/>
      <c r="AQ180" s="259"/>
      <c r="AR180" s="307">
        <f t="shared" si="154"/>
        <v>0</v>
      </c>
      <c r="AS180" s="307">
        <f t="shared" si="155"/>
        <v>14</v>
      </c>
      <c r="AT180" s="308">
        <f t="shared" si="156"/>
        <v>1</v>
      </c>
      <c r="AU180" s="289"/>
      <c r="AV180" s="289"/>
      <c r="AW180" s="289"/>
      <c r="AX180" s="290">
        <v>98</v>
      </c>
      <c r="AY180" s="289">
        <f t="shared" si="157"/>
        <v>98</v>
      </c>
      <c r="AZ180" s="291">
        <f t="shared" si="158"/>
        <v>1</v>
      </c>
      <c r="BA180" s="310"/>
      <c r="BB180" s="386">
        <v>100</v>
      </c>
      <c r="BC180" s="379">
        <f t="shared" si="159"/>
        <v>0</v>
      </c>
      <c r="BD180" s="378">
        <f t="shared" si="160"/>
        <v>0</v>
      </c>
      <c r="BE180" s="379"/>
      <c r="BF180" s="387">
        <f t="shared" si="138"/>
        <v>100</v>
      </c>
    </row>
    <row r="181" spans="1:58" x14ac:dyDescent="0.35">
      <c r="A181" s="193" t="s">
        <v>28</v>
      </c>
      <c r="B181" s="56" t="s">
        <v>793</v>
      </c>
      <c r="C181" s="47" t="s">
        <v>378</v>
      </c>
      <c r="D181" s="42" t="s">
        <v>6</v>
      </c>
      <c r="E181" s="215">
        <v>19</v>
      </c>
      <c r="F181" s="217"/>
      <c r="G181" s="217"/>
      <c r="H181" s="217"/>
      <c r="I181" s="326">
        <f t="shared" si="139"/>
        <v>0</v>
      </c>
      <c r="J181" s="326">
        <f t="shared" si="140"/>
        <v>19</v>
      </c>
      <c r="K181" s="327">
        <f t="shared" si="141"/>
        <v>1</v>
      </c>
      <c r="L181" s="221">
        <v>14</v>
      </c>
      <c r="M181" s="222"/>
      <c r="N181" s="223"/>
      <c r="O181" s="223"/>
      <c r="P181" s="328">
        <f t="shared" si="142"/>
        <v>0</v>
      </c>
      <c r="Q181" s="328">
        <f t="shared" si="143"/>
        <v>14</v>
      </c>
      <c r="R181" s="329">
        <f t="shared" si="144"/>
        <v>1</v>
      </c>
      <c r="S181" s="225">
        <v>12</v>
      </c>
      <c r="T181" s="226"/>
      <c r="U181" s="226"/>
      <c r="V181" s="226"/>
      <c r="W181" s="330">
        <f t="shared" si="145"/>
        <v>0</v>
      </c>
      <c r="X181" s="330">
        <f t="shared" si="146"/>
        <v>12</v>
      </c>
      <c r="Y181" s="331">
        <f t="shared" si="147"/>
        <v>1</v>
      </c>
      <c r="Z181" s="228">
        <v>21</v>
      </c>
      <c r="AA181" s="255"/>
      <c r="AB181" s="255"/>
      <c r="AC181" s="255"/>
      <c r="AD181" s="280">
        <f t="shared" si="148"/>
        <v>0</v>
      </c>
      <c r="AE181" s="280">
        <f t="shared" si="149"/>
        <v>21</v>
      </c>
      <c r="AF181" s="281">
        <f t="shared" si="150"/>
        <v>1</v>
      </c>
      <c r="AG181" s="229">
        <v>18</v>
      </c>
      <c r="AH181" s="257"/>
      <c r="AI181" s="257"/>
      <c r="AJ181" s="257"/>
      <c r="AK181" s="305">
        <f t="shared" si="151"/>
        <v>0</v>
      </c>
      <c r="AL181" s="305">
        <f t="shared" si="152"/>
        <v>18</v>
      </c>
      <c r="AM181" s="306">
        <f t="shared" si="153"/>
        <v>1</v>
      </c>
      <c r="AN181" s="230">
        <v>14</v>
      </c>
      <c r="AO181" s="259"/>
      <c r="AP181" s="259"/>
      <c r="AQ181" s="259"/>
      <c r="AR181" s="307">
        <f t="shared" si="154"/>
        <v>0</v>
      </c>
      <c r="AS181" s="307">
        <f t="shared" si="155"/>
        <v>14</v>
      </c>
      <c r="AT181" s="308">
        <f t="shared" si="156"/>
        <v>1</v>
      </c>
      <c r="AU181" s="289"/>
      <c r="AV181" s="289"/>
      <c r="AW181" s="289"/>
      <c r="AX181" s="290">
        <v>98</v>
      </c>
      <c r="AY181" s="289">
        <f t="shared" si="157"/>
        <v>98</v>
      </c>
      <c r="AZ181" s="291">
        <f t="shared" si="158"/>
        <v>1</v>
      </c>
      <c r="BA181" s="310"/>
      <c r="BB181" s="386">
        <v>100</v>
      </c>
      <c r="BC181" s="379">
        <f t="shared" si="159"/>
        <v>0</v>
      </c>
      <c r="BD181" s="378">
        <f t="shared" si="160"/>
        <v>0</v>
      </c>
      <c r="BE181" s="379"/>
      <c r="BF181" s="387">
        <f t="shared" si="138"/>
        <v>100</v>
      </c>
    </row>
    <row r="182" spans="1:58" x14ac:dyDescent="0.35">
      <c r="A182" s="193" t="s">
        <v>29</v>
      </c>
      <c r="B182" s="56" t="s">
        <v>794</v>
      </c>
      <c r="C182" s="47" t="s">
        <v>379</v>
      </c>
      <c r="D182" s="42" t="s">
        <v>8</v>
      </c>
      <c r="E182" s="215">
        <v>19</v>
      </c>
      <c r="F182" s="217"/>
      <c r="G182" s="217"/>
      <c r="H182" s="217"/>
      <c r="I182" s="326">
        <f t="shared" si="139"/>
        <v>0</v>
      </c>
      <c r="J182" s="326">
        <f t="shared" si="140"/>
        <v>19</v>
      </c>
      <c r="K182" s="327">
        <f t="shared" si="141"/>
        <v>1</v>
      </c>
      <c r="L182" s="221">
        <v>14</v>
      </c>
      <c r="M182" s="222"/>
      <c r="N182" s="222"/>
      <c r="O182" s="223"/>
      <c r="P182" s="328">
        <f t="shared" si="142"/>
        <v>0</v>
      </c>
      <c r="Q182" s="328">
        <f t="shared" si="143"/>
        <v>14</v>
      </c>
      <c r="R182" s="329">
        <f t="shared" si="144"/>
        <v>1</v>
      </c>
      <c r="S182" s="225">
        <v>12</v>
      </c>
      <c r="T182" s="226"/>
      <c r="U182" s="226"/>
      <c r="V182" s="226"/>
      <c r="W182" s="330">
        <f t="shared" si="145"/>
        <v>0</v>
      </c>
      <c r="X182" s="330">
        <f t="shared" si="146"/>
        <v>12</v>
      </c>
      <c r="Y182" s="331">
        <f t="shared" si="147"/>
        <v>1</v>
      </c>
      <c r="Z182" s="228">
        <v>21</v>
      </c>
      <c r="AA182" s="255"/>
      <c r="AB182" s="255"/>
      <c r="AC182" s="255"/>
      <c r="AD182" s="280">
        <f t="shared" si="148"/>
        <v>0</v>
      </c>
      <c r="AE182" s="280">
        <f t="shared" si="149"/>
        <v>21</v>
      </c>
      <c r="AF182" s="281">
        <f t="shared" si="150"/>
        <v>1</v>
      </c>
      <c r="AG182" s="229">
        <v>18</v>
      </c>
      <c r="AH182" s="257"/>
      <c r="AI182" s="257"/>
      <c r="AJ182" s="257"/>
      <c r="AK182" s="305">
        <f t="shared" si="151"/>
        <v>0</v>
      </c>
      <c r="AL182" s="305">
        <f t="shared" si="152"/>
        <v>18</v>
      </c>
      <c r="AM182" s="306">
        <f t="shared" si="153"/>
        <v>1</v>
      </c>
      <c r="AN182" s="230">
        <v>14</v>
      </c>
      <c r="AO182" s="259"/>
      <c r="AP182" s="259"/>
      <c r="AQ182" s="259"/>
      <c r="AR182" s="307">
        <f t="shared" si="154"/>
        <v>0</v>
      </c>
      <c r="AS182" s="307">
        <f t="shared" si="155"/>
        <v>14</v>
      </c>
      <c r="AT182" s="308">
        <f t="shared" si="156"/>
        <v>1</v>
      </c>
      <c r="AU182" s="289"/>
      <c r="AV182" s="289"/>
      <c r="AW182" s="289"/>
      <c r="AX182" s="290">
        <v>98</v>
      </c>
      <c r="AY182" s="289">
        <f t="shared" si="157"/>
        <v>98</v>
      </c>
      <c r="AZ182" s="291">
        <f t="shared" si="158"/>
        <v>1</v>
      </c>
      <c r="BA182" s="310"/>
      <c r="BB182" s="386">
        <v>100</v>
      </c>
      <c r="BC182" s="379">
        <f t="shared" si="159"/>
        <v>0</v>
      </c>
      <c r="BD182" s="378">
        <f t="shared" si="160"/>
        <v>0</v>
      </c>
      <c r="BE182" s="379"/>
      <c r="BF182" s="387">
        <f t="shared" si="138"/>
        <v>100</v>
      </c>
    </row>
    <row r="183" spans="1:58" x14ac:dyDescent="0.35">
      <c r="A183" s="193" t="s">
        <v>30</v>
      </c>
      <c r="B183" s="56" t="s">
        <v>795</v>
      </c>
      <c r="C183" s="47" t="s">
        <v>380</v>
      </c>
      <c r="D183" s="42" t="s">
        <v>8</v>
      </c>
      <c r="E183" s="215">
        <v>19</v>
      </c>
      <c r="F183" s="217"/>
      <c r="G183" s="217"/>
      <c r="H183" s="218"/>
      <c r="I183" s="326">
        <f t="shared" si="139"/>
        <v>0</v>
      </c>
      <c r="J183" s="326">
        <f t="shared" si="140"/>
        <v>19</v>
      </c>
      <c r="K183" s="327">
        <f t="shared" si="141"/>
        <v>1</v>
      </c>
      <c r="L183" s="221">
        <v>14</v>
      </c>
      <c r="M183" s="223"/>
      <c r="N183" s="223"/>
      <c r="O183" s="223"/>
      <c r="P183" s="328">
        <f t="shared" si="142"/>
        <v>0</v>
      </c>
      <c r="Q183" s="328">
        <f t="shared" si="143"/>
        <v>14</v>
      </c>
      <c r="R183" s="329">
        <f t="shared" si="144"/>
        <v>1</v>
      </c>
      <c r="S183" s="225">
        <v>12</v>
      </c>
      <c r="T183" s="226"/>
      <c r="U183" s="226"/>
      <c r="V183" s="226"/>
      <c r="W183" s="330">
        <f t="shared" si="145"/>
        <v>0</v>
      </c>
      <c r="X183" s="330">
        <f t="shared" si="146"/>
        <v>12</v>
      </c>
      <c r="Y183" s="331">
        <f t="shared" si="147"/>
        <v>1</v>
      </c>
      <c r="Z183" s="228">
        <v>21</v>
      </c>
      <c r="AA183" s="255"/>
      <c r="AB183" s="255"/>
      <c r="AC183" s="255"/>
      <c r="AD183" s="280">
        <f t="shared" si="148"/>
        <v>0</v>
      </c>
      <c r="AE183" s="280">
        <f t="shared" si="149"/>
        <v>21</v>
      </c>
      <c r="AF183" s="281">
        <f t="shared" si="150"/>
        <v>1</v>
      </c>
      <c r="AG183" s="229">
        <v>18</v>
      </c>
      <c r="AH183" s="257"/>
      <c r="AI183" s="257"/>
      <c r="AJ183" s="257"/>
      <c r="AK183" s="305">
        <f t="shared" si="151"/>
        <v>0</v>
      </c>
      <c r="AL183" s="305">
        <f t="shared" si="152"/>
        <v>18</v>
      </c>
      <c r="AM183" s="306">
        <f t="shared" si="153"/>
        <v>1</v>
      </c>
      <c r="AN183" s="230">
        <v>14</v>
      </c>
      <c r="AO183" s="259"/>
      <c r="AP183" s="259"/>
      <c r="AQ183" s="259"/>
      <c r="AR183" s="307">
        <f t="shared" si="154"/>
        <v>0</v>
      </c>
      <c r="AS183" s="307">
        <f t="shared" si="155"/>
        <v>14</v>
      </c>
      <c r="AT183" s="308">
        <f t="shared" si="156"/>
        <v>1</v>
      </c>
      <c r="AU183" s="289"/>
      <c r="AV183" s="289"/>
      <c r="AW183" s="289"/>
      <c r="AX183" s="290">
        <v>98</v>
      </c>
      <c r="AY183" s="289">
        <f t="shared" si="157"/>
        <v>98</v>
      </c>
      <c r="AZ183" s="291">
        <f t="shared" si="158"/>
        <v>1</v>
      </c>
      <c r="BA183" s="310"/>
      <c r="BB183" s="386">
        <v>100</v>
      </c>
      <c r="BC183" s="379">
        <f t="shared" si="159"/>
        <v>0</v>
      </c>
      <c r="BD183" s="378">
        <f t="shared" si="160"/>
        <v>0</v>
      </c>
      <c r="BE183" s="379"/>
      <c r="BF183" s="387">
        <f t="shared" si="138"/>
        <v>100</v>
      </c>
    </row>
    <row r="184" spans="1:58" x14ac:dyDescent="0.35">
      <c r="A184" s="193" t="s">
        <v>31</v>
      </c>
      <c r="B184" s="56" t="s">
        <v>796</v>
      </c>
      <c r="C184" s="47" t="s">
        <v>381</v>
      </c>
      <c r="D184" s="42" t="s">
        <v>6</v>
      </c>
      <c r="E184" s="215">
        <v>19</v>
      </c>
      <c r="F184" s="217"/>
      <c r="G184" s="217"/>
      <c r="H184" s="217"/>
      <c r="I184" s="326">
        <f t="shared" si="139"/>
        <v>0</v>
      </c>
      <c r="J184" s="326">
        <f t="shared" si="140"/>
        <v>19</v>
      </c>
      <c r="K184" s="327">
        <f t="shared" si="141"/>
        <v>1</v>
      </c>
      <c r="L184" s="221">
        <v>14</v>
      </c>
      <c r="M184" s="222"/>
      <c r="N184" s="223"/>
      <c r="O184" s="222"/>
      <c r="P184" s="328">
        <f t="shared" si="142"/>
        <v>0</v>
      </c>
      <c r="Q184" s="328">
        <f t="shared" si="143"/>
        <v>14</v>
      </c>
      <c r="R184" s="329">
        <f t="shared" si="144"/>
        <v>1</v>
      </c>
      <c r="S184" s="225">
        <v>12</v>
      </c>
      <c r="T184" s="226"/>
      <c r="U184" s="226"/>
      <c r="V184" s="226"/>
      <c r="W184" s="330">
        <f t="shared" si="145"/>
        <v>0</v>
      </c>
      <c r="X184" s="330">
        <f t="shared" si="146"/>
        <v>12</v>
      </c>
      <c r="Y184" s="331">
        <f t="shared" si="147"/>
        <v>1</v>
      </c>
      <c r="Z184" s="228">
        <v>21</v>
      </c>
      <c r="AA184" s="255"/>
      <c r="AB184" s="255"/>
      <c r="AC184" s="255"/>
      <c r="AD184" s="280">
        <f t="shared" si="148"/>
        <v>0</v>
      </c>
      <c r="AE184" s="280">
        <f t="shared" si="149"/>
        <v>21</v>
      </c>
      <c r="AF184" s="281">
        <f t="shared" si="150"/>
        <v>1</v>
      </c>
      <c r="AG184" s="229">
        <v>18</v>
      </c>
      <c r="AH184" s="257"/>
      <c r="AI184" s="257"/>
      <c r="AJ184" s="257"/>
      <c r="AK184" s="305">
        <f t="shared" si="151"/>
        <v>0</v>
      </c>
      <c r="AL184" s="305">
        <f t="shared" si="152"/>
        <v>18</v>
      </c>
      <c r="AM184" s="306">
        <f t="shared" si="153"/>
        <v>1</v>
      </c>
      <c r="AN184" s="230">
        <v>14</v>
      </c>
      <c r="AO184" s="259"/>
      <c r="AP184" s="259"/>
      <c r="AQ184" s="259"/>
      <c r="AR184" s="307">
        <f t="shared" si="154"/>
        <v>0</v>
      </c>
      <c r="AS184" s="307">
        <f t="shared" si="155"/>
        <v>14</v>
      </c>
      <c r="AT184" s="308">
        <f t="shared" si="156"/>
        <v>1</v>
      </c>
      <c r="AU184" s="289"/>
      <c r="AV184" s="289"/>
      <c r="AW184" s="289"/>
      <c r="AX184" s="290">
        <v>98</v>
      </c>
      <c r="AY184" s="289">
        <f t="shared" si="157"/>
        <v>98</v>
      </c>
      <c r="AZ184" s="291">
        <f t="shared" si="158"/>
        <v>1</v>
      </c>
      <c r="BA184" s="310"/>
      <c r="BB184" s="386">
        <v>100</v>
      </c>
      <c r="BC184" s="379">
        <f t="shared" si="159"/>
        <v>0</v>
      </c>
      <c r="BD184" s="378">
        <f t="shared" si="160"/>
        <v>0</v>
      </c>
      <c r="BE184" s="379"/>
      <c r="BF184" s="387">
        <f t="shared" si="138"/>
        <v>100</v>
      </c>
    </row>
    <row r="185" spans="1:58" x14ac:dyDescent="0.35">
      <c r="A185" s="193" t="s">
        <v>32</v>
      </c>
      <c r="B185" s="56" t="s">
        <v>797</v>
      </c>
      <c r="C185" s="47" t="s">
        <v>382</v>
      </c>
      <c r="D185" s="42" t="s">
        <v>8</v>
      </c>
      <c r="E185" s="215">
        <v>19</v>
      </c>
      <c r="F185" s="217"/>
      <c r="G185" s="217"/>
      <c r="H185" s="217"/>
      <c r="I185" s="326">
        <f t="shared" si="139"/>
        <v>0</v>
      </c>
      <c r="J185" s="326">
        <f t="shared" si="140"/>
        <v>19</v>
      </c>
      <c r="K185" s="327">
        <f t="shared" si="141"/>
        <v>1</v>
      </c>
      <c r="L185" s="221">
        <v>14</v>
      </c>
      <c r="M185" s="222"/>
      <c r="N185" s="223"/>
      <c r="O185" s="223"/>
      <c r="P185" s="328">
        <f t="shared" si="142"/>
        <v>0</v>
      </c>
      <c r="Q185" s="328">
        <f t="shared" si="143"/>
        <v>14</v>
      </c>
      <c r="R185" s="329">
        <f t="shared" si="144"/>
        <v>1</v>
      </c>
      <c r="S185" s="225">
        <v>12</v>
      </c>
      <c r="T185" s="226"/>
      <c r="U185" s="226"/>
      <c r="V185" s="226"/>
      <c r="W185" s="330">
        <f t="shared" si="145"/>
        <v>0</v>
      </c>
      <c r="X185" s="330">
        <f t="shared" si="146"/>
        <v>12</v>
      </c>
      <c r="Y185" s="331">
        <f t="shared" si="147"/>
        <v>1</v>
      </c>
      <c r="Z185" s="228">
        <v>21</v>
      </c>
      <c r="AA185" s="255"/>
      <c r="AB185" s="255"/>
      <c r="AC185" s="255"/>
      <c r="AD185" s="280">
        <f t="shared" si="148"/>
        <v>0</v>
      </c>
      <c r="AE185" s="280">
        <f t="shared" si="149"/>
        <v>21</v>
      </c>
      <c r="AF185" s="281">
        <f t="shared" si="150"/>
        <v>1</v>
      </c>
      <c r="AG185" s="229">
        <v>18</v>
      </c>
      <c r="AH185" s="257"/>
      <c r="AI185" s="257"/>
      <c r="AJ185" s="257"/>
      <c r="AK185" s="305">
        <f t="shared" si="151"/>
        <v>0</v>
      </c>
      <c r="AL185" s="305">
        <f t="shared" si="152"/>
        <v>18</v>
      </c>
      <c r="AM185" s="306">
        <f t="shared" si="153"/>
        <v>1</v>
      </c>
      <c r="AN185" s="230">
        <v>14</v>
      </c>
      <c r="AO185" s="259"/>
      <c r="AP185" s="259"/>
      <c r="AQ185" s="259"/>
      <c r="AR185" s="307">
        <f t="shared" si="154"/>
        <v>0</v>
      </c>
      <c r="AS185" s="307">
        <f t="shared" si="155"/>
        <v>14</v>
      </c>
      <c r="AT185" s="308">
        <f t="shared" si="156"/>
        <v>1</v>
      </c>
      <c r="AU185" s="289"/>
      <c r="AV185" s="289"/>
      <c r="AW185" s="289"/>
      <c r="AX185" s="290">
        <v>98</v>
      </c>
      <c r="AY185" s="289">
        <f t="shared" si="157"/>
        <v>98</v>
      </c>
      <c r="AZ185" s="291">
        <f t="shared" si="158"/>
        <v>1</v>
      </c>
      <c r="BA185" s="310"/>
      <c r="BB185" s="386">
        <v>100</v>
      </c>
      <c r="BC185" s="379">
        <f t="shared" si="159"/>
        <v>0</v>
      </c>
      <c r="BD185" s="378">
        <f t="shared" si="160"/>
        <v>0</v>
      </c>
      <c r="BE185" s="379"/>
      <c r="BF185" s="387">
        <f t="shared" si="138"/>
        <v>100</v>
      </c>
    </row>
    <row r="186" spans="1:58" x14ac:dyDescent="0.35">
      <c r="A186" s="193" t="s">
        <v>33</v>
      </c>
      <c r="B186" s="56" t="s">
        <v>798</v>
      </c>
      <c r="C186" s="47" t="s">
        <v>383</v>
      </c>
      <c r="D186" s="42" t="s">
        <v>8</v>
      </c>
      <c r="E186" s="215">
        <v>19</v>
      </c>
      <c r="F186" s="217"/>
      <c r="G186" s="217"/>
      <c r="H186" s="217"/>
      <c r="I186" s="326">
        <f t="shared" si="139"/>
        <v>0</v>
      </c>
      <c r="J186" s="326">
        <f t="shared" si="140"/>
        <v>19</v>
      </c>
      <c r="K186" s="327">
        <f t="shared" si="141"/>
        <v>1</v>
      </c>
      <c r="L186" s="221">
        <v>14</v>
      </c>
      <c r="M186" s="222"/>
      <c r="N186" s="222"/>
      <c r="O186" s="222"/>
      <c r="P186" s="328">
        <f t="shared" si="142"/>
        <v>0</v>
      </c>
      <c r="Q186" s="328">
        <f t="shared" si="143"/>
        <v>14</v>
      </c>
      <c r="R186" s="329">
        <f t="shared" si="144"/>
        <v>1</v>
      </c>
      <c r="S186" s="225">
        <v>12</v>
      </c>
      <c r="T186" s="226"/>
      <c r="U186" s="226"/>
      <c r="V186" s="226"/>
      <c r="W186" s="330">
        <f t="shared" si="145"/>
        <v>0</v>
      </c>
      <c r="X186" s="330">
        <f t="shared" si="146"/>
        <v>12</v>
      </c>
      <c r="Y186" s="331">
        <f t="shared" si="147"/>
        <v>1</v>
      </c>
      <c r="Z186" s="228">
        <v>21</v>
      </c>
      <c r="AA186" s="255"/>
      <c r="AB186" s="255"/>
      <c r="AC186" s="255"/>
      <c r="AD186" s="280">
        <f t="shared" si="148"/>
        <v>0</v>
      </c>
      <c r="AE186" s="280">
        <f t="shared" si="149"/>
        <v>21</v>
      </c>
      <c r="AF186" s="281">
        <f t="shared" si="150"/>
        <v>1</v>
      </c>
      <c r="AG186" s="229">
        <v>18</v>
      </c>
      <c r="AH186" s="257"/>
      <c r="AI186" s="257"/>
      <c r="AJ186" s="257"/>
      <c r="AK186" s="305">
        <f t="shared" si="151"/>
        <v>0</v>
      </c>
      <c r="AL186" s="305">
        <f t="shared" si="152"/>
        <v>18</v>
      </c>
      <c r="AM186" s="306">
        <f t="shared" si="153"/>
        <v>1</v>
      </c>
      <c r="AN186" s="230">
        <v>14</v>
      </c>
      <c r="AO186" s="259"/>
      <c r="AP186" s="259"/>
      <c r="AQ186" s="259"/>
      <c r="AR186" s="307">
        <f t="shared" si="154"/>
        <v>0</v>
      </c>
      <c r="AS186" s="307">
        <f t="shared" si="155"/>
        <v>14</v>
      </c>
      <c r="AT186" s="308">
        <f t="shared" si="156"/>
        <v>1</v>
      </c>
      <c r="AU186" s="289"/>
      <c r="AV186" s="289"/>
      <c r="AW186" s="289"/>
      <c r="AX186" s="290">
        <v>98</v>
      </c>
      <c r="AY186" s="289">
        <f t="shared" si="157"/>
        <v>98</v>
      </c>
      <c r="AZ186" s="291">
        <f t="shared" si="158"/>
        <v>1</v>
      </c>
      <c r="BA186" s="310"/>
      <c r="BB186" s="386">
        <v>100</v>
      </c>
      <c r="BC186" s="379">
        <f t="shared" si="159"/>
        <v>0</v>
      </c>
      <c r="BD186" s="378">
        <f t="shared" si="160"/>
        <v>0</v>
      </c>
      <c r="BE186" s="379"/>
      <c r="BF186" s="387">
        <f t="shared" si="138"/>
        <v>100</v>
      </c>
    </row>
    <row r="187" spans="1:58" x14ac:dyDescent="0.35">
      <c r="A187" s="193" t="s">
        <v>34</v>
      </c>
      <c r="B187" s="56" t="s">
        <v>799</v>
      </c>
      <c r="C187" s="58" t="s">
        <v>384</v>
      </c>
      <c r="D187" s="42" t="s">
        <v>8</v>
      </c>
      <c r="E187" s="215">
        <v>19</v>
      </c>
      <c r="F187" s="217"/>
      <c r="G187" s="217"/>
      <c r="H187" s="217"/>
      <c r="I187" s="326">
        <f t="shared" si="139"/>
        <v>0</v>
      </c>
      <c r="J187" s="326">
        <f t="shared" si="140"/>
        <v>19</v>
      </c>
      <c r="K187" s="327">
        <f t="shared" si="141"/>
        <v>1</v>
      </c>
      <c r="L187" s="221">
        <v>14</v>
      </c>
      <c r="M187" s="222"/>
      <c r="N187" s="223"/>
      <c r="O187" s="223"/>
      <c r="P187" s="328">
        <f t="shared" si="142"/>
        <v>0</v>
      </c>
      <c r="Q187" s="328">
        <f t="shared" si="143"/>
        <v>14</v>
      </c>
      <c r="R187" s="329">
        <f t="shared" si="144"/>
        <v>1</v>
      </c>
      <c r="S187" s="225">
        <v>12</v>
      </c>
      <c r="T187" s="226"/>
      <c r="U187" s="226"/>
      <c r="V187" s="226"/>
      <c r="W187" s="330">
        <f t="shared" si="145"/>
        <v>0</v>
      </c>
      <c r="X187" s="330">
        <f t="shared" si="146"/>
        <v>12</v>
      </c>
      <c r="Y187" s="331">
        <f t="shared" si="147"/>
        <v>1</v>
      </c>
      <c r="Z187" s="228">
        <v>21</v>
      </c>
      <c r="AA187" s="255"/>
      <c r="AB187" s="255"/>
      <c r="AC187" s="255"/>
      <c r="AD187" s="280">
        <f t="shared" si="148"/>
        <v>0</v>
      </c>
      <c r="AE187" s="280">
        <f t="shared" si="149"/>
        <v>21</v>
      </c>
      <c r="AF187" s="281">
        <f t="shared" si="150"/>
        <v>1</v>
      </c>
      <c r="AG187" s="229">
        <v>18</v>
      </c>
      <c r="AH187" s="257"/>
      <c r="AI187" s="257"/>
      <c r="AJ187" s="257"/>
      <c r="AK187" s="305">
        <f t="shared" si="151"/>
        <v>0</v>
      </c>
      <c r="AL187" s="305">
        <f t="shared" si="152"/>
        <v>18</v>
      </c>
      <c r="AM187" s="306">
        <f t="shared" si="153"/>
        <v>1</v>
      </c>
      <c r="AN187" s="230">
        <v>14</v>
      </c>
      <c r="AO187" s="259"/>
      <c r="AP187" s="259"/>
      <c r="AQ187" s="259"/>
      <c r="AR187" s="307">
        <f t="shared" si="154"/>
        <v>0</v>
      </c>
      <c r="AS187" s="307">
        <f t="shared" si="155"/>
        <v>14</v>
      </c>
      <c r="AT187" s="308">
        <f t="shared" si="156"/>
        <v>1</v>
      </c>
      <c r="AU187" s="289"/>
      <c r="AV187" s="289"/>
      <c r="AW187" s="289"/>
      <c r="AX187" s="290">
        <v>98</v>
      </c>
      <c r="AY187" s="289">
        <f t="shared" si="157"/>
        <v>98</v>
      </c>
      <c r="AZ187" s="291">
        <f t="shared" si="158"/>
        <v>1</v>
      </c>
      <c r="BA187" s="310"/>
      <c r="BB187" s="386">
        <v>98</v>
      </c>
      <c r="BC187" s="379">
        <f t="shared" si="159"/>
        <v>0</v>
      </c>
      <c r="BD187" s="378">
        <f t="shared" si="160"/>
        <v>0</v>
      </c>
      <c r="BE187" s="379"/>
      <c r="BF187" s="387">
        <f t="shared" si="138"/>
        <v>98</v>
      </c>
    </row>
    <row r="188" spans="1:58" x14ac:dyDescent="0.35">
      <c r="A188" s="193" t="s">
        <v>35</v>
      </c>
      <c r="B188" s="56" t="s">
        <v>800</v>
      </c>
      <c r="C188" s="47" t="s">
        <v>385</v>
      </c>
      <c r="D188" s="42" t="s">
        <v>6</v>
      </c>
      <c r="E188" s="215">
        <v>19</v>
      </c>
      <c r="F188" s="217"/>
      <c r="G188" s="217"/>
      <c r="H188" s="217"/>
      <c r="I188" s="326">
        <f t="shared" si="139"/>
        <v>0</v>
      </c>
      <c r="J188" s="326">
        <f t="shared" si="140"/>
        <v>19</v>
      </c>
      <c r="K188" s="327">
        <f t="shared" si="141"/>
        <v>1</v>
      </c>
      <c r="L188" s="221">
        <v>14</v>
      </c>
      <c r="M188" s="222"/>
      <c r="N188" s="222"/>
      <c r="O188" s="222"/>
      <c r="P188" s="328">
        <f t="shared" si="142"/>
        <v>0</v>
      </c>
      <c r="Q188" s="328">
        <f t="shared" si="143"/>
        <v>14</v>
      </c>
      <c r="R188" s="329">
        <f t="shared" si="144"/>
        <v>1</v>
      </c>
      <c r="S188" s="225">
        <v>12</v>
      </c>
      <c r="T188" s="226"/>
      <c r="U188" s="226"/>
      <c r="V188" s="226"/>
      <c r="W188" s="330">
        <f t="shared" si="145"/>
        <v>0</v>
      </c>
      <c r="X188" s="330">
        <f t="shared" si="146"/>
        <v>12</v>
      </c>
      <c r="Y188" s="331">
        <f t="shared" si="147"/>
        <v>1</v>
      </c>
      <c r="Z188" s="228">
        <v>21</v>
      </c>
      <c r="AA188" s="255"/>
      <c r="AB188" s="255"/>
      <c r="AC188" s="255"/>
      <c r="AD188" s="280">
        <f t="shared" si="148"/>
        <v>0</v>
      </c>
      <c r="AE188" s="280">
        <f t="shared" si="149"/>
        <v>21</v>
      </c>
      <c r="AF188" s="281">
        <f t="shared" si="150"/>
        <v>1</v>
      </c>
      <c r="AG188" s="229">
        <v>18</v>
      </c>
      <c r="AH188" s="257"/>
      <c r="AI188" s="257"/>
      <c r="AJ188" s="257"/>
      <c r="AK188" s="305">
        <f t="shared" si="151"/>
        <v>0</v>
      </c>
      <c r="AL188" s="305">
        <f t="shared" si="152"/>
        <v>18</v>
      </c>
      <c r="AM188" s="306">
        <f t="shared" si="153"/>
        <v>1</v>
      </c>
      <c r="AN188" s="230">
        <v>14</v>
      </c>
      <c r="AO188" s="259"/>
      <c r="AP188" s="259"/>
      <c r="AQ188" s="259"/>
      <c r="AR188" s="307">
        <f t="shared" si="154"/>
        <v>0</v>
      </c>
      <c r="AS188" s="307">
        <f t="shared" si="155"/>
        <v>14</v>
      </c>
      <c r="AT188" s="308">
        <f t="shared" si="156"/>
        <v>1</v>
      </c>
      <c r="AU188" s="289"/>
      <c r="AV188" s="289"/>
      <c r="AW188" s="289"/>
      <c r="AX188" s="290">
        <v>98</v>
      </c>
      <c r="AY188" s="289">
        <f t="shared" si="157"/>
        <v>98</v>
      </c>
      <c r="AZ188" s="291">
        <f t="shared" si="158"/>
        <v>1</v>
      </c>
      <c r="BA188" s="310">
        <v>2</v>
      </c>
      <c r="BB188" s="386">
        <v>96</v>
      </c>
      <c r="BC188" s="379">
        <f t="shared" si="159"/>
        <v>4</v>
      </c>
      <c r="BD188" s="378">
        <f t="shared" si="160"/>
        <v>0</v>
      </c>
      <c r="BE188" s="379"/>
      <c r="BF188" s="387">
        <f t="shared" si="138"/>
        <v>92</v>
      </c>
    </row>
    <row r="189" spans="1:58" x14ac:dyDescent="0.35">
      <c r="A189" s="193" t="s">
        <v>36</v>
      </c>
      <c r="B189" s="56" t="s">
        <v>801</v>
      </c>
      <c r="C189" s="58" t="s">
        <v>386</v>
      </c>
      <c r="D189" s="42" t="s">
        <v>8</v>
      </c>
      <c r="E189" s="215">
        <v>19</v>
      </c>
      <c r="F189" s="217"/>
      <c r="G189" s="217"/>
      <c r="H189" s="217"/>
      <c r="I189" s="326">
        <f t="shared" si="139"/>
        <v>0</v>
      </c>
      <c r="J189" s="326">
        <f t="shared" si="140"/>
        <v>19</v>
      </c>
      <c r="K189" s="327">
        <f t="shared" si="141"/>
        <v>1</v>
      </c>
      <c r="L189" s="221">
        <v>14</v>
      </c>
      <c r="M189" s="222"/>
      <c r="N189" s="223"/>
      <c r="O189" s="222"/>
      <c r="P189" s="328">
        <f t="shared" si="142"/>
        <v>0</v>
      </c>
      <c r="Q189" s="328">
        <f t="shared" si="143"/>
        <v>14</v>
      </c>
      <c r="R189" s="329">
        <f t="shared" si="144"/>
        <v>1</v>
      </c>
      <c r="S189" s="225">
        <v>12</v>
      </c>
      <c r="T189" s="226"/>
      <c r="U189" s="226"/>
      <c r="V189" s="226"/>
      <c r="W189" s="330">
        <f t="shared" si="145"/>
        <v>0</v>
      </c>
      <c r="X189" s="330">
        <f t="shared" si="146"/>
        <v>12</v>
      </c>
      <c r="Y189" s="331">
        <f t="shared" si="147"/>
        <v>1</v>
      </c>
      <c r="Z189" s="228">
        <v>21</v>
      </c>
      <c r="AA189" s="255"/>
      <c r="AB189" s="255"/>
      <c r="AC189" s="255"/>
      <c r="AD189" s="280">
        <f t="shared" si="148"/>
        <v>0</v>
      </c>
      <c r="AE189" s="280">
        <f t="shared" si="149"/>
        <v>21</v>
      </c>
      <c r="AF189" s="281">
        <f t="shared" si="150"/>
        <v>1</v>
      </c>
      <c r="AG189" s="229">
        <v>18</v>
      </c>
      <c r="AH189" s="257"/>
      <c r="AI189" s="257"/>
      <c r="AJ189" s="257"/>
      <c r="AK189" s="305">
        <f t="shared" si="151"/>
        <v>0</v>
      </c>
      <c r="AL189" s="305">
        <f t="shared" si="152"/>
        <v>18</v>
      </c>
      <c r="AM189" s="306">
        <f t="shared" si="153"/>
        <v>1</v>
      </c>
      <c r="AN189" s="230">
        <v>14</v>
      </c>
      <c r="AO189" s="259"/>
      <c r="AP189" s="259"/>
      <c r="AQ189" s="259"/>
      <c r="AR189" s="307">
        <f t="shared" si="154"/>
        <v>0</v>
      </c>
      <c r="AS189" s="307">
        <f t="shared" si="155"/>
        <v>14</v>
      </c>
      <c r="AT189" s="308">
        <f t="shared" si="156"/>
        <v>1</v>
      </c>
      <c r="AU189" s="289"/>
      <c r="AV189" s="289"/>
      <c r="AW189" s="289"/>
      <c r="AX189" s="290">
        <v>98</v>
      </c>
      <c r="AY189" s="289">
        <f t="shared" si="157"/>
        <v>98</v>
      </c>
      <c r="AZ189" s="291">
        <f t="shared" si="158"/>
        <v>1</v>
      </c>
      <c r="BA189" s="310"/>
      <c r="BB189" s="386">
        <v>98</v>
      </c>
      <c r="BC189" s="379">
        <f t="shared" si="159"/>
        <v>0</v>
      </c>
      <c r="BD189" s="378">
        <f t="shared" si="160"/>
        <v>0</v>
      </c>
      <c r="BE189" s="379"/>
      <c r="BF189" s="387">
        <f t="shared" si="138"/>
        <v>98</v>
      </c>
    </row>
    <row r="190" spans="1:58" x14ac:dyDescent="0.35">
      <c r="A190" s="193" t="s">
        <v>37</v>
      </c>
      <c r="B190" s="56" t="s">
        <v>802</v>
      </c>
      <c r="C190" s="47" t="s">
        <v>387</v>
      </c>
      <c r="D190" s="42" t="s">
        <v>6</v>
      </c>
      <c r="E190" s="215">
        <v>19</v>
      </c>
      <c r="F190" s="217"/>
      <c r="G190" s="218"/>
      <c r="H190" s="217"/>
      <c r="I190" s="326">
        <f t="shared" si="139"/>
        <v>0</v>
      </c>
      <c r="J190" s="326">
        <f t="shared" si="140"/>
        <v>19</v>
      </c>
      <c r="K190" s="327">
        <f t="shared" si="141"/>
        <v>1</v>
      </c>
      <c r="L190" s="221">
        <v>14</v>
      </c>
      <c r="M190" s="222"/>
      <c r="N190" s="222"/>
      <c r="O190" s="222"/>
      <c r="P190" s="328">
        <f t="shared" si="142"/>
        <v>0</v>
      </c>
      <c r="Q190" s="328">
        <f t="shared" si="143"/>
        <v>14</v>
      </c>
      <c r="R190" s="329">
        <f t="shared" si="144"/>
        <v>1</v>
      </c>
      <c r="S190" s="225">
        <v>12</v>
      </c>
      <c r="T190" s="226"/>
      <c r="U190" s="226"/>
      <c r="V190" s="226"/>
      <c r="W190" s="330">
        <f t="shared" si="145"/>
        <v>0</v>
      </c>
      <c r="X190" s="330">
        <f t="shared" si="146"/>
        <v>12</v>
      </c>
      <c r="Y190" s="331">
        <f t="shared" si="147"/>
        <v>1</v>
      </c>
      <c r="Z190" s="228">
        <v>21</v>
      </c>
      <c r="AA190" s="255"/>
      <c r="AB190" s="255"/>
      <c r="AC190" s="255"/>
      <c r="AD190" s="280">
        <f t="shared" si="148"/>
        <v>0</v>
      </c>
      <c r="AE190" s="280">
        <f t="shared" si="149"/>
        <v>21</v>
      </c>
      <c r="AF190" s="281">
        <f t="shared" si="150"/>
        <v>1</v>
      </c>
      <c r="AG190" s="229">
        <v>18</v>
      </c>
      <c r="AH190" s="257"/>
      <c r="AI190" s="257"/>
      <c r="AJ190" s="257"/>
      <c r="AK190" s="305">
        <f t="shared" si="151"/>
        <v>0</v>
      </c>
      <c r="AL190" s="305">
        <f t="shared" si="152"/>
        <v>18</v>
      </c>
      <c r="AM190" s="306">
        <f t="shared" si="153"/>
        <v>1</v>
      </c>
      <c r="AN190" s="230">
        <v>14</v>
      </c>
      <c r="AO190" s="259"/>
      <c r="AP190" s="259"/>
      <c r="AQ190" s="259"/>
      <c r="AR190" s="307">
        <f t="shared" si="154"/>
        <v>0</v>
      </c>
      <c r="AS190" s="307">
        <f t="shared" si="155"/>
        <v>14</v>
      </c>
      <c r="AT190" s="308">
        <f t="shared" si="156"/>
        <v>1</v>
      </c>
      <c r="AU190" s="289"/>
      <c r="AV190" s="289"/>
      <c r="AW190" s="289"/>
      <c r="AX190" s="290">
        <v>98</v>
      </c>
      <c r="AY190" s="289">
        <f t="shared" si="157"/>
        <v>98</v>
      </c>
      <c r="AZ190" s="291">
        <f t="shared" si="158"/>
        <v>1</v>
      </c>
      <c r="BA190" s="310"/>
      <c r="BB190" s="386">
        <v>100</v>
      </c>
      <c r="BC190" s="379">
        <f t="shared" si="159"/>
        <v>0</v>
      </c>
      <c r="BD190" s="378">
        <f t="shared" si="160"/>
        <v>0</v>
      </c>
      <c r="BE190" s="379"/>
      <c r="BF190" s="387">
        <f t="shared" si="138"/>
        <v>100</v>
      </c>
    </row>
    <row r="191" spans="1:58" x14ac:dyDescent="0.35">
      <c r="A191" s="193" t="s">
        <v>38</v>
      </c>
      <c r="B191" s="56" t="s">
        <v>803</v>
      </c>
      <c r="C191" s="47" t="s">
        <v>388</v>
      </c>
      <c r="D191" s="42" t="s">
        <v>6</v>
      </c>
      <c r="E191" s="215">
        <v>19</v>
      </c>
      <c r="F191" s="217"/>
      <c r="G191" s="217"/>
      <c r="H191" s="217"/>
      <c r="I191" s="326">
        <f t="shared" si="139"/>
        <v>0</v>
      </c>
      <c r="J191" s="326">
        <f t="shared" si="140"/>
        <v>19</v>
      </c>
      <c r="K191" s="327">
        <f t="shared" si="141"/>
        <v>1</v>
      </c>
      <c r="L191" s="221">
        <v>14</v>
      </c>
      <c r="M191" s="222"/>
      <c r="N191" s="223"/>
      <c r="O191" s="222"/>
      <c r="P191" s="328">
        <f t="shared" si="142"/>
        <v>0</v>
      </c>
      <c r="Q191" s="328">
        <f t="shared" si="143"/>
        <v>14</v>
      </c>
      <c r="R191" s="329">
        <f t="shared" si="144"/>
        <v>1</v>
      </c>
      <c r="S191" s="225">
        <v>12</v>
      </c>
      <c r="T191" s="226"/>
      <c r="U191" s="226"/>
      <c r="V191" s="226"/>
      <c r="W191" s="330">
        <f t="shared" si="145"/>
        <v>0</v>
      </c>
      <c r="X191" s="330">
        <f t="shared" si="146"/>
        <v>12</v>
      </c>
      <c r="Y191" s="331">
        <f t="shared" si="147"/>
        <v>1</v>
      </c>
      <c r="Z191" s="228">
        <v>21</v>
      </c>
      <c r="AA191" s="255"/>
      <c r="AB191" s="255"/>
      <c r="AC191" s="255"/>
      <c r="AD191" s="280">
        <f t="shared" si="148"/>
        <v>0</v>
      </c>
      <c r="AE191" s="280">
        <f t="shared" si="149"/>
        <v>21</v>
      </c>
      <c r="AF191" s="281">
        <f t="shared" si="150"/>
        <v>1</v>
      </c>
      <c r="AG191" s="229">
        <v>18</v>
      </c>
      <c r="AH191" s="257"/>
      <c r="AI191" s="257"/>
      <c r="AJ191" s="257"/>
      <c r="AK191" s="305">
        <f t="shared" si="151"/>
        <v>0</v>
      </c>
      <c r="AL191" s="305">
        <f t="shared" si="152"/>
        <v>18</v>
      </c>
      <c r="AM191" s="306">
        <f t="shared" si="153"/>
        <v>1</v>
      </c>
      <c r="AN191" s="230">
        <v>14</v>
      </c>
      <c r="AO191" s="259"/>
      <c r="AP191" s="259"/>
      <c r="AQ191" s="259"/>
      <c r="AR191" s="307">
        <f t="shared" si="154"/>
        <v>0</v>
      </c>
      <c r="AS191" s="307">
        <f t="shared" si="155"/>
        <v>14</v>
      </c>
      <c r="AT191" s="308">
        <f t="shared" si="156"/>
        <v>1</v>
      </c>
      <c r="AU191" s="289"/>
      <c r="AV191" s="289"/>
      <c r="AW191" s="289"/>
      <c r="AX191" s="290">
        <v>98</v>
      </c>
      <c r="AY191" s="289">
        <f t="shared" si="157"/>
        <v>98</v>
      </c>
      <c r="AZ191" s="291">
        <f t="shared" si="158"/>
        <v>1</v>
      </c>
      <c r="BA191" s="310"/>
      <c r="BB191" s="386">
        <v>96</v>
      </c>
      <c r="BC191" s="379">
        <f t="shared" si="159"/>
        <v>0</v>
      </c>
      <c r="BD191" s="378">
        <f t="shared" si="160"/>
        <v>0</v>
      </c>
      <c r="BE191" s="379"/>
      <c r="BF191" s="387">
        <f t="shared" si="138"/>
        <v>96</v>
      </c>
    </row>
    <row r="192" spans="1:58" x14ac:dyDescent="0.35">
      <c r="A192" s="193" t="s">
        <v>39</v>
      </c>
      <c r="B192" s="56" t="s">
        <v>804</v>
      </c>
      <c r="C192" s="47" t="s">
        <v>389</v>
      </c>
      <c r="D192" s="42" t="s">
        <v>6</v>
      </c>
      <c r="E192" s="215">
        <v>19</v>
      </c>
      <c r="F192" s="217"/>
      <c r="G192" s="217"/>
      <c r="H192" s="217"/>
      <c r="I192" s="326">
        <f t="shared" si="139"/>
        <v>0</v>
      </c>
      <c r="J192" s="326">
        <f t="shared" si="140"/>
        <v>19</v>
      </c>
      <c r="K192" s="327">
        <f t="shared" si="141"/>
        <v>1</v>
      </c>
      <c r="L192" s="221">
        <v>14</v>
      </c>
      <c r="M192" s="222"/>
      <c r="N192" s="223"/>
      <c r="O192" s="222"/>
      <c r="P192" s="328">
        <f t="shared" si="142"/>
        <v>0</v>
      </c>
      <c r="Q192" s="328">
        <f t="shared" si="143"/>
        <v>14</v>
      </c>
      <c r="R192" s="329">
        <f t="shared" si="144"/>
        <v>1</v>
      </c>
      <c r="S192" s="225">
        <v>12</v>
      </c>
      <c r="T192" s="226"/>
      <c r="U192" s="226"/>
      <c r="V192" s="226"/>
      <c r="W192" s="330">
        <f t="shared" si="145"/>
        <v>0</v>
      </c>
      <c r="X192" s="330">
        <f t="shared" si="146"/>
        <v>12</v>
      </c>
      <c r="Y192" s="331">
        <f t="shared" si="147"/>
        <v>1</v>
      </c>
      <c r="Z192" s="228">
        <v>21</v>
      </c>
      <c r="AA192" s="255"/>
      <c r="AB192" s="255"/>
      <c r="AC192" s="255"/>
      <c r="AD192" s="280">
        <f t="shared" si="148"/>
        <v>0</v>
      </c>
      <c r="AE192" s="280">
        <f t="shared" si="149"/>
        <v>21</v>
      </c>
      <c r="AF192" s="281">
        <f t="shared" si="150"/>
        <v>1</v>
      </c>
      <c r="AG192" s="229">
        <v>18</v>
      </c>
      <c r="AH192" s="257"/>
      <c r="AI192" s="257"/>
      <c r="AJ192" s="257"/>
      <c r="AK192" s="305">
        <f t="shared" si="151"/>
        <v>0</v>
      </c>
      <c r="AL192" s="305">
        <f t="shared" si="152"/>
        <v>18</v>
      </c>
      <c r="AM192" s="306">
        <f t="shared" si="153"/>
        <v>1</v>
      </c>
      <c r="AN192" s="230">
        <v>14</v>
      </c>
      <c r="AO192" s="259"/>
      <c r="AP192" s="259"/>
      <c r="AQ192" s="259"/>
      <c r="AR192" s="307">
        <f t="shared" si="154"/>
        <v>0</v>
      </c>
      <c r="AS192" s="307">
        <f t="shared" si="155"/>
        <v>14</v>
      </c>
      <c r="AT192" s="308">
        <f t="shared" si="156"/>
        <v>1</v>
      </c>
      <c r="AU192" s="289"/>
      <c r="AV192" s="289"/>
      <c r="AW192" s="289"/>
      <c r="AX192" s="290">
        <v>98</v>
      </c>
      <c r="AY192" s="289">
        <f t="shared" si="157"/>
        <v>98</v>
      </c>
      <c r="AZ192" s="291">
        <f t="shared" si="158"/>
        <v>1</v>
      </c>
      <c r="BA192" s="310"/>
      <c r="BB192" s="386">
        <v>96</v>
      </c>
      <c r="BC192" s="379">
        <f t="shared" si="159"/>
        <v>0</v>
      </c>
      <c r="BD192" s="378">
        <f t="shared" si="160"/>
        <v>0</v>
      </c>
      <c r="BE192" s="379"/>
      <c r="BF192" s="387">
        <f t="shared" si="138"/>
        <v>96</v>
      </c>
    </row>
    <row r="193" spans="1:58" x14ac:dyDescent="0.35">
      <c r="A193" s="193" t="s">
        <v>40</v>
      </c>
      <c r="B193" s="56" t="s">
        <v>805</v>
      </c>
      <c r="C193" s="47" t="s">
        <v>806</v>
      </c>
      <c r="D193" s="42" t="s">
        <v>6</v>
      </c>
      <c r="E193" s="215">
        <v>19</v>
      </c>
      <c r="F193" s="217"/>
      <c r="G193" s="217"/>
      <c r="H193" s="217"/>
      <c r="I193" s="326">
        <f t="shared" si="139"/>
        <v>0</v>
      </c>
      <c r="J193" s="326">
        <f t="shared" si="140"/>
        <v>19</v>
      </c>
      <c r="K193" s="327">
        <f t="shared" si="141"/>
        <v>1</v>
      </c>
      <c r="L193" s="221">
        <v>14</v>
      </c>
      <c r="M193" s="222"/>
      <c r="N193" s="223"/>
      <c r="O193" s="222"/>
      <c r="P193" s="328">
        <f t="shared" si="142"/>
        <v>0</v>
      </c>
      <c r="Q193" s="328">
        <f t="shared" si="143"/>
        <v>14</v>
      </c>
      <c r="R193" s="329">
        <f t="shared" si="144"/>
        <v>1</v>
      </c>
      <c r="S193" s="225">
        <v>12</v>
      </c>
      <c r="T193" s="226"/>
      <c r="U193" s="226"/>
      <c r="V193" s="226"/>
      <c r="W193" s="330">
        <f t="shared" si="145"/>
        <v>0</v>
      </c>
      <c r="X193" s="330">
        <f t="shared" si="146"/>
        <v>12</v>
      </c>
      <c r="Y193" s="331">
        <f t="shared" si="147"/>
        <v>1</v>
      </c>
      <c r="Z193" s="228">
        <v>21</v>
      </c>
      <c r="AA193" s="255"/>
      <c r="AB193" s="255"/>
      <c r="AC193" s="255"/>
      <c r="AD193" s="280">
        <f t="shared" si="148"/>
        <v>0</v>
      </c>
      <c r="AE193" s="280">
        <f t="shared" si="149"/>
        <v>21</v>
      </c>
      <c r="AF193" s="281">
        <f t="shared" si="150"/>
        <v>1</v>
      </c>
      <c r="AG193" s="229">
        <v>18</v>
      </c>
      <c r="AH193" s="257"/>
      <c r="AI193" s="257"/>
      <c r="AJ193" s="257"/>
      <c r="AK193" s="305">
        <f t="shared" si="151"/>
        <v>0</v>
      </c>
      <c r="AL193" s="305">
        <f t="shared" si="152"/>
        <v>18</v>
      </c>
      <c r="AM193" s="306">
        <f t="shared" si="153"/>
        <v>1</v>
      </c>
      <c r="AN193" s="230">
        <v>14</v>
      </c>
      <c r="AO193" s="259"/>
      <c r="AP193" s="259"/>
      <c r="AQ193" s="259"/>
      <c r="AR193" s="307">
        <f t="shared" si="154"/>
        <v>0</v>
      </c>
      <c r="AS193" s="307">
        <f t="shared" si="155"/>
        <v>14</v>
      </c>
      <c r="AT193" s="308">
        <f t="shared" si="156"/>
        <v>1</v>
      </c>
      <c r="AU193" s="289"/>
      <c r="AV193" s="289"/>
      <c r="AW193" s="289"/>
      <c r="AX193" s="290">
        <v>98</v>
      </c>
      <c r="AY193" s="289">
        <f t="shared" si="157"/>
        <v>98</v>
      </c>
      <c r="AZ193" s="291">
        <f t="shared" si="158"/>
        <v>1</v>
      </c>
      <c r="BA193" s="310"/>
      <c r="BB193" s="386">
        <v>100</v>
      </c>
      <c r="BC193" s="379">
        <f t="shared" si="159"/>
        <v>0</v>
      </c>
      <c r="BD193" s="378">
        <f t="shared" si="160"/>
        <v>0</v>
      </c>
      <c r="BE193" s="379"/>
      <c r="BF193" s="387">
        <f t="shared" si="138"/>
        <v>100</v>
      </c>
    </row>
    <row r="194" spans="1:58" x14ac:dyDescent="0.35">
      <c r="A194" s="193" t="s">
        <v>41</v>
      </c>
      <c r="B194" s="56" t="s">
        <v>807</v>
      </c>
      <c r="C194" s="47" t="s">
        <v>390</v>
      </c>
      <c r="D194" s="42" t="s">
        <v>8</v>
      </c>
      <c r="E194" s="215">
        <v>19</v>
      </c>
      <c r="F194" s="217"/>
      <c r="G194" s="218"/>
      <c r="H194" s="217"/>
      <c r="I194" s="326">
        <f t="shared" si="139"/>
        <v>0</v>
      </c>
      <c r="J194" s="326">
        <f t="shared" si="140"/>
        <v>19</v>
      </c>
      <c r="K194" s="327">
        <f t="shared" si="141"/>
        <v>1</v>
      </c>
      <c r="L194" s="221">
        <v>14</v>
      </c>
      <c r="M194" s="223"/>
      <c r="N194" s="222"/>
      <c r="O194" s="223"/>
      <c r="P194" s="328">
        <f t="shared" si="142"/>
        <v>0</v>
      </c>
      <c r="Q194" s="328">
        <f t="shared" si="143"/>
        <v>14</v>
      </c>
      <c r="R194" s="329">
        <f t="shared" si="144"/>
        <v>1</v>
      </c>
      <c r="S194" s="225">
        <v>12</v>
      </c>
      <c r="T194" s="226"/>
      <c r="U194" s="226"/>
      <c r="V194" s="226"/>
      <c r="W194" s="330">
        <f t="shared" si="145"/>
        <v>0</v>
      </c>
      <c r="X194" s="330">
        <f t="shared" si="146"/>
        <v>12</v>
      </c>
      <c r="Y194" s="331">
        <f t="shared" si="147"/>
        <v>1</v>
      </c>
      <c r="Z194" s="228">
        <v>21</v>
      </c>
      <c r="AA194" s="255"/>
      <c r="AB194" s="255"/>
      <c r="AC194" s="255"/>
      <c r="AD194" s="280">
        <f t="shared" si="148"/>
        <v>0</v>
      </c>
      <c r="AE194" s="280">
        <f t="shared" si="149"/>
        <v>21</v>
      </c>
      <c r="AF194" s="281">
        <f t="shared" si="150"/>
        <v>1</v>
      </c>
      <c r="AG194" s="229">
        <v>18</v>
      </c>
      <c r="AH194" s="257"/>
      <c r="AI194" s="257"/>
      <c r="AJ194" s="257"/>
      <c r="AK194" s="305">
        <f t="shared" si="151"/>
        <v>0</v>
      </c>
      <c r="AL194" s="305">
        <f t="shared" si="152"/>
        <v>18</v>
      </c>
      <c r="AM194" s="306">
        <f t="shared" si="153"/>
        <v>1</v>
      </c>
      <c r="AN194" s="230">
        <v>14</v>
      </c>
      <c r="AO194" s="259"/>
      <c r="AP194" s="259"/>
      <c r="AQ194" s="259"/>
      <c r="AR194" s="307">
        <f t="shared" si="154"/>
        <v>0</v>
      </c>
      <c r="AS194" s="307">
        <f t="shared" si="155"/>
        <v>14</v>
      </c>
      <c r="AT194" s="308">
        <f t="shared" si="156"/>
        <v>1</v>
      </c>
      <c r="AU194" s="289"/>
      <c r="AV194" s="289"/>
      <c r="AW194" s="289"/>
      <c r="AX194" s="290">
        <v>98</v>
      </c>
      <c r="AY194" s="289">
        <f t="shared" si="157"/>
        <v>98</v>
      </c>
      <c r="AZ194" s="291">
        <f t="shared" si="158"/>
        <v>1</v>
      </c>
      <c r="BA194" s="310"/>
      <c r="BB194" s="386">
        <v>100</v>
      </c>
      <c r="BC194" s="379">
        <f t="shared" si="159"/>
        <v>0</v>
      </c>
      <c r="BD194" s="378">
        <f t="shared" si="160"/>
        <v>0</v>
      </c>
      <c r="BE194" s="379"/>
      <c r="BF194" s="387">
        <f t="shared" si="138"/>
        <v>100</v>
      </c>
    </row>
    <row r="195" spans="1:58" x14ac:dyDescent="0.35">
      <c r="A195" s="193" t="s">
        <v>42</v>
      </c>
      <c r="B195" s="56" t="s">
        <v>808</v>
      </c>
      <c r="C195" s="58" t="s">
        <v>391</v>
      </c>
      <c r="D195" s="42" t="s">
        <v>8</v>
      </c>
      <c r="E195" s="215">
        <v>19</v>
      </c>
      <c r="F195" s="217"/>
      <c r="G195" s="217"/>
      <c r="H195" s="217"/>
      <c r="I195" s="326">
        <f t="shared" si="139"/>
        <v>0</v>
      </c>
      <c r="J195" s="326">
        <f t="shared" si="140"/>
        <v>19</v>
      </c>
      <c r="K195" s="327">
        <f t="shared" si="141"/>
        <v>1</v>
      </c>
      <c r="L195" s="221">
        <v>14</v>
      </c>
      <c r="M195" s="222"/>
      <c r="N195" s="223"/>
      <c r="O195" s="222"/>
      <c r="P195" s="328">
        <f t="shared" si="142"/>
        <v>0</v>
      </c>
      <c r="Q195" s="328">
        <f t="shared" si="143"/>
        <v>14</v>
      </c>
      <c r="R195" s="329">
        <f t="shared" si="144"/>
        <v>1</v>
      </c>
      <c r="S195" s="225">
        <v>12</v>
      </c>
      <c r="T195" s="226"/>
      <c r="U195" s="226"/>
      <c r="V195" s="226"/>
      <c r="W195" s="330">
        <f t="shared" si="145"/>
        <v>0</v>
      </c>
      <c r="X195" s="330">
        <f t="shared" si="146"/>
        <v>12</v>
      </c>
      <c r="Y195" s="331">
        <f t="shared" si="147"/>
        <v>1</v>
      </c>
      <c r="Z195" s="228">
        <v>21</v>
      </c>
      <c r="AA195" s="255"/>
      <c r="AB195" s="255"/>
      <c r="AC195" s="255"/>
      <c r="AD195" s="280">
        <f t="shared" si="148"/>
        <v>0</v>
      </c>
      <c r="AE195" s="280">
        <f t="shared" si="149"/>
        <v>21</v>
      </c>
      <c r="AF195" s="281">
        <f t="shared" si="150"/>
        <v>1</v>
      </c>
      <c r="AG195" s="229">
        <v>18</v>
      </c>
      <c r="AH195" s="257"/>
      <c r="AI195" s="257"/>
      <c r="AJ195" s="257"/>
      <c r="AK195" s="305">
        <f t="shared" si="151"/>
        <v>0</v>
      </c>
      <c r="AL195" s="305">
        <f t="shared" si="152"/>
        <v>18</v>
      </c>
      <c r="AM195" s="306">
        <f t="shared" si="153"/>
        <v>1</v>
      </c>
      <c r="AN195" s="230">
        <v>14</v>
      </c>
      <c r="AO195" s="259"/>
      <c r="AP195" s="259"/>
      <c r="AQ195" s="259"/>
      <c r="AR195" s="307">
        <f t="shared" si="154"/>
        <v>0</v>
      </c>
      <c r="AS195" s="307">
        <f t="shared" si="155"/>
        <v>14</v>
      </c>
      <c r="AT195" s="308">
        <f t="shared" si="156"/>
        <v>1</v>
      </c>
      <c r="AU195" s="289"/>
      <c r="AV195" s="289"/>
      <c r="AW195" s="289"/>
      <c r="AX195" s="290">
        <v>98</v>
      </c>
      <c r="AY195" s="289">
        <f t="shared" si="157"/>
        <v>98</v>
      </c>
      <c r="AZ195" s="291">
        <f t="shared" si="158"/>
        <v>1</v>
      </c>
      <c r="BA195" s="310"/>
      <c r="BB195" s="386">
        <v>100</v>
      </c>
      <c r="BC195" s="379">
        <f t="shared" si="159"/>
        <v>0</v>
      </c>
      <c r="BD195" s="378">
        <f t="shared" si="160"/>
        <v>0</v>
      </c>
      <c r="BE195" s="379"/>
      <c r="BF195" s="387">
        <f t="shared" si="138"/>
        <v>100</v>
      </c>
    </row>
    <row r="196" spans="1:58" x14ac:dyDescent="0.35">
      <c r="A196" s="193" t="s">
        <v>43</v>
      </c>
      <c r="B196" s="56" t="s">
        <v>809</v>
      </c>
      <c r="C196" s="47" t="s">
        <v>392</v>
      </c>
      <c r="D196" s="42" t="s">
        <v>6</v>
      </c>
      <c r="E196" s="215">
        <v>19</v>
      </c>
      <c r="F196" s="217"/>
      <c r="G196" s="217"/>
      <c r="H196" s="217"/>
      <c r="I196" s="326">
        <f t="shared" si="139"/>
        <v>0</v>
      </c>
      <c r="J196" s="326">
        <f t="shared" si="140"/>
        <v>19</v>
      </c>
      <c r="K196" s="327">
        <f t="shared" si="141"/>
        <v>1</v>
      </c>
      <c r="L196" s="221">
        <v>14</v>
      </c>
      <c r="M196" s="222"/>
      <c r="N196" s="222"/>
      <c r="O196" s="222"/>
      <c r="P196" s="328">
        <f t="shared" si="142"/>
        <v>0</v>
      </c>
      <c r="Q196" s="328">
        <f t="shared" si="143"/>
        <v>14</v>
      </c>
      <c r="R196" s="329">
        <f t="shared" si="144"/>
        <v>1</v>
      </c>
      <c r="S196" s="225">
        <v>12</v>
      </c>
      <c r="T196" s="226"/>
      <c r="U196" s="226"/>
      <c r="V196" s="226"/>
      <c r="W196" s="330">
        <f t="shared" si="145"/>
        <v>0</v>
      </c>
      <c r="X196" s="330">
        <f t="shared" si="146"/>
        <v>12</v>
      </c>
      <c r="Y196" s="331">
        <f t="shared" si="147"/>
        <v>1</v>
      </c>
      <c r="Z196" s="228">
        <v>21</v>
      </c>
      <c r="AA196" s="255"/>
      <c r="AB196" s="255"/>
      <c r="AC196" s="255"/>
      <c r="AD196" s="280">
        <f t="shared" si="148"/>
        <v>0</v>
      </c>
      <c r="AE196" s="280">
        <f t="shared" si="149"/>
        <v>21</v>
      </c>
      <c r="AF196" s="281">
        <f t="shared" si="150"/>
        <v>1</v>
      </c>
      <c r="AG196" s="229">
        <v>18</v>
      </c>
      <c r="AH196" s="257"/>
      <c r="AI196" s="257"/>
      <c r="AJ196" s="257"/>
      <c r="AK196" s="305">
        <f t="shared" si="151"/>
        <v>0</v>
      </c>
      <c r="AL196" s="305">
        <f t="shared" si="152"/>
        <v>18</v>
      </c>
      <c r="AM196" s="306">
        <f t="shared" si="153"/>
        <v>1</v>
      </c>
      <c r="AN196" s="230">
        <v>14</v>
      </c>
      <c r="AO196" s="259"/>
      <c r="AP196" s="259"/>
      <c r="AQ196" s="259"/>
      <c r="AR196" s="307">
        <f t="shared" si="154"/>
        <v>0</v>
      </c>
      <c r="AS196" s="307">
        <f t="shared" si="155"/>
        <v>14</v>
      </c>
      <c r="AT196" s="308">
        <f t="shared" si="156"/>
        <v>1</v>
      </c>
      <c r="AU196" s="289"/>
      <c r="AV196" s="289"/>
      <c r="AW196" s="289"/>
      <c r="AX196" s="290">
        <v>98</v>
      </c>
      <c r="AY196" s="289">
        <f t="shared" si="157"/>
        <v>98</v>
      </c>
      <c r="AZ196" s="291">
        <f t="shared" si="158"/>
        <v>1</v>
      </c>
      <c r="BA196" s="310">
        <v>1</v>
      </c>
      <c r="BB196" s="386">
        <v>98</v>
      </c>
      <c r="BC196" s="379">
        <f t="shared" si="159"/>
        <v>2</v>
      </c>
      <c r="BD196" s="378">
        <f t="shared" si="160"/>
        <v>0</v>
      </c>
      <c r="BE196" s="379"/>
      <c r="BF196" s="387">
        <f t="shared" si="138"/>
        <v>96</v>
      </c>
    </row>
    <row r="197" spans="1:58" x14ac:dyDescent="0.35">
      <c r="A197" s="193" t="s">
        <v>44</v>
      </c>
      <c r="B197" s="56" t="s">
        <v>810</v>
      </c>
      <c r="C197" s="58" t="s">
        <v>393</v>
      </c>
      <c r="D197" s="42" t="s">
        <v>6</v>
      </c>
      <c r="E197" s="215">
        <v>19</v>
      </c>
      <c r="F197" s="217"/>
      <c r="G197" s="217"/>
      <c r="H197" s="217"/>
      <c r="I197" s="326">
        <f t="shared" si="139"/>
        <v>0</v>
      </c>
      <c r="J197" s="326">
        <f t="shared" si="140"/>
        <v>19</v>
      </c>
      <c r="K197" s="327">
        <f t="shared" si="141"/>
        <v>1</v>
      </c>
      <c r="L197" s="221">
        <v>14</v>
      </c>
      <c r="M197" s="222"/>
      <c r="N197" s="222"/>
      <c r="O197" s="222"/>
      <c r="P197" s="328">
        <f t="shared" si="142"/>
        <v>0</v>
      </c>
      <c r="Q197" s="328">
        <f t="shared" si="143"/>
        <v>14</v>
      </c>
      <c r="R197" s="329">
        <f t="shared" si="144"/>
        <v>1</v>
      </c>
      <c r="S197" s="225">
        <v>12</v>
      </c>
      <c r="T197" s="226"/>
      <c r="U197" s="226"/>
      <c r="V197" s="226"/>
      <c r="W197" s="330">
        <f t="shared" si="145"/>
        <v>0</v>
      </c>
      <c r="X197" s="330">
        <f t="shared" si="146"/>
        <v>12</v>
      </c>
      <c r="Y197" s="331">
        <f t="shared" si="147"/>
        <v>1</v>
      </c>
      <c r="Z197" s="228">
        <v>21</v>
      </c>
      <c r="AA197" s="255"/>
      <c r="AB197" s="255"/>
      <c r="AC197" s="255"/>
      <c r="AD197" s="280">
        <f t="shared" si="148"/>
        <v>0</v>
      </c>
      <c r="AE197" s="280">
        <f t="shared" si="149"/>
        <v>21</v>
      </c>
      <c r="AF197" s="281">
        <f t="shared" si="150"/>
        <v>1</v>
      </c>
      <c r="AG197" s="229">
        <v>18</v>
      </c>
      <c r="AH197" s="257"/>
      <c r="AI197" s="257"/>
      <c r="AJ197" s="257"/>
      <c r="AK197" s="305">
        <f t="shared" si="151"/>
        <v>0</v>
      </c>
      <c r="AL197" s="305">
        <f t="shared" si="152"/>
        <v>18</v>
      </c>
      <c r="AM197" s="306">
        <f t="shared" si="153"/>
        <v>1</v>
      </c>
      <c r="AN197" s="230">
        <v>14</v>
      </c>
      <c r="AO197" s="259"/>
      <c r="AP197" s="259"/>
      <c r="AQ197" s="259"/>
      <c r="AR197" s="307">
        <f t="shared" si="154"/>
        <v>0</v>
      </c>
      <c r="AS197" s="307">
        <f t="shared" si="155"/>
        <v>14</v>
      </c>
      <c r="AT197" s="308">
        <f t="shared" si="156"/>
        <v>1</v>
      </c>
      <c r="AU197" s="289"/>
      <c r="AV197" s="289"/>
      <c r="AW197" s="289"/>
      <c r="AX197" s="290">
        <v>98</v>
      </c>
      <c r="AY197" s="289">
        <f t="shared" si="157"/>
        <v>98</v>
      </c>
      <c r="AZ197" s="291">
        <f t="shared" si="158"/>
        <v>1</v>
      </c>
      <c r="BA197" s="310"/>
      <c r="BB197" s="386">
        <v>100</v>
      </c>
      <c r="BC197" s="379">
        <f t="shared" si="159"/>
        <v>0</v>
      </c>
      <c r="BD197" s="378">
        <f t="shared" si="160"/>
        <v>0</v>
      </c>
      <c r="BE197" s="379"/>
      <c r="BF197" s="387">
        <f t="shared" si="138"/>
        <v>100</v>
      </c>
    </row>
    <row r="198" spans="1:58" x14ac:dyDescent="0.35">
      <c r="A198" s="193" t="s">
        <v>45</v>
      </c>
      <c r="B198" s="56" t="s">
        <v>811</v>
      </c>
      <c r="C198" s="47" t="s">
        <v>812</v>
      </c>
      <c r="D198" s="42" t="s">
        <v>6</v>
      </c>
      <c r="E198" s="215">
        <v>19</v>
      </c>
      <c r="F198" s="217"/>
      <c r="G198" s="217"/>
      <c r="H198" s="217"/>
      <c r="I198" s="326">
        <f t="shared" si="139"/>
        <v>0</v>
      </c>
      <c r="J198" s="326">
        <f t="shared" si="140"/>
        <v>19</v>
      </c>
      <c r="K198" s="327">
        <f t="shared" si="141"/>
        <v>1</v>
      </c>
      <c r="L198" s="221">
        <v>14</v>
      </c>
      <c r="M198" s="222"/>
      <c r="N198" s="223"/>
      <c r="O198" s="222"/>
      <c r="P198" s="328">
        <f t="shared" si="142"/>
        <v>0</v>
      </c>
      <c r="Q198" s="328">
        <f t="shared" si="143"/>
        <v>14</v>
      </c>
      <c r="R198" s="329">
        <f t="shared" si="144"/>
        <v>1</v>
      </c>
      <c r="S198" s="225">
        <v>12</v>
      </c>
      <c r="T198" s="226"/>
      <c r="U198" s="226"/>
      <c r="V198" s="226"/>
      <c r="W198" s="330">
        <f t="shared" si="145"/>
        <v>0</v>
      </c>
      <c r="X198" s="330">
        <f t="shared" si="146"/>
        <v>12</v>
      </c>
      <c r="Y198" s="331">
        <f t="shared" si="147"/>
        <v>1</v>
      </c>
      <c r="Z198" s="228">
        <v>21</v>
      </c>
      <c r="AA198" s="255"/>
      <c r="AB198" s="255"/>
      <c r="AC198" s="255"/>
      <c r="AD198" s="280">
        <f t="shared" si="148"/>
        <v>0</v>
      </c>
      <c r="AE198" s="280">
        <f t="shared" si="149"/>
        <v>21</v>
      </c>
      <c r="AF198" s="281">
        <f t="shared" si="150"/>
        <v>1</v>
      </c>
      <c r="AG198" s="229">
        <v>18</v>
      </c>
      <c r="AH198" s="257"/>
      <c r="AI198" s="257"/>
      <c r="AJ198" s="257"/>
      <c r="AK198" s="305">
        <f t="shared" si="151"/>
        <v>0</v>
      </c>
      <c r="AL198" s="305">
        <f t="shared" si="152"/>
        <v>18</v>
      </c>
      <c r="AM198" s="306">
        <f t="shared" si="153"/>
        <v>1</v>
      </c>
      <c r="AN198" s="230">
        <v>14</v>
      </c>
      <c r="AO198" s="259"/>
      <c r="AP198" s="259"/>
      <c r="AQ198" s="259"/>
      <c r="AR198" s="307">
        <f t="shared" si="154"/>
        <v>0</v>
      </c>
      <c r="AS198" s="307">
        <f t="shared" si="155"/>
        <v>14</v>
      </c>
      <c r="AT198" s="308">
        <f t="shared" si="156"/>
        <v>1</v>
      </c>
      <c r="AU198" s="289"/>
      <c r="AV198" s="289"/>
      <c r="AW198" s="289"/>
      <c r="AX198" s="290">
        <v>98</v>
      </c>
      <c r="AY198" s="289">
        <f t="shared" si="157"/>
        <v>98</v>
      </c>
      <c r="AZ198" s="291">
        <f t="shared" si="158"/>
        <v>1</v>
      </c>
      <c r="BA198" s="310"/>
      <c r="BB198" s="386">
        <v>100</v>
      </c>
      <c r="BC198" s="379">
        <f t="shared" si="159"/>
        <v>0</v>
      </c>
      <c r="BD198" s="378">
        <f t="shared" si="160"/>
        <v>0</v>
      </c>
      <c r="BE198" s="379"/>
      <c r="BF198" s="387">
        <f t="shared" si="138"/>
        <v>100</v>
      </c>
    </row>
    <row r="199" spans="1:58" x14ac:dyDescent="0.35">
      <c r="A199" s="193" t="s">
        <v>46</v>
      </c>
      <c r="B199" s="56" t="s">
        <v>813</v>
      </c>
      <c r="C199" s="47" t="s">
        <v>394</v>
      </c>
      <c r="D199" s="42" t="s">
        <v>8</v>
      </c>
      <c r="E199" s="215">
        <v>19</v>
      </c>
      <c r="F199" s="217"/>
      <c r="G199" s="217"/>
      <c r="H199" s="217"/>
      <c r="I199" s="326">
        <f t="shared" si="139"/>
        <v>0</v>
      </c>
      <c r="J199" s="326">
        <f t="shared" si="140"/>
        <v>19</v>
      </c>
      <c r="K199" s="327">
        <f t="shared" si="141"/>
        <v>1</v>
      </c>
      <c r="L199" s="221">
        <v>14</v>
      </c>
      <c r="M199" s="222"/>
      <c r="N199" s="222"/>
      <c r="O199" s="222"/>
      <c r="P199" s="328">
        <f t="shared" si="142"/>
        <v>0</v>
      </c>
      <c r="Q199" s="328">
        <f t="shared" si="143"/>
        <v>14</v>
      </c>
      <c r="R199" s="329">
        <f t="shared" si="144"/>
        <v>1</v>
      </c>
      <c r="S199" s="225">
        <v>12</v>
      </c>
      <c r="T199" s="226"/>
      <c r="U199" s="226"/>
      <c r="V199" s="226"/>
      <c r="W199" s="330">
        <f t="shared" si="145"/>
        <v>0</v>
      </c>
      <c r="X199" s="330">
        <f t="shared" si="146"/>
        <v>12</v>
      </c>
      <c r="Y199" s="331">
        <f t="shared" si="147"/>
        <v>1</v>
      </c>
      <c r="Z199" s="228">
        <v>21</v>
      </c>
      <c r="AA199" s="255"/>
      <c r="AB199" s="255"/>
      <c r="AC199" s="255"/>
      <c r="AD199" s="280">
        <f t="shared" si="148"/>
        <v>0</v>
      </c>
      <c r="AE199" s="280">
        <f t="shared" si="149"/>
        <v>21</v>
      </c>
      <c r="AF199" s="281">
        <f t="shared" si="150"/>
        <v>1</v>
      </c>
      <c r="AG199" s="229">
        <v>18</v>
      </c>
      <c r="AH199" s="257"/>
      <c r="AI199" s="257"/>
      <c r="AJ199" s="257"/>
      <c r="AK199" s="305">
        <f t="shared" si="151"/>
        <v>0</v>
      </c>
      <c r="AL199" s="305">
        <f t="shared" si="152"/>
        <v>18</v>
      </c>
      <c r="AM199" s="306">
        <f t="shared" si="153"/>
        <v>1</v>
      </c>
      <c r="AN199" s="230">
        <v>14</v>
      </c>
      <c r="AO199" s="259"/>
      <c r="AP199" s="259"/>
      <c r="AQ199" s="259"/>
      <c r="AR199" s="307">
        <f t="shared" si="154"/>
        <v>0</v>
      </c>
      <c r="AS199" s="307">
        <f t="shared" si="155"/>
        <v>14</v>
      </c>
      <c r="AT199" s="308">
        <f t="shared" si="156"/>
        <v>1</v>
      </c>
      <c r="AU199" s="289"/>
      <c r="AV199" s="289"/>
      <c r="AW199" s="289"/>
      <c r="AX199" s="290">
        <v>98</v>
      </c>
      <c r="AY199" s="289">
        <f t="shared" si="157"/>
        <v>98</v>
      </c>
      <c r="AZ199" s="291">
        <f t="shared" si="158"/>
        <v>1</v>
      </c>
      <c r="BA199" s="310"/>
      <c r="BB199" s="386">
        <v>100</v>
      </c>
      <c r="BC199" s="379">
        <f t="shared" si="159"/>
        <v>0</v>
      </c>
      <c r="BD199" s="378">
        <f t="shared" si="160"/>
        <v>0</v>
      </c>
      <c r="BE199" s="379"/>
      <c r="BF199" s="387">
        <f t="shared" si="138"/>
        <v>100</v>
      </c>
    </row>
    <row r="200" spans="1:58" x14ac:dyDescent="0.35">
      <c r="A200" s="193" t="s">
        <v>47</v>
      </c>
      <c r="B200" s="56" t="s">
        <v>814</v>
      </c>
      <c r="C200" s="47" t="s">
        <v>395</v>
      </c>
      <c r="D200" s="42" t="s">
        <v>8</v>
      </c>
      <c r="E200" s="215">
        <v>19</v>
      </c>
      <c r="F200" s="217"/>
      <c r="G200" s="217"/>
      <c r="H200" s="217"/>
      <c r="I200" s="326">
        <f t="shared" si="139"/>
        <v>0</v>
      </c>
      <c r="J200" s="326">
        <f t="shared" si="140"/>
        <v>19</v>
      </c>
      <c r="K200" s="327">
        <f t="shared" si="141"/>
        <v>1</v>
      </c>
      <c r="L200" s="221">
        <v>14</v>
      </c>
      <c r="M200" s="222"/>
      <c r="N200" s="223"/>
      <c r="O200" s="222"/>
      <c r="P200" s="328">
        <f t="shared" si="142"/>
        <v>0</v>
      </c>
      <c r="Q200" s="328">
        <f t="shared" si="143"/>
        <v>14</v>
      </c>
      <c r="R200" s="329">
        <f t="shared" si="144"/>
        <v>1</v>
      </c>
      <c r="S200" s="225">
        <v>12</v>
      </c>
      <c r="T200" s="226"/>
      <c r="U200" s="226"/>
      <c r="V200" s="226"/>
      <c r="W200" s="330">
        <f t="shared" si="145"/>
        <v>0</v>
      </c>
      <c r="X200" s="330">
        <f t="shared" si="146"/>
        <v>12</v>
      </c>
      <c r="Y200" s="331">
        <f t="shared" si="147"/>
        <v>1</v>
      </c>
      <c r="Z200" s="228">
        <v>21</v>
      </c>
      <c r="AA200" s="255"/>
      <c r="AB200" s="255"/>
      <c r="AC200" s="255"/>
      <c r="AD200" s="280">
        <f t="shared" si="148"/>
        <v>0</v>
      </c>
      <c r="AE200" s="280">
        <f t="shared" si="149"/>
        <v>21</v>
      </c>
      <c r="AF200" s="281">
        <f t="shared" si="150"/>
        <v>1</v>
      </c>
      <c r="AG200" s="229">
        <v>18</v>
      </c>
      <c r="AH200" s="257"/>
      <c r="AI200" s="257"/>
      <c r="AJ200" s="257"/>
      <c r="AK200" s="305">
        <f t="shared" si="151"/>
        <v>0</v>
      </c>
      <c r="AL200" s="305">
        <f t="shared" si="152"/>
        <v>18</v>
      </c>
      <c r="AM200" s="306">
        <f t="shared" si="153"/>
        <v>1</v>
      </c>
      <c r="AN200" s="230">
        <v>14</v>
      </c>
      <c r="AO200" s="259"/>
      <c r="AP200" s="259"/>
      <c r="AQ200" s="259"/>
      <c r="AR200" s="307">
        <f t="shared" si="154"/>
        <v>0</v>
      </c>
      <c r="AS200" s="307">
        <f t="shared" si="155"/>
        <v>14</v>
      </c>
      <c r="AT200" s="308">
        <f t="shared" si="156"/>
        <v>1</v>
      </c>
      <c r="AU200" s="289"/>
      <c r="AV200" s="289"/>
      <c r="AW200" s="289"/>
      <c r="AX200" s="290">
        <v>98</v>
      </c>
      <c r="AY200" s="289">
        <f t="shared" si="157"/>
        <v>98</v>
      </c>
      <c r="AZ200" s="291">
        <f t="shared" si="158"/>
        <v>1</v>
      </c>
      <c r="BA200" s="310"/>
      <c r="BB200" s="386">
        <v>98</v>
      </c>
      <c r="BC200" s="379">
        <f t="shared" si="159"/>
        <v>0</v>
      </c>
      <c r="BD200" s="378">
        <f t="shared" si="160"/>
        <v>0</v>
      </c>
      <c r="BE200" s="379"/>
      <c r="BF200" s="387">
        <f t="shared" si="138"/>
        <v>98</v>
      </c>
    </row>
    <row r="201" spans="1:58" x14ac:dyDescent="0.35">
      <c r="A201" s="193" t="s">
        <v>48</v>
      </c>
      <c r="B201" s="56" t="s">
        <v>815</v>
      </c>
      <c r="C201" s="47" t="s">
        <v>396</v>
      </c>
      <c r="D201" s="42" t="s">
        <v>8</v>
      </c>
      <c r="E201" s="215">
        <v>19</v>
      </c>
      <c r="F201" s="217"/>
      <c r="G201" s="218"/>
      <c r="H201" s="217"/>
      <c r="I201" s="326">
        <f t="shared" si="139"/>
        <v>0</v>
      </c>
      <c r="J201" s="326">
        <f t="shared" si="140"/>
        <v>19</v>
      </c>
      <c r="K201" s="327">
        <f t="shared" si="141"/>
        <v>1</v>
      </c>
      <c r="L201" s="221">
        <v>14</v>
      </c>
      <c r="M201" s="222"/>
      <c r="N201" s="223"/>
      <c r="O201" s="222"/>
      <c r="P201" s="328">
        <f t="shared" si="142"/>
        <v>0</v>
      </c>
      <c r="Q201" s="328">
        <f t="shared" si="143"/>
        <v>14</v>
      </c>
      <c r="R201" s="329">
        <f t="shared" si="144"/>
        <v>1</v>
      </c>
      <c r="S201" s="225">
        <v>12</v>
      </c>
      <c r="T201" s="226"/>
      <c r="U201" s="226"/>
      <c r="V201" s="226"/>
      <c r="W201" s="330">
        <f t="shared" si="145"/>
        <v>0</v>
      </c>
      <c r="X201" s="330">
        <f t="shared" si="146"/>
        <v>12</v>
      </c>
      <c r="Y201" s="331">
        <f t="shared" si="147"/>
        <v>1</v>
      </c>
      <c r="Z201" s="228">
        <v>21</v>
      </c>
      <c r="AA201" s="255"/>
      <c r="AB201" s="255"/>
      <c r="AC201" s="255"/>
      <c r="AD201" s="280">
        <f t="shared" si="148"/>
        <v>0</v>
      </c>
      <c r="AE201" s="280">
        <f t="shared" si="149"/>
        <v>21</v>
      </c>
      <c r="AF201" s="281">
        <f t="shared" si="150"/>
        <v>1</v>
      </c>
      <c r="AG201" s="229">
        <v>18</v>
      </c>
      <c r="AH201" s="257"/>
      <c r="AI201" s="257"/>
      <c r="AJ201" s="257"/>
      <c r="AK201" s="305">
        <f t="shared" si="151"/>
        <v>0</v>
      </c>
      <c r="AL201" s="305">
        <f t="shared" si="152"/>
        <v>18</v>
      </c>
      <c r="AM201" s="306">
        <f t="shared" si="153"/>
        <v>1</v>
      </c>
      <c r="AN201" s="230">
        <v>14</v>
      </c>
      <c r="AO201" s="259"/>
      <c r="AP201" s="259"/>
      <c r="AQ201" s="259"/>
      <c r="AR201" s="307">
        <f t="shared" si="154"/>
        <v>0</v>
      </c>
      <c r="AS201" s="307">
        <f t="shared" si="155"/>
        <v>14</v>
      </c>
      <c r="AT201" s="308">
        <f t="shared" si="156"/>
        <v>1</v>
      </c>
      <c r="AU201" s="289"/>
      <c r="AV201" s="289"/>
      <c r="AW201" s="289"/>
      <c r="AX201" s="290">
        <v>98</v>
      </c>
      <c r="AY201" s="289">
        <f t="shared" si="157"/>
        <v>98</v>
      </c>
      <c r="AZ201" s="291">
        <f t="shared" si="158"/>
        <v>1</v>
      </c>
      <c r="BA201" s="310"/>
      <c r="BB201" s="386">
        <v>98</v>
      </c>
      <c r="BC201" s="379">
        <f t="shared" si="159"/>
        <v>0</v>
      </c>
      <c r="BD201" s="378">
        <f t="shared" si="160"/>
        <v>0</v>
      </c>
      <c r="BE201" s="379"/>
      <c r="BF201" s="387">
        <f t="shared" si="138"/>
        <v>98</v>
      </c>
    </row>
    <row r="202" spans="1:58" x14ac:dyDescent="0.35">
      <c r="A202" s="193" t="s">
        <v>49</v>
      </c>
      <c r="B202" s="56" t="s">
        <v>816</v>
      </c>
      <c r="C202" s="47" t="s">
        <v>397</v>
      </c>
      <c r="D202" s="42" t="s">
        <v>8</v>
      </c>
      <c r="E202" s="215">
        <v>19</v>
      </c>
      <c r="F202" s="217"/>
      <c r="G202" s="217"/>
      <c r="H202" s="217"/>
      <c r="I202" s="326">
        <f t="shared" si="139"/>
        <v>0</v>
      </c>
      <c r="J202" s="326">
        <f t="shared" si="140"/>
        <v>19</v>
      </c>
      <c r="K202" s="327">
        <f t="shared" si="141"/>
        <v>1</v>
      </c>
      <c r="L202" s="221">
        <v>14</v>
      </c>
      <c r="M202" s="222"/>
      <c r="N202" s="223"/>
      <c r="O202" s="222"/>
      <c r="P202" s="328">
        <f t="shared" si="142"/>
        <v>0</v>
      </c>
      <c r="Q202" s="328">
        <f t="shared" si="143"/>
        <v>14</v>
      </c>
      <c r="R202" s="329">
        <f t="shared" si="144"/>
        <v>1</v>
      </c>
      <c r="S202" s="225">
        <v>12</v>
      </c>
      <c r="T202" s="226"/>
      <c r="U202" s="226"/>
      <c r="V202" s="226"/>
      <c r="W202" s="330">
        <f t="shared" si="145"/>
        <v>0</v>
      </c>
      <c r="X202" s="330">
        <f t="shared" si="146"/>
        <v>12</v>
      </c>
      <c r="Y202" s="331">
        <f t="shared" si="147"/>
        <v>1</v>
      </c>
      <c r="Z202" s="228">
        <v>21</v>
      </c>
      <c r="AA202" s="255"/>
      <c r="AB202" s="255"/>
      <c r="AC202" s="255"/>
      <c r="AD202" s="280">
        <f t="shared" si="148"/>
        <v>0</v>
      </c>
      <c r="AE202" s="280">
        <f t="shared" si="149"/>
        <v>21</v>
      </c>
      <c r="AF202" s="281">
        <f t="shared" si="150"/>
        <v>1</v>
      </c>
      <c r="AG202" s="229">
        <v>18</v>
      </c>
      <c r="AH202" s="257"/>
      <c r="AI202" s="257"/>
      <c r="AJ202" s="257"/>
      <c r="AK202" s="305">
        <f t="shared" si="151"/>
        <v>0</v>
      </c>
      <c r="AL202" s="305">
        <f t="shared" si="152"/>
        <v>18</v>
      </c>
      <c r="AM202" s="306">
        <f t="shared" si="153"/>
        <v>1</v>
      </c>
      <c r="AN202" s="230">
        <v>14</v>
      </c>
      <c r="AO202" s="259"/>
      <c r="AP202" s="259"/>
      <c r="AQ202" s="259"/>
      <c r="AR202" s="307">
        <f t="shared" si="154"/>
        <v>0</v>
      </c>
      <c r="AS202" s="307">
        <f t="shared" si="155"/>
        <v>14</v>
      </c>
      <c r="AT202" s="308">
        <f t="shared" si="156"/>
        <v>1</v>
      </c>
      <c r="AU202" s="289"/>
      <c r="AV202" s="289"/>
      <c r="AW202" s="289"/>
      <c r="AX202" s="290">
        <v>98</v>
      </c>
      <c r="AY202" s="289">
        <f t="shared" si="157"/>
        <v>98</v>
      </c>
      <c r="AZ202" s="291">
        <f t="shared" si="158"/>
        <v>1</v>
      </c>
      <c r="BA202" s="310"/>
      <c r="BB202" s="386">
        <v>100</v>
      </c>
      <c r="BC202" s="379">
        <f t="shared" si="159"/>
        <v>0</v>
      </c>
      <c r="BD202" s="378">
        <f t="shared" si="160"/>
        <v>0</v>
      </c>
      <c r="BE202" s="379"/>
      <c r="BF202" s="387">
        <f t="shared" si="138"/>
        <v>100</v>
      </c>
    </row>
    <row r="203" spans="1:58" x14ac:dyDescent="0.35">
      <c r="A203" s="193" t="s">
        <v>50</v>
      </c>
      <c r="B203" s="56" t="s">
        <v>817</v>
      </c>
      <c r="C203" s="47" t="s">
        <v>398</v>
      </c>
      <c r="D203" s="42" t="s">
        <v>8</v>
      </c>
      <c r="E203" s="215">
        <v>19</v>
      </c>
      <c r="F203" s="217"/>
      <c r="G203" s="217"/>
      <c r="H203" s="217"/>
      <c r="I203" s="326">
        <f t="shared" si="139"/>
        <v>0</v>
      </c>
      <c r="J203" s="326">
        <f t="shared" si="140"/>
        <v>19</v>
      </c>
      <c r="K203" s="327">
        <f t="shared" si="141"/>
        <v>1</v>
      </c>
      <c r="L203" s="221">
        <v>14</v>
      </c>
      <c r="M203" s="222"/>
      <c r="N203" s="222"/>
      <c r="O203" s="222"/>
      <c r="P203" s="328">
        <f t="shared" si="142"/>
        <v>0</v>
      </c>
      <c r="Q203" s="328">
        <f t="shared" si="143"/>
        <v>14</v>
      </c>
      <c r="R203" s="329">
        <f t="shared" si="144"/>
        <v>1</v>
      </c>
      <c r="S203" s="225">
        <v>12</v>
      </c>
      <c r="T203" s="226"/>
      <c r="U203" s="226"/>
      <c r="V203" s="226"/>
      <c r="W203" s="330">
        <f t="shared" si="145"/>
        <v>0</v>
      </c>
      <c r="X203" s="330">
        <f t="shared" si="146"/>
        <v>12</v>
      </c>
      <c r="Y203" s="331">
        <f t="shared" si="147"/>
        <v>1</v>
      </c>
      <c r="Z203" s="228">
        <v>21</v>
      </c>
      <c r="AA203" s="255"/>
      <c r="AB203" s="255"/>
      <c r="AC203" s="255"/>
      <c r="AD203" s="280">
        <f t="shared" si="148"/>
        <v>0</v>
      </c>
      <c r="AE203" s="280">
        <f t="shared" si="149"/>
        <v>21</v>
      </c>
      <c r="AF203" s="281">
        <f t="shared" si="150"/>
        <v>1</v>
      </c>
      <c r="AG203" s="229">
        <v>18</v>
      </c>
      <c r="AH203" s="257"/>
      <c r="AI203" s="257"/>
      <c r="AJ203" s="257"/>
      <c r="AK203" s="305">
        <f t="shared" si="151"/>
        <v>0</v>
      </c>
      <c r="AL203" s="305">
        <f t="shared" si="152"/>
        <v>18</v>
      </c>
      <c r="AM203" s="306">
        <f t="shared" si="153"/>
        <v>1</v>
      </c>
      <c r="AN203" s="230">
        <v>14</v>
      </c>
      <c r="AO203" s="259"/>
      <c r="AP203" s="259"/>
      <c r="AQ203" s="259"/>
      <c r="AR203" s="307">
        <f t="shared" si="154"/>
        <v>0</v>
      </c>
      <c r="AS203" s="307">
        <f t="shared" si="155"/>
        <v>14</v>
      </c>
      <c r="AT203" s="308">
        <f t="shared" si="156"/>
        <v>1</v>
      </c>
      <c r="AU203" s="289"/>
      <c r="AV203" s="289"/>
      <c r="AW203" s="289"/>
      <c r="AX203" s="290">
        <v>98</v>
      </c>
      <c r="AY203" s="289">
        <f t="shared" si="157"/>
        <v>98</v>
      </c>
      <c r="AZ203" s="291">
        <f t="shared" si="158"/>
        <v>1</v>
      </c>
      <c r="BA203" s="310">
        <v>1</v>
      </c>
      <c r="BB203" s="386">
        <v>80</v>
      </c>
      <c r="BC203" s="379">
        <f t="shared" si="159"/>
        <v>2</v>
      </c>
      <c r="BD203" s="378">
        <f t="shared" si="160"/>
        <v>0</v>
      </c>
      <c r="BE203" s="379"/>
      <c r="BF203" s="387">
        <f t="shared" si="138"/>
        <v>78</v>
      </c>
    </row>
    <row r="204" spans="1:58" x14ac:dyDescent="0.35">
      <c r="A204" s="193" t="s">
        <v>51</v>
      </c>
      <c r="B204" s="56" t="s">
        <v>818</v>
      </c>
      <c r="C204" s="47" t="s">
        <v>399</v>
      </c>
      <c r="D204" s="42" t="s">
        <v>6</v>
      </c>
      <c r="E204" s="215">
        <v>19</v>
      </c>
      <c r="F204" s="217"/>
      <c r="G204" s="218"/>
      <c r="H204" s="217"/>
      <c r="I204" s="326">
        <f t="shared" si="139"/>
        <v>0</v>
      </c>
      <c r="J204" s="326">
        <f t="shared" si="140"/>
        <v>19</v>
      </c>
      <c r="K204" s="327">
        <f t="shared" si="141"/>
        <v>1</v>
      </c>
      <c r="L204" s="221">
        <v>14</v>
      </c>
      <c r="M204" s="222"/>
      <c r="N204" s="223"/>
      <c r="O204" s="222"/>
      <c r="P204" s="328">
        <f t="shared" si="142"/>
        <v>0</v>
      </c>
      <c r="Q204" s="328">
        <f t="shared" si="143"/>
        <v>14</v>
      </c>
      <c r="R204" s="329">
        <f t="shared" si="144"/>
        <v>1</v>
      </c>
      <c r="S204" s="225">
        <v>12</v>
      </c>
      <c r="T204" s="226"/>
      <c r="U204" s="226"/>
      <c r="V204" s="226"/>
      <c r="W204" s="330">
        <f t="shared" si="145"/>
        <v>0</v>
      </c>
      <c r="X204" s="330">
        <f t="shared" si="146"/>
        <v>12</v>
      </c>
      <c r="Y204" s="331">
        <f t="shared" si="147"/>
        <v>1</v>
      </c>
      <c r="Z204" s="228">
        <v>21</v>
      </c>
      <c r="AA204" s="255"/>
      <c r="AB204" s="255"/>
      <c r="AC204" s="255"/>
      <c r="AD204" s="280">
        <f t="shared" si="148"/>
        <v>0</v>
      </c>
      <c r="AE204" s="280">
        <f t="shared" si="149"/>
        <v>21</v>
      </c>
      <c r="AF204" s="281">
        <f t="shared" si="150"/>
        <v>1</v>
      </c>
      <c r="AG204" s="229">
        <v>18</v>
      </c>
      <c r="AH204" s="257"/>
      <c r="AI204" s="257"/>
      <c r="AJ204" s="257"/>
      <c r="AK204" s="305">
        <f t="shared" si="151"/>
        <v>0</v>
      </c>
      <c r="AL204" s="305">
        <f t="shared" si="152"/>
        <v>18</v>
      </c>
      <c r="AM204" s="306">
        <f t="shared" si="153"/>
        <v>1</v>
      </c>
      <c r="AN204" s="230">
        <v>14</v>
      </c>
      <c r="AO204" s="259"/>
      <c r="AP204" s="259"/>
      <c r="AQ204" s="259"/>
      <c r="AR204" s="307">
        <f t="shared" si="154"/>
        <v>0</v>
      </c>
      <c r="AS204" s="307">
        <f t="shared" si="155"/>
        <v>14</v>
      </c>
      <c r="AT204" s="308">
        <f t="shared" si="156"/>
        <v>1</v>
      </c>
      <c r="AU204" s="289"/>
      <c r="AV204" s="289"/>
      <c r="AW204" s="289"/>
      <c r="AX204" s="290">
        <v>98</v>
      </c>
      <c r="AY204" s="289">
        <f t="shared" si="157"/>
        <v>98</v>
      </c>
      <c r="AZ204" s="291">
        <f t="shared" si="158"/>
        <v>1</v>
      </c>
      <c r="BA204" s="310"/>
      <c r="BB204" s="386">
        <v>50</v>
      </c>
      <c r="BC204" s="379">
        <f t="shared" si="159"/>
        <v>0</v>
      </c>
      <c r="BD204" s="378">
        <f t="shared" si="160"/>
        <v>0</v>
      </c>
      <c r="BE204" s="379"/>
      <c r="BF204" s="387">
        <f t="shared" si="138"/>
        <v>50</v>
      </c>
    </row>
    <row r="205" spans="1:58" x14ac:dyDescent="0.35">
      <c r="A205" s="193" t="s">
        <v>122</v>
      </c>
      <c r="B205" s="56" t="s">
        <v>819</v>
      </c>
      <c r="C205" s="58" t="s">
        <v>400</v>
      </c>
      <c r="D205" s="42" t="s">
        <v>6</v>
      </c>
      <c r="E205" s="215">
        <v>19</v>
      </c>
      <c r="F205" s="217"/>
      <c r="G205" s="217"/>
      <c r="H205" s="217"/>
      <c r="I205" s="326">
        <f t="shared" si="139"/>
        <v>0</v>
      </c>
      <c r="J205" s="326">
        <f t="shared" si="140"/>
        <v>19</v>
      </c>
      <c r="K205" s="327">
        <f t="shared" si="141"/>
        <v>1</v>
      </c>
      <c r="L205" s="221">
        <v>14</v>
      </c>
      <c r="M205" s="222"/>
      <c r="N205" s="222"/>
      <c r="O205" s="222"/>
      <c r="P205" s="328">
        <f t="shared" si="142"/>
        <v>0</v>
      </c>
      <c r="Q205" s="328">
        <f t="shared" si="143"/>
        <v>14</v>
      </c>
      <c r="R205" s="329">
        <f t="shared" si="144"/>
        <v>1</v>
      </c>
      <c r="S205" s="225">
        <v>12</v>
      </c>
      <c r="T205" s="226"/>
      <c r="U205" s="226"/>
      <c r="V205" s="226"/>
      <c r="W205" s="330">
        <f t="shared" si="145"/>
        <v>0</v>
      </c>
      <c r="X205" s="330">
        <f t="shared" si="146"/>
        <v>12</v>
      </c>
      <c r="Y205" s="331">
        <f t="shared" si="147"/>
        <v>1</v>
      </c>
      <c r="Z205" s="228">
        <v>21</v>
      </c>
      <c r="AA205" s="255"/>
      <c r="AB205" s="255"/>
      <c r="AC205" s="255"/>
      <c r="AD205" s="280">
        <f t="shared" si="148"/>
        <v>0</v>
      </c>
      <c r="AE205" s="280">
        <f t="shared" si="149"/>
        <v>21</v>
      </c>
      <c r="AF205" s="281">
        <f t="shared" si="150"/>
        <v>1</v>
      </c>
      <c r="AG205" s="229">
        <v>18</v>
      </c>
      <c r="AH205" s="257"/>
      <c r="AI205" s="257"/>
      <c r="AJ205" s="257"/>
      <c r="AK205" s="305">
        <f t="shared" si="151"/>
        <v>0</v>
      </c>
      <c r="AL205" s="305">
        <f t="shared" si="152"/>
        <v>18</v>
      </c>
      <c r="AM205" s="306">
        <f t="shared" si="153"/>
        <v>1</v>
      </c>
      <c r="AN205" s="230">
        <v>14</v>
      </c>
      <c r="AO205" s="259"/>
      <c r="AP205" s="259"/>
      <c r="AQ205" s="259"/>
      <c r="AR205" s="307">
        <f t="shared" si="154"/>
        <v>0</v>
      </c>
      <c r="AS205" s="307">
        <f t="shared" si="155"/>
        <v>14</v>
      </c>
      <c r="AT205" s="308">
        <f t="shared" si="156"/>
        <v>1</v>
      </c>
      <c r="AU205" s="289"/>
      <c r="AV205" s="289"/>
      <c r="AW205" s="289"/>
      <c r="AX205" s="290">
        <v>98</v>
      </c>
      <c r="AY205" s="289">
        <f t="shared" si="157"/>
        <v>98</v>
      </c>
      <c r="AZ205" s="291">
        <f t="shared" si="158"/>
        <v>1</v>
      </c>
      <c r="BA205" s="310">
        <v>1</v>
      </c>
      <c r="BB205" s="386">
        <v>96</v>
      </c>
      <c r="BC205" s="379">
        <f t="shared" si="159"/>
        <v>2</v>
      </c>
      <c r="BD205" s="378">
        <f t="shared" si="160"/>
        <v>0</v>
      </c>
      <c r="BE205" s="379"/>
      <c r="BF205" s="387">
        <f t="shared" si="138"/>
        <v>94</v>
      </c>
    </row>
    <row r="206" spans="1:58" x14ac:dyDescent="0.35">
      <c r="A206" s="193" t="s">
        <v>123</v>
      </c>
      <c r="B206" s="74" t="s">
        <v>820</v>
      </c>
      <c r="C206" s="75" t="s">
        <v>821</v>
      </c>
      <c r="D206" s="42" t="s">
        <v>8</v>
      </c>
      <c r="E206" s="215">
        <v>19</v>
      </c>
      <c r="F206" s="217"/>
      <c r="G206" s="217"/>
      <c r="H206" s="217"/>
      <c r="I206" s="326">
        <f t="shared" si="139"/>
        <v>0</v>
      </c>
      <c r="J206" s="326">
        <f t="shared" si="140"/>
        <v>19</v>
      </c>
      <c r="K206" s="327">
        <f t="shared" si="141"/>
        <v>1</v>
      </c>
      <c r="L206" s="221">
        <v>14</v>
      </c>
      <c r="M206" s="222"/>
      <c r="N206" s="222"/>
      <c r="O206" s="222"/>
      <c r="P206" s="328">
        <f t="shared" si="142"/>
        <v>0</v>
      </c>
      <c r="Q206" s="328">
        <f t="shared" si="143"/>
        <v>14</v>
      </c>
      <c r="R206" s="329">
        <f t="shared" si="144"/>
        <v>1</v>
      </c>
      <c r="S206" s="225">
        <v>12</v>
      </c>
      <c r="T206" s="226"/>
      <c r="U206" s="226"/>
      <c r="V206" s="226"/>
      <c r="W206" s="330">
        <f t="shared" si="145"/>
        <v>0</v>
      </c>
      <c r="X206" s="330">
        <f t="shared" si="146"/>
        <v>12</v>
      </c>
      <c r="Y206" s="331">
        <f t="shared" si="147"/>
        <v>1</v>
      </c>
      <c r="Z206" s="228">
        <v>21</v>
      </c>
      <c r="AA206" s="255"/>
      <c r="AB206" s="255"/>
      <c r="AC206" s="255"/>
      <c r="AD206" s="280">
        <f t="shared" si="148"/>
        <v>0</v>
      </c>
      <c r="AE206" s="280">
        <f t="shared" si="149"/>
        <v>21</v>
      </c>
      <c r="AF206" s="281">
        <f t="shared" si="150"/>
        <v>1</v>
      </c>
      <c r="AG206" s="229">
        <v>18</v>
      </c>
      <c r="AH206" s="257"/>
      <c r="AI206" s="257"/>
      <c r="AJ206" s="257"/>
      <c r="AK206" s="305">
        <f t="shared" si="151"/>
        <v>0</v>
      </c>
      <c r="AL206" s="305">
        <f t="shared" si="152"/>
        <v>18</v>
      </c>
      <c r="AM206" s="306">
        <f t="shared" si="153"/>
        <v>1</v>
      </c>
      <c r="AN206" s="230">
        <v>14</v>
      </c>
      <c r="AO206" s="259"/>
      <c r="AP206" s="259"/>
      <c r="AQ206" s="259"/>
      <c r="AR206" s="307">
        <f t="shared" si="154"/>
        <v>0</v>
      </c>
      <c r="AS206" s="307">
        <f t="shared" si="155"/>
        <v>14</v>
      </c>
      <c r="AT206" s="308">
        <f t="shared" si="156"/>
        <v>1</v>
      </c>
      <c r="AU206" s="289"/>
      <c r="AV206" s="289"/>
      <c r="AW206" s="289"/>
      <c r="AX206" s="290">
        <v>98</v>
      </c>
      <c r="AY206" s="289">
        <f t="shared" si="157"/>
        <v>98</v>
      </c>
      <c r="AZ206" s="291">
        <f t="shared" si="158"/>
        <v>1</v>
      </c>
      <c r="BA206" s="310">
        <v>1</v>
      </c>
      <c r="BB206" s="386">
        <v>100</v>
      </c>
      <c r="BC206" s="379">
        <f t="shared" si="159"/>
        <v>2</v>
      </c>
      <c r="BD206" s="378">
        <f t="shared" si="160"/>
        <v>0</v>
      </c>
      <c r="BE206" s="379"/>
      <c r="BF206" s="387">
        <f t="shared" si="138"/>
        <v>98</v>
      </c>
    </row>
    <row r="207" spans="1:58" x14ac:dyDescent="0.35">
      <c r="A207" s="193" t="s">
        <v>124</v>
      </c>
      <c r="B207" s="56" t="s">
        <v>740</v>
      </c>
      <c r="C207" s="41" t="s">
        <v>336</v>
      </c>
      <c r="D207" s="42" t="s">
        <v>8</v>
      </c>
      <c r="E207" s="215">
        <v>19</v>
      </c>
      <c r="F207" s="350"/>
      <c r="G207" s="350"/>
      <c r="H207" s="350"/>
      <c r="I207" s="326">
        <f t="shared" si="139"/>
        <v>0</v>
      </c>
      <c r="J207" s="326">
        <f t="shared" si="140"/>
        <v>19</v>
      </c>
      <c r="K207" s="327">
        <f t="shared" si="141"/>
        <v>1</v>
      </c>
      <c r="L207" s="221">
        <v>14</v>
      </c>
      <c r="M207" s="222"/>
      <c r="N207" s="223"/>
      <c r="O207" s="222"/>
      <c r="P207" s="328">
        <f t="shared" si="142"/>
        <v>0</v>
      </c>
      <c r="Q207" s="328">
        <f t="shared" si="143"/>
        <v>14</v>
      </c>
      <c r="R207" s="329">
        <f t="shared" si="144"/>
        <v>1</v>
      </c>
      <c r="S207" s="225">
        <v>12</v>
      </c>
      <c r="T207" s="226"/>
      <c r="U207" s="226"/>
      <c r="V207" s="226"/>
      <c r="W207" s="330">
        <f t="shared" si="145"/>
        <v>0</v>
      </c>
      <c r="X207" s="330">
        <f t="shared" si="146"/>
        <v>12</v>
      </c>
      <c r="Y207" s="331">
        <f t="shared" si="147"/>
        <v>1</v>
      </c>
      <c r="Z207" s="228">
        <v>21</v>
      </c>
      <c r="AA207" s="255"/>
      <c r="AB207" s="255"/>
      <c r="AC207" s="255"/>
      <c r="AD207" s="280">
        <f t="shared" si="148"/>
        <v>0</v>
      </c>
      <c r="AE207" s="280">
        <f t="shared" si="149"/>
        <v>21</v>
      </c>
      <c r="AF207" s="281">
        <f t="shared" si="150"/>
        <v>1</v>
      </c>
      <c r="AG207" s="229">
        <v>18</v>
      </c>
      <c r="AH207" s="257"/>
      <c r="AI207" s="257"/>
      <c r="AJ207" s="257"/>
      <c r="AK207" s="305">
        <f t="shared" si="151"/>
        <v>0</v>
      </c>
      <c r="AL207" s="305">
        <f t="shared" si="152"/>
        <v>18</v>
      </c>
      <c r="AM207" s="306">
        <f t="shared" si="153"/>
        <v>1</v>
      </c>
      <c r="AN207" s="230">
        <v>14</v>
      </c>
      <c r="AO207" s="259"/>
      <c r="AP207" s="259"/>
      <c r="AQ207" s="259"/>
      <c r="AR207" s="307">
        <f t="shared" si="154"/>
        <v>0</v>
      </c>
      <c r="AS207" s="307">
        <f t="shared" si="155"/>
        <v>14</v>
      </c>
      <c r="AT207" s="308">
        <f t="shared" si="156"/>
        <v>1</v>
      </c>
      <c r="AU207" s="289"/>
      <c r="AV207" s="289"/>
      <c r="AW207" s="289"/>
      <c r="AX207" s="290">
        <v>98</v>
      </c>
      <c r="AY207" s="289">
        <f t="shared" si="157"/>
        <v>98</v>
      </c>
      <c r="AZ207" s="291">
        <f t="shared" si="158"/>
        <v>1</v>
      </c>
      <c r="BA207" s="310">
        <v>3</v>
      </c>
      <c r="BB207" s="386">
        <v>94</v>
      </c>
      <c r="BC207" s="379">
        <f t="shared" si="159"/>
        <v>6</v>
      </c>
      <c r="BD207" s="378">
        <f t="shared" si="160"/>
        <v>0</v>
      </c>
      <c r="BE207" s="379"/>
      <c r="BF207" s="387">
        <f t="shared" si="138"/>
        <v>88</v>
      </c>
    </row>
    <row r="208" spans="1:58" s="323" customFormat="1" x14ac:dyDescent="0.35">
      <c r="A208" s="232"/>
      <c r="B208" s="277"/>
      <c r="C208" s="278"/>
      <c r="D208" s="233"/>
      <c r="E208" s="234"/>
      <c r="F208" s="315"/>
      <c r="G208" s="315"/>
      <c r="H208" s="315"/>
      <c r="I208" s="369"/>
      <c r="J208" s="369"/>
      <c r="K208" s="316"/>
      <c r="L208" s="205"/>
      <c r="M208" s="205"/>
      <c r="N208" s="370"/>
      <c r="O208" s="205"/>
      <c r="P208" s="369"/>
      <c r="Q208" s="369"/>
      <c r="R208" s="316"/>
      <c r="S208" s="205"/>
      <c r="T208" s="205"/>
      <c r="U208" s="205"/>
      <c r="V208" s="205"/>
      <c r="W208" s="369"/>
      <c r="X208" s="369"/>
      <c r="Y208" s="316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315"/>
      <c r="AY208" s="205"/>
      <c r="AZ208" s="316"/>
      <c r="BA208" s="288"/>
      <c r="BB208" s="320"/>
      <c r="BC208" s="205"/>
      <c r="BD208" s="205"/>
      <c r="BE208" s="205"/>
      <c r="BF208" s="304"/>
    </row>
    <row r="209" spans="1:58" s="323" customFormat="1" x14ac:dyDescent="0.35"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86"/>
      <c r="AV209" s="286"/>
      <c r="AW209" s="286"/>
      <c r="AX209" s="286"/>
      <c r="AY209" s="286"/>
      <c r="AZ209" s="286"/>
      <c r="BA209" s="288"/>
      <c r="BB209" s="319"/>
      <c r="BC209" s="288"/>
      <c r="BD209" s="288"/>
      <c r="BE209" s="288"/>
      <c r="BF209" s="304"/>
    </row>
    <row r="210" spans="1:58" s="323" customFormat="1" ht="16" thickBot="1" x14ac:dyDescent="0.4">
      <c r="A210" s="324" t="s">
        <v>242</v>
      </c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86"/>
      <c r="AV210" s="286"/>
      <c r="AW210" s="286"/>
      <c r="AX210" s="286"/>
      <c r="AY210" s="286"/>
      <c r="AZ210" s="286"/>
      <c r="BA210" s="288"/>
      <c r="BB210" s="319"/>
      <c r="BC210" s="288"/>
      <c r="BD210" s="288"/>
      <c r="BE210" s="288"/>
      <c r="BF210" s="304"/>
    </row>
    <row r="211" spans="1:58" s="325" customFormat="1" ht="25" customHeight="1" thickBot="1" x14ac:dyDescent="0.4">
      <c r="A211" s="447" t="s">
        <v>1072</v>
      </c>
      <c r="B211" s="447" t="s">
        <v>2</v>
      </c>
      <c r="C211" s="448" t="s">
        <v>1606</v>
      </c>
      <c r="D211" s="448" t="s">
        <v>4</v>
      </c>
      <c r="E211" s="431" t="s">
        <v>1612</v>
      </c>
      <c r="F211" s="431"/>
      <c r="G211" s="431"/>
      <c r="H211" s="431"/>
      <c r="I211" s="431"/>
      <c r="J211" s="431"/>
      <c r="K211" s="431"/>
      <c r="L211" s="432" t="s">
        <v>1613</v>
      </c>
      <c r="M211" s="432"/>
      <c r="N211" s="432"/>
      <c r="O211" s="432"/>
      <c r="P211" s="432"/>
      <c r="Q211" s="432"/>
      <c r="R211" s="432"/>
      <c r="S211" s="433" t="s">
        <v>1614</v>
      </c>
      <c r="T211" s="433"/>
      <c r="U211" s="433"/>
      <c r="V211" s="433"/>
      <c r="W211" s="433"/>
      <c r="X211" s="433"/>
      <c r="Y211" s="433"/>
      <c r="Z211" s="434" t="s">
        <v>1615</v>
      </c>
      <c r="AA211" s="434"/>
      <c r="AB211" s="434"/>
      <c r="AC211" s="434"/>
      <c r="AD211" s="434"/>
      <c r="AE211" s="434"/>
      <c r="AF211" s="434"/>
      <c r="AG211" s="435" t="s">
        <v>1616</v>
      </c>
      <c r="AH211" s="435"/>
      <c r="AI211" s="435"/>
      <c r="AJ211" s="435"/>
      <c r="AK211" s="435"/>
      <c r="AL211" s="435"/>
      <c r="AM211" s="435"/>
      <c r="AN211" s="436" t="s">
        <v>1617</v>
      </c>
      <c r="AO211" s="436"/>
      <c r="AP211" s="436"/>
      <c r="AQ211" s="436"/>
      <c r="AR211" s="436"/>
      <c r="AS211" s="436"/>
      <c r="AT211" s="436"/>
      <c r="AU211" s="438" t="s">
        <v>224</v>
      </c>
      <c r="AV211" s="438"/>
      <c r="AW211" s="438"/>
      <c r="AX211" s="437" t="s">
        <v>1602</v>
      </c>
      <c r="AY211" s="437" t="s">
        <v>1603</v>
      </c>
      <c r="AZ211" s="437" t="s">
        <v>1604</v>
      </c>
      <c r="BA211" s="443" t="s">
        <v>1076</v>
      </c>
      <c r="BB211" s="430" t="s">
        <v>883</v>
      </c>
      <c r="BC211" s="428" t="s">
        <v>880</v>
      </c>
      <c r="BD211" s="428"/>
      <c r="BE211" s="428"/>
      <c r="BF211" s="429" t="s">
        <v>884</v>
      </c>
    </row>
    <row r="212" spans="1:58" s="325" customFormat="1" ht="55" customHeight="1" thickBot="1" x14ac:dyDescent="0.4">
      <c r="A212" s="447"/>
      <c r="B212" s="447"/>
      <c r="C212" s="448"/>
      <c r="D212" s="448"/>
      <c r="E212" s="235" t="s">
        <v>1598</v>
      </c>
      <c r="F212" s="236" t="s">
        <v>20</v>
      </c>
      <c r="G212" s="236" t="s">
        <v>19</v>
      </c>
      <c r="H212" s="236" t="s">
        <v>52</v>
      </c>
      <c r="I212" s="237" t="s">
        <v>1599</v>
      </c>
      <c r="J212" s="237" t="s">
        <v>1600</v>
      </c>
      <c r="K212" s="237" t="s">
        <v>1601</v>
      </c>
      <c r="L212" s="202" t="s">
        <v>1598</v>
      </c>
      <c r="M212" s="206" t="s">
        <v>20</v>
      </c>
      <c r="N212" s="206" t="s">
        <v>19</v>
      </c>
      <c r="O212" s="206" t="s">
        <v>52</v>
      </c>
      <c r="P212" s="207" t="s">
        <v>1599</v>
      </c>
      <c r="Q212" s="207" t="s">
        <v>1600</v>
      </c>
      <c r="R212" s="207" t="s">
        <v>1601</v>
      </c>
      <c r="S212" s="238" t="s">
        <v>1598</v>
      </c>
      <c r="T212" s="239" t="s">
        <v>20</v>
      </c>
      <c r="U212" s="239" t="s">
        <v>19</v>
      </c>
      <c r="V212" s="239" t="s">
        <v>52</v>
      </c>
      <c r="W212" s="224" t="s">
        <v>1599</v>
      </c>
      <c r="X212" s="224" t="s">
        <v>1600</v>
      </c>
      <c r="Y212" s="224" t="s">
        <v>1601</v>
      </c>
      <c r="Z212" s="240" t="s">
        <v>1598</v>
      </c>
      <c r="AA212" s="241" t="s">
        <v>20</v>
      </c>
      <c r="AB212" s="241" t="s">
        <v>19</v>
      </c>
      <c r="AC212" s="241" t="s">
        <v>52</v>
      </c>
      <c r="AD212" s="208" t="s">
        <v>1599</v>
      </c>
      <c r="AE212" s="208" t="s">
        <v>1600</v>
      </c>
      <c r="AF212" s="208" t="s">
        <v>1601</v>
      </c>
      <c r="AG212" s="209" t="s">
        <v>1598</v>
      </c>
      <c r="AH212" s="210" t="s">
        <v>20</v>
      </c>
      <c r="AI212" s="210" t="s">
        <v>19</v>
      </c>
      <c r="AJ212" s="210" t="s">
        <v>52</v>
      </c>
      <c r="AK212" s="211" t="s">
        <v>1599</v>
      </c>
      <c r="AL212" s="211" t="s">
        <v>1600</v>
      </c>
      <c r="AM212" s="211" t="s">
        <v>1601</v>
      </c>
      <c r="AN212" s="212" t="s">
        <v>1598</v>
      </c>
      <c r="AO212" s="213" t="s">
        <v>20</v>
      </c>
      <c r="AP212" s="213" t="s">
        <v>19</v>
      </c>
      <c r="AQ212" s="213" t="s">
        <v>52</v>
      </c>
      <c r="AR212" s="214" t="s">
        <v>1599</v>
      </c>
      <c r="AS212" s="214" t="s">
        <v>1600</v>
      </c>
      <c r="AT212" s="214" t="s">
        <v>1601</v>
      </c>
      <c r="AU212" s="203" t="s">
        <v>20</v>
      </c>
      <c r="AV212" s="204" t="s">
        <v>19</v>
      </c>
      <c r="AW212" s="204" t="s">
        <v>52</v>
      </c>
      <c r="AX212" s="437"/>
      <c r="AY212" s="437"/>
      <c r="AZ212" s="437"/>
      <c r="BA212" s="444"/>
      <c r="BB212" s="430"/>
      <c r="BC212" s="375" t="s">
        <v>881</v>
      </c>
      <c r="BD212" s="377" t="s">
        <v>885</v>
      </c>
      <c r="BE212" s="376" t="s">
        <v>882</v>
      </c>
      <c r="BF212" s="429"/>
    </row>
    <row r="213" spans="1:58" x14ac:dyDescent="0.35">
      <c r="A213" s="193" t="s">
        <v>21</v>
      </c>
      <c r="B213" s="119" t="s">
        <v>822</v>
      </c>
      <c r="C213" s="120" t="s">
        <v>401</v>
      </c>
      <c r="D213" s="121" t="s">
        <v>8</v>
      </c>
      <c r="E213" s="215">
        <v>19</v>
      </c>
      <c r="F213" s="216"/>
      <c r="G213" s="216"/>
      <c r="H213" s="216"/>
      <c r="I213" s="326">
        <f>SUM(F213:H213)</f>
        <v>0</v>
      </c>
      <c r="J213" s="326">
        <f>E213-I213</f>
        <v>19</v>
      </c>
      <c r="K213" s="327">
        <f>J213/E213</f>
        <v>1</v>
      </c>
      <c r="L213" s="221">
        <v>14</v>
      </c>
      <c r="M213" s="221"/>
      <c r="N213" s="221">
        <v>2</v>
      </c>
      <c r="O213" s="221">
        <v>3</v>
      </c>
      <c r="P213" s="328">
        <f>SUM(M213:O213)</f>
        <v>5</v>
      </c>
      <c r="Q213" s="328">
        <f>L213-P213</f>
        <v>9</v>
      </c>
      <c r="R213" s="329">
        <f>Q213/L213</f>
        <v>0.6428571428571429</v>
      </c>
      <c r="S213" s="225">
        <v>12</v>
      </c>
      <c r="T213" s="225"/>
      <c r="U213" s="225"/>
      <c r="V213" s="225"/>
      <c r="W213" s="330">
        <f>SUM(T213:V213)</f>
        <v>0</v>
      </c>
      <c r="X213" s="330">
        <f>S213-W213</f>
        <v>12</v>
      </c>
      <c r="Y213" s="331">
        <f>X213/S213</f>
        <v>1</v>
      </c>
      <c r="Z213" s="228">
        <v>21</v>
      </c>
      <c r="AA213" s="228"/>
      <c r="AB213" s="228"/>
      <c r="AC213" s="228"/>
      <c r="AD213" s="280">
        <f>SUM(AA213:AC213)</f>
        <v>0</v>
      </c>
      <c r="AE213" s="280">
        <f>Z213-AD213</f>
        <v>21</v>
      </c>
      <c r="AF213" s="281">
        <f>AE213/Z213</f>
        <v>1</v>
      </c>
      <c r="AG213" s="229">
        <v>18</v>
      </c>
      <c r="AH213" s="229"/>
      <c r="AI213" s="229"/>
      <c r="AJ213" s="229"/>
      <c r="AK213" s="305">
        <f>SUM(AH213:AJ213)</f>
        <v>0</v>
      </c>
      <c r="AL213" s="305">
        <f>AG213-AK213</f>
        <v>18</v>
      </c>
      <c r="AM213" s="306">
        <f>AL213/AG213</f>
        <v>1</v>
      </c>
      <c r="AN213" s="230">
        <v>14</v>
      </c>
      <c r="AO213" s="230"/>
      <c r="AP213" s="230"/>
      <c r="AQ213" s="230"/>
      <c r="AR213" s="307">
        <f>SUM(AO213:AQ213)</f>
        <v>0</v>
      </c>
      <c r="AS213" s="307">
        <f>AN213-AR213</f>
        <v>14</v>
      </c>
      <c r="AT213" s="308">
        <f>AS213/AN213</f>
        <v>1</v>
      </c>
      <c r="AU213" s="289"/>
      <c r="AV213" s="289"/>
      <c r="AW213" s="289"/>
      <c r="AX213" s="290">
        <v>98</v>
      </c>
      <c r="AY213" s="289">
        <f>AX213-AU213-AV213-AW213</f>
        <v>98</v>
      </c>
      <c r="AZ213" s="291">
        <f t="shared" ref="AZ213" si="161">AY213/AX213</f>
        <v>1</v>
      </c>
      <c r="BA213" s="310"/>
      <c r="BB213" s="390" cm="1">
        <f t="array" ref="BB213:BB241">[1]XII!$BF$213:$BF$241</f>
        <v>100</v>
      </c>
      <c r="BC213" s="379">
        <f t="shared" ref="BC213" si="162">BA213*2</f>
        <v>0</v>
      </c>
      <c r="BD213" s="378">
        <f>AW213*2</f>
        <v>0</v>
      </c>
      <c r="BE213" s="378"/>
      <c r="BF213" s="387">
        <f t="shared" ref="BF213:BF241" si="163">BB213-BC213-BD213-BE213</f>
        <v>100</v>
      </c>
    </row>
    <row r="214" spans="1:58" x14ac:dyDescent="0.35">
      <c r="A214" s="193" t="s">
        <v>22</v>
      </c>
      <c r="B214" s="56" t="s">
        <v>823</v>
      </c>
      <c r="C214" s="47" t="s">
        <v>402</v>
      </c>
      <c r="D214" s="42" t="s">
        <v>8</v>
      </c>
      <c r="E214" s="215">
        <v>19</v>
      </c>
      <c r="F214" s="217">
        <v>1</v>
      </c>
      <c r="G214" s="217"/>
      <c r="H214" s="217"/>
      <c r="I214" s="326">
        <f t="shared" ref="I214:I241" si="164">SUM(F214:H214)</f>
        <v>1</v>
      </c>
      <c r="J214" s="326">
        <f t="shared" ref="J214:J241" si="165">E214-I214</f>
        <v>18</v>
      </c>
      <c r="K214" s="327">
        <f t="shared" ref="K214:K241" si="166">J214/E214</f>
        <v>0.94736842105263153</v>
      </c>
      <c r="L214" s="221">
        <v>14</v>
      </c>
      <c r="M214" s="222">
        <v>1</v>
      </c>
      <c r="N214" s="223"/>
      <c r="O214" s="222">
        <v>1</v>
      </c>
      <c r="P214" s="328">
        <f t="shared" ref="P214:P241" si="167">SUM(M214:O214)</f>
        <v>2</v>
      </c>
      <c r="Q214" s="328">
        <f t="shared" ref="Q214:Q241" si="168">L214-P214</f>
        <v>12</v>
      </c>
      <c r="R214" s="329">
        <f t="shared" ref="R214:R241" si="169">Q214/L214</f>
        <v>0.8571428571428571</v>
      </c>
      <c r="S214" s="225">
        <v>12</v>
      </c>
      <c r="T214" s="226"/>
      <c r="U214" s="226"/>
      <c r="V214" s="226"/>
      <c r="W214" s="330">
        <f t="shared" ref="W214:W241" si="170">SUM(T214:V214)</f>
        <v>0</v>
      </c>
      <c r="X214" s="330">
        <f t="shared" ref="X214:X241" si="171">S214-W214</f>
        <v>12</v>
      </c>
      <c r="Y214" s="331">
        <f t="shared" ref="Y214:Y241" si="172">S214/X214</f>
        <v>1</v>
      </c>
      <c r="Z214" s="228">
        <v>21</v>
      </c>
      <c r="AA214" s="255"/>
      <c r="AB214" s="255"/>
      <c r="AC214" s="255"/>
      <c r="AD214" s="280">
        <f t="shared" ref="AD214:AD241" si="173">SUM(AA214:AC214)</f>
        <v>0</v>
      </c>
      <c r="AE214" s="280">
        <f t="shared" ref="AE214:AE241" si="174">Z214-AD214</f>
        <v>21</v>
      </c>
      <c r="AF214" s="281">
        <f t="shared" ref="AF214:AF241" si="175">AE214/Z214</f>
        <v>1</v>
      </c>
      <c r="AG214" s="229">
        <v>18</v>
      </c>
      <c r="AH214" s="257"/>
      <c r="AI214" s="257"/>
      <c r="AJ214" s="257"/>
      <c r="AK214" s="305">
        <f t="shared" ref="AK214:AK241" si="176">SUM(AH214:AJ214)</f>
        <v>0</v>
      </c>
      <c r="AL214" s="305">
        <f t="shared" ref="AL214:AL241" si="177">AG214-AK214</f>
        <v>18</v>
      </c>
      <c r="AM214" s="306">
        <f t="shared" ref="AM214:AM241" si="178">AL214/AG214</f>
        <v>1</v>
      </c>
      <c r="AN214" s="230">
        <v>14</v>
      </c>
      <c r="AO214" s="259"/>
      <c r="AP214" s="259"/>
      <c r="AQ214" s="259"/>
      <c r="AR214" s="307">
        <f t="shared" ref="AR214:AR241" si="179">SUM(AO214:AQ214)</f>
        <v>0</v>
      </c>
      <c r="AS214" s="307">
        <f t="shared" ref="AS214:AS241" si="180">AN214-AR214</f>
        <v>14</v>
      </c>
      <c r="AT214" s="308">
        <f t="shared" ref="AT214:AT241" si="181">AS214/AN214</f>
        <v>1</v>
      </c>
      <c r="AU214" s="289"/>
      <c r="AV214" s="289"/>
      <c r="AW214" s="289"/>
      <c r="AX214" s="290">
        <v>108</v>
      </c>
      <c r="AY214" s="289">
        <f t="shared" ref="AY214:AY241" si="182">AX214-AU214-AV214-AW214</f>
        <v>108</v>
      </c>
      <c r="AZ214" s="291">
        <f t="shared" ref="AZ214:AZ241" si="183">AY214/AX214</f>
        <v>1</v>
      </c>
      <c r="BA214" s="310"/>
      <c r="BB214" s="386">
        <v>96</v>
      </c>
      <c r="BC214" s="379">
        <f t="shared" ref="BC214:BC241" si="184">BA214*2</f>
        <v>0</v>
      </c>
      <c r="BD214" s="378">
        <f t="shared" ref="BD214:BD241" si="185">AW214*2</f>
        <v>0</v>
      </c>
      <c r="BE214" s="379"/>
      <c r="BF214" s="387">
        <f t="shared" si="163"/>
        <v>96</v>
      </c>
    </row>
    <row r="215" spans="1:58" x14ac:dyDescent="0.35">
      <c r="A215" s="193" t="s">
        <v>23</v>
      </c>
      <c r="B215" s="56" t="s">
        <v>824</v>
      </c>
      <c r="C215" s="58" t="s">
        <v>403</v>
      </c>
      <c r="D215" s="42" t="s">
        <v>8</v>
      </c>
      <c r="E215" s="215">
        <v>19</v>
      </c>
      <c r="F215" s="217"/>
      <c r="G215" s="218"/>
      <c r="H215" s="217"/>
      <c r="I215" s="326">
        <f t="shared" si="164"/>
        <v>0</v>
      </c>
      <c r="J215" s="326">
        <f t="shared" si="165"/>
        <v>19</v>
      </c>
      <c r="K215" s="327">
        <f t="shared" si="166"/>
        <v>1</v>
      </c>
      <c r="L215" s="221">
        <v>14</v>
      </c>
      <c r="M215" s="222"/>
      <c r="N215" s="223"/>
      <c r="O215" s="222">
        <v>1</v>
      </c>
      <c r="P215" s="328">
        <f t="shared" si="167"/>
        <v>1</v>
      </c>
      <c r="Q215" s="328">
        <f t="shared" si="168"/>
        <v>13</v>
      </c>
      <c r="R215" s="329">
        <f t="shared" si="169"/>
        <v>0.9285714285714286</v>
      </c>
      <c r="S215" s="225">
        <v>12</v>
      </c>
      <c r="T215" s="226"/>
      <c r="U215" s="226"/>
      <c r="V215" s="226"/>
      <c r="W215" s="330">
        <f t="shared" si="170"/>
        <v>0</v>
      </c>
      <c r="X215" s="330">
        <f t="shared" si="171"/>
        <v>12</v>
      </c>
      <c r="Y215" s="331">
        <f t="shared" si="172"/>
        <v>1</v>
      </c>
      <c r="Z215" s="228">
        <v>21</v>
      </c>
      <c r="AA215" s="255"/>
      <c r="AB215" s="255"/>
      <c r="AC215" s="255"/>
      <c r="AD215" s="280">
        <f t="shared" si="173"/>
        <v>0</v>
      </c>
      <c r="AE215" s="280">
        <f t="shared" si="174"/>
        <v>21</v>
      </c>
      <c r="AF215" s="281">
        <f t="shared" si="175"/>
        <v>1</v>
      </c>
      <c r="AG215" s="229">
        <v>18</v>
      </c>
      <c r="AH215" s="257"/>
      <c r="AI215" s="257"/>
      <c r="AJ215" s="257"/>
      <c r="AK215" s="305">
        <f t="shared" si="176"/>
        <v>0</v>
      </c>
      <c r="AL215" s="305">
        <f t="shared" si="177"/>
        <v>18</v>
      </c>
      <c r="AM215" s="306">
        <f t="shared" si="178"/>
        <v>1</v>
      </c>
      <c r="AN215" s="230">
        <v>14</v>
      </c>
      <c r="AO215" s="259"/>
      <c r="AP215" s="259"/>
      <c r="AQ215" s="259"/>
      <c r="AR215" s="307">
        <f t="shared" si="179"/>
        <v>0</v>
      </c>
      <c r="AS215" s="307">
        <f t="shared" si="180"/>
        <v>14</v>
      </c>
      <c r="AT215" s="308">
        <f t="shared" si="181"/>
        <v>1</v>
      </c>
      <c r="AU215" s="289"/>
      <c r="AV215" s="289"/>
      <c r="AW215" s="289"/>
      <c r="AX215" s="290">
        <v>108</v>
      </c>
      <c r="AY215" s="289">
        <f t="shared" si="182"/>
        <v>108</v>
      </c>
      <c r="AZ215" s="291">
        <f t="shared" si="183"/>
        <v>1</v>
      </c>
      <c r="BA215" s="310"/>
      <c r="BB215" s="386">
        <v>100</v>
      </c>
      <c r="BC215" s="379">
        <f t="shared" si="184"/>
        <v>0</v>
      </c>
      <c r="BD215" s="378">
        <f t="shared" si="185"/>
        <v>0</v>
      </c>
      <c r="BE215" s="379"/>
      <c r="BF215" s="387">
        <f t="shared" si="163"/>
        <v>100</v>
      </c>
    </row>
    <row r="216" spans="1:58" x14ac:dyDescent="0.35">
      <c r="A216" s="193" t="s">
        <v>24</v>
      </c>
      <c r="B216" s="56" t="s">
        <v>825</v>
      </c>
      <c r="C216" s="47" t="s">
        <v>404</v>
      </c>
      <c r="D216" s="42" t="s">
        <v>8</v>
      </c>
      <c r="E216" s="215">
        <v>19</v>
      </c>
      <c r="F216" s="217"/>
      <c r="G216" s="217"/>
      <c r="H216" s="217"/>
      <c r="I216" s="326">
        <f t="shared" si="164"/>
        <v>0</v>
      </c>
      <c r="J216" s="326">
        <f t="shared" si="165"/>
        <v>19</v>
      </c>
      <c r="K216" s="327">
        <f t="shared" si="166"/>
        <v>1</v>
      </c>
      <c r="L216" s="221">
        <v>14</v>
      </c>
      <c r="M216" s="223"/>
      <c r="N216" s="223"/>
      <c r="O216" s="223">
        <v>1</v>
      </c>
      <c r="P216" s="328">
        <f t="shared" si="167"/>
        <v>1</v>
      </c>
      <c r="Q216" s="328">
        <f t="shared" si="168"/>
        <v>13</v>
      </c>
      <c r="R216" s="329">
        <f t="shared" si="169"/>
        <v>0.9285714285714286</v>
      </c>
      <c r="S216" s="225">
        <v>12</v>
      </c>
      <c r="T216" s="226"/>
      <c r="U216" s="226"/>
      <c r="V216" s="226"/>
      <c r="W216" s="330">
        <f t="shared" si="170"/>
        <v>0</v>
      </c>
      <c r="X216" s="330">
        <f t="shared" si="171"/>
        <v>12</v>
      </c>
      <c r="Y216" s="331">
        <f t="shared" si="172"/>
        <v>1</v>
      </c>
      <c r="Z216" s="228">
        <v>21</v>
      </c>
      <c r="AA216" s="255"/>
      <c r="AB216" s="255"/>
      <c r="AC216" s="255"/>
      <c r="AD216" s="280">
        <f t="shared" si="173"/>
        <v>0</v>
      </c>
      <c r="AE216" s="280">
        <f t="shared" si="174"/>
        <v>21</v>
      </c>
      <c r="AF216" s="281">
        <f t="shared" si="175"/>
        <v>1</v>
      </c>
      <c r="AG216" s="229">
        <v>18</v>
      </c>
      <c r="AH216" s="257"/>
      <c r="AI216" s="257"/>
      <c r="AJ216" s="257"/>
      <c r="AK216" s="305">
        <f t="shared" si="176"/>
        <v>0</v>
      </c>
      <c r="AL216" s="305">
        <f t="shared" si="177"/>
        <v>18</v>
      </c>
      <c r="AM216" s="306">
        <f t="shared" si="178"/>
        <v>1</v>
      </c>
      <c r="AN216" s="230">
        <v>14</v>
      </c>
      <c r="AO216" s="259"/>
      <c r="AP216" s="259"/>
      <c r="AQ216" s="259"/>
      <c r="AR216" s="307">
        <f t="shared" si="179"/>
        <v>0</v>
      </c>
      <c r="AS216" s="307">
        <f t="shared" si="180"/>
        <v>14</v>
      </c>
      <c r="AT216" s="308">
        <f t="shared" si="181"/>
        <v>1</v>
      </c>
      <c r="AU216" s="289"/>
      <c r="AV216" s="289"/>
      <c r="AW216" s="289"/>
      <c r="AX216" s="290">
        <v>108</v>
      </c>
      <c r="AY216" s="289">
        <f t="shared" si="182"/>
        <v>108</v>
      </c>
      <c r="AZ216" s="291">
        <f t="shared" si="183"/>
        <v>1</v>
      </c>
      <c r="BA216" s="310"/>
      <c r="BB216" s="386">
        <v>100</v>
      </c>
      <c r="BC216" s="379">
        <f t="shared" si="184"/>
        <v>0</v>
      </c>
      <c r="BD216" s="378">
        <f t="shared" si="185"/>
        <v>0</v>
      </c>
      <c r="BE216" s="379"/>
      <c r="BF216" s="387">
        <f t="shared" si="163"/>
        <v>100</v>
      </c>
    </row>
    <row r="217" spans="1:58" x14ac:dyDescent="0.35">
      <c r="A217" s="193" t="s">
        <v>25</v>
      </c>
      <c r="B217" s="56" t="s">
        <v>826</v>
      </c>
      <c r="C217" s="47" t="s">
        <v>827</v>
      </c>
      <c r="D217" s="42" t="s">
        <v>8</v>
      </c>
      <c r="E217" s="215">
        <v>19</v>
      </c>
      <c r="F217" s="217"/>
      <c r="G217" s="217">
        <v>2</v>
      </c>
      <c r="H217" s="217"/>
      <c r="I217" s="326">
        <f t="shared" si="164"/>
        <v>2</v>
      </c>
      <c r="J217" s="326">
        <f t="shared" si="165"/>
        <v>17</v>
      </c>
      <c r="K217" s="327">
        <f t="shared" si="166"/>
        <v>0.89473684210526316</v>
      </c>
      <c r="L217" s="221">
        <v>14</v>
      </c>
      <c r="M217" s="222">
        <v>1</v>
      </c>
      <c r="N217" s="223"/>
      <c r="O217" s="223">
        <v>2</v>
      </c>
      <c r="P217" s="328">
        <f t="shared" si="167"/>
        <v>3</v>
      </c>
      <c r="Q217" s="328">
        <f t="shared" si="168"/>
        <v>11</v>
      </c>
      <c r="R217" s="329">
        <f t="shared" si="169"/>
        <v>0.7857142857142857</v>
      </c>
      <c r="S217" s="225">
        <v>12</v>
      </c>
      <c r="T217" s="226"/>
      <c r="U217" s="226"/>
      <c r="V217" s="226"/>
      <c r="W217" s="330">
        <f t="shared" si="170"/>
        <v>0</v>
      </c>
      <c r="X217" s="330">
        <f t="shared" si="171"/>
        <v>12</v>
      </c>
      <c r="Y217" s="331">
        <f t="shared" si="172"/>
        <v>1</v>
      </c>
      <c r="Z217" s="228">
        <v>21</v>
      </c>
      <c r="AA217" s="255"/>
      <c r="AB217" s="255"/>
      <c r="AC217" s="255"/>
      <c r="AD217" s="280">
        <f t="shared" si="173"/>
        <v>0</v>
      </c>
      <c r="AE217" s="280">
        <f t="shared" si="174"/>
        <v>21</v>
      </c>
      <c r="AF217" s="281">
        <f t="shared" si="175"/>
        <v>1</v>
      </c>
      <c r="AG217" s="229">
        <v>18</v>
      </c>
      <c r="AH217" s="257"/>
      <c r="AI217" s="257"/>
      <c r="AJ217" s="257"/>
      <c r="AK217" s="305">
        <f t="shared" si="176"/>
        <v>0</v>
      </c>
      <c r="AL217" s="305">
        <f t="shared" si="177"/>
        <v>18</v>
      </c>
      <c r="AM217" s="306">
        <f t="shared" si="178"/>
        <v>1</v>
      </c>
      <c r="AN217" s="230">
        <v>14</v>
      </c>
      <c r="AO217" s="259"/>
      <c r="AP217" s="259"/>
      <c r="AQ217" s="259"/>
      <c r="AR217" s="307">
        <f t="shared" si="179"/>
        <v>0</v>
      </c>
      <c r="AS217" s="307">
        <f t="shared" si="180"/>
        <v>14</v>
      </c>
      <c r="AT217" s="308">
        <f t="shared" si="181"/>
        <v>1</v>
      </c>
      <c r="AU217" s="289"/>
      <c r="AV217" s="289"/>
      <c r="AW217" s="289"/>
      <c r="AX217" s="290">
        <v>108</v>
      </c>
      <c r="AY217" s="289">
        <f t="shared" si="182"/>
        <v>108</v>
      </c>
      <c r="AZ217" s="291">
        <f t="shared" si="183"/>
        <v>1</v>
      </c>
      <c r="BA217" s="310"/>
      <c r="BB217" s="386">
        <v>96</v>
      </c>
      <c r="BC217" s="379">
        <f t="shared" si="184"/>
        <v>0</v>
      </c>
      <c r="BD217" s="378">
        <f t="shared" si="185"/>
        <v>0</v>
      </c>
      <c r="BE217" s="379"/>
      <c r="BF217" s="387">
        <f t="shared" si="163"/>
        <v>96</v>
      </c>
    </row>
    <row r="218" spans="1:58" x14ac:dyDescent="0.35">
      <c r="A218" s="193" t="s">
        <v>26</v>
      </c>
      <c r="B218" s="56" t="s">
        <v>828</v>
      </c>
      <c r="C218" s="47" t="s">
        <v>405</v>
      </c>
      <c r="D218" s="42" t="s">
        <v>8</v>
      </c>
      <c r="E218" s="215">
        <v>19</v>
      </c>
      <c r="F218" s="217"/>
      <c r="G218" s="217">
        <v>2</v>
      </c>
      <c r="H218" s="217">
        <v>3</v>
      </c>
      <c r="I218" s="326">
        <f t="shared" si="164"/>
        <v>5</v>
      </c>
      <c r="J218" s="326">
        <f t="shared" si="165"/>
        <v>14</v>
      </c>
      <c r="K218" s="327">
        <f t="shared" si="166"/>
        <v>0.73684210526315785</v>
      </c>
      <c r="L218" s="221">
        <v>14</v>
      </c>
      <c r="M218" s="222">
        <v>1</v>
      </c>
      <c r="N218" s="223">
        <v>2</v>
      </c>
      <c r="O218" s="222">
        <v>1</v>
      </c>
      <c r="P218" s="328">
        <f t="shared" si="167"/>
        <v>4</v>
      </c>
      <c r="Q218" s="328">
        <f t="shared" si="168"/>
        <v>10</v>
      </c>
      <c r="R218" s="329">
        <f t="shared" si="169"/>
        <v>0.7142857142857143</v>
      </c>
      <c r="S218" s="225">
        <v>12</v>
      </c>
      <c r="T218" s="226"/>
      <c r="U218" s="226"/>
      <c r="V218" s="226"/>
      <c r="W218" s="330">
        <f t="shared" si="170"/>
        <v>0</v>
      </c>
      <c r="X218" s="330">
        <f t="shared" si="171"/>
        <v>12</v>
      </c>
      <c r="Y218" s="331">
        <f t="shared" si="172"/>
        <v>1</v>
      </c>
      <c r="Z218" s="228">
        <v>21</v>
      </c>
      <c r="AA218" s="255"/>
      <c r="AB218" s="255"/>
      <c r="AC218" s="255"/>
      <c r="AD218" s="280">
        <f t="shared" si="173"/>
        <v>0</v>
      </c>
      <c r="AE218" s="280">
        <f t="shared" si="174"/>
        <v>21</v>
      </c>
      <c r="AF218" s="281">
        <f t="shared" si="175"/>
        <v>1</v>
      </c>
      <c r="AG218" s="229">
        <v>18</v>
      </c>
      <c r="AH218" s="257"/>
      <c r="AI218" s="257"/>
      <c r="AJ218" s="257"/>
      <c r="AK218" s="305">
        <f t="shared" si="176"/>
        <v>0</v>
      </c>
      <c r="AL218" s="305">
        <f t="shared" si="177"/>
        <v>18</v>
      </c>
      <c r="AM218" s="306">
        <f t="shared" si="178"/>
        <v>1</v>
      </c>
      <c r="AN218" s="230">
        <v>14</v>
      </c>
      <c r="AO218" s="259"/>
      <c r="AP218" s="259"/>
      <c r="AQ218" s="259"/>
      <c r="AR218" s="307">
        <f t="shared" si="179"/>
        <v>0</v>
      </c>
      <c r="AS218" s="307">
        <f t="shared" si="180"/>
        <v>14</v>
      </c>
      <c r="AT218" s="308">
        <f t="shared" si="181"/>
        <v>1</v>
      </c>
      <c r="AU218" s="289"/>
      <c r="AV218" s="289"/>
      <c r="AW218" s="289"/>
      <c r="AX218" s="290">
        <v>108</v>
      </c>
      <c r="AY218" s="289">
        <f t="shared" si="182"/>
        <v>108</v>
      </c>
      <c r="AZ218" s="291">
        <f t="shared" si="183"/>
        <v>1</v>
      </c>
      <c r="BA218" s="310"/>
      <c r="BB218" s="386">
        <v>94</v>
      </c>
      <c r="BC218" s="379">
        <f t="shared" si="184"/>
        <v>0</v>
      </c>
      <c r="BD218" s="378">
        <f t="shared" si="185"/>
        <v>0</v>
      </c>
      <c r="BE218" s="379"/>
      <c r="BF218" s="387">
        <f t="shared" si="163"/>
        <v>94</v>
      </c>
    </row>
    <row r="219" spans="1:58" x14ac:dyDescent="0.35">
      <c r="A219" s="193" t="s">
        <v>27</v>
      </c>
      <c r="B219" s="56" t="s">
        <v>829</v>
      </c>
      <c r="C219" s="47" t="s">
        <v>406</v>
      </c>
      <c r="D219" s="42" t="s">
        <v>8</v>
      </c>
      <c r="E219" s="215">
        <v>19</v>
      </c>
      <c r="F219" s="217"/>
      <c r="G219" s="217"/>
      <c r="H219" s="217"/>
      <c r="I219" s="326">
        <f t="shared" si="164"/>
        <v>0</v>
      </c>
      <c r="J219" s="326">
        <f t="shared" si="165"/>
        <v>19</v>
      </c>
      <c r="K219" s="327">
        <f t="shared" si="166"/>
        <v>1</v>
      </c>
      <c r="L219" s="221">
        <v>14</v>
      </c>
      <c r="M219" s="222"/>
      <c r="N219" s="222"/>
      <c r="O219" s="223">
        <v>1</v>
      </c>
      <c r="P219" s="328">
        <f t="shared" si="167"/>
        <v>1</v>
      </c>
      <c r="Q219" s="328">
        <f t="shared" si="168"/>
        <v>13</v>
      </c>
      <c r="R219" s="329">
        <f t="shared" si="169"/>
        <v>0.9285714285714286</v>
      </c>
      <c r="S219" s="225">
        <v>12</v>
      </c>
      <c r="T219" s="226"/>
      <c r="U219" s="226"/>
      <c r="V219" s="226"/>
      <c r="W219" s="330">
        <f t="shared" si="170"/>
        <v>0</v>
      </c>
      <c r="X219" s="330">
        <f t="shared" si="171"/>
        <v>12</v>
      </c>
      <c r="Y219" s="331">
        <f t="shared" si="172"/>
        <v>1</v>
      </c>
      <c r="Z219" s="228">
        <v>21</v>
      </c>
      <c r="AA219" s="255"/>
      <c r="AB219" s="255"/>
      <c r="AC219" s="255"/>
      <c r="AD219" s="280">
        <f t="shared" si="173"/>
        <v>0</v>
      </c>
      <c r="AE219" s="280">
        <f t="shared" si="174"/>
        <v>21</v>
      </c>
      <c r="AF219" s="281">
        <f t="shared" si="175"/>
        <v>1</v>
      </c>
      <c r="AG219" s="229">
        <v>18</v>
      </c>
      <c r="AH219" s="257"/>
      <c r="AI219" s="257"/>
      <c r="AJ219" s="257"/>
      <c r="AK219" s="305">
        <f t="shared" si="176"/>
        <v>0</v>
      </c>
      <c r="AL219" s="305">
        <f t="shared" si="177"/>
        <v>18</v>
      </c>
      <c r="AM219" s="306">
        <f t="shared" si="178"/>
        <v>1</v>
      </c>
      <c r="AN219" s="230">
        <v>14</v>
      </c>
      <c r="AO219" s="259"/>
      <c r="AP219" s="259"/>
      <c r="AQ219" s="259"/>
      <c r="AR219" s="307">
        <f t="shared" si="179"/>
        <v>0</v>
      </c>
      <c r="AS219" s="307">
        <f t="shared" si="180"/>
        <v>14</v>
      </c>
      <c r="AT219" s="308">
        <f t="shared" si="181"/>
        <v>1</v>
      </c>
      <c r="AU219" s="289"/>
      <c r="AV219" s="289"/>
      <c r="AW219" s="289"/>
      <c r="AX219" s="290">
        <v>108</v>
      </c>
      <c r="AY219" s="289">
        <f t="shared" si="182"/>
        <v>108</v>
      </c>
      <c r="AZ219" s="291">
        <f t="shared" si="183"/>
        <v>1</v>
      </c>
      <c r="BA219" s="310"/>
      <c r="BB219" s="386">
        <v>94</v>
      </c>
      <c r="BC219" s="379">
        <f t="shared" si="184"/>
        <v>0</v>
      </c>
      <c r="BD219" s="378">
        <f t="shared" si="185"/>
        <v>0</v>
      </c>
      <c r="BE219" s="379"/>
      <c r="BF219" s="387">
        <f t="shared" si="163"/>
        <v>94</v>
      </c>
    </row>
    <row r="220" spans="1:58" x14ac:dyDescent="0.35">
      <c r="A220" s="193" t="s">
        <v>28</v>
      </c>
      <c r="B220" s="56" t="s">
        <v>830</v>
      </c>
      <c r="C220" s="47" t="s">
        <v>407</v>
      </c>
      <c r="D220" s="42" t="s">
        <v>8</v>
      </c>
      <c r="E220" s="215">
        <v>19</v>
      </c>
      <c r="F220" s="217"/>
      <c r="G220" s="217"/>
      <c r="H220" s="217"/>
      <c r="I220" s="326">
        <f t="shared" si="164"/>
        <v>0</v>
      </c>
      <c r="J220" s="326">
        <f t="shared" si="165"/>
        <v>19</v>
      </c>
      <c r="K220" s="327">
        <f t="shared" si="166"/>
        <v>1</v>
      </c>
      <c r="L220" s="221">
        <v>14</v>
      </c>
      <c r="M220" s="222"/>
      <c r="N220" s="223"/>
      <c r="O220" s="223">
        <v>1</v>
      </c>
      <c r="P220" s="328">
        <f t="shared" si="167"/>
        <v>1</v>
      </c>
      <c r="Q220" s="328">
        <f t="shared" si="168"/>
        <v>13</v>
      </c>
      <c r="R220" s="329">
        <f t="shared" si="169"/>
        <v>0.9285714285714286</v>
      </c>
      <c r="S220" s="225">
        <v>12</v>
      </c>
      <c r="T220" s="226"/>
      <c r="U220" s="226"/>
      <c r="V220" s="226"/>
      <c r="W220" s="330">
        <f t="shared" si="170"/>
        <v>0</v>
      </c>
      <c r="X220" s="330">
        <f t="shared" si="171"/>
        <v>12</v>
      </c>
      <c r="Y220" s="331">
        <f t="shared" si="172"/>
        <v>1</v>
      </c>
      <c r="Z220" s="228">
        <v>21</v>
      </c>
      <c r="AA220" s="255"/>
      <c r="AB220" s="255"/>
      <c r="AC220" s="255"/>
      <c r="AD220" s="280">
        <f t="shared" si="173"/>
        <v>0</v>
      </c>
      <c r="AE220" s="280">
        <f t="shared" si="174"/>
        <v>21</v>
      </c>
      <c r="AF220" s="281">
        <f t="shared" si="175"/>
        <v>1</v>
      </c>
      <c r="AG220" s="229">
        <v>18</v>
      </c>
      <c r="AH220" s="257"/>
      <c r="AI220" s="257"/>
      <c r="AJ220" s="257"/>
      <c r="AK220" s="305">
        <f t="shared" si="176"/>
        <v>0</v>
      </c>
      <c r="AL220" s="305">
        <f t="shared" si="177"/>
        <v>18</v>
      </c>
      <c r="AM220" s="306">
        <f t="shared" si="178"/>
        <v>1</v>
      </c>
      <c r="AN220" s="230">
        <v>14</v>
      </c>
      <c r="AO220" s="259"/>
      <c r="AP220" s="259"/>
      <c r="AQ220" s="259"/>
      <c r="AR220" s="307">
        <f t="shared" si="179"/>
        <v>0</v>
      </c>
      <c r="AS220" s="307">
        <f t="shared" si="180"/>
        <v>14</v>
      </c>
      <c r="AT220" s="308">
        <f t="shared" si="181"/>
        <v>1</v>
      </c>
      <c r="AU220" s="289"/>
      <c r="AV220" s="289"/>
      <c r="AW220" s="289"/>
      <c r="AX220" s="290">
        <v>108</v>
      </c>
      <c r="AY220" s="289">
        <f t="shared" si="182"/>
        <v>108</v>
      </c>
      <c r="AZ220" s="291">
        <f t="shared" si="183"/>
        <v>1</v>
      </c>
      <c r="BA220" s="310"/>
      <c r="BB220" s="386">
        <v>100</v>
      </c>
      <c r="BC220" s="379">
        <f t="shared" si="184"/>
        <v>0</v>
      </c>
      <c r="BD220" s="378">
        <f t="shared" si="185"/>
        <v>0</v>
      </c>
      <c r="BE220" s="379"/>
      <c r="BF220" s="387">
        <f t="shared" si="163"/>
        <v>100</v>
      </c>
    </row>
    <row r="221" spans="1:58" ht="14.5" customHeight="1" x14ac:dyDescent="0.35">
      <c r="A221" s="193" t="s">
        <v>29</v>
      </c>
      <c r="B221" s="56" t="s">
        <v>831</v>
      </c>
      <c r="C221" s="47" t="s">
        <v>408</v>
      </c>
      <c r="D221" s="42" t="s">
        <v>8</v>
      </c>
      <c r="E221" s="215">
        <v>19</v>
      </c>
      <c r="F221" s="217"/>
      <c r="G221" s="217">
        <v>1</v>
      </c>
      <c r="H221" s="217">
        <v>1</v>
      </c>
      <c r="I221" s="326">
        <f t="shared" si="164"/>
        <v>2</v>
      </c>
      <c r="J221" s="326">
        <f t="shared" si="165"/>
        <v>17</v>
      </c>
      <c r="K221" s="327">
        <f t="shared" si="166"/>
        <v>0.89473684210526316</v>
      </c>
      <c r="L221" s="221">
        <v>14</v>
      </c>
      <c r="M221" s="223"/>
      <c r="N221" s="223">
        <v>3</v>
      </c>
      <c r="O221" s="223">
        <v>3</v>
      </c>
      <c r="P221" s="328">
        <f t="shared" si="167"/>
        <v>6</v>
      </c>
      <c r="Q221" s="328">
        <f t="shared" si="168"/>
        <v>8</v>
      </c>
      <c r="R221" s="329">
        <f t="shared" si="169"/>
        <v>0.5714285714285714</v>
      </c>
      <c r="S221" s="225">
        <v>12</v>
      </c>
      <c r="T221" s="226"/>
      <c r="U221" s="226"/>
      <c r="V221" s="226"/>
      <c r="W221" s="330">
        <f t="shared" si="170"/>
        <v>0</v>
      </c>
      <c r="X221" s="330">
        <f t="shared" si="171"/>
        <v>12</v>
      </c>
      <c r="Y221" s="331">
        <f t="shared" si="172"/>
        <v>1</v>
      </c>
      <c r="Z221" s="228">
        <v>21</v>
      </c>
      <c r="AA221" s="255"/>
      <c r="AB221" s="255"/>
      <c r="AC221" s="255"/>
      <c r="AD221" s="280">
        <f t="shared" si="173"/>
        <v>0</v>
      </c>
      <c r="AE221" s="280">
        <f t="shared" si="174"/>
        <v>21</v>
      </c>
      <c r="AF221" s="281">
        <f t="shared" si="175"/>
        <v>1</v>
      </c>
      <c r="AG221" s="229">
        <v>18</v>
      </c>
      <c r="AH221" s="257"/>
      <c r="AI221" s="257"/>
      <c r="AJ221" s="257"/>
      <c r="AK221" s="305">
        <f t="shared" si="176"/>
        <v>0</v>
      </c>
      <c r="AL221" s="305">
        <f t="shared" si="177"/>
        <v>18</v>
      </c>
      <c r="AM221" s="306">
        <f t="shared" si="178"/>
        <v>1</v>
      </c>
      <c r="AN221" s="230">
        <v>14</v>
      </c>
      <c r="AO221" s="259"/>
      <c r="AP221" s="259"/>
      <c r="AQ221" s="259"/>
      <c r="AR221" s="307">
        <f t="shared" si="179"/>
        <v>0</v>
      </c>
      <c r="AS221" s="307">
        <f t="shared" si="180"/>
        <v>14</v>
      </c>
      <c r="AT221" s="308">
        <f t="shared" si="181"/>
        <v>1</v>
      </c>
      <c r="AU221" s="289"/>
      <c r="AV221" s="289"/>
      <c r="AW221" s="289"/>
      <c r="AX221" s="290">
        <v>108</v>
      </c>
      <c r="AY221" s="289">
        <f t="shared" si="182"/>
        <v>108</v>
      </c>
      <c r="AZ221" s="291">
        <f t="shared" si="183"/>
        <v>1</v>
      </c>
      <c r="BA221" s="310"/>
      <c r="BB221" s="386">
        <v>94</v>
      </c>
      <c r="BC221" s="379">
        <f t="shared" si="184"/>
        <v>0</v>
      </c>
      <c r="BD221" s="378">
        <f t="shared" si="185"/>
        <v>0</v>
      </c>
      <c r="BE221" s="379"/>
      <c r="BF221" s="387">
        <f t="shared" si="163"/>
        <v>94</v>
      </c>
    </row>
    <row r="222" spans="1:58" x14ac:dyDescent="0.35">
      <c r="A222" s="193" t="s">
        <v>30</v>
      </c>
      <c r="B222" s="56" t="s">
        <v>832</v>
      </c>
      <c r="C222" s="47" t="s">
        <v>409</v>
      </c>
      <c r="D222" s="42" t="s">
        <v>6</v>
      </c>
      <c r="E222" s="215">
        <v>19</v>
      </c>
      <c r="F222" s="217"/>
      <c r="G222" s="217"/>
      <c r="H222" s="218"/>
      <c r="I222" s="326">
        <f t="shared" si="164"/>
        <v>0</v>
      </c>
      <c r="J222" s="326">
        <f t="shared" si="165"/>
        <v>19</v>
      </c>
      <c r="K222" s="327">
        <f t="shared" si="166"/>
        <v>1</v>
      </c>
      <c r="L222" s="221">
        <v>14</v>
      </c>
      <c r="M222" s="222">
        <v>1</v>
      </c>
      <c r="N222" s="223"/>
      <c r="O222" s="223">
        <v>3</v>
      </c>
      <c r="P222" s="328">
        <f t="shared" si="167"/>
        <v>4</v>
      </c>
      <c r="Q222" s="328">
        <f t="shared" si="168"/>
        <v>10</v>
      </c>
      <c r="R222" s="329">
        <f t="shared" si="169"/>
        <v>0.7142857142857143</v>
      </c>
      <c r="S222" s="225">
        <v>12</v>
      </c>
      <c r="T222" s="226"/>
      <c r="U222" s="226"/>
      <c r="V222" s="226"/>
      <c r="W222" s="330">
        <f t="shared" si="170"/>
        <v>0</v>
      </c>
      <c r="X222" s="330">
        <f t="shared" si="171"/>
        <v>12</v>
      </c>
      <c r="Y222" s="331">
        <f t="shared" si="172"/>
        <v>1</v>
      </c>
      <c r="Z222" s="228">
        <v>21</v>
      </c>
      <c r="AA222" s="255"/>
      <c r="AB222" s="255"/>
      <c r="AC222" s="255"/>
      <c r="AD222" s="280">
        <f t="shared" si="173"/>
        <v>0</v>
      </c>
      <c r="AE222" s="280">
        <f t="shared" si="174"/>
        <v>21</v>
      </c>
      <c r="AF222" s="281">
        <f t="shared" si="175"/>
        <v>1</v>
      </c>
      <c r="AG222" s="229">
        <v>18</v>
      </c>
      <c r="AH222" s="257"/>
      <c r="AI222" s="257"/>
      <c r="AJ222" s="257"/>
      <c r="AK222" s="305">
        <f t="shared" si="176"/>
        <v>0</v>
      </c>
      <c r="AL222" s="305">
        <f t="shared" si="177"/>
        <v>18</v>
      </c>
      <c r="AM222" s="306">
        <f t="shared" si="178"/>
        <v>1</v>
      </c>
      <c r="AN222" s="230">
        <v>14</v>
      </c>
      <c r="AO222" s="259"/>
      <c r="AP222" s="259"/>
      <c r="AQ222" s="259"/>
      <c r="AR222" s="307">
        <f t="shared" si="179"/>
        <v>0</v>
      </c>
      <c r="AS222" s="307">
        <f t="shared" si="180"/>
        <v>14</v>
      </c>
      <c r="AT222" s="308">
        <f t="shared" si="181"/>
        <v>1</v>
      </c>
      <c r="AU222" s="289"/>
      <c r="AV222" s="289"/>
      <c r="AW222" s="289"/>
      <c r="AX222" s="290">
        <v>108</v>
      </c>
      <c r="AY222" s="289">
        <f t="shared" si="182"/>
        <v>108</v>
      </c>
      <c r="AZ222" s="291">
        <f t="shared" si="183"/>
        <v>1</v>
      </c>
      <c r="BA222" s="310"/>
      <c r="BB222" s="386">
        <v>98</v>
      </c>
      <c r="BC222" s="379">
        <f t="shared" si="184"/>
        <v>0</v>
      </c>
      <c r="BD222" s="378">
        <f t="shared" si="185"/>
        <v>0</v>
      </c>
      <c r="BE222" s="379"/>
      <c r="BF222" s="387">
        <f t="shared" si="163"/>
        <v>98</v>
      </c>
    </row>
    <row r="223" spans="1:58" x14ac:dyDescent="0.35">
      <c r="A223" s="193" t="s">
        <v>31</v>
      </c>
      <c r="B223" s="56" t="s">
        <v>833</v>
      </c>
      <c r="C223" s="47" t="s">
        <v>410</v>
      </c>
      <c r="D223" s="42" t="s">
        <v>8</v>
      </c>
      <c r="E223" s="215">
        <v>19</v>
      </c>
      <c r="F223" s="217"/>
      <c r="G223" s="217">
        <v>1</v>
      </c>
      <c r="H223" s="217"/>
      <c r="I223" s="326">
        <f t="shared" si="164"/>
        <v>1</v>
      </c>
      <c r="J223" s="326">
        <f t="shared" si="165"/>
        <v>18</v>
      </c>
      <c r="K223" s="327">
        <f t="shared" si="166"/>
        <v>0.94736842105263153</v>
      </c>
      <c r="L223" s="221">
        <v>14</v>
      </c>
      <c r="M223" s="222"/>
      <c r="N223" s="223"/>
      <c r="O223" s="222">
        <v>1</v>
      </c>
      <c r="P223" s="328">
        <f t="shared" si="167"/>
        <v>1</v>
      </c>
      <c r="Q223" s="328">
        <f t="shared" si="168"/>
        <v>13</v>
      </c>
      <c r="R223" s="329">
        <f t="shared" si="169"/>
        <v>0.9285714285714286</v>
      </c>
      <c r="S223" s="225">
        <v>12</v>
      </c>
      <c r="T223" s="226"/>
      <c r="U223" s="226"/>
      <c r="V223" s="226"/>
      <c r="W223" s="330">
        <f t="shared" si="170"/>
        <v>0</v>
      </c>
      <c r="X223" s="330">
        <f t="shared" si="171"/>
        <v>12</v>
      </c>
      <c r="Y223" s="331">
        <f t="shared" si="172"/>
        <v>1</v>
      </c>
      <c r="Z223" s="228">
        <v>21</v>
      </c>
      <c r="AA223" s="255"/>
      <c r="AB223" s="255"/>
      <c r="AC223" s="255"/>
      <c r="AD223" s="280">
        <f t="shared" si="173"/>
        <v>0</v>
      </c>
      <c r="AE223" s="280">
        <f t="shared" si="174"/>
        <v>21</v>
      </c>
      <c r="AF223" s="281">
        <f t="shared" si="175"/>
        <v>1</v>
      </c>
      <c r="AG223" s="229">
        <v>18</v>
      </c>
      <c r="AH223" s="257"/>
      <c r="AI223" s="257"/>
      <c r="AJ223" s="257"/>
      <c r="AK223" s="305">
        <f t="shared" si="176"/>
        <v>0</v>
      </c>
      <c r="AL223" s="305">
        <f t="shared" si="177"/>
        <v>18</v>
      </c>
      <c r="AM223" s="306">
        <f t="shared" si="178"/>
        <v>1</v>
      </c>
      <c r="AN223" s="230">
        <v>14</v>
      </c>
      <c r="AO223" s="259"/>
      <c r="AP223" s="259"/>
      <c r="AQ223" s="259"/>
      <c r="AR223" s="307">
        <f t="shared" si="179"/>
        <v>0</v>
      </c>
      <c r="AS223" s="307">
        <f t="shared" si="180"/>
        <v>14</v>
      </c>
      <c r="AT223" s="308">
        <f t="shared" si="181"/>
        <v>1</v>
      </c>
      <c r="AU223" s="289"/>
      <c r="AV223" s="289"/>
      <c r="AW223" s="289"/>
      <c r="AX223" s="290">
        <v>108</v>
      </c>
      <c r="AY223" s="289">
        <f t="shared" si="182"/>
        <v>108</v>
      </c>
      <c r="AZ223" s="291">
        <f t="shared" si="183"/>
        <v>1</v>
      </c>
      <c r="BA223" s="310"/>
      <c r="BB223" s="386">
        <v>98</v>
      </c>
      <c r="BC223" s="379">
        <f t="shared" si="184"/>
        <v>0</v>
      </c>
      <c r="BD223" s="378">
        <f t="shared" si="185"/>
        <v>0</v>
      </c>
      <c r="BE223" s="379"/>
      <c r="BF223" s="387">
        <f t="shared" si="163"/>
        <v>98</v>
      </c>
    </row>
    <row r="224" spans="1:58" x14ac:dyDescent="0.35">
      <c r="A224" s="423" t="s">
        <v>32</v>
      </c>
      <c r="B224" s="37" t="s">
        <v>834</v>
      </c>
      <c r="C224" s="39" t="s">
        <v>411</v>
      </c>
      <c r="D224" s="40" t="s">
        <v>8</v>
      </c>
      <c r="E224" s="215">
        <v>19</v>
      </c>
      <c r="F224" s="217">
        <v>1</v>
      </c>
      <c r="G224" s="217">
        <v>2</v>
      </c>
      <c r="H224" s="217">
        <v>1</v>
      </c>
      <c r="I224" s="326">
        <f t="shared" si="164"/>
        <v>4</v>
      </c>
      <c r="J224" s="326">
        <f t="shared" si="165"/>
        <v>15</v>
      </c>
      <c r="K224" s="327">
        <f t="shared" si="166"/>
        <v>0.78947368421052633</v>
      </c>
      <c r="L224" s="221">
        <v>14</v>
      </c>
      <c r="M224" s="223">
        <v>1</v>
      </c>
      <c r="N224" s="223">
        <v>3</v>
      </c>
      <c r="O224" s="223">
        <v>3</v>
      </c>
      <c r="P224" s="328">
        <f t="shared" si="167"/>
        <v>7</v>
      </c>
      <c r="Q224" s="328">
        <f t="shared" si="168"/>
        <v>7</v>
      </c>
      <c r="R224" s="329">
        <f t="shared" si="169"/>
        <v>0.5</v>
      </c>
      <c r="S224" s="225">
        <v>12</v>
      </c>
      <c r="T224" s="226"/>
      <c r="U224" s="226"/>
      <c r="V224" s="226"/>
      <c r="W224" s="330">
        <f t="shared" si="170"/>
        <v>0</v>
      </c>
      <c r="X224" s="330">
        <f t="shared" si="171"/>
        <v>12</v>
      </c>
      <c r="Y224" s="331">
        <f t="shared" si="172"/>
        <v>1</v>
      </c>
      <c r="Z224" s="228">
        <v>21</v>
      </c>
      <c r="AA224" s="255"/>
      <c r="AB224" s="255"/>
      <c r="AC224" s="255"/>
      <c r="AD224" s="280">
        <f t="shared" si="173"/>
        <v>0</v>
      </c>
      <c r="AE224" s="280">
        <f t="shared" si="174"/>
        <v>21</v>
      </c>
      <c r="AF224" s="281">
        <f t="shared" si="175"/>
        <v>1</v>
      </c>
      <c r="AG224" s="229">
        <v>18</v>
      </c>
      <c r="AH224" s="257"/>
      <c r="AI224" s="257"/>
      <c r="AJ224" s="257"/>
      <c r="AK224" s="305">
        <f t="shared" si="176"/>
        <v>0</v>
      </c>
      <c r="AL224" s="305">
        <f t="shared" si="177"/>
        <v>18</v>
      </c>
      <c r="AM224" s="306">
        <f t="shared" si="178"/>
        <v>1</v>
      </c>
      <c r="AN224" s="230">
        <v>14</v>
      </c>
      <c r="AO224" s="259"/>
      <c r="AP224" s="259"/>
      <c r="AQ224" s="259"/>
      <c r="AR224" s="307">
        <f t="shared" si="179"/>
        <v>0</v>
      </c>
      <c r="AS224" s="307">
        <f t="shared" si="180"/>
        <v>14</v>
      </c>
      <c r="AT224" s="308">
        <f t="shared" si="181"/>
        <v>1</v>
      </c>
      <c r="AU224" s="344"/>
      <c r="AV224" s="344"/>
      <c r="AW224" s="344"/>
      <c r="AX224" s="290">
        <v>108</v>
      </c>
      <c r="AY224" s="344">
        <f t="shared" si="182"/>
        <v>108</v>
      </c>
      <c r="AZ224" s="424">
        <f t="shared" si="183"/>
        <v>1</v>
      </c>
      <c r="BA224" s="314">
        <v>1</v>
      </c>
      <c r="BB224" s="386">
        <v>94</v>
      </c>
      <c r="BC224" s="379">
        <f t="shared" si="184"/>
        <v>2</v>
      </c>
      <c r="BD224" s="378">
        <f t="shared" si="185"/>
        <v>0</v>
      </c>
      <c r="BE224" s="379"/>
      <c r="BF224" s="387">
        <f t="shared" si="163"/>
        <v>92</v>
      </c>
    </row>
    <row r="225" spans="1:58" ht="12.5" customHeight="1" x14ac:dyDescent="0.35">
      <c r="A225" s="193" t="s">
        <v>33</v>
      </c>
      <c r="B225" s="56" t="s">
        <v>835</v>
      </c>
      <c r="C225" s="47" t="s">
        <v>412</v>
      </c>
      <c r="D225" s="42" t="s">
        <v>8</v>
      </c>
      <c r="E225" s="215">
        <v>19</v>
      </c>
      <c r="F225" s="217"/>
      <c r="G225" s="217"/>
      <c r="H225" s="217"/>
      <c r="I225" s="326">
        <f t="shared" si="164"/>
        <v>0</v>
      </c>
      <c r="J225" s="326">
        <f t="shared" si="165"/>
        <v>19</v>
      </c>
      <c r="K225" s="327">
        <f t="shared" si="166"/>
        <v>1</v>
      </c>
      <c r="L225" s="221">
        <v>14</v>
      </c>
      <c r="M225" s="222"/>
      <c r="N225" s="222"/>
      <c r="O225" s="222">
        <v>1</v>
      </c>
      <c r="P225" s="328">
        <f t="shared" si="167"/>
        <v>1</v>
      </c>
      <c r="Q225" s="328">
        <f t="shared" si="168"/>
        <v>13</v>
      </c>
      <c r="R225" s="329">
        <f t="shared" si="169"/>
        <v>0.9285714285714286</v>
      </c>
      <c r="S225" s="225">
        <v>12</v>
      </c>
      <c r="T225" s="226"/>
      <c r="U225" s="226"/>
      <c r="V225" s="226"/>
      <c r="W225" s="330">
        <f t="shared" si="170"/>
        <v>0</v>
      </c>
      <c r="X225" s="330">
        <f t="shared" si="171"/>
        <v>12</v>
      </c>
      <c r="Y225" s="331">
        <f t="shared" si="172"/>
        <v>1</v>
      </c>
      <c r="Z225" s="228">
        <v>21</v>
      </c>
      <c r="AA225" s="255"/>
      <c r="AB225" s="255"/>
      <c r="AC225" s="255"/>
      <c r="AD225" s="280">
        <f t="shared" si="173"/>
        <v>0</v>
      </c>
      <c r="AE225" s="280">
        <f t="shared" si="174"/>
        <v>21</v>
      </c>
      <c r="AF225" s="281">
        <f t="shared" si="175"/>
        <v>1</v>
      </c>
      <c r="AG225" s="229">
        <v>18</v>
      </c>
      <c r="AH225" s="257"/>
      <c r="AI225" s="257"/>
      <c r="AJ225" s="257"/>
      <c r="AK225" s="305">
        <f t="shared" si="176"/>
        <v>0</v>
      </c>
      <c r="AL225" s="305">
        <f t="shared" si="177"/>
        <v>18</v>
      </c>
      <c r="AM225" s="306">
        <f t="shared" si="178"/>
        <v>1</v>
      </c>
      <c r="AN225" s="230">
        <v>14</v>
      </c>
      <c r="AO225" s="259"/>
      <c r="AP225" s="259"/>
      <c r="AQ225" s="259"/>
      <c r="AR225" s="307">
        <f t="shared" si="179"/>
        <v>0</v>
      </c>
      <c r="AS225" s="307">
        <f t="shared" si="180"/>
        <v>14</v>
      </c>
      <c r="AT225" s="308">
        <f t="shared" si="181"/>
        <v>1</v>
      </c>
      <c r="AU225" s="289"/>
      <c r="AV225" s="289"/>
      <c r="AW225" s="289"/>
      <c r="AX225" s="290">
        <v>108</v>
      </c>
      <c r="AY225" s="289">
        <f t="shared" si="182"/>
        <v>108</v>
      </c>
      <c r="AZ225" s="291">
        <f t="shared" si="183"/>
        <v>1</v>
      </c>
      <c r="BA225" s="310"/>
      <c r="BB225" s="386">
        <v>100</v>
      </c>
      <c r="BC225" s="379">
        <f t="shared" si="184"/>
        <v>0</v>
      </c>
      <c r="BD225" s="378">
        <f t="shared" si="185"/>
        <v>0</v>
      </c>
      <c r="BE225" s="379"/>
      <c r="BF225" s="387">
        <f t="shared" si="163"/>
        <v>100</v>
      </c>
    </row>
    <row r="226" spans="1:58" x14ac:dyDescent="0.35">
      <c r="A226" s="193" t="s">
        <v>34</v>
      </c>
      <c r="B226" s="56" t="s">
        <v>836</v>
      </c>
      <c r="C226" s="47" t="s">
        <v>413</v>
      </c>
      <c r="D226" s="42" t="s">
        <v>8</v>
      </c>
      <c r="E226" s="215">
        <v>19</v>
      </c>
      <c r="F226" s="217"/>
      <c r="G226" s="217"/>
      <c r="H226" s="217"/>
      <c r="I226" s="326">
        <f t="shared" si="164"/>
        <v>0</v>
      </c>
      <c r="J226" s="326">
        <f t="shared" si="165"/>
        <v>19</v>
      </c>
      <c r="K226" s="327">
        <f t="shared" si="166"/>
        <v>1</v>
      </c>
      <c r="L226" s="221">
        <v>14</v>
      </c>
      <c r="M226" s="222">
        <v>1</v>
      </c>
      <c r="N226" s="223">
        <v>1</v>
      </c>
      <c r="O226" s="222">
        <v>1</v>
      </c>
      <c r="P226" s="328">
        <f t="shared" si="167"/>
        <v>3</v>
      </c>
      <c r="Q226" s="328">
        <f t="shared" si="168"/>
        <v>11</v>
      </c>
      <c r="R226" s="329">
        <f t="shared" si="169"/>
        <v>0.7857142857142857</v>
      </c>
      <c r="S226" s="225">
        <v>12</v>
      </c>
      <c r="T226" s="226"/>
      <c r="U226" s="226"/>
      <c r="V226" s="226"/>
      <c r="W226" s="330">
        <f t="shared" si="170"/>
        <v>0</v>
      </c>
      <c r="X226" s="330">
        <f t="shared" si="171"/>
        <v>12</v>
      </c>
      <c r="Y226" s="331">
        <f t="shared" si="172"/>
        <v>1</v>
      </c>
      <c r="Z226" s="228">
        <v>21</v>
      </c>
      <c r="AA226" s="255"/>
      <c r="AB226" s="255"/>
      <c r="AC226" s="255"/>
      <c r="AD226" s="280">
        <f t="shared" si="173"/>
        <v>0</v>
      </c>
      <c r="AE226" s="280">
        <f t="shared" si="174"/>
        <v>21</v>
      </c>
      <c r="AF226" s="281">
        <f t="shared" si="175"/>
        <v>1</v>
      </c>
      <c r="AG226" s="229">
        <v>18</v>
      </c>
      <c r="AH226" s="257"/>
      <c r="AI226" s="257"/>
      <c r="AJ226" s="257"/>
      <c r="AK226" s="305">
        <f t="shared" si="176"/>
        <v>0</v>
      </c>
      <c r="AL226" s="305">
        <f t="shared" si="177"/>
        <v>18</v>
      </c>
      <c r="AM226" s="306">
        <f t="shared" si="178"/>
        <v>1</v>
      </c>
      <c r="AN226" s="230">
        <v>14</v>
      </c>
      <c r="AO226" s="259"/>
      <c r="AP226" s="259"/>
      <c r="AQ226" s="259"/>
      <c r="AR226" s="307">
        <f t="shared" si="179"/>
        <v>0</v>
      </c>
      <c r="AS226" s="307">
        <f t="shared" si="180"/>
        <v>14</v>
      </c>
      <c r="AT226" s="308">
        <f t="shared" si="181"/>
        <v>1</v>
      </c>
      <c r="AU226" s="289"/>
      <c r="AV226" s="289"/>
      <c r="AW226" s="289"/>
      <c r="AX226" s="290">
        <v>108</v>
      </c>
      <c r="AY226" s="289">
        <f t="shared" si="182"/>
        <v>108</v>
      </c>
      <c r="AZ226" s="291">
        <f t="shared" si="183"/>
        <v>1</v>
      </c>
      <c r="BA226" s="310">
        <v>1</v>
      </c>
      <c r="BB226" s="386">
        <v>88</v>
      </c>
      <c r="BC226" s="379">
        <f t="shared" si="184"/>
        <v>2</v>
      </c>
      <c r="BD226" s="378">
        <f t="shared" si="185"/>
        <v>0</v>
      </c>
      <c r="BE226" s="379"/>
      <c r="BF226" s="387">
        <f t="shared" si="163"/>
        <v>86</v>
      </c>
    </row>
    <row r="227" spans="1:58" x14ac:dyDescent="0.35">
      <c r="A227" s="193" t="s">
        <v>35</v>
      </c>
      <c r="B227" s="56" t="s">
        <v>837</v>
      </c>
      <c r="C227" s="47" t="s">
        <v>414</v>
      </c>
      <c r="D227" s="42" t="s">
        <v>8</v>
      </c>
      <c r="E227" s="215">
        <v>19</v>
      </c>
      <c r="F227" s="217">
        <v>1</v>
      </c>
      <c r="G227" s="217">
        <v>5</v>
      </c>
      <c r="H227" s="217"/>
      <c r="I227" s="326">
        <f t="shared" si="164"/>
        <v>6</v>
      </c>
      <c r="J227" s="326">
        <f t="shared" si="165"/>
        <v>13</v>
      </c>
      <c r="K227" s="327">
        <f t="shared" si="166"/>
        <v>0.68421052631578949</v>
      </c>
      <c r="L227" s="221">
        <v>14</v>
      </c>
      <c r="M227" s="222">
        <v>1</v>
      </c>
      <c r="N227" s="223">
        <v>2</v>
      </c>
      <c r="O227" s="222">
        <v>2</v>
      </c>
      <c r="P227" s="328">
        <f t="shared" si="167"/>
        <v>5</v>
      </c>
      <c r="Q227" s="328">
        <f t="shared" si="168"/>
        <v>9</v>
      </c>
      <c r="R227" s="329">
        <f t="shared" si="169"/>
        <v>0.6428571428571429</v>
      </c>
      <c r="S227" s="225">
        <v>12</v>
      </c>
      <c r="T227" s="226"/>
      <c r="U227" s="226"/>
      <c r="V227" s="226"/>
      <c r="W227" s="330">
        <f t="shared" si="170"/>
        <v>0</v>
      </c>
      <c r="X227" s="330">
        <f t="shared" si="171"/>
        <v>12</v>
      </c>
      <c r="Y227" s="331">
        <f t="shared" si="172"/>
        <v>1</v>
      </c>
      <c r="Z227" s="228">
        <v>21</v>
      </c>
      <c r="AA227" s="255"/>
      <c r="AB227" s="255"/>
      <c r="AC227" s="255"/>
      <c r="AD227" s="280">
        <f t="shared" si="173"/>
        <v>0</v>
      </c>
      <c r="AE227" s="280">
        <f t="shared" si="174"/>
        <v>21</v>
      </c>
      <c r="AF227" s="281">
        <f t="shared" si="175"/>
        <v>1</v>
      </c>
      <c r="AG227" s="229">
        <v>18</v>
      </c>
      <c r="AH227" s="257"/>
      <c r="AI227" s="257"/>
      <c r="AJ227" s="257"/>
      <c r="AK227" s="305">
        <f t="shared" si="176"/>
        <v>0</v>
      </c>
      <c r="AL227" s="305">
        <f t="shared" si="177"/>
        <v>18</v>
      </c>
      <c r="AM227" s="306">
        <f t="shared" si="178"/>
        <v>1</v>
      </c>
      <c r="AN227" s="230">
        <v>14</v>
      </c>
      <c r="AO227" s="259"/>
      <c r="AP227" s="259"/>
      <c r="AQ227" s="259"/>
      <c r="AR227" s="307">
        <f t="shared" si="179"/>
        <v>0</v>
      </c>
      <c r="AS227" s="307">
        <f t="shared" si="180"/>
        <v>14</v>
      </c>
      <c r="AT227" s="308">
        <f t="shared" si="181"/>
        <v>1</v>
      </c>
      <c r="AU227" s="289"/>
      <c r="AV227" s="289"/>
      <c r="AW227" s="289"/>
      <c r="AX227" s="290">
        <v>108</v>
      </c>
      <c r="AY227" s="289">
        <f t="shared" si="182"/>
        <v>108</v>
      </c>
      <c r="AZ227" s="291">
        <f t="shared" si="183"/>
        <v>1</v>
      </c>
      <c r="BA227" s="310"/>
      <c r="BB227" s="386">
        <v>88</v>
      </c>
      <c r="BC227" s="379">
        <f t="shared" si="184"/>
        <v>0</v>
      </c>
      <c r="BD227" s="378">
        <f t="shared" si="185"/>
        <v>0</v>
      </c>
      <c r="BE227" s="379"/>
      <c r="BF227" s="387">
        <f t="shared" si="163"/>
        <v>88</v>
      </c>
    </row>
    <row r="228" spans="1:58" x14ac:dyDescent="0.35">
      <c r="A228" s="193" t="s">
        <v>36</v>
      </c>
      <c r="B228" s="56" t="s">
        <v>838</v>
      </c>
      <c r="C228" s="76" t="s">
        <v>415</v>
      </c>
      <c r="D228" s="42" t="s">
        <v>8</v>
      </c>
      <c r="E228" s="215">
        <v>19</v>
      </c>
      <c r="F228" s="217">
        <v>1</v>
      </c>
      <c r="G228" s="217"/>
      <c r="H228" s="217"/>
      <c r="I228" s="326">
        <f t="shared" si="164"/>
        <v>1</v>
      </c>
      <c r="J228" s="326">
        <f t="shared" si="165"/>
        <v>18</v>
      </c>
      <c r="K228" s="327">
        <f t="shared" si="166"/>
        <v>0.94736842105263153</v>
      </c>
      <c r="L228" s="221">
        <v>14</v>
      </c>
      <c r="M228" s="222">
        <v>1</v>
      </c>
      <c r="N228" s="222">
        <v>4</v>
      </c>
      <c r="O228" s="222">
        <v>5</v>
      </c>
      <c r="P228" s="328">
        <f t="shared" si="167"/>
        <v>10</v>
      </c>
      <c r="Q228" s="328">
        <f t="shared" si="168"/>
        <v>4</v>
      </c>
      <c r="R228" s="329">
        <f t="shared" si="169"/>
        <v>0.2857142857142857</v>
      </c>
      <c r="S228" s="225">
        <v>12</v>
      </c>
      <c r="T228" s="226"/>
      <c r="U228" s="226"/>
      <c r="V228" s="226"/>
      <c r="W228" s="330">
        <f t="shared" si="170"/>
        <v>0</v>
      </c>
      <c r="X228" s="330">
        <f t="shared" si="171"/>
        <v>12</v>
      </c>
      <c r="Y228" s="331">
        <f t="shared" si="172"/>
        <v>1</v>
      </c>
      <c r="Z228" s="228">
        <v>21</v>
      </c>
      <c r="AA228" s="255"/>
      <c r="AB228" s="255"/>
      <c r="AC228" s="255"/>
      <c r="AD228" s="280">
        <f t="shared" si="173"/>
        <v>0</v>
      </c>
      <c r="AE228" s="280">
        <f t="shared" si="174"/>
        <v>21</v>
      </c>
      <c r="AF228" s="281">
        <f t="shared" si="175"/>
        <v>1</v>
      </c>
      <c r="AG228" s="229">
        <v>18</v>
      </c>
      <c r="AH228" s="257"/>
      <c r="AI228" s="257"/>
      <c r="AJ228" s="257"/>
      <c r="AK228" s="305">
        <f t="shared" si="176"/>
        <v>0</v>
      </c>
      <c r="AL228" s="305">
        <f t="shared" si="177"/>
        <v>18</v>
      </c>
      <c r="AM228" s="306">
        <f t="shared" si="178"/>
        <v>1</v>
      </c>
      <c r="AN228" s="230">
        <v>14</v>
      </c>
      <c r="AO228" s="259"/>
      <c r="AP228" s="259"/>
      <c r="AQ228" s="259"/>
      <c r="AR228" s="307">
        <f t="shared" si="179"/>
        <v>0</v>
      </c>
      <c r="AS228" s="307">
        <f t="shared" si="180"/>
        <v>14</v>
      </c>
      <c r="AT228" s="308">
        <f t="shared" si="181"/>
        <v>1</v>
      </c>
      <c r="AU228" s="289"/>
      <c r="AV228" s="289"/>
      <c r="AW228" s="289"/>
      <c r="AX228" s="290">
        <v>108</v>
      </c>
      <c r="AY228" s="289">
        <f t="shared" si="182"/>
        <v>108</v>
      </c>
      <c r="AZ228" s="291">
        <f t="shared" si="183"/>
        <v>1</v>
      </c>
      <c r="BA228" s="310"/>
      <c r="BB228" s="386">
        <v>88</v>
      </c>
      <c r="BC228" s="379">
        <f t="shared" si="184"/>
        <v>0</v>
      </c>
      <c r="BD228" s="378">
        <f t="shared" si="185"/>
        <v>0</v>
      </c>
      <c r="BE228" s="379"/>
      <c r="BF228" s="387">
        <f t="shared" si="163"/>
        <v>88</v>
      </c>
    </row>
    <row r="229" spans="1:58" x14ac:dyDescent="0.35">
      <c r="A229" s="193" t="s">
        <v>37</v>
      </c>
      <c r="B229" s="56" t="s">
        <v>839</v>
      </c>
      <c r="C229" s="47" t="s">
        <v>416</v>
      </c>
      <c r="D229" s="42" t="s">
        <v>8</v>
      </c>
      <c r="E229" s="215">
        <v>19</v>
      </c>
      <c r="F229" s="217"/>
      <c r="G229" s="217"/>
      <c r="H229" s="217"/>
      <c r="I229" s="326">
        <f t="shared" si="164"/>
        <v>0</v>
      </c>
      <c r="J229" s="326">
        <f t="shared" si="165"/>
        <v>19</v>
      </c>
      <c r="K229" s="327">
        <f t="shared" si="166"/>
        <v>1</v>
      </c>
      <c r="L229" s="221">
        <v>14</v>
      </c>
      <c r="M229" s="223"/>
      <c r="N229" s="223"/>
      <c r="O229" s="223">
        <v>1</v>
      </c>
      <c r="P229" s="328">
        <f t="shared" si="167"/>
        <v>1</v>
      </c>
      <c r="Q229" s="328">
        <f t="shared" si="168"/>
        <v>13</v>
      </c>
      <c r="R229" s="329">
        <f t="shared" si="169"/>
        <v>0.9285714285714286</v>
      </c>
      <c r="S229" s="225">
        <v>12</v>
      </c>
      <c r="T229" s="226"/>
      <c r="U229" s="226"/>
      <c r="V229" s="226"/>
      <c r="W229" s="330">
        <f t="shared" si="170"/>
        <v>0</v>
      </c>
      <c r="X229" s="330">
        <f t="shared" si="171"/>
        <v>12</v>
      </c>
      <c r="Y229" s="331">
        <f t="shared" si="172"/>
        <v>1</v>
      </c>
      <c r="Z229" s="228">
        <v>21</v>
      </c>
      <c r="AA229" s="255"/>
      <c r="AB229" s="255"/>
      <c r="AC229" s="255"/>
      <c r="AD229" s="280">
        <f t="shared" si="173"/>
        <v>0</v>
      </c>
      <c r="AE229" s="280">
        <f t="shared" si="174"/>
        <v>21</v>
      </c>
      <c r="AF229" s="281">
        <f t="shared" si="175"/>
        <v>1</v>
      </c>
      <c r="AG229" s="229">
        <v>18</v>
      </c>
      <c r="AH229" s="257"/>
      <c r="AI229" s="257"/>
      <c r="AJ229" s="257"/>
      <c r="AK229" s="305">
        <f t="shared" si="176"/>
        <v>0</v>
      </c>
      <c r="AL229" s="305">
        <f t="shared" si="177"/>
        <v>18</v>
      </c>
      <c r="AM229" s="306">
        <f t="shared" si="178"/>
        <v>1</v>
      </c>
      <c r="AN229" s="230">
        <v>14</v>
      </c>
      <c r="AO229" s="259"/>
      <c r="AP229" s="259"/>
      <c r="AQ229" s="259"/>
      <c r="AR229" s="307">
        <f t="shared" si="179"/>
        <v>0</v>
      </c>
      <c r="AS229" s="307">
        <f t="shared" si="180"/>
        <v>14</v>
      </c>
      <c r="AT229" s="308">
        <f t="shared" si="181"/>
        <v>1</v>
      </c>
      <c r="AU229" s="289"/>
      <c r="AV229" s="289"/>
      <c r="AW229" s="289"/>
      <c r="AX229" s="290">
        <v>108</v>
      </c>
      <c r="AY229" s="289">
        <f t="shared" si="182"/>
        <v>108</v>
      </c>
      <c r="AZ229" s="291">
        <f t="shared" si="183"/>
        <v>1</v>
      </c>
      <c r="BA229" s="310"/>
      <c r="BB229" s="386">
        <v>100</v>
      </c>
      <c r="BC229" s="379">
        <f t="shared" si="184"/>
        <v>0</v>
      </c>
      <c r="BD229" s="378">
        <f t="shared" si="185"/>
        <v>0</v>
      </c>
      <c r="BE229" s="379"/>
      <c r="BF229" s="387">
        <f t="shared" si="163"/>
        <v>100</v>
      </c>
    </row>
    <row r="230" spans="1:58" x14ac:dyDescent="0.35">
      <c r="A230" s="193" t="s">
        <v>38</v>
      </c>
      <c r="B230" s="56" t="s">
        <v>840</v>
      </c>
      <c r="C230" s="47" t="s">
        <v>417</v>
      </c>
      <c r="D230" s="42" t="s">
        <v>8</v>
      </c>
      <c r="E230" s="215">
        <v>19</v>
      </c>
      <c r="F230" s="217"/>
      <c r="G230" s="217"/>
      <c r="H230" s="217"/>
      <c r="I230" s="326">
        <f t="shared" si="164"/>
        <v>0</v>
      </c>
      <c r="J230" s="326">
        <f t="shared" si="165"/>
        <v>19</v>
      </c>
      <c r="K230" s="327">
        <f t="shared" si="166"/>
        <v>1</v>
      </c>
      <c r="L230" s="221">
        <v>14</v>
      </c>
      <c r="M230" s="222"/>
      <c r="N230" s="223"/>
      <c r="O230" s="223">
        <v>1</v>
      </c>
      <c r="P230" s="328">
        <f t="shared" si="167"/>
        <v>1</v>
      </c>
      <c r="Q230" s="328">
        <f t="shared" si="168"/>
        <v>13</v>
      </c>
      <c r="R230" s="329">
        <f t="shared" si="169"/>
        <v>0.9285714285714286</v>
      </c>
      <c r="S230" s="225">
        <v>12</v>
      </c>
      <c r="T230" s="226"/>
      <c r="U230" s="226"/>
      <c r="V230" s="226"/>
      <c r="W230" s="330">
        <f t="shared" si="170"/>
        <v>0</v>
      </c>
      <c r="X230" s="330">
        <f t="shared" si="171"/>
        <v>12</v>
      </c>
      <c r="Y230" s="331">
        <f t="shared" si="172"/>
        <v>1</v>
      </c>
      <c r="Z230" s="228">
        <v>21</v>
      </c>
      <c r="AA230" s="255"/>
      <c r="AB230" s="255"/>
      <c r="AC230" s="255"/>
      <c r="AD230" s="280">
        <f t="shared" si="173"/>
        <v>0</v>
      </c>
      <c r="AE230" s="280">
        <f t="shared" si="174"/>
        <v>21</v>
      </c>
      <c r="AF230" s="281">
        <f t="shared" si="175"/>
        <v>1</v>
      </c>
      <c r="AG230" s="229">
        <v>18</v>
      </c>
      <c r="AH230" s="257"/>
      <c r="AI230" s="257"/>
      <c r="AJ230" s="257"/>
      <c r="AK230" s="305">
        <f t="shared" si="176"/>
        <v>0</v>
      </c>
      <c r="AL230" s="305">
        <f t="shared" si="177"/>
        <v>18</v>
      </c>
      <c r="AM230" s="306">
        <f t="shared" si="178"/>
        <v>1</v>
      </c>
      <c r="AN230" s="230">
        <v>14</v>
      </c>
      <c r="AO230" s="259"/>
      <c r="AP230" s="259"/>
      <c r="AQ230" s="259"/>
      <c r="AR230" s="307">
        <f t="shared" si="179"/>
        <v>0</v>
      </c>
      <c r="AS230" s="307">
        <f t="shared" si="180"/>
        <v>14</v>
      </c>
      <c r="AT230" s="308">
        <f t="shared" si="181"/>
        <v>1</v>
      </c>
      <c r="AU230" s="289"/>
      <c r="AV230" s="289"/>
      <c r="AW230" s="289"/>
      <c r="AX230" s="290">
        <v>108</v>
      </c>
      <c r="AY230" s="289">
        <f t="shared" si="182"/>
        <v>108</v>
      </c>
      <c r="AZ230" s="291">
        <f t="shared" si="183"/>
        <v>1</v>
      </c>
      <c r="BA230" s="310"/>
      <c r="BB230" s="386">
        <v>100</v>
      </c>
      <c r="BC230" s="379">
        <f t="shared" si="184"/>
        <v>0</v>
      </c>
      <c r="BD230" s="378">
        <f t="shared" si="185"/>
        <v>0</v>
      </c>
      <c r="BE230" s="379"/>
      <c r="BF230" s="387">
        <f t="shared" si="163"/>
        <v>100</v>
      </c>
    </row>
    <row r="231" spans="1:58" x14ac:dyDescent="0.35">
      <c r="A231" s="193" t="s">
        <v>39</v>
      </c>
      <c r="B231" s="56" t="s">
        <v>841</v>
      </c>
      <c r="C231" s="47" t="s">
        <v>418</v>
      </c>
      <c r="D231" s="42" t="s">
        <v>6</v>
      </c>
      <c r="E231" s="215">
        <v>19</v>
      </c>
      <c r="F231" s="217"/>
      <c r="G231" s="217"/>
      <c r="H231" s="217"/>
      <c r="I231" s="326">
        <f t="shared" si="164"/>
        <v>0</v>
      </c>
      <c r="J231" s="326">
        <f t="shared" si="165"/>
        <v>19</v>
      </c>
      <c r="K231" s="327">
        <f t="shared" si="166"/>
        <v>1</v>
      </c>
      <c r="L231" s="221">
        <v>14</v>
      </c>
      <c r="M231" s="222"/>
      <c r="N231" s="222"/>
      <c r="O231" s="222">
        <v>1</v>
      </c>
      <c r="P231" s="328">
        <f t="shared" si="167"/>
        <v>1</v>
      </c>
      <c r="Q231" s="328">
        <f t="shared" si="168"/>
        <v>13</v>
      </c>
      <c r="R231" s="329">
        <f t="shared" si="169"/>
        <v>0.9285714285714286</v>
      </c>
      <c r="S231" s="225">
        <v>12</v>
      </c>
      <c r="T231" s="226"/>
      <c r="U231" s="226"/>
      <c r="V231" s="226"/>
      <c r="W231" s="330">
        <f t="shared" si="170"/>
        <v>0</v>
      </c>
      <c r="X231" s="330">
        <f t="shared" si="171"/>
        <v>12</v>
      </c>
      <c r="Y231" s="331">
        <f t="shared" si="172"/>
        <v>1</v>
      </c>
      <c r="Z231" s="228">
        <v>21</v>
      </c>
      <c r="AA231" s="255"/>
      <c r="AB231" s="255"/>
      <c r="AC231" s="255"/>
      <c r="AD231" s="280">
        <f t="shared" si="173"/>
        <v>0</v>
      </c>
      <c r="AE231" s="280">
        <f t="shared" si="174"/>
        <v>21</v>
      </c>
      <c r="AF231" s="281">
        <f t="shared" si="175"/>
        <v>1</v>
      </c>
      <c r="AG231" s="229">
        <v>18</v>
      </c>
      <c r="AH231" s="257"/>
      <c r="AI231" s="257"/>
      <c r="AJ231" s="257"/>
      <c r="AK231" s="305">
        <f t="shared" si="176"/>
        <v>0</v>
      </c>
      <c r="AL231" s="305">
        <f t="shared" si="177"/>
        <v>18</v>
      </c>
      <c r="AM231" s="306">
        <f t="shared" si="178"/>
        <v>1</v>
      </c>
      <c r="AN231" s="230">
        <v>14</v>
      </c>
      <c r="AO231" s="259"/>
      <c r="AP231" s="259"/>
      <c r="AQ231" s="259"/>
      <c r="AR231" s="307">
        <f t="shared" si="179"/>
        <v>0</v>
      </c>
      <c r="AS231" s="307">
        <f t="shared" si="180"/>
        <v>14</v>
      </c>
      <c r="AT231" s="308">
        <f t="shared" si="181"/>
        <v>1</v>
      </c>
      <c r="AU231" s="289"/>
      <c r="AV231" s="289"/>
      <c r="AW231" s="289"/>
      <c r="AX231" s="290">
        <v>108</v>
      </c>
      <c r="AY231" s="289">
        <f t="shared" si="182"/>
        <v>108</v>
      </c>
      <c r="AZ231" s="291">
        <f t="shared" si="183"/>
        <v>1</v>
      </c>
      <c r="BA231" s="310"/>
      <c r="BB231" s="386">
        <v>98</v>
      </c>
      <c r="BC231" s="379">
        <f t="shared" si="184"/>
        <v>0</v>
      </c>
      <c r="BD231" s="378">
        <f t="shared" si="185"/>
        <v>0</v>
      </c>
      <c r="BE231" s="379"/>
      <c r="BF231" s="387">
        <f t="shared" si="163"/>
        <v>98</v>
      </c>
    </row>
    <row r="232" spans="1:58" x14ac:dyDescent="0.35">
      <c r="A232" s="193" t="s">
        <v>40</v>
      </c>
      <c r="B232" s="56" t="s">
        <v>842</v>
      </c>
      <c r="C232" s="47" t="s">
        <v>843</v>
      </c>
      <c r="D232" s="42" t="s">
        <v>8</v>
      </c>
      <c r="E232" s="215">
        <v>19</v>
      </c>
      <c r="F232" s="217"/>
      <c r="G232" s="217"/>
      <c r="H232" s="217"/>
      <c r="I232" s="326">
        <f t="shared" si="164"/>
        <v>0</v>
      </c>
      <c r="J232" s="326">
        <f t="shared" si="165"/>
        <v>19</v>
      </c>
      <c r="K232" s="327">
        <f t="shared" si="166"/>
        <v>1</v>
      </c>
      <c r="L232" s="221">
        <v>14</v>
      </c>
      <c r="M232" s="222"/>
      <c r="N232" s="223"/>
      <c r="O232" s="222">
        <v>4</v>
      </c>
      <c r="P232" s="328">
        <f t="shared" si="167"/>
        <v>4</v>
      </c>
      <c r="Q232" s="328">
        <f t="shared" si="168"/>
        <v>10</v>
      </c>
      <c r="R232" s="329">
        <f t="shared" si="169"/>
        <v>0.7142857142857143</v>
      </c>
      <c r="S232" s="225">
        <v>12</v>
      </c>
      <c r="T232" s="226"/>
      <c r="U232" s="226"/>
      <c r="V232" s="226"/>
      <c r="W232" s="330">
        <f t="shared" si="170"/>
        <v>0</v>
      </c>
      <c r="X232" s="330">
        <f t="shared" si="171"/>
        <v>12</v>
      </c>
      <c r="Y232" s="331">
        <f t="shared" si="172"/>
        <v>1</v>
      </c>
      <c r="Z232" s="228">
        <v>21</v>
      </c>
      <c r="AA232" s="255"/>
      <c r="AB232" s="255"/>
      <c r="AC232" s="255"/>
      <c r="AD232" s="280">
        <f t="shared" si="173"/>
        <v>0</v>
      </c>
      <c r="AE232" s="280">
        <f t="shared" si="174"/>
        <v>21</v>
      </c>
      <c r="AF232" s="281">
        <f t="shared" si="175"/>
        <v>1</v>
      </c>
      <c r="AG232" s="229">
        <v>18</v>
      </c>
      <c r="AH232" s="257"/>
      <c r="AI232" s="257"/>
      <c r="AJ232" s="257"/>
      <c r="AK232" s="305">
        <f t="shared" si="176"/>
        <v>0</v>
      </c>
      <c r="AL232" s="305">
        <f t="shared" si="177"/>
        <v>18</v>
      </c>
      <c r="AM232" s="306">
        <f t="shared" si="178"/>
        <v>1</v>
      </c>
      <c r="AN232" s="230">
        <v>14</v>
      </c>
      <c r="AO232" s="259"/>
      <c r="AP232" s="259"/>
      <c r="AQ232" s="259"/>
      <c r="AR232" s="307">
        <f t="shared" si="179"/>
        <v>0</v>
      </c>
      <c r="AS232" s="307">
        <f t="shared" si="180"/>
        <v>14</v>
      </c>
      <c r="AT232" s="308">
        <f t="shared" si="181"/>
        <v>1</v>
      </c>
      <c r="AU232" s="289"/>
      <c r="AV232" s="289"/>
      <c r="AW232" s="289"/>
      <c r="AX232" s="290">
        <v>108</v>
      </c>
      <c r="AY232" s="289">
        <f t="shared" si="182"/>
        <v>108</v>
      </c>
      <c r="AZ232" s="291">
        <f t="shared" si="183"/>
        <v>1</v>
      </c>
      <c r="BA232" s="310"/>
      <c r="BB232" s="386">
        <v>100</v>
      </c>
      <c r="BC232" s="379">
        <f t="shared" si="184"/>
        <v>0</v>
      </c>
      <c r="BD232" s="378">
        <f t="shared" si="185"/>
        <v>0</v>
      </c>
      <c r="BE232" s="379"/>
      <c r="BF232" s="387">
        <f t="shared" si="163"/>
        <v>100</v>
      </c>
    </row>
    <row r="233" spans="1:58" x14ac:dyDescent="0.35">
      <c r="A233" s="193" t="s">
        <v>41</v>
      </c>
      <c r="B233" s="56" t="s">
        <v>844</v>
      </c>
      <c r="C233" s="47" t="s">
        <v>419</v>
      </c>
      <c r="D233" s="42" t="s">
        <v>8</v>
      </c>
      <c r="E233" s="215">
        <v>19</v>
      </c>
      <c r="F233" s="217"/>
      <c r="G233" s="217">
        <v>1</v>
      </c>
      <c r="H233" s="217"/>
      <c r="I233" s="326">
        <f t="shared" si="164"/>
        <v>1</v>
      </c>
      <c r="J233" s="326">
        <f t="shared" si="165"/>
        <v>18</v>
      </c>
      <c r="K233" s="327">
        <f t="shared" si="166"/>
        <v>0.94736842105263153</v>
      </c>
      <c r="L233" s="221">
        <v>14</v>
      </c>
      <c r="M233" s="222"/>
      <c r="N233" s="223"/>
      <c r="O233" s="222">
        <v>1</v>
      </c>
      <c r="P233" s="328">
        <f t="shared" si="167"/>
        <v>1</v>
      </c>
      <c r="Q233" s="328">
        <f t="shared" si="168"/>
        <v>13</v>
      </c>
      <c r="R233" s="329">
        <f t="shared" si="169"/>
        <v>0.9285714285714286</v>
      </c>
      <c r="S233" s="225">
        <v>12</v>
      </c>
      <c r="T233" s="226"/>
      <c r="U233" s="226"/>
      <c r="V233" s="226"/>
      <c r="W233" s="330">
        <f t="shared" si="170"/>
        <v>0</v>
      </c>
      <c r="X233" s="330">
        <f t="shared" si="171"/>
        <v>12</v>
      </c>
      <c r="Y233" s="331">
        <f t="shared" si="172"/>
        <v>1</v>
      </c>
      <c r="Z233" s="228">
        <v>21</v>
      </c>
      <c r="AA233" s="255"/>
      <c r="AB233" s="255"/>
      <c r="AC233" s="255"/>
      <c r="AD233" s="280">
        <f t="shared" si="173"/>
        <v>0</v>
      </c>
      <c r="AE233" s="280">
        <f t="shared" si="174"/>
        <v>21</v>
      </c>
      <c r="AF233" s="281">
        <f t="shared" si="175"/>
        <v>1</v>
      </c>
      <c r="AG233" s="229">
        <v>18</v>
      </c>
      <c r="AH233" s="257"/>
      <c r="AI233" s="257"/>
      <c r="AJ233" s="257"/>
      <c r="AK233" s="305">
        <f t="shared" si="176"/>
        <v>0</v>
      </c>
      <c r="AL233" s="305">
        <f t="shared" si="177"/>
        <v>18</v>
      </c>
      <c r="AM233" s="306">
        <f t="shared" si="178"/>
        <v>1</v>
      </c>
      <c r="AN233" s="230">
        <v>14</v>
      </c>
      <c r="AO233" s="259"/>
      <c r="AP233" s="259"/>
      <c r="AQ233" s="259"/>
      <c r="AR233" s="307">
        <f t="shared" si="179"/>
        <v>0</v>
      </c>
      <c r="AS233" s="307">
        <f t="shared" si="180"/>
        <v>14</v>
      </c>
      <c r="AT233" s="308">
        <f t="shared" si="181"/>
        <v>1</v>
      </c>
      <c r="AU233" s="289"/>
      <c r="AV233" s="289"/>
      <c r="AW233" s="289"/>
      <c r="AX233" s="290">
        <v>108</v>
      </c>
      <c r="AY233" s="289">
        <f t="shared" si="182"/>
        <v>108</v>
      </c>
      <c r="AZ233" s="291">
        <f t="shared" si="183"/>
        <v>1</v>
      </c>
      <c r="BA233" s="310"/>
      <c r="BB233" s="386">
        <v>98</v>
      </c>
      <c r="BC233" s="379">
        <f t="shared" si="184"/>
        <v>0</v>
      </c>
      <c r="BD233" s="378">
        <f t="shared" si="185"/>
        <v>0</v>
      </c>
      <c r="BE233" s="379"/>
      <c r="BF233" s="387">
        <f t="shared" si="163"/>
        <v>98</v>
      </c>
    </row>
    <row r="234" spans="1:58" x14ac:dyDescent="0.35">
      <c r="A234" s="193" t="s">
        <v>42</v>
      </c>
      <c r="B234" s="56" t="s">
        <v>845</v>
      </c>
      <c r="C234" s="47" t="s">
        <v>420</v>
      </c>
      <c r="D234" s="42" t="s">
        <v>8</v>
      </c>
      <c r="E234" s="215">
        <v>19</v>
      </c>
      <c r="F234" s="217">
        <v>1</v>
      </c>
      <c r="G234" s="217"/>
      <c r="H234" s="217"/>
      <c r="I234" s="326">
        <f t="shared" si="164"/>
        <v>1</v>
      </c>
      <c r="J234" s="326">
        <f t="shared" si="165"/>
        <v>18</v>
      </c>
      <c r="K234" s="327">
        <f t="shared" si="166"/>
        <v>0.94736842105263153</v>
      </c>
      <c r="L234" s="221">
        <v>14</v>
      </c>
      <c r="M234" s="222"/>
      <c r="N234" s="222"/>
      <c r="O234" s="222">
        <v>3</v>
      </c>
      <c r="P234" s="328">
        <f t="shared" si="167"/>
        <v>3</v>
      </c>
      <c r="Q234" s="328">
        <f t="shared" si="168"/>
        <v>11</v>
      </c>
      <c r="R234" s="329">
        <f t="shared" si="169"/>
        <v>0.7857142857142857</v>
      </c>
      <c r="S234" s="225">
        <v>12</v>
      </c>
      <c r="T234" s="226"/>
      <c r="U234" s="226"/>
      <c r="V234" s="226"/>
      <c r="W234" s="330">
        <f t="shared" si="170"/>
        <v>0</v>
      </c>
      <c r="X234" s="330">
        <f t="shared" si="171"/>
        <v>12</v>
      </c>
      <c r="Y234" s="331">
        <f t="shared" si="172"/>
        <v>1</v>
      </c>
      <c r="Z234" s="228">
        <v>21</v>
      </c>
      <c r="AA234" s="255"/>
      <c r="AB234" s="255"/>
      <c r="AC234" s="255"/>
      <c r="AD234" s="280">
        <f t="shared" si="173"/>
        <v>0</v>
      </c>
      <c r="AE234" s="280">
        <f t="shared" si="174"/>
        <v>21</v>
      </c>
      <c r="AF234" s="281">
        <f t="shared" si="175"/>
        <v>1</v>
      </c>
      <c r="AG234" s="229">
        <v>18</v>
      </c>
      <c r="AH234" s="257"/>
      <c r="AI234" s="257"/>
      <c r="AJ234" s="257"/>
      <c r="AK234" s="305">
        <f t="shared" si="176"/>
        <v>0</v>
      </c>
      <c r="AL234" s="305">
        <f t="shared" si="177"/>
        <v>18</v>
      </c>
      <c r="AM234" s="306">
        <f t="shared" si="178"/>
        <v>1</v>
      </c>
      <c r="AN234" s="230">
        <v>14</v>
      </c>
      <c r="AO234" s="259"/>
      <c r="AP234" s="259"/>
      <c r="AQ234" s="259"/>
      <c r="AR234" s="307">
        <f t="shared" si="179"/>
        <v>0</v>
      </c>
      <c r="AS234" s="307">
        <f t="shared" si="180"/>
        <v>14</v>
      </c>
      <c r="AT234" s="308">
        <f t="shared" si="181"/>
        <v>1</v>
      </c>
      <c r="AU234" s="289"/>
      <c r="AV234" s="289"/>
      <c r="AW234" s="289"/>
      <c r="AX234" s="290">
        <v>108</v>
      </c>
      <c r="AY234" s="289">
        <f t="shared" si="182"/>
        <v>108</v>
      </c>
      <c r="AZ234" s="291">
        <f t="shared" si="183"/>
        <v>1</v>
      </c>
      <c r="BA234" s="310"/>
      <c r="BB234" s="386">
        <v>90</v>
      </c>
      <c r="BC234" s="379">
        <f t="shared" si="184"/>
        <v>0</v>
      </c>
      <c r="BD234" s="378">
        <f t="shared" si="185"/>
        <v>0</v>
      </c>
      <c r="BE234" s="379"/>
      <c r="BF234" s="387">
        <f t="shared" si="163"/>
        <v>90</v>
      </c>
    </row>
    <row r="235" spans="1:58" x14ac:dyDescent="0.35">
      <c r="A235" s="193" t="s">
        <v>43</v>
      </c>
      <c r="B235" s="56" t="s">
        <v>846</v>
      </c>
      <c r="C235" s="47" t="s">
        <v>421</v>
      </c>
      <c r="D235" s="42" t="s">
        <v>8</v>
      </c>
      <c r="E235" s="215">
        <v>19</v>
      </c>
      <c r="F235" s="217"/>
      <c r="G235" s="217"/>
      <c r="H235" s="217"/>
      <c r="I235" s="326">
        <f t="shared" si="164"/>
        <v>0</v>
      </c>
      <c r="J235" s="326">
        <f t="shared" si="165"/>
        <v>19</v>
      </c>
      <c r="K235" s="327">
        <f t="shared" si="166"/>
        <v>1</v>
      </c>
      <c r="L235" s="221">
        <v>14</v>
      </c>
      <c r="M235" s="222"/>
      <c r="N235" s="223">
        <v>1</v>
      </c>
      <c r="O235" s="222">
        <v>1</v>
      </c>
      <c r="P235" s="328">
        <f t="shared" si="167"/>
        <v>2</v>
      </c>
      <c r="Q235" s="328">
        <f t="shared" si="168"/>
        <v>12</v>
      </c>
      <c r="R235" s="329">
        <f t="shared" si="169"/>
        <v>0.8571428571428571</v>
      </c>
      <c r="S235" s="225">
        <v>12</v>
      </c>
      <c r="T235" s="226"/>
      <c r="U235" s="226"/>
      <c r="V235" s="226"/>
      <c r="W235" s="330">
        <f t="shared" si="170"/>
        <v>0</v>
      </c>
      <c r="X235" s="330">
        <f t="shared" si="171"/>
        <v>12</v>
      </c>
      <c r="Y235" s="331">
        <f t="shared" si="172"/>
        <v>1</v>
      </c>
      <c r="Z235" s="228">
        <v>21</v>
      </c>
      <c r="AA235" s="255"/>
      <c r="AB235" s="255"/>
      <c r="AC235" s="255"/>
      <c r="AD235" s="280">
        <f t="shared" si="173"/>
        <v>0</v>
      </c>
      <c r="AE235" s="280">
        <f t="shared" si="174"/>
        <v>21</v>
      </c>
      <c r="AF235" s="281">
        <f t="shared" si="175"/>
        <v>1</v>
      </c>
      <c r="AG235" s="229">
        <v>18</v>
      </c>
      <c r="AH235" s="257"/>
      <c r="AI235" s="257"/>
      <c r="AJ235" s="257"/>
      <c r="AK235" s="305">
        <f t="shared" si="176"/>
        <v>0</v>
      </c>
      <c r="AL235" s="305">
        <f t="shared" si="177"/>
        <v>18</v>
      </c>
      <c r="AM235" s="306">
        <f t="shared" si="178"/>
        <v>1</v>
      </c>
      <c r="AN235" s="230">
        <v>14</v>
      </c>
      <c r="AO235" s="259"/>
      <c r="AP235" s="259"/>
      <c r="AQ235" s="259"/>
      <c r="AR235" s="307">
        <f t="shared" si="179"/>
        <v>0</v>
      </c>
      <c r="AS235" s="307">
        <f t="shared" si="180"/>
        <v>14</v>
      </c>
      <c r="AT235" s="308">
        <f t="shared" si="181"/>
        <v>1</v>
      </c>
      <c r="AU235" s="289"/>
      <c r="AV235" s="289"/>
      <c r="AW235" s="289"/>
      <c r="AX235" s="290">
        <v>108</v>
      </c>
      <c r="AY235" s="289">
        <f t="shared" si="182"/>
        <v>108</v>
      </c>
      <c r="AZ235" s="291">
        <f t="shared" si="183"/>
        <v>1</v>
      </c>
      <c r="BA235" s="310"/>
      <c r="BB235" s="386">
        <v>98</v>
      </c>
      <c r="BC235" s="379">
        <f t="shared" si="184"/>
        <v>0</v>
      </c>
      <c r="BD235" s="378">
        <f t="shared" si="185"/>
        <v>0</v>
      </c>
      <c r="BE235" s="379"/>
      <c r="BF235" s="387">
        <f t="shared" si="163"/>
        <v>98</v>
      </c>
    </row>
    <row r="236" spans="1:58" x14ac:dyDescent="0.35">
      <c r="A236" s="193" t="s">
        <v>44</v>
      </c>
      <c r="B236" s="56" t="s">
        <v>847</v>
      </c>
      <c r="C236" s="47" t="s">
        <v>422</v>
      </c>
      <c r="D236" s="42" t="s">
        <v>8</v>
      </c>
      <c r="E236" s="215">
        <v>19</v>
      </c>
      <c r="F236" s="217"/>
      <c r="G236" s="217"/>
      <c r="H236" s="217"/>
      <c r="I236" s="326">
        <f t="shared" si="164"/>
        <v>0</v>
      </c>
      <c r="J236" s="326">
        <f t="shared" si="165"/>
        <v>19</v>
      </c>
      <c r="K236" s="327">
        <f t="shared" si="166"/>
        <v>1</v>
      </c>
      <c r="L236" s="221">
        <v>14</v>
      </c>
      <c r="M236" s="222"/>
      <c r="N236" s="223"/>
      <c r="O236" s="222">
        <v>1</v>
      </c>
      <c r="P236" s="328">
        <f t="shared" si="167"/>
        <v>1</v>
      </c>
      <c r="Q236" s="328">
        <f t="shared" si="168"/>
        <v>13</v>
      </c>
      <c r="R236" s="329">
        <f t="shared" si="169"/>
        <v>0.9285714285714286</v>
      </c>
      <c r="S236" s="225">
        <v>12</v>
      </c>
      <c r="T236" s="226"/>
      <c r="U236" s="226"/>
      <c r="V236" s="226"/>
      <c r="W236" s="330">
        <f t="shared" si="170"/>
        <v>0</v>
      </c>
      <c r="X236" s="330">
        <f t="shared" si="171"/>
        <v>12</v>
      </c>
      <c r="Y236" s="331">
        <f t="shared" si="172"/>
        <v>1</v>
      </c>
      <c r="Z236" s="228">
        <v>21</v>
      </c>
      <c r="AA236" s="255"/>
      <c r="AB236" s="255"/>
      <c r="AC236" s="255"/>
      <c r="AD236" s="280">
        <f t="shared" si="173"/>
        <v>0</v>
      </c>
      <c r="AE236" s="280">
        <f t="shared" si="174"/>
        <v>21</v>
      </c>
      <c r="AF236" s="281">
        <f t="shared" si="175"/>
        <v>1</v>
      </c>
      <c r="AG236" s="229">
        <v>18</v>
      </c>
      <c r="AH236" s="257"/>
      <c r="AI236" s="257"/>
      <c r="AJ236" s="257"/>
      <c r="AK236" s="305">
        <f t="shared" si="176"/>
        <v>0</v>
      </c>
      <c r="AL236" s="305">
        <f t="shared" si="177"/>
        <v>18</v>
      </c>
      <c r="AM236" s="306">
        <f t="shared" si="178"/>
        <v>1</v>
      </c>
      <c r="AN236" s="230">
        <v>14</v>
      </c>
      <c r="AO236" s="259"/>
      <c r="AP236" s="259"/>
      <c r="AQ236" s="259"/>
      <c r="AR236" s="307">
        <f t="shared" si="179"/>
        <v>0</v>
      </c>
      <c r="AS236" s="307">
        <f t="shared" si="180"/>
        <v>14</v>
      </c>
      <c r="AT236" s="308">
        <f t="shared" si="181"/>
        <v>1</v>
      </c>
      <c r="AU236" s="289"/>
      <c r="AV236" s="289"/>
      <c r="AW236" s="289"/>
      <c r="AX236" s="290">
        <v>108</v>
      </c>
      <c r="AY236" s="289">
        <f t="shared" si="182"/>
        <v>108</v>
      </c>
      <c r="AZ236" s="291">
        <f t="shared" si="183"/>
        <v>1</v>
      </c>
      <c r="BA236" s="310"/>
      <c r="BB236" s="386">
        <v>100</v>
      </c>
      <c r="BC236" s="379">
        <f t="shared" si="184"/>
        <v>0</v>
      </c>
      <c r="BD236" s="378">
        <f t="shared" si="185"/>
        <v>0</v>
      </c>
      <c r="BE236" s="379"/>
      <c r="BF236" s="387">
        <f t="shared" si="163"/>
        <v>100</v>
      </c>
    </row>
    <row r="237" spans="1:58" x14ac:dyDescent="0.35">
      <c r="A237" s="193" t="s">
        <v>45</v>
      </c>
      <c r="B237" s="56" t="s">
        <v>848</v>
      </c>
      <c r="C237" s="47" t="s">
        <v>423</v>
      </c>
      <c r="D237" s="42" t="s">
        <v>8</v>
      </c>
      <c r="E237" s="215">
        <v>19</v>
      </c>
      <c r="F237" s="217"/>
      <c r="G237" s="217">
        <v>2</v>
      </c>
      <c r="H237" s="217"/>
      <c r="I237" s="326">
        <f t="shared" si="164"/>
        <v>2</v>
      </c>
      <c r="J237" s="326">
        <f t="shared" si="165"/>
        <v>17</v>
      </c>
      <c r="K237" s="327">
        <f t="shared" si="166"/>
        <v>0.89473684210526316</v>
      </c>
      <c r="L237" s="221">
        <v>14</v>
      </c>
      <c r="M237" s="223"/>
      <c r="N237" s="222"/>
      <c r="O237" s="222">
        <v>2</v>
      </c>
      <c r="P237" s="328">
        <f t="shared" si="167"/>
        <v>2</v>
      </c>
      <c r="Q237" s="328">
        <f t="shared" si="168"/>
        <v>12</v>
      </c>
      <c r="R237" s="329">
        <f t="shared" si="169"/>
        <v>0.8571428571428571</v>
      </c>
      <c r="S237" s="225">
        <v>12</v>
      </c>
      <c r="T237" s="226"/>
      <c r="U237" s="226"/>
      <c r="V237" s="226"/>
      <c r="W237" s="330">
        <f t="shared" si="170"/>
        <v>0</v>
      </c>
      <c r="X237" s="330">
        <f t="shared" si="171"/>
        <v>12</v>
      </c>
      <c r="Y237" s="331">
        <f t="shared" si="172"/>
        <v>1</v>
      </c>
      <c r="Z237" s="228">
        <v>21</v>
      </c>
      <c r="AA237" s="255"/>
      <c r="AB237" s="255"/>
      <c r="AC237" s="255"/>
      <c r="AD237" s="280">
        <f t="shared" si="173"/>
        <v>0</v>
      </c>
      <c r="AE237" s="280">
        <f t="shared" si="174"/>
        <v>21</v>
      </c>
      <c r="AF237" s="281">
        <f t="shared" si="175"/>
        <v>1</v>
      </c>
      <c r="AG237" s="229">
        <v>18</v>
      </c>
      <c r="AH237" s="257"/>
      <c r="AI237" s="257"/>
      <c r="AJ237" s="257"/>
      <c r="AK237" s="305">
        <f t="shared" si="176"/>
        <v>0</v>
      </c>
      <c r="AL237" s="305">
        <f t="shared" si="177"/>
        <v>18</v>
      </c>
      <c r="AM237" s="306">
        <f t="shared" si="178"/>
        <v>1</v>
      </c>
      <c r="AN237" s="230">
        <v>14</v>
      </c>
      <c r="AO237" s="259"/>
      <c r="AP237" s="259"/>
      <c r="AQ237" s="259"/>
      <c r="AR237" s="307">
        <f t="shared" si="179"/>
        <v>0</v>
      </c>
      <c r="AS237" s="307">
        <f t="shared" si="180"/>
        <v>14</v>
      </c>
      <c r="AT237" s="308">
        <f t="shared" si="181"/>
        <v>1</v>
      </c>
      <c r="AU237" s="289"/>
      <c r="AV237" s="289"/>
      <c r="AW237" s="289"/>
      <c r="AX237" s="290">
        <v>108</v>
      </c>
      <c r="AY237" s="289">
        <f t="shared" si="182"/>
        <v>108</v>
      </c>
      <c r="AZ237" s="291">
        <f t="shared" si="183"/>
        <v>1</v>
      </c>
      <c r="BA237" s="310"/>
      <c r="BB237" s="386">
        <v>98</v>
      </c>
      <c r="BC237" s="379">
        <f t="shared" si="184"/>
        <v>0</v>
      </c>
      <c r="BD237" s="378">
        <f t="shared" si="185"/>
        <v>0</v>
      </c>
      <c r="BE237" s="379"/>
      <c r="BF237" s="387">
        <f t="shared" si="163"/>
        <v>98</v>
      </c>
    </row>
    <row r="238" spans="1:58" x14ac:dyDescent="0.35">
      <c r="A238" s="193" t="s">
        <v>46</v>
      </c>
      <c r="B238" s="56" t="s">
        <v>849</v>
      </c>
      <c r="C238" s="47" t="s">
        <v>424</v>
      </c>
      <c r="D238" s="42" t="s">
        <v>8</v>
      </c>
      <c r="E238" s="215">
        <v>19</v>
      </c>
      <c r="F238" s="217"/>
      <c r="G238" s="217">
        <v>1</v>
      </c>
      <c r="H238" s="217"/>
      <c r="I238" s="326">
        <f t="shared" si="164"/>
        <v>1</v>
      </c>
      <c r="J238" s="326">
        <f t="shared" si="165"/>
        <v>18</v>
      </c>
      <c r="K238" s="327">
        <f t="shared" si="166"/>
        <v>0.94736842105263153</v>
      </c>
      <c r="L238" s="221">
        <v>14</v>
      </c>
      <c r="M238" s="223"/>
      <c r="N238" s="223"/>
      <c r="O238" s="222">
        <v>1</v>
      </c>
      <c r="P238" s="328">
        <f t="shared" si="167"/>
        <v>1</v>
      </c>
      <c r="Q238" s="328">
        <f t="shared" si="168"/>
        <v>13</v>
      </c>
      <c r="R238" s="329">
        <f t="shared" si="169"/>
        <v>0.9285714285714286</v>
      </c>
      <c r="S238" s="225">
        <v>12</v>
      </c>
      <c r="T238" s="226"/>
      <c r="U238" s="226"/>
      <c r="V238" s="226"/>
      <c r="W238" s="330">
        <f t="shared" si="170"/>
        <v>0</v>
      </c>
      <c r="X238" s="330">
        <f t="shared" si="171"/>
        <v>12</v>
      </c>
      <c r="Y238" s="331">
        <f t="shared" si="172"/>
        <v>1</v>
      </c>
      <c r="Z238" s="228">
        <v>21</v>
      </c>
      <c r="AA238" s="255"/>
      <c r="AB238" s="255"/>
      <c r="AC238" s="255"/>
      <c r="AD238" s="280">
        <f t="shared" si="173"/>
        <v>0</v>
      </c>
      <c r="AE238" s="280">
        <f t="shared" si="174"/>
        <v>21</v>
      </c>
      <c r="AF238" s="281">
        <f t="shared" si="175"/>
        <v>1</v>
      </c>
      <c r="AG238" s="229">
        <v>18</v>
      </c>
      <c r="AH238" s="257"/>
      <c r="AI238" s="257"/>
      <c r="AJ238" s="257"/>
      <c r="AK238" s="305">
        <f t="shared" si="176"/>
        <v>0</v>
      </c>
      <c r="AL238" s="305">
        <f t="shared" si="177"/>
        <v>18</v>
      </c>
      <c r="AM238" s="306">
        <f t="shared" si="178"/>
        <v>1</v>
      </c>
      <c r="AN238" s="230">
        <v>14</v>
      </c>
      <c r="AO238" s="259"/>
      <c r="AP238" s="259"/>
      <c r="AQ238" s="259"/>
      <c r="AR238" s="307">
        <f t="shared" si="179"/>
        <v>0</v>
      </c>
      <c r="AS238" s="307">
        <f t="shared" si="180"/>
        <v>14</v>
      </c>
      <c r="AT238" s="308">
        <f t="shared" si="181"/>
        <v>1</v>
      </c>
      <c r="AU238" s="289"/>
      <c r="AV238" s="289"/>
      <c r="AW238" s="289"/>
      <c r="AX238" s="290">
        <v>108</v>
      </c>
      <c r="AY238" s="289">
        <f t="shared" si="182"/>
        <v>108</v>
      </c>
      <c r="AZ238" s="291">
        <f t="shared" si="183"/>
        <v>1</v>
      </c>
      <c r="BA238" s="310"/>
      <c r="BB238" s="386">
        <v>98</v>
      </c>
      <c r="BC238" s="379">
        <f t="shared" si="184"/>
        <v>0</v>
      </c>
      <c r="BD238" s="378">
        <f t="shared" si="185"/>
        <v>0</v>
      </c>
      <c r="BE238" s="379"/>
      <c r="BF238" s="387">
        <f t="shared" si="163"/>
        <v>98</v>
      </c>
    </row>
    <row r="239" spans="1:58" x14ac:dyDescent="0.35">
      <c r="A239" s="193" t="s">
        <v>47</v>
      </c>
      <c r="B239" s="56" t="s">
        <v>850</v>
      </c>
      <c r="C239" s="77" t="s">
        <v>851</v>
      </c>
      <c r="D239" s="78" t="s">
        <v>8</v>
      </c>
      <c r="E239" s="215">
        <v>19</v>
      </c>
      <c r="F239" s="217"/>
      <c r="G239" s="217"/>
      <c r="H239" s="217"/>
      <c r="I239" s="326">
        <f t="shared" si="164"/>
        <v>0</v>
      </c>
      <c r="J239" s="326">
        <f t="shared" si="165"/>
        <v>19</v>
      </c>
      <c r="K239" s="327">
        <f t="shared" si="166"/>
        <v>1</v>
      </c>
      <c r="L239" s="221">
        <v>14</v>
      </c>
      <c r="M239" s="222"/>
      <c r="N239" s="222"/>
      <c r="O239" s="222">
        <v>3</v>
      </c>
      <c r="P239" s="328">
        <f t="shared" si="167"/>
        <v>3</v>
      </c>
      <c r="Q239" s="328">
        <f t="shared" si="168"/>
        <v>11</v>
      </c>
      <c r="R239" s="329">
        <f t="shared" si="169"/>
        <v>0.7857142857142857</v>
      </c>
      <c r="S239" s="225">
        <v>12</v>
      </c>
      <c r="T239" s="226"/>
      <c r="U239" s="226"/>
      <c r="V239" s="226"/>
      <c r="W239" s="330">
        <f t="shared" si="170"/>
        <v>0</v>
      </c>
      <c r="X239" s="330">
        <f t="shared" si="171"/>
        <v>12</v>
      </c>
      <c r="Y239" s="331">
        <f t="shared" si="172"/>
        <v>1</v>
      </c>
      <c r="Z239" s="228">
        <v>21</v>
      </c>
      <c r="AA239" s="255"/>
      <c r="AB239" s="255"/>
      <c r="AC239" s="255"/>
      <c r="AD239" s="280">
        <f t="shared" si="173"/>
        <v>0</v>
      </c>
      <c r="AE239" s="280">
        <f t="shared" si="174"/>
        <v>21</v>
      </c>
      <c r="AF239" s="281">
        <f t="shared" si="175"/>
        <v>1</v>
      </c>
      <c r="AG239" s="229">
        <v>18</v>
      </c>
      <c r="AH239" s="257"/>
      <c r="AI239" s="257"/>
      <c r="AJ239" s="257"/>
      <c r="AK239" s="305">
        <f t="shared" si="176"/>
        <v>0</v>
      </c>
      <c r="AL239" s="305">
        <f t="shared" si="177"/>
        <v>18</v>
      </c>
      <c r="AM239" s="306">
        <f t="shared" si="178"/>
        <v>1</v>
      </c>
      <c r="AN239" s="230">
        <v>14</v>
      </c>
      <c r="AO239" s="259"/>
      <c r="AP239" s="259"/>
      <c r="AQ239" s="259"/>
      <c r="AR239" s="307">
        <f t="shared" si="179"/>
        <v>0</v>
      </c>
      <c r="AS239" s="307">
        <f t="shared" si="180"/>
        <v>14</v>
      </c>
      <c r="AT239" s="308">
        <f t="shared" si="181"/>
        <v>1</v>
      </c>
      <c r="AU239" s="289"/>
      <c r="AV239" s="289"/>
      <c r="AW239" s="289"/>
      <c r="AX239" s="290">
        <v>108</v>
      </c>
      <c r="AY239" s="289">
        <f t="shared" si="182"/>
        <v>108</v>
      </c>
      <c r="AZ239" s="291">
        <f t="shared" si="183"/>
        <v>1</v>
      </c>
      <c r="BA239" s="310"/>
      <c r="BB239" s="386">
        <v>100</v>
      </c>
      <c r="BC239" s="379">
        <f t="shared" si="184"/>
        <v>0</v>
      </c>
      <c r="BD239" s="378">
        <f t="shared" si="185"/>
        <v>0</v>
      </c>
      <c r="BE239" s="379"/>
      <c r="BF239" s="387">
        <f t="shared" si="163"/>
        <v>100</v>
      </c>
    </row>
    <row r="240" spans="1:58" x14ac:dyDescent="0.35">
      <c r="A240" s="193" t="s">
        <v>48</v>
      </c>
      <c r="B240" s="56" t="s">
        <v>852</v>
      </c>
      <c r="C240" s="77" t="s">
        <v>425</v>
      </c>
      <c r="D240" s="78" t="s">
        <v>8</v>
      </c>
      <c r="E240" s="215">
        <v>19</v>
      </c>
      <c r="F240" s="217"/>
      <c r="G240" s="218"/>
      <c r="H240" s="217"/>
      <c r="I240" s="326">
        <f t="shared" si="164"/>
        <v>0</v>
      </c>
      <c r="J240" s="326">
        <f t="shared" si="165"/>
        <v>19</v>
      </c>
      <c r="K240" s="327">
        <f t="shared" si="166"/>
        <v>1</v>
      </c>
      <c r="L240" s="221">
        <v>14</v>
      </c>
      <c r="M240" s="222"/>
      <c r="N240" s="223"/>
      <c r="O240" s="223">
        <v>1</v>
      </c>
      <c r="P240" s="328">
        <f t="shared" si="167"/>
        <v>1</v>
      </c>
      <c r="Q240" s="328">
        <f t="shared" si="168"/>
        <v>13</v>
      </c>
      <c r="R240" s="329">
        <f t="shared" si="169"/>
        <v>0.9285714285714286</v>
      </c>
      <c r="S240" s="225">
        <v>12</v>
      </c>
      <c r="T240" s="226"/>
      <c r="U240" s="226"/>
      <c r="V240" s="226"/>
      <c r="W240" s="330">
        <f t="shared" si="170"/>
        <v>0</v>
      </c>
      <c r="X240" s="330">
        <f t="shared" si="171"/>
        <v>12</v>
      </c>
      <c r="Y240" s="331">
        <f t="shared" si="172"/>
        <v>1</v>
      </c>
      <c r="Z240" s="228">
        <v>21</v>
      </c>
      <c r="AA240" s="255"/>
      <c r="AB240" s="255"/>
      <c r="AC240" s="255"/>
      <c r="AD240" s="280">
        <f t="shared" si="173"/>
        <v>0</v>
      </c>
      <c r="AE240" s="280">
        <f t="shared" si="174"/>
        <v>21</v>
      </c>
      <c r="AF240" s="281">
        <f t="shared" si="175"/>
        <v>1</v>
      </c>
      <c r="AG240" s="229">
        <v>18</v>
      </c>
      <c r="AH240" s="257"/>
      <c r="AI240" s="257"/>
      <c r="AJ240" s="257"/>
      <c r="AK240" s="305">
        <f t="shared" si="176"/>
        <v>0</v>
      </c>
      <c r="AL240" s="305">
        <f t="shared" si="177"/>
        <v>18</v>
      </c>
      <c r="AM240" s="306">
        <f t="shared" si="178"/>
        <v>1</v>
      </c>
      <c r="AN240" s="230">
        <v>14</v>
      </c>
      <c r="AO240" s="259"/>
      <c r="AP240" s="259"/>
      <c r="AQ240" s="259"/>
      <c r="AR240" s="307">
        <f t="shared" si="179"/>
        <v>0</v>
      </c>
      <c r="AS240" s="307">
        <f t="shared" si="180"/>
        <v>14</v>
      </c>
      <c r="AT240" s="308">
        <f t="shared" si="181"/>
        <v>1</v>
      </c>
      <c r="AU240" s="289"/>
      <c r="AV240" s="289"/>
      <c r="AW240" s="289"/>
      <c r="AX240" s="290">
        <v>108</v>
      </c>
      <c r="AY240" s="289">
        <f t="shared" si="182"/>
        <v>108</v>
      </c>
      <c r="AZ240" s="291">
        <f t="shared" si="183"/>
        <v>1</v>
      </c>
      <c r="BA240" s="310"/>
      <c r="BB240" s="386">
        <v>98</v>
      </c>
      <c r="BC240" s="379">
        <f t="shared" si="184"/>
        <v>0</v>
      </c>
      <c r="BD240" s="378">
        <f t="shared" si="185"/>
        <v>0</v>
      </c>
      <c r="BE240" s="379"/>
      <c r="BF240" s="387">
        <f t="shared" si="163"/>
        <v>98</v>
      </c>
    </row>
    <row r="241" spans="1:58" x14ac:dyDescent="0.35">
      <c r="A241" s="193" t="s">
        <v>49</v>
      </c>
      <c r="B241" s="79"/>
      <c r="C241" s="102" t="s">
        <v>853</v>
      </c>
      <c r="D241" s="78" t="s">
        <v>8</v>
      </c>
      <c r="E241" s="215">
        <v>19</v>
      </c>
      <c r="F241" s="217"/>
      <c r="G241" s="218"/>
      <c r="H241" s="217"/>
      <c r="I241" s="326">
        <f t="shared" si="164"/>
        <v>0</v>
      </c>
      <c r="J241" s="326">
        <f t="shared" si="165"/>
        <v>19</v>
      </c>
      <c r="K241" s="327">
        <f t="shared" si="166"/>
        <v>1</v>
      </c>
      <c r="L241" s="221">
        <v>14</v>
      </c>
      <c r="M241" s="222"/>
      <c r="N241" s="223"/>
      <c r="O241" s="222">
        <v>1</v>
      </c>
      <c r="P241" s="328">
        <f t="shared" si="167"/>
        <v>1</v>
      </c>
      <c r="Q241" s="328">
        <f t="shared" si="168"/>
        <v>13</v>
      </c>
      <c r="R241" s="329">
        <f t="shared" si="169"/>
        <v>0.9285714285714286</v>
      </c>
      <c r="S241" s="225">
        <v>12</v>
      </c>
      <c r="T241" s="226"/>
      <c r="U241" s="226"/>
      <c r="V241" s="226"/>
      <c r="W241" s="330">
        <f t="shared" si="170"/>
        <v>0</v>
      </c>
      <c r="X241" s="330">
        <f t="shared" si="171"/>
        <v>12</v>
      </c>
      <c r="Y241" s="331">
        <f t="shared" si="172"/>
        <v>1</v>
      </c>
      <c r="Z241" s="228">
        <v>21</v>
      </c>
      <c r="AA241" s="255"/>
      <c r="AB241" s="255"/>
      <c r="AC241" s="255"/>
      <c r="AD241" s="280">
        <f t="shared" si="173"/>
        <v>0</v>
      </c>
      <c r="AE241" s="280">
        <f t="shared" si="174"/>
        <v>21</v>
      </c>
      <c r="AF241" s="281">
        <f t="shared" si="175"/>
        <v>1</v>
      </c>
      <c r="AG241" s="229">
        <v>18</v>
      </c>
      <c r="AH241" s="257"/>
      <c r="AI241" s="257"/>
      <c r="AJ241" s="257"/>
      <c r="AK241" s="305">
        <f t="shared" si="176"/>
        <v>0</v>
      </c>
      <c r="AL241" s="305">
        <f t="shared" si="177"/>
        <v>18</v>
      </c>
      <c r="AM241" s="306">
        <f t="shared" si="178"/>
        <v>1</v>
      </c>
      <c r="AN241" s="230">
        <v>14</v>
      </c>
      <c r="AO241" s="259"/>
      <c r="AP241" s="259"/>
      <c r="AQ241" s="259"/>
      <c r="AR241" s="307">
        <f t="shared" si="179"/>
        <v>0</v>
      </c>
      <c r="AS241" s="307">
        <f t="shared" si="180"/>
        <v>14</v>
      </c>
      <c r="AT241" s="308">
        <f t="shared" si="181"/>
        <v>1</v>
      </c>
      <c r="AU241" s="289"/>
      <c r="AV241" s="289"/>
      <c r="AW241" s="289"/>
      <c r="AX241" s="290">
        <v>108</v>
      </c>
      <c r="AY241" s="289">
        <f t="shared" si="182"/>
        <v>108</v>
      </c>
      <c r="AZ241" s="291">
        <f t="shared" si="183"/>
        <v>1</v>
      </c>
      <c r="BA241" s="310"/>
      <c r="BB241" s="386">
        <v>98</v>
      </c>
      <c r="BC241" s="379">
        <f t="shared" si="184"/>
        <v>0</v>
      </c>
      <c r="BD241" s="378">
        <f t="shared" si="185"/>
        <v>0</v>
      </c>
      <c r="BE241" s="379"/>
      <c r="BF241" s="387">
        <f t="shared" si="163"/>
        <v>98</v>
      </c>
    </row>
    <row r="242" spans="1:58" s="323" customFormat="1" x14ac:dyDescent="0.35"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86"/>
      <c r="AV242" s="286"/>
      <c r="AW242" s="286"/>
      <c r="AX242" s="286"/>
      <c r="AY242" s="286"/>
      <c r="AZ242" s="286"/>
      <c r="BA242" s="288"/>
      <c r="BB242" s="319"/>
      <c r="BC242" s="288"/>
      <c r="BD242" s="288"/>
      <c r="BE242" s="288"/>
      <c r="BF242" s="304"/>
    </row>
    <row r="243" spans="1:58" s="323" customFormat="1" x14ac:dyDescent="0.35"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86"/>
      <c r="AV243" s="286"/>
      <c r="AW243" s="286"/>
      <c r="AX243" s="286"/>
      <c r="AY243" s="286"/>
      <c r="AZ243" s="286"/>
      <c r="BA243" s="288"/>
      <c r="BB243" s="319"/>
      <c r="BC243" s="288"/>
      <c r="BD243" s="288"/>
      <c r="BE243" s="288"/>
      <c r="BF243" s="304"/>
    </row>
    <row r="244" spans="1:58" s="323" customFormat="1" x14ac:dyDescent="0.35"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86"/>
      <c r="AV244" s="286"/>
      <c r="AW244" s="286"/>
      <c r="AX244" s="286"/>
      <c r="AY244" s="286"/>
      <c r="AZ244" s="286"/>
      <c r="BA244" s="288"/>
      <c r="BB244" s="319"/>
      <c r="BC244" s="288"/>
      <c r="BD244" s="288"/>
      <c r="BE244" s="288"/>
      <c r="BF244" s="304"/>
    </row>
    <row r="245" spans="1:58" s="323" customFormat="1" x14ac:dyDescent="0.35"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86"/>
      <c r="AV245" s="286"/>
      <c r="AW245" s="286"/>
      <c r="AX245" s="286"/>
      <c r="AY245" s="286"/>
      <c r="AZ245" s="286"/>
      <c r="BA245" s="288"/>
      <c r="BB245" s="319"/>
      <c r="BC245" s="288"/>
      <c r="BD245" s="288"/>
      <c r="BE245" s="288"/>
      <c r="BF245" s="304"/>
    </row>
    <row r="246" spans="1:58" s="323" customFormat="1" x14ac:dyDescent="0.35"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86"/>
      <c r="AV246" s="286"/>
      <c r="AW246" s="286"/>
      <c r="AX246" s="286"/>
      <c r="AY246" s="286"/>
      <c r="AZ246" s="286"/>
      <c r="BA246" s="288"/>
      <c r="BB246" s="319"/>
      <c r="BC246" s="288"/>
      <c r="BD246" s="288"/>
      <c r="BE246" s="288"/>
      <c r="BF246" s="304"/>
    </row>
    <row r="247" spans="1:58" s="323" customFormat="1" x14ac:dyDescent="0.35"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86"/>
      <c r="AV247" s="286"/>
      <c r="AW247" s="286"/>
      <c r="AX247" s="286"/>
      <c r="AY247" s="286"/>
      <c r="AZ247" s="286"/>
      <c r="BA247" s="288"/>
      <c r="BB247" s="319"/>
      <c r="BC247" s="288"/>
      <c r="BD247" s="288"/>
      <c r="BE247" s="288"/>
      <c r="BF247" s="304"/>
    </row>
    <row r="248" spans="1:58" s="323" customFormat="1" x14ac:dyDescent="0.35"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86"/>
      <c r="AV248" s="286"/>
      <c r="AW248" s="286"/>
      <c r="AX248" s="286"/>
      <c r="AY248" s="286"/>
      <c r="AZ248" s="286"/>
      <c r="BA248" s="288"/>
      <c r="BB248" s="319"/>
      <c r="BC248" s="288"/>
      <c r="BD248" s="288"/>
      <c r="BE248" s="288"/>
      <c r="BF248" s="304"/>
    </row>
    <row r="249" spans="1:58" s="323" customFormat="1" x14ac:dyDescent="0.35"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86"/>
      <c r="AV249" s="286"/>
      <c r="AW249" s="286"/>
      <c r="AX249" s="286"/>
      <c r="AY249" s="286"/>
      <c r="AZ249" s="286"/>
      <c r="BA249" s="288"/>
      <c r="BB249" s="319"/>
      <c r="BC249" s="288"/>
      <c r="BD249" s="288"/>
      <c r="BE249" s="288"/>
      <c r="BF249" s="304"/>
    </row>
    <row r="250" spans="1:58" s="323" customFormat="1" x14ac:dyDescent="0.35"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86"/>
      <c r="AV250" s="286"/>
      <c r="AW250" s="286"/>
      <c r="AX250" s="286"/>
      <c r="AY250" s="286"/>
      <c r="AZ250" s="286"/>
      <c r="BA250" s="288"/>
      <c r="BB250" s="319"/>
      <c r="BC250" s="288"/>
      <c r="BD250" s="288"/>
      <c r="BE250" s="288"/>
      <c r="BF250" s="304"/>
    </row>
    <row r="251" spans="1:58" s="323" customFormat="1" x14ac:dyDescent="0.35"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86"/>
      <c r="AV251" s="286"/>
      <c r="AW251" s="286"/>
      <c r="AX251" s="286"/>
      <c r="AY251" s="286"/>
      <c r="AZ251" s="286"/>
      <c r="BA251" s="288"/>
      <c r="BB251" s="319"/>
      <c r="BC251" s="288"/>
      <c r="BD251" s="288"/>
      <c r="BE251" s="288"/>
      <c r="BF251" s="304"/>
    </row>
    <row r="252" spans="1:58" s="323" customFormat="1" x14ac:dyDescent="0.35"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86"/>
      <c r="AV252" s="286"/>
      <c r="AW252" s="286"/>
      <c r="AX252" s="286"/>
      <c r="AY252" s="286"/>
      <c r="AZ252" s="286"/>
      <c r="BA252" s="288"/>
      <c r="BB252" s="319"/>
      <c r="BC252" s="288"/>
      <c r="BD252" s="288"/>
      <c r="BE252" s="288"/>
      <c r="BF252" s="304"/>
    </row>
    <row r="253" spans="1:58" s="323" customFormat="1" x14ac:dyDescent="0.35"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86"/>
      <c r="AV253" s="286"/>
      <c r="AW253" s="286"/>
      <c r="AX253" s="286"/>
      <c r="AY253" s="286"/>
      <c r="AZ253" s="286"/>
      <c r="BA253" s="288"/>
      <c r="BB253" s="319"/>
      <c r="BC253" s="288"/>
      <c r="BD253" s="288"/>
      <c r="BE253" s="288"/>
      <c r="BF253" s="304"/>
    </row>
    <row r="254" spans="1:58" s="323" customFormat="1" x14ac:dyDescent="0.35"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86"/>
      <c r="AV254" s="286"/>
      <c r="AW254" s="286"/>
      <c r="AX254" s="286"/>
      <c r="AY254" s="286"/>
      <c r="AZ254" s="286"/>
      <c r="BA254" s="288"/>
      <c r="BB254" s="319"/>
      <c r="BC254" s="288"/>
      <c r="BD254" s="288"/>
      <c r="BE254" s="288"/>
      <c r="BF254" s="304"/>
    </row>
    <row r="255" spans="1:58" s="323" customFormat="1" x14ac:dyDescent="0.35"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86"/>
      <c r="AV255" s="286"/>
      <c r="AW255" s="286"/>
      <c r="AX255" s="286"/>
      <c r="AY255" s="286"/>
      <c r="AZ255" s="286"/>
      <c r="BA255" s="288"/>
      <c r="BB255" s="319"/>
      <c r="BC255" s="288"/>
      <c r="BD255" s="288"/>
      <c r="BE255" s="288"/>
      <c r="BF255" s="304"/>
    </row>
    <row r="256" spans="1:58" s="323" customFormat="1" x14ac:dyDescent="0.35"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86"/>
      <c r="AV256" s="286"/>
      <c r="AW256" s="286"/>
      <c r="AX256" s="286"/>
      <c r="AY256" s="286"/>
      <c r="AZ256" s="286"/>
      <c r="BA256" s="288"/>
      <c r="BB256" s="319"/>
      <c r="BC256" s="288"/>
      <c r="BD256" s="288"/>
      <c r="BE256" s="288"/>
      <c r="BF256" s="304"/>
    </row>
    <row r="257" spans="6:58" s="323" customFormat="1" x14ac:dyDescent="0.35"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86"/>
      <c r="AV257" s="286"/>
      <c r="AW257" s="286"/>
      <c r="AX257" s="286"/>
      <c r="AY257" s="286"/>
      <c r="AZ257" s="286"/>
      <c r="BA257" s="288"/>
      <c r="BB257" s="319"/>
      <c r="BC257" s="288"/>
      <c r="BD257" s="288"/>
      <c r="BE257" s="288"/>
      <c r="BF257" s="304"/>
    </row>
    <row r="258" spans="6:58" s="323" customFormat="1" x14ac:dyDescent="0.35"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86"/>
      <c r="AV258" s="286"/>
      <c r="AW258" s="286"/>
      <c r="AX258" s="286"/>
      <c r="AY258" s="286"/>
      <c r="AZ258" s="286"/>
      <c r="BA258" s="288"/>
      <c r="BB258" s="319"/>
      <c r="BC258" s="288"/>
      <c r="BD258" s="288"/>
      <c r="BE258" s="288"/>
      <c r="BF258" s="304"/>
    </row>
    <row r="259" spans="6:58" s="323" customFormat="1" x14ac:dyDescent="0.35"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86"/>
      <c r="AV259" s="286"/>
      <c r="AW259" s="286"/>
      <c r="AX259" s="286"/>
      <c r="AY259" s="286"/>
      <c r="AZ259" s="286"/>
      <c r="BA259" s="288"/>
      <c r="BB259" s="319"/>
      <c r="BC259" s="288"/>
      <c r="BD259" s="288"/>
      <c r="BE259" s="288"/>
      <c r="BF259" s="304"/>
    </row>
    <row r="260" spans="6:58" s="323" customFormat="1" x14ac:dyDescent="0.35"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86"/>
      <c r="AV260" s="286"/>
      <c r="AW260" s="286"/>
      <c r="AX260" s="286"/>
      <c r="AY260" s="286"/>
      <c r="AZ260" s="286"/>
      <c r="BA260" s="288"/>
      <c r="BB260" s="319"/>
      <c r="BC260" s="288"/>
      <c r="BD260" s="288"/>
      <c r="BE260" s="288"/>
      <c r="BF260" s="304"/>
    </row>
    <row r="261" spans="6:58" s="323" customFormat="1" x14ac:dyDescent="0.35"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86"/>
      <c r="AV261" s="286"/>
      <c r="AW261" s="286"/>
      <c r="AX261" s="286"/>
      <c r="AY261" s="286"/>
      <c r="AZ261" s="286"/>
      <c r="BA261" s="288"/>
      <c r="BB261" s="319"/>
      <c r="BC261" s="288"/>
      <c r="BD261" s="288"/>
      <c r="BE261" s="288"/>
      <c r="BF261" s="304"/>
    </row>
    <row r="262" spans="6:58" s="323" customFormat="1" x14ac:dyDescent="0.35"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86"/>
      <c r="AV262" s="286"/>
      <c r="AW262" s="286"/>
      <c r="AX262" s="286"/>
      <c r="AY262" s="286"/>
      <c r="AZ262" s="286"/>
      <c r="BA262" s="288"/>
      <c r="BB262" s="319"/>
      <c r="BC262" s="288"/>
      <c r="BD262" s="288"/>
      <c r="BE262" s="288"/>
      <c r="BF262" s="304"/>
    </row>
    <row r="263" spans="6:58" s="323" customFormat="1" x14ac:dyDescent="0.35"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86"/>
      <c r="AV263" s="286"/>
      <c r="AW263" s="286"/>
      <c r="AX263" s="286"/>
      <c r="AY263" s="286"/>
      <c r="AZ263" s="286"/>
      <c r="BA263" s="288"/>
      <c r="BB263" s="319"/>
      <c r="BC263" s="288"/>
      <c r="BD263" s="288"/>
      <c r="BE263" s="288"/>
      <c r="BF263" s="304"/>
    </row>
    <row r="264" spans="6:58" s="323" customFormat="1" x14ac:dyDescent="0.35"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86"/>
      <c r="AV264" s="286"/>
      <c r="AW264" s="286"/>
      <c r="AX264" s="286"/>
      <c r="AY264" s="286"/>
      <c r="AZ264" s="286"/>
      <c r="BA264" s="288"/>
      <c r="BB264" s="319"/>
      <c r="BC264" s="288"/>
      <c r="BD264" s="288"/>
      <c r="BE264" s="288"/>
      <c r="BF264" s="304"/>
    </row>
    <row r="265" spans="6:58" s="323" customFormat="1" x14ac:dyDescent="0.35"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86"/>
      <c r="AV265" s="286"/>
      <c r="AW265" s="286"/>
      <c r="AX265" s="286"/>
      <c r="AY265" s="286"/>
      <c r="AZ265" s="286"/>
      <c r="BA265" s="288"/>
      <c r="BB265" s="319"/>
      <c r="BC265" s="288"/>
      <c r="BD265" s="288"/>
      <c r="BE265" s="288"/>
      <c r="BF265" s="304"/>
    </row>
    <row r="266" spans="6:58" s="323" customFormat="1" x14ac:dyDescent="0.35"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86"/>
      <c r="AV266" s="286"/>
      <c r="AW266" s="286"/>
      <c r="AX266" s="286"/>
      <c r="AY266" s="286"/>
      <c r="AZ266" s="286"/>
      <c r="BA266" s="288"/>
      <c r="BB266" s="319"/>
      <c r="BC266" s="288"/>
      <c r="BD266" s="288"/>
      <c r="BE266" s="288"/>
      <c r="BF266" s="304"/>
    </row>
    <row r="267" spans="6:58" s="323" customFormat="1" x14ac:dyDescent="0.35"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86"/>
      <c r="AV267" s="286"/>
      <c r="AW267" s="286"/>
      <c r="AX267" s="286"/>
      <c r="AY267" s="286"/>
      <c r="AZ267" s="286"/>
      <c r="BA267" s="288"/>
      <c r="BB267" s="319"/>
      <c r="BC267" s="288"/>
      <c r="BD267" s="288"/>
      <c r="BE267" s="288"/>
      <c r="BF267" s="304"/>
    </row>
    <row r="268" spans="6:58" s="323" customFormat="1" x14ac:dyDescent="0.35"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86"/>
      <c r="AV268" s="286"/>
      <c r="AW268" s="286"/>
      <c r="AX268" s="286"/>
      <c r="AY268" s="286"/>
      <c r="AZ268" s="286"/>
      <c r="BA268" s="288"/>
      <c r="BB268" s="319"/>
      <c r="BC268" s="288"/>
      <c r="BD268" s="288"/>
      <c r="BE268" s="288"/>
      <c r="BF268" s="304"/>
    </row>
    <row r="269" spans="6:58" s="323" customFormat="1" x14ac:dyDescent="0.35"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86"/>
      <c r="AV269" s="286"/>
      <c r="AW269" s="286"/>
      <c r="AX269" s="286"/>
      <c r="AY269" s="286"/>
      <c r="AZ269" s="286"/>
      <c r="BA269" s="288"/>
      <c r="BB269" s="319"/>
      <c r="BC269" s="288"/>
      <c r="BD269" s="288"/>
      <c r="BE269" s="288"/>
      <c r="BF269" s="304"/>
    </row>
    <row r="270" spans="6:58" s="323" customFormat="1" x14ac:dyDescent="0.35"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86"/>
      <c r="AV270" s="286"/>
      <c r="AW270" s="286"/>
      <c r="AX270" s="286"/>
      <c r="AY270" s="286"/>
      <c r="AZ270" s="286"/>
      <c r="BA270" s="288"/>
      <c r="BB270" s="319"/>
      <c r="BC270" s="288"/>
      <c r="BD270" s="288"/>
      <c r="BE270" s="288"/>
      <c r="BF270" s="304"/>
    </row>
    <row r="271" spans="6:58" s="323" customFormat="1" x14ac:dyDescent="0.35"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86"/>
      <c r="AV271" s="286"/>
      <c r="AW271" s="286"/>
      <c r="AX271" s="286"/>
      <c r="AY271" s="286"/>
      <c r="AZ271" s="286"/>
      <c r="BA271" s="288"/>
      <c r="BB271" s="319"/>
      <c r="BC271" s="288"/>
      <c r="BD271" s="288"/>
      <c r="BE271" s="288"/>
      <c r="BF271" s="304"/>
    </row>
    <row r="272" spans="6:58" s="323" customFormat="1" x14ac:dyDescent="0.35"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86"/>
      <c r="AV272" s="286"/>
      <c r="AW272" s="286"/>
      <c r="AX272" s="286"/>
      <c r="AY272" s="286"/>
      <c r="AZ272" s="286"/>
      <c r="BA272" s="288"/>
      <c r="BB272" s="319"/>
      <c r="BC272" s="288"/>
      <c r="BD272" s="288"/>
      <c r="BE272" s="288"/>
      <c r="BF272" s="304"/>
    </row>
    <row r="273" spans="6:58" s="323" customFormat="1" x14ac:dyDescent="0.35"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86"/>
      <c r="AV273" s="286"/>
      <c r="AW273" s="286"/>
      <c r="AX273" s="286"/>
      <c r="AY273" s="286"/>
      <c r="AZ273" s="286"/>
      <c r="BA273" s="288"/>
      <c r="BB273" s="319"/>
      <c r="BC273" s="288"/>
      <c r="BD273" s="288"/>
      <c r="BE273" s="288"/>
      <c r="BF273" s="304"/>
    </row>
    <row r="274" spans="6:58" s="323" customFormat="1" x14ac:dyDescent="0.35"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86"/>
      <c r="AV274" s="286"/>
      <c r="AW274" s="286"/>
      <c r="AX274" s="286"/>
      <c r="AY274" s="286"/>
      <c r="AZ274" s="286"/>
      <c r="BA274" s="288"/>
      <c r="BB274" s="319"/>
      <c r="BC274" s="288"/>
      <c r="BD274" s="288"/>
      <c r="BE274" s="288"/>
      <c r="BF274" s="304"/>
    </row>
    <row r="275" spans="6:58" s="323" customFormat="1" x14ac:dyDescent="0.35"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86"/>
      <c r="AV275" s="286"/>
      <c r="AW275" s="286"/>
      <c r="AX275" s="286"/>
      <c r="AY275" s="286"/>
      <c r="AZ275" s="286"/>
      <c r="BA275" s="288"/>
      <c r="BB275" s="319"/>
      <c r="BC275" s="288"/>
      <c r="BD275" s="288"/>
      <c r="BE275" s="288"/>
      <c r="BF275" s="304"/>
    </row>
    <row r="276" spans="6:58" s="323" customFormat="1" x14ac:dyDescent="0.35"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86"/>
      <c r="AV276" s="286"/>
      <c r="AW276" s="286"/>
      <c r="AX276" s="286"/>
      <c r="AY276" s="286"/>
      <c r="AZ276" s="286"/>
      <c r="BA276" s="288"/>
      <c r="BB276" s="319"/>
      <c r="BC276" s="288"/>
      <c r="BD276" s="288"/>
      <c r="BE276" s="288"/>
      <c r="BF276" s="304"/>
    </row>
    <row r="277" spans="6:58" s="323" customFormat="1" x14ac:dyDescent="0.35"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86"/>
      <c r="AV277" s="286"/>
      <c r="AW277" s="286"/>
      <c r="AX277" s="286"/>
      <c r="AY277" s="286"/>
      <c r="AZ277" s="286"/>
      <c r="BA277" s="288"/>
      <c r="BB277" s="319"/>
      <c r="BC277" s="288"/>
      <c r="BD277" s="288"/>
      <c r="BE277" s="288"/>
      <c r="BF277" s="304"/>
    </row>
    <row r="278" spans="6:58" s="323" customFormat="1" x14ac:dyDescent="0.35"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86"/>
      <c r="AV278" s="286"/>
      <c r="AW278" s="286"/>
      <c r="AX278" s="286"/>
      <c r="AY278" s="286"/>
      <c r="AZ278" s="286"/>
      <c r="BA278" s="288"/>
      <c r="BB278" s="319"/>
      <c r="BC278" s="288"/>
      <c r="BD278" s="288"/>
      <c r="BE278" s="288"/>
      <c r="BF278" s="304"/>
    </row>
    <row r="279" spans="6:58" s="323" customFormat="1" x14ac:dyDescent="0.35"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86"/>
      <c r="AV279" s="286"/>
      <c r="AW279" s="286"/>
      <c r="AX279" s="286"/>
      <c r="AY279" s="286"/>
      <c r="AZ279" s="286"/>
      <c r="BA279" s="288"/>
      <c r="BB279" s="319"/>
      <c r="BC279" s="288"/>
      <c r="BD279" s="288"/>
      <c r="BE279" s="288"/>
      <c r="BF279" s="304"/>
    </row>
    <row r="280" spans="6:58" s="323" customFormat="1" x14ac:dyDescent="0.35"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86"/>
      <c r="AV280" s="286"/>
      <c r="AW280" s="286"/>
      <c r="AX280" s="286"/>
      <c r="AY280" s="286"/>
      <c r="AZ280" s="286"/>
      <c r="BA280" s="288"/>
      <c r="BB280" s="319"/>
      <c r="BC280" s="288"/>
      <c r="BD280" s="288"/>
      <c r="BE280" s="288"/>
      <c r="BF280" s="304"/>
    </row>
    <row r="281" spans="6:58" s="323" customFormat="1" x14ac:dyDescent="0.35"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86"/>
      <c r="AV281" s="286"/>
      <c r="AW281" s="286"/>
      <c r="AX281" s="286"/>
      <c r="AY281" s="286"/>
      <c r="AZ281" s="286"/>
      <c r="BA281" s="288"/>
      <c r="BB281" s="319"/>
      <c r="BC281" s="288"/>
      <c r="BD281" s="288"/>
      <c r="BE281" s="288"/>
      <c r="BF281" s="304"/>
    </row>
    <row r="282" spans="6:58" s="323" customFormat="1" x14ac:dyDescent="0.35"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86"/>
      <c r="AV282" s="286"/>
      <c r="AW282" s="286"/>
      <c r="AX282" s="286"/>
      <c r="AY282" s="286"/>
      <c r="AZ282" s="286"/>
      <c r="BA282" s="288"/>
      <c r="BB282" s="319"/>
      <c r="BC282" s="288"/>
      <c r="BD282" s="288"/>
      <c r="BE282" s="288"/>
      <c r="BF282" s="304"/>
    </row>
    <row r="283" spans="6:58" s="323" customFormat="1" x14ac:dyDescent="0.35"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86"/>
      <c r="AV283" s="286"/>
      <c r="AW283" s="286"/>
      <c r="AX283" s="286"/>
      <c r="AY283" s="286"/>
      <c r="AZ283" s="286"/>
      <c r="BA283" s="288"/>
      <c r="BB283" s="319"/>
      <c r="BC283" s="288"/>
      <c r="BD283" s="288"/>
      <c r="BE283" s="288"/>
      <c r="BF283" s="304"/>
    </row>
    <row r="284" spans="6:58" s="323" customFormat="1" x14ac:dyDescent="0.35"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86"/>
      <c r="AV284" s="286"/>
      <c r="AW284" s="286"/>
      <c r="AX284" s="286"/>
      <c r="AY284" s="286"/>
      <c r="AZ284" s="286"/>
      <c r="BA284" s="288"/>
      <c r="BB284" s="319"/>
      <c r="BC284" s="288"/>
      <c r="BD284" s="288"/>
      <c r="BE284" s="288"/>
      <c r="BF284" s="304"/>
    </row>
    <row r="285" spans="6:58" s="323" customFormat="1" x14ac:dyDescent="0.35"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86"/>
      <c r="AV285" s="286"/>
      <c r="AW285" s="286"/>
      <c r="AX285" s="286"/>
      <c r="AY285" s="286"/>
      <c r="AZ285" s="286"/>
      <c r="BA285" s="288"/>
      <c r="BB285" s="319"/>
      <c r="BC285" s="288"/>
      <c r="BD285" s="288"/>
      <c r="BE285" s="288"/>
      <c r="BF285" s="304"/>
    </row>
    <row r="286" spans="6:58" s="323" customFormat="1" x14ac:dyDescent="0.35"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86"/>
      <c r="AV286" s="286"/>
      <c r="AW286" s="286"/>
      <c r="AX286" s="286"/>
      <c r="AY286" s="286"/>
      <c r="AZ286" s="286"/>
      <c r="BA286" s="288"/>
      <c r="BB286" s="319"/>
      <c r="BC286" s="288"/>
      <c r="BD286" s="288"/>
      <c r="BE286" s="288"/>
      <c r="BF286" s="304"/>
    </row>
    <row r="287" spans="6:58" s="323" customFormat="1" x14ac:dyDescent="0.35"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86"/>
      <c r="AV287" s="286"/>
      <c r="AW287" s="286"/>
      <c r="AX287" s="286"/>
      <c r="AY287" s="286"/>
      <c r="AZ287" s="286"/>
      <c r="BA287" s="288"/>
      <c r="BB287" s="319"/>
      <c r="BC287" s="288"/>
      <c r="BD287" s="288"/>
      <c r="BE287" s="288"/>
      <c r="BF287" s="304"/>
    </row>
    <row r="288" spans="6:58" s="323" customFormat="1" x14ac:dyDescent="0.35"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86"/>
      <c r="AV288" s="286"/>
      <c r="AW288" s="286"/>
      <c r="AX288" s="286"/>
      <c r="AY288" s="286"/>
      <c r="AZ288" s="286"/>
      <c r="BA288" s="288"/>
      <c r="BB288" s="319"/>
      <c r="BC288" s="288"/>
      <c r="BD288" s="288"/>
      <c r="BE288" s="288"/>
      <c r="BF288" s="304"/>
    </row>
    <row r="289" spans="6:58" s="323" customFormat="1" x14ac:dyDescent="0.35"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86"/>
      <c r="AV289" s="286"/>
      <c r="AW289" s="286"/>
      <c r="AX289" s="286"/>
      <c r="AY289" s="286"/>
      <c r="AZ289" s="286"/>
      <c r="BA289" s="288"/>
      <c r="BB289" s="319"/>
      <c r="BC289" s="288"/>
      <c r="BD289" s="288"/>
      <c r="BE289" s="288"/>
      <c r="BF289" s="304"/>
    </row>
    <row r="290" spans="6:58" s="323" customFormat="1" x14ac:dyDescent="0.35"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86"/>
      <c r="AV290" s="286"/>
      <c r="AW290" s="286"/>
      <c r="AX290" s="286"/>
      <c r="AY290" s="286"/>
      <c r="AZ290" s="286"/>
      <c r="BA290" s="288"/>
      <c r="BB290" s="319"/>
      <c r="BC290" s="288"/>
      <c r="BD290" s="288"/>
      <c r="BE290" s="288"/>
      <c r="BF290" s="304"/>
    </row>
    <row r="291" spans="6:58" s="323" customFormat="1" x14ac:dyDescent="0.35"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86"/>
      <c r="AV291" s="286"/>
      <c r="AW291" s="286"/>
      <c r="AX291" s="286"/>
      <c r="AY291" s="286"/>
      <c r="AZ291" s="286"/>
      <c r="BA291" s="288"/>
      <c r="BB291" s="319"/>
      <c r="BC291" s="288"/>
      <c r="BD291" s="288"/>
      <c r="BE291" s="288"/>
      <c r="BF291" s="304"/>
    </row>
    <row r="292" spans="6:58" s="323" customFormat="1" x14ac:dyDescent="0.35"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86"/>
      <c r="AV292" s="286"/>
      <c r="AW292" s="286"/>
      <c r="AX292" s="286"/>
      <c r="AY292" s="286"/>
      <c r="AZ292" s="286"/>
      <c r="BA292" s="288"/>
      <c r="BB292" s="319"/>
      <c r="BC292" s="288"/>
      <c r="BD292" s="288"/>
      <c r="BE292" s="288"/>
      <c r="BF292" s="304"/>
    </row>
    <row r="293" spans="6:58" s="323" customFormat="1" x14ac:dyDescent="0.35"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86"/>
      <c r="AV293" s="286"/>
      <c r="AW293" s="286"/>
      <c r="AX293" s="286"/>
      <c r="AY293" s="286"/>
      <c r="AZ293" s="286"/>
      <c r="BA293" s="288"/>
      <c r="BB293" s="319"/>
      <c r="BC293" s="288"/>
      <c r="BD293" s="288"/>
      <c r="BE293" s="288"/>
      <c r="BF293" s="304"/>
    </row>
    <row r="294" spans="6:58" s="323" customFormat="1" x14ac:dyDescent="0.35"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86"/>
      <c r="AV294" s="286"/>
      <c r="AW294" s="286"/>
      <c r="AX294" s="286"/>
      <c r="AY294" s="286"/>
      <c r="AZ294" s="286"/>
      <c r="BA294" s="288"/>
      <c r="BB294" s="319"/>
      <c r="BC294" s="288"/>
      <c r="BD294" s="288"/>
      <c r="BE294" s="288"/>
      <c r="BF294" s="304"/>
    </row>
    <row r="295" spans="6:58" s="323" customFormat="1" x14ac:dyDescent="0.35"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86"/>
      <c r="AV295" s="286"/>
      <c r="AW295" s="286"/>
      <c r="AX295" s="286"/>
      <c r="AY295" s="286"/>
      <c r="AZ295" s="286"/>
      <c r="BA295" s="288"/>
      <c r="BB295" s="319"/>
      <c r="BC295" s="288"/>
      <c r="BD295" s="288"/>
      <c r="BE295" s="288"/>
      <c r="BF295" s="304"/>
    </row>
    <row r="296" spans="6:58" s="323" customFormat="1" x14ac:dyDescent="0.35"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86"/>
      <c r="AV296" s="286"/>
      <c r="AW296" s="286"/>
      <c r="AX296" s="286"/>
      <c r="AY296" s="286"/>
      <c r="AZ296" s="286"/>
      <c r="BA296" s="288"/>
      <c r="BB296" s="319"/>
      <c r="BC296" s="288"/>
      <c r="BD296" s="288"/>
      <c r="BE296" s="288"/>
      <c r="BF296" s="304"/>
    </row>
    <row r="297" spans="6:58" s="323" customFormat="1" x14ac:dyDescent="0.35"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86"/>
      <c r="AV297" s="286"/>
      <c r="AW297" s="286"/>
      <c r="AX297" s="286"/>
      <c r="AY297" s="286"/>
      <c r="AZ297" s="286"/>
      <c r="BA297" s="288"/>
      <c r="BB297" s="319"/>
      <c r="BC297" s="288"/>
      <c r="BD297" s="288"/>
      <c r="BE297" s="288"/>
      <c r="BF297" s="304"/>
    </row>
    <row r="298" spans="6:58" s="323" customFormat="1" x14ac:dyDescent="0.35"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86"/>
      <c r="AV298" s="286"/>
      <c r="AW298" s="286"/>
      <c r="AX298" s="286"/>
      <c r="AY298" s="286"/>
      <c r="AZ298" s="286"/>
      <c r="BA298" s="288"/>
      <c r="BB298" s="319"/>
      <c r="BC298" s="288"/>
      <c r="BD298" s="288"/>
      <c r="BE298" s="288"/>
      <c r="BF298" s="304"/>
    </row>
  </sheetData>
  <mergeCells count="134">
    <mergeCell ref="BB211:BB212"/>
    <mergeCell ref="AU211:AW211"/>
    <mergeCell ref="BA211:BA212"/>
    <mergeCell ref="A211:A212"/>
    <mergeCell ref="B211:B212"/>
    <mergeCell ref="C211:C212"/>
    <mergeCell ref="D211:D212"/>
    <mergeCell ref="E211:K211"/>
    <mergeCell ref="L211:R211"/>
    <mergeCell ref="S211:Y211"/>
    <mergeCell ref="Z211:AF211"/>
    <mergeCell ref="AG211:AM211"/>
    <mergeCell ref="AN211:AT211"/>
    <mergeCell ref="AX211:AX212"/>
    <mergeCell ref="AY211:AY212"/>
    <mergeCell ref="AZ211:AZ212"/>
    <mergeCell ref="A172:A173"/>
    <mergeCell ref="B172:B173"/>
    <mergeCell ref="C172:C173"/>
    <mergeCell ref="D172:D173"/>
    <mergeCell ref="AU172:AW172"/>
    <mergeCell ref="BA172:BA173"/>
    <mergeCell ref="A135:A136"/>
    <mergeCell ref="B135:B136"/>
    <mergeCell ref="C135:C136"/>
    <mergeCell ref="D135:D136"/>
    <mergeCell ref="AU135:AW135"/>
    <mergeCell ref="BA135:BA136"/>
    <mergeCell ref="AY135:AY136"/>
    <mergeCell ref="AZ135:AZ136"/>
    <mergeCell ref="A100:A101"/>
    <mergeCell ref="B100:B101"/>
    <mergeCell ref="C100:C101"/>
    <mergeCell ref="D100:D101"/>
    <mergeCell ref="AU100:AW100"/>
    <mergeCell ref="BA100:BA101"/>
    <mergeCell ref="A63:A64"/>
    <mergeCell ref="B63:B64"/>
    <mergeCell ref="C63:C64"/>
    <mergeCell ref="D63:D64"/>
    <mergeCell ref="BA63:BA64"/>
    <mergeCell ref="AY63:AY64"/>
    <mergeCell ref="AZ63:AZ64"/>
    <mergeCell ref="BA2:BB2"/>
    <mergeCell ref="BA3:BB3"/>
    <mergeCell ref="BA1:BC1"/>
    <mergeCell ref="BA4:BB4"/>
    <mergeCell ref="BA5:BB5"/>
    <mergeCell ref="BA26:BA27"/>
    <mergeCell ref="BA7:BA8"/>
    <mergeCell ref="A26:A27"/>
    <mergeCell ref="B26:B27"/>
    <mergeCell ref="C26:C27"/>
    <mergeCell ref="D26:D27"/>
    <mergeCell ref="AU26:AW26"/>
    <mergeCell ref="A1:AW1"/>
    <mergeCell ref="A2:AW2"/>
    <mergeCell ref="A3:AW3"/>
    <mergeCell ref="A7:A8"/>
    <mergeCell ref="B7:B8"/>
    <mergeCell ref="C7:C8"/>
    <mergeCell ref="D7:D8"/>
    <mergeCell ref="AU7:AW7"/>
    <mergeCell ref="E7:K7"/>
    <mergeCell ref="L7:R7"/>
    <mergeCell ref="BF7:BF8"/>
    <mergeCell ref="E26:K26"/>
    <mergeCell ref="L26:R26"/>
    <mergeCell ref="S26:Y26"/>
    <mergeCell ref="Z26:AF26"/>
    <mergeCell ref="AG26:AM26"/>
    <mergeCell ref="AN26:AT26"/>
    <mergeCell ref="AX26:AX27"/>
    <mergeCell ref="AY26:AY27"/>
    <mergeCell ref="AZ26:AZ27"/>
    <mergeCell ref="BB26:BB27"/>
    <mergeCell ref="BC26:BE26"/>
    <mergeCell ref="BF26:BF27"/>
    <mergeCell ref="S7:Y7"/>
    <mergeCell ref="Z7:AF7"/>
    <mergeCell ref="AG7:AM7"/>
    <mergeCell ref="AN7:AT7"/>
    <mergeCell ref="AX7:AX8"/>
    <mergeCell ref="AY7:AY8"/>
    <mergeCell ref="AZ7:AZ8"/>
    <mergeCell ref="BB7:BB8"/>
    <mergeCell ref="BC7:BE7"/>
    <mergeCell ref="BB63:BB64"/>
    <mergeCell ref="BC63:BE63"/>
    <mergeCell ref="BF63:BF64"/>
    <mergeCell ref="E100:K100"/>
    <mergeCell ref="L100:R100"/>
    <mergeCell ref="S100:Y100"/>
    <mergeCell ref="Z100:AF100"/>
    <mergeCell ref="AG100:AM100"/>
    <mergeCell ref="AN100:AT100"/>
    <mergeCell ref="AX100:AX101"/>
    <mergeCell ref="AY100:AY101"/>
    <mergeCell ref="AZ100:AZ101"/>
    <mergeCell ref="BB100:BB101"/>
    <mergeCell ref="BC100:BE100"/>
    <mergeCell ref="BF100:BF101"/>
    <mergeCell ref="E63:K63"/>
    <mergeCell ref="L63:R63"/>
    <mergeCell ref="S63:Y63"/>
    <mergeCell ref="Z63:AF63"/>
    <mergeCell ref="AG63:AM63"/>
    <mergeCell ref="AN63:AT63"/>
    <mergeCell ref="AX63:AX64"/>
    <mergeCell ref="AU63:AW63"/>
    <mergeCell ref="BC211:BE211"/>
    <mergeCell ref="BF211:BF212"/>
    <mergeCell ref="BB135:BB136"/>
    <mergeCell ref="BC135:BE135"/>
    <mergeCell ref="BF135:BF136"/>
    <mergeCell ref="E172:K172"/>
    <mergeCell ref="L172:R172"/>
    <mergeCell ref="S172:Y172"/>
    <mergeCell ref="Z172:AF172"/>
    <mergeCell ref="AG172:AM172"/>
    <mergeCell ref="AN172:AT172"/>
    <mergeCell ref="AX172:AX173"/>
    <mergeCell ref="AY172:AY173"/>
    <mergeCell ref="AZ172:AZ173"/>
    <mergeCell ref="BB172:BB173"/>
    <mergeCell ref="BC172:BE172"/>
    <mergeCell ref="BF172:BF173"/>
    <mergeCell ref="E135:K135"/>
    <mergeCell ref="L135:R135"/>
    <mergeCell ref="S135:Y135"/>
    <mergeCell ref="Z135:AF135"/>
    <mergeCell ref="AG135:AM135"/>
    <mergeCell ref="AN135:AT135"/>
    <mergeCell ref="AX135:AX136"/>
  </mergeCells>
  <phoneticPr fontId="12" type="noConversion"/>
  <conditionalFormatting sqref="C9:C22">
    <cfRule type="duplicateValues" dxfId="83" priority="19"/>
    <cfRule type="duplicateValues" dxfId="82" priority="20"/>
  </conditionalFormatting>
  <conditionalFormatting sqref="C60:C62">
    <cfRule type="duplicateValues" dxfId="81" priority="23"/>
    <cfRule type="duplicateValues" dxfId="80" priority="24"/>
  </conditionalFormatting>
  <conditionalFormatting sqref="C98:C99">
    <cfRule type="duplicateValues" dxfId="79" priority="81"/>
    <cfRule type="duplicateValues" dxfId="78" priority="82"/>
  </conditionalFormatting>
  <conditionalFormatting sqref="C132:C134">
    <cfRule type="duplicateValues" dxfId="77" priority="17"/>
    <cfRule type="duplicateValues" dxfId="76" priority="18"/>
  </conditionalFormatting>
  <conditionalFormatting sqref="C174:C184 C169:C171">
    <cfRule type="duplicateValues" dxfId="75" priority="5"/>
    <cfRule type="duplicateValues" dxfId="74" priority="6"/>
  </conditionalFormatting>
  <conditionalFormatting sqref="C195:C210 C213:C235">
    <cfRule type="duplicateValues" dxfId="73" priority="13"/>
    <cfRule type="duplicateValues" dxfId="72" priority="14"/>
  </conditionalFormatting>
  <pageMargins left="0.7" right="0.7" top="0.75" bottom="0.75" header="0.3" footer="0.3"/>
  <pageSetup scale="94" orientation="portrait" r:id="rId1"/>
  <rowBreaks count="1" manualBreakCount="1">
    <brk id="168" max="16383" man="1"/>
  </rowBreaks>
  <colBreaks count="3" manualBreakCount="3">
    <brk id="4" max="1048575" man="1"/>
    <brk id="12" max="315" man="1"/>
    <brk id="46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ED08-350D-43CD-AFBF-795534084805}">
  <dimension ref="A2:J22"/>
  <sheetViews>
    <sheetView workbookViewId="0">
      <selection activeCell="L15" sqref="L15"/>
    </sheetView>
  </sheetViews>
  <sheetFormatPr defaultRowHeight="14.5" x14ac:dyDescent="0.35"/>
  <cols>
    <col min="2" max="2" width="28.453125" customWidth="1"/>
    <col min="3" max="3" width="6.08984375" customWidth="1"/>
    <col min="4" max="4" width="9.90625" style="17" customWidth="1"/>
    <col min="5" max="7" width="8.81640625" style="17"/>
    <col min="8" max="8" width="8.6328125" style="17" customWidth="1"/>
    <col min="9" max="9" width="12.54296875" style="17" customWidth="1"/>
    <col min="10" max="10" width="10.1796875" style="17" customWidth="1"/>
  </cols>
  <sheetData>
    <row r="2" spans="1:10" ht="23.5" customHeight="1" x14ac:dyDescent="0.35">
      <c r="A2" s="485" t="s">
        <v>1072</v>
      </c>
      <c r="B2" s="485" t="s">
        <v>1073</v>
      </c>
      <c r="C2" s="485" t="s">
        <v>4</v>
      </c>
      <c r="D2" s="483" t="s">
        <v>897</v>
      </c>
      <c r="E2" s="485" t="s">
        <v>224</v>
      </c>
      <c r="F2" s="485"/>
      <c r="G2" s="485"/>
      <c r="H2" s="482" t="s">
        <v>1608</v>
      </c>
      <c r="I2" s="482" t="s">
        <v>1609</v>
      </c>
      <c r="J2" s="482" t="s">
        <v>1610</v>
      </c>
    </row>
    <row r="3" spans="1:10" ht="29" customHeight="1" x14ac:dyDescent="0.35">
      <c r="A3" s="485"/>
      <c r="B3" s="485"/>
      <c r="C3" s="485"/>
      <c r="D3" s="484"/>
      <c r="E3" s="421" t="s">
        <v>20</v>
      </c>
      <c r="F3" s="421" t="s">
        <v>19</v>
      </c>
      <c r="G3" s="421" t="s">
        <v>52</v>
      </c>
      <c r="H3" s="482"/>
      <c r="I3" s="482"/>
      <c r="J3" s="482"/>
    </row>
    <row r="4" spans="1:10" x14ac:dyDescent="0.35">
      <c r="A4" s="404" t="s">
        <v>21</v>
      </c>
      <c r="B4" s="405" t="s">
        <v>1207</v>
      </c>
      <c r="C4" s="406" t="s">
        <v>8</v>
      </c>
      <c r="D4" s="406" t="s">
        <v>228</v>
      </c>
      <c r="E4" s="419">
        <v>25</v>
      </c>
      <c r="F4" s="419">
        <v>29</v>
      </c>
      <c r="G4" s="419">
        <v>9</v>
      </c>
      <c r="H4" s="419">
        <v>108</v>
      </c>
      <c r="I4" s="419">
        <f>SUM(H4-G4-F4-E4)</f>
        <v>45</v>
      </c>
      <c r="J4" s="420">
        <f>I4/H4</f>
        <v>0.41666666666666669</v>
      </c>
    </row>
    <row r="5" spans="1:10" x14ac:dyDescent="0.35">
      <c r="A5" s="404" t="s">
        <v>22</v>
      </c>
      <c r="B5" s="407" t="s">
        <v>1236</v>
      </c>
      <c r="C5" s="406" t="s">
        <v>8</v>
      </c>
      <c r="D5" s="406" t="s">
        <v>228</v>
      </c>
      <c r="E5" s="419">
        <v>2</v>
      </c>
      <c r="F5" s="419">
        <v>33</v>
      </c>
      <c r="G5" s="419">
        <v>9</v>
      </c>
      <c r="H5" s="419">
        <v>108</v>
      </c>
      <c r="I5" s="419">
        <f>SUM(H5-G5-F5-E5)</f>
        <v>64</v>
      </c>
      <c r="J5" s="420">
        <f t="shared" ref="J5:J12" si="0">I5/H5</f>
        <v>0.59259259259259256</v>
      </c>
    </row>
    <row r="6" spans="1:10" x14ac:dyDescent="0.35">
      <c r="A6" s="404" t="s">
        <v>23</v>
      </c>
      <c r="B6" s="408" t="s">
        <v>1183</v>
      </c>
      <c r="C6" s="409" t="s">
        <v>6</v>
      </c>
      <c r="D6" s="419" t="s">
        <v>1080</v>
      </c>
      <c r="E6" s="419"/>
      <c r="F6" s="419">
        <v>2</v>
      </c>
      <c r="G6" s="419">
        <v>31</v>
      </c>
      <c r="H6" s="419">
        <v>108</v>
      </c>
      <c r="I6" s="419">
        <f t="shared" ref="I6:I12" si="1">SUM(H6-G6-F6-E6)</f>
        <v>75</v>
      </c>
      <c r="J6" s="420">
        <f t="shared" si="0"/>
        <v>0.69444444444444442</v>
      </c>
    </row>
    <row r="7" spans="1:10" x14ac:dyDescent="0.35">
      <c r="A7" s="404" t="s">
        <v>24</v>
      </c>
      <c r="B7" s="410" t="s">
        <v>1451</v>
      </c>
      <c r="C7" s="411" t="s">
        <v>8</v>
      </c>
      <c r="D7" s="419" t="s">
        <v>1039</v>
      </c>
      <c r="E7" s="419">
        <v>1</v>
      </c>
      <c r="F7" s="419">
        <v>6</v>
      </c>
      <c r="G7" s="419">
        <v>33</v>
      </c>
      <c r="H7" s="419">
        <v>108</v>
      </c>
      <c r="I7" s="419">
        <f>SUM(H7-G7-F7-E7)</f>
        <v>68</v>
      </c>
      <c r="J7" s="420">
        <f>I7/H7</f>
        <v>0.62962962962962965</v>
      </c>
    </row>
    <row r="8" spans="1:10" x14ac:dyDescent="0.35">
      <c r="A8" s="404" t="s">
        <v>25</v>
      </c>
      <c r="B8" s="410" t="s">
        <v>1330</v>
      </c>
      <c r="C8" s="412" t="s">
        <v>6</v>
      </c>
      <c r="D8" s="419" t="s">
        <v>236</v>
      </c>
      <c r="E8" s="419">
        <v>1</v>
      </c>
      <c r="F8" s="419">
        <v>12</v>
      </c>
      <c r="G8" s="419">
        <v>23</v>
      </c>
      <c r="H8" s="419">
        <v>108</v>
      </c>
      <c r="I8" s="419">
        <f>SUM(H8-G8-F8-E8)</f>
        <v>72</v>
      </c>
      <c r="J8" s="420">
        <f>I8/H8</f>
        <v>0.66666666666666663</v>
      </c>
    </row>
    <row r="9" spans="1:10" x14ac:dyDescent="0.35">
      <c r="A9" s="404" t="s">
        <v>26</v>
      </c>
      <c r="B9" s="413" t="s">
        <v>437</v>
      </c>
      <c r="C9" s="414" t="s">
        <v>8</v>
      </c>
      <c r="D9" s="419" t="s">
        <v>231</v>
      </c>
      <c r="E9" s="419">
        <v>2</v>
      </c>
      <c r="F9" s="419">
        <v>11</v>
      </c>
      <c r="G9" s="419">
        <v>22</v>
      </c>
      <c r="H9" s="419">
        <v>108</v>
      </c>
      <c r="I9" s="419">
        <f>SUM(H9-G9-F9-E9)</f>
        <v>73</v>
      </c>
      <c r="J9" s="420">
        <f>I9/H9</f>
        <v>0.67592592592592593</v>
      </c>
    </row>
    <row r="10" spans="1:10" x14ac:dyDescent="0.35">
      <c r="A10" s="404" t="s">
        <v>27</v>
      </c>
      <c r="B10" s="415" t="s">
        <v>1165</v>
      </c>
      <c r="C10" s="409" t="s">
        <v>6</v>
      </c>
      <c r="D10" s="419" t="s">
        <v>1079</v>
      </c>
      <c r="E10" s="419">
        <v>9</v>
      </c>
      <c r="F10" s="419">
        <v>13</v>
      </c>
      <c r="G10" s="419">
        <v>9</v>
      </c>
      <c r="H10" s="419">
        <v>108</v>
      </c>
      <c r="I10" s="419">
        <f t="shared" si="1"/>
        <v>77</v>
      </c>
      <c r="J10" s="420">
        <f t="shared" si="0"/>
        <v>0.71296296296296291</v>
      </c>
    </row>
    <row r="11" spans="1:10" x14ac:dyDescent="0.35">
      <c r="A11" s="404" t="s">
        <v>28</v>
      </c>
      <c r="B11" s="408" t="s">
        <v>1173</v>
      </c>
      <c r="C11" s="409" t="s">
        <v>6</v>
      </c>
      <c r="D11" s="419" t="s">
        <v>1079</v>
      </c>
      <c r="E11" s="419">
        <v>6</v>
      </c>
      <c r="F11" s="419">
        <v>3</v>
      </c>
      <c r="G11" s="419">
        <v>21</v>
      </c>
      <c r="H11" s="419">
        <v>108</v>
      </c>
      <c r="I11" s="419">
        <f t="shared" ref="I11" si="2">SUM(H11-G11-F11-E11)</f>
        <v>78</v>
      </c>
      <c r="J11" s="420">
        <f t="shared" ref="J11" si="3">I11/H11</f>
        <v>0.72222222222222221</v>
      </c>
    </row>
    <row r="12" spans="1:10" x14ac:dyDescent="0.35">
      <c r="A12" s="404" t="s">
        <v>29</v>
      </c>
      <c r="B12" s="416" t="s">
        <v>1220</v>
      </c>
      <c r="C12" s="409" t="s">
        <v>8</v>
      </c>
      <c r="D12" s="419" t="s">
        <v>228</v>
      </c>
      <c r="E12" s="419">
        <v>2</v>
      </c>
      <c r="F12" s="419">
        <v>23</v>
      </c>
      <c r="G12" s="419">
        <v>4</v>
      </c>
      <c r="H12" s="419">
        <v>108</v>
      </c>
      <c r="I12" s="419">
        <f t="shared" si="1"/>
        <v>79</v>
      </c>
      <c r="J12" s="420">
        <f t="shared" si="0"/>
        <v>0.73148148148148151</v>
      </c>
    </row>
    <row r="13" spans="1:10" x14ac:dyDescent="0.35">
      <c r="A13" s="404" t="s">
        <v>30</v>
      </c>
      <c r="B13" s="408" t="s">
        <v>1178</v>
      </c>
      <c r="C13" s="409" t="s">
        <v>6</v>
      </c>
      <c r="D13" s="419" t="s">
        <v>1079</v>
      </c>
      <c r="E13" s="419"/>
      <c r="F13" s="419">
        <v>2</v>
      </c>
      <c r="G13" s="419">
        <v>27</v>
      </c>
      <c r="H13" s="419">
        <v>108</v>
      </c>
      <c r="I13" s="419">
        <f t="shared" ref="I13" si="4">SUM(H13-G13-F13-E13)</f>
        <v>79</v>
      </c>
      <c r="J13" s="420">
        <f t="shared" ref="J13" si="5">I13/H13</f>
        <v>0.73148148148148151</v>
      </c>
    </row>
    <row r="14" spans="1:10" x14ac:dyDescent="0.35">
      <c r="A14" s="404" t="s">
        <v>31</v>
      </c>
      <c r="B14" s="408" t="s">
        <v>1186</v>
      </c>
      <c r="C14" s="409" t="s">
        <v>6</v>
      </c>
      <c r="D14" s="419" t="s">
        <v>1080</v>
      </c>
      <c r="E14" s="419">
        <v>1</v>
      </c>
      <c r="F14" s="419">
        <v>8</v>
      </c>
      <c r="G14" s="419">
        <v>18</v>
      </c>
      <c r="H14" s="419">
        <v>108</v>
      </c>
      <c r="I14" s="419">
        <f t="shared" ref="I14:I22" si="6">SUM(H14-G14-F14-E14)</f>
        <v>81</v>
      </c>
      <c r="J14" s="420">
        <f t="shared" ref="J14:J22" si="7">I14/H14</f>
        <v>0.75</v>
      </c>
    </row>
    <row r="15" spans="1:10" x14ac:dyDescent="0.35">
      <c r="A15" s="404" t="s">
        <v>32</v>
      </c>
      <c r="B15" s="410" t="s">
        <v>1387</v>
      </c>
      <c r="C15" s="417" t="s">
        <v>8</v>
      </c>
      <c r="D15" s="419" t="s">
        <v>238</v>
      </c>
      <c r="E15" s="419">
        <v>7</v>
      </c>
      <c r="F15" s="419">
        <v>18</v>
      </c>
      <c r="G15" s="419">
        <v>2</v>
      </c>
      <c r="H15" s="419">
        <v>108</v>
      </c>
      <c r="I15" s="419">
        <f t="shared" si="6"/>
        <v>81</v>
      </c>
      <c r="J15" s="420">
        <f t="shared" si="7"/>
        <v>0.75</v>
      </c>
    </row>
    <row r="16" spans="1:10" x14ac:dyDescent="0.35">
      <c r="A16" s="404" t="s">
        <v>33</v>
      </c>
      <c r="B16" s="410" t="s">
        <v>1403</v>
      </c>
      <c r="C16" s="417" t="s">
        <v>6</v>
      </c>
      <c r="D16" s="419" t="s">
        <v>238</v>
      </c>
      <c r="E16" s="419">
        <v>2</v>
      </c>
      <c r="F16" s="419">
        <v>20</v>
      </c>
      <c r="G16" s="419">
        <v>5</v>
      </c>
      <c r="H16" s="419">
        <v>108</v>
      </c>
      <c r="I16" s="419">
        <f t="shared" si="6"/>
        <v>81</v>
      </c>
      <c r="J16" s="420">
        <f t="shared" si="7"/>
        <v>0.75</v>
      </c>
    </row>
    <row r="17" spans="1:10" x14ac:dyDescent="0.35">
      <c r="A17" s="404" t="s">
        <v>34</v>
      </c>
      <c r="B17" s="410" t="s">
        <v>1383</v>
      </c>
      <c r="C17" s="417" t="s">
        <v>6</v>
      </c>
      <c r="D17" s="419" t="s">
        <v>238</v>
      </c>
      <c r="E17" s="419">
        <v>3</v>
      </c>
      <c r="F17" s="419">
        <v>9</v>
      </c>
      <c r="G17" s="419">
        <v>13</v>
      </c>
      <c r="H17" s="419">
        <v>108</v>
      </c>
      <c r="I17" s="419">
        <f t="shared" si="6"/>
        <v>83</v>
      </c>
      <c r="J17" s="420">
        <f t="shared" si="7"/>
        <v>0.76851851851851849</v>
      </c>
    </row>
    <row r="18" spans="1:10" x14ac:dyDescent="0.35">
      <c r="A18" s="404" t="s">
        <v>35</v>
      </c>
      <c r="B18" s="418" t="s">
        <v>411</v>
      </c>
      <c r="C18" s="414" t="s">
        <v>8</v>
      </c>
      <c r="D18" s="419" t="s">
        <v>242</v>
      </c>
      <c r="E18" s="419">
        <v>2</v>
      </c>
      <c r="F18" s="419">
        <v>21</v>
      </c>
      <c r="G18" s="419">
        <v>2</v>
      </c>
      <c r="H18" s="419">
        <v>108</v>
      </c>
      <c r="I18" s="419">
        <f t="shared" si="6"/>
        <v>83</v>
      </c>
      <c r="J18" s="420">
        <f t="shared" si="7"/>
        <v>0.76851851851851849</v>
      </c>
    </row>
    <row r="19" spans="1:10" x14ac:dyDescent="0.35">
      <c r="A19" s="404" t="s">
        <v>36</v>
      </c>
      <c r="B19" s="415" t="s">
        <v>1179</v>
      </c>
      <c r="C19" s="409" t="s">
        <v>6</v>
      </c>
      <c r="D19" s="419" t="s">
        <v>1079</v>
      </c>
      <c r="E19" s="419">
        <v>13</v>
      </c>
      <c r="F19" s="419">
        <v>7</v>
      </c>
      <c r="G19" s="419">
        <v>5</v>
      </c>
      <c r="H19" s="419">
        <v>108</v>
      </c>
      <c r="I19" s="419">
        <f t="shared" si="6"/>
        <v>83</v>
      </c>
      <c r="J19" s="420">
        <f t="shared" si="7"/>
        <v>0.76851851851851849</v>
      </c>
    </row>
    <row r="20" spans="1:10" x14ac:dyDescent="0.35">
      <c r="A20" s="404" t="s">
        <v>37</v>
      </c>
      <c r="B20" s="410" t="s">
        <v>1542</v>
      </c>
      <c r="C20" s="417" t="s">
        <v>8</v>
      </c>
      <c r="D20" s="419" t="s">
        <v>243</v>
      </c>
      <c r="E20" s="419">
        <v>9</v>
      </c>
      <c r="F20" s="419">
        <v>6</v>
      </c>
      <c r="G20" s="419">
        <v>9</v>
      </c>
      <c r="H20" s="419">
        <v>108</v>
      </c>
      <c r="I20" s="419">
        <f t="shared" si="6"/>
        <v>84</v>
      </c>
      <c r="J20" s="420">
        <f t="shared" si="7"/>
        <v>0.77777777777777779</v>
      </c>
    </row>
    <row r="21" spans="1:10" x14ac:dyDescent="0.35">
      <c r="A21" s="404" t="s">
        <v>38</v>
      </c>
      <c r="B21" s="410" t="s">
        <v>1316</v>
      </c>
      <c r="C21" s="412" t="s">
        <v>6</v>
      </c>
      <c r="D21" s="419" t="s">
        <v>237</v>
      </c>
      <c r="E21" s="419"/>
      <c r="F21" s="419">
        <v>4</v>
      </c>
      <c r="G21" s="419">
        <v>20</v>
      </c>
      <c r="H21" s="419">
        <v>108</v>
      </c>
      <c r="I21" s="419">
        <f t="shared" ref="I21" si="8">SUM(H21-G21-F21-E21)</f>
        <v>84</v>
      </c>
      <c r="J21" s="420">
        <f t="shared" ref="J21" si="9">I21/H21</f>
        <v>0.77777777777777779</v>
      </c>
    </row>
    <row r="22" spans="1:10" x14ac:dyDescent="0.35">
      <c r="A22" s="404" t="s">
        <v>39</v>
      </c>
      <c r="B22" s="410" t="s">
        <v>1543</v>
      </c>
      <c r="C22" s="417" t="s">
        <v>6</v>
      </c>
      <c r="D22" s="419" t="s">
        <v>243</v>
      </c>
      <c r="E22" s="419">
        <v>1</v>
      </c>
      <c r="F22" s="419">
        <v>6</v>
      </c>
      <c r="G22" s="419">
        <v>16</v>
      </c>
      <c r="H22" s="419">
        <v>108</v>
      </c>
      <c r="I22" s="419">
        <f t="shared" si="6"/>
        <v>85</v>
      </c>
      <c r="J22" s="420">
        <f t="shared" si="7"/>
        <v>0.78703703703703709</v>
      </c>
    </row>
  </sheetData>
  <mergeCells count="8">
    <mergeCell ref="I2:I3"/>
    <mergeCell ref="J2:J3"/>
    <mergeCell ref="D2:D3"/>
    <mergeCell ref="A2:A3"/>
    <mergeCell ref="B2:B3"/>
    <mergeCell ref="C2:C3"/>
    <mergeCell ref="E2:G2"/>
    <mergeCell ref="H2:H3"/>
  </mergeCells>
  <phoneticPr fontId="12" type="noConversion"/>
  <conditionalFormatting sqref="B18">
    <cfRule type="duplicateValues" dxfId="71" priority="1"/>
    <cfRule type="duplicateValues" dxfId="7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6723-6046-4C83-BD48-3EC0CBFDDC41}">
  <dimension ref="A3:F21"/>
  <sheetViews>
    <sheetView workbookViewId="0">
      <selection activeCell="J7" sqref="J7"/>
    </sheetView>
  </sheetViews>
  <sheetFormatPr defaultRowHeight="14.5" x14ac:dyDescent="0.35"/>
  <cols>
    <col min="1" max="1" width="7.08984375" customWidth="1"/>
    <col min="2" max="2" width="27.81640625" customWidth="1"/>
    <col min="3" max="3" width="10.81640625" customWidth="1"/>
    <col min="4" max="4" width="12.1796875" customWidth="1"/>
    <col min="5" max="5" width="12.6328125" customWidth="1"/>
  </cols>
  <sheetData>
    <row r="3" spans="1:5" x14ac:dyDescent="0.35">
      <c r="A3" s="486" t="s">
        <v>1072</v>
      </c>
      <c r="B3" s="486" t="s">
        <v>1035</v>
      </c>
      <c r="C3" s="487" t="s">
        <v>4</v>
      </c>
      <c r="D3" s="487" t="s">
        <v>897</v>
      </c>
      <c r="E3" s="486" t="s">
        <v>881</v>
      </c>
    </row>
    <row r="4" spans="1:5" x14ac:dyDescent="0.35">
      <c r="A4" s="486"/>
      <c r="B4" s="486"/>
      <c r="C4" s="488"/>
      <c r="D4" s="488"/>
      <c r="E4" s="486"/>
    </row>
    <row r="5" spans="1:5" ht="15.5" x14ac:dyDescent="0.35">
      <c r="A5" s="422" t="s">
        <v>21</v>
      </c>
      <c r="B5" s="94" t="s">
        <v>1342</v>
      </c>
      <c r="C5" s="84" t="s">
        <v>6</v>
      </c>
      <c r="D5" s="84" t="s">
        <v>237</v>
      </c>
      <c r="E5" s="38">
        <v>29</v>
      </c>
    </row>
    <row r="6" spans="1:5" ht="15.5" x14ac:dyDescent="0.35">
      <c r="A6" s="422" t="s">
        <v>22</v>
      </c>
      <c r="B6" s="94" t="s">
        <v>1476</v>
      </c>
      <c r="C6" s="91" t="s">
        <v>6</v>
      </c>
      <c r="D6" s="84" t="s">
        <v>1074</v>
      </c>
      <c r="E6" s="38">
        <v>20</v>
      </c>
    </row>
    <row r="7" spans="1:5" ht="15.5" x14ac:dyDescent="0.35">
      <c r="A7" s="422" t="s">
        <v>23</v>
      </c>
      <c r="B7" s="94" t="s">
        <v>1419</v>
      </c>
      <c r="C7" s="194" t="s">
        <v>6</v>
      </c>
      <c r="D7" s="84" t="s">
        <v>239</v>
      </c>
      <c r="E7" s="38">
        <v>16</v>
      </c>
    </row>
    <row r="8" spans="1:5" ht="15.5" x14ac:dyDescent="0.35">
      <c r="A8" s="422" t="s">
        <v>24</v>
      </c>
      <c r="B8" s="94" t="s">
        <v>1378</v>
      </c>
      <c r="C8" s="84" t="s">
        <v>6</v>
      </c>
      <c r="D8" s="403" t="s">
        <v>238</v>
      </c>
      <c r="E8" s="403">
        <v>14</v>
      </c>
    </row>
    <row r="9" spans="1:5" ht="15.5" x14ac:dyDescent="0.35">
      <c r="A9" s="422" t="s">
        <v>25</v>
      </c>
      <c r="B9" s="94" t="s">
        <v>1345</v>
      </c>
      <c r="C9" s="71" t="s">
        <v>6</v>
      </c>
      <c r="D9" s="403" t="s">
        <v>237</v>
      </c>
      <c r="E9" s="403">
        <v>13</v>
      </c>
    </row>
    <row r="10" spans="1:5" ht="15.5" x14ac:dyDescent="0.35">
      <c r="A10" s="422" t="s">
        <v>26</v>
      </c>
      <c r="B10" s="34" t="s">
        <v>1173</v>
      </c>
      <c r="C10" s="194" t="s">
        <v>6</v>
      </c>
      <c r="D10" s="403" t="s">
        <v>1079</v>
      </c>
      <c r="E10" s="403">
        <v>11</v>
      </c>
    </row>
    <row r="11" spans="1:5" ht="15.5" x14ac:dyDescent="0.35">
      <c r="A11" s="422" t="s">
        <v>27</v>
      </c>
      <c r="B11" s="94" t="s">
        <v>1539</v>
      </c>
      <c r="C11" s="84" t="s">
        <v>6</v>
      </c>
      <c r="D11" s="403" t="s">
        <v>243</v>
      </c>
      <c r="E11" s="403">
        <v>11</v>
      </c>
    </row>
    <row r="12" spans="1:5" ht="15.5" x14ac:dyDescent="0.35">
      <c r="A12" s="422" t="s">
        <v>28</v>
      </c>
      <c r="B12" s="94" t="s">
        <v>1322</v>
      </c>
      <c r="C12" s="38" t="s">
        <v>6</v>
      </c>
      <c r="D12" s="403" t="s">
        <v>236</v>
      </c>
      <c r="E12" s="403">
        <v>10</v>
      </c>
    </row>
    <row r="13" spans="1:5" ht="15.5" x14ac:dyDescent="0.35">
      <c r="A13" s="422" t="s">
        <v>29</v>
      </c>
      <c r="B13" s="94" t="s">
        <v>1427</v>
      </c>
      <c r="C13" s="194" t="s">
        <v>6</v>
      </c>
      <c r="D13" s="403" t="s">
        <v>239</v>
      </c>
      <c r="E13" s="403">
        <v>10</v>
      </c>
    </row>
    <row r="14" spans="1:5" ht="15.5" x14ac:dyDescent="0.35">
      <c r="A14" s="422" t="s">
        <v>30</v>
      </c>
      <c r="B14" s="46" t="s">
        <v>1611</v>
      </c>
      <c r="C14" s="40" t="s">
        <v>8</v>
      </c>
      <c r="D14" s="403" t="s">
        <v>245</v>
      </c>
      <c r="E14" s="403">
        <v>10</v>
      </c>
    </row>
    <row r="16" spans="1:5" ht="15.5" x14ac:dyDescent="0.35">
      <c r="B16" s="402"/>
      <c r="C16" s="401"/>
    </row>
    <row r="21" spans="5:6" ht="15.5" x14ac:dyDescent="0.35">
      <c r="E21" s="261"/>
      <c r="F21" s="35"/>
    </row>
  </sheetData>
  <mergeCells count="5">
    <mergeCell ref="E3:E4"/>
    <mergeCell ref="B3:B4"/>
    <mergeCell ref="A3:A4"/>
    <mergeCell ref="C3:C4"/>
    <mergeCell ref="D3:D4"/>
  </mergeCells>
  <phoneticPr fontId="12" type="noConversion"/>
  <conditionalFormatting sqref="B14">
    <cfRule type="duplicateValues" dxfId="69" priority="1"/>
    <cfRule type="duplicateValues" dxfId="6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A2A1-6ACC-4BF3-B827-322F889F4815}">
  <dimension ref="A1:BY216"/>
  <sheetViews>
    <sheetView topLeftCell="A190" zoomScale="50" zoomScaleNormal="50" workbookViewId="0">
      <selection activeCell="B178" sqref="B178:H188"/>
    </sheetView>
  </sheetViews>
  <sheetFormatPr defaultRowHeight="14.5" x14ac:dyDescent="0.35"/>
  <cols>
    <col min="1" max="1" width="5.6328125" customWidth="1"/>
    <col min="2" max="2" width="35.6328125" customWidth="1"/>
    <col min="3" max="3" width="13.54296875" customWidth="1"/>
    <col min="5" max="22" width="5.6328125" style="22" customWidth="1"/>
    <col min="23" max="25" width="8.81640625" style="10"/>
    <col min="27" max="27" width="5.6328125" customWidth="1"/>
    <col min="28" max="28" width="35.6328125" customWidth="1"/>
    <col min="29" max="29" width="13.54296875" customWidth="1"/>
    <col min="31" max="48" width="5.6328125" style="22" customWidth="1"/>
    <col min="49" max="51" width="8.81640625" style="10"/>
    <col min="53" max="53" width="5.6328125" customWidth="1"/>
    <col min="54" max="54" width="35.6328125" customWidth="1"/>
    <col min="55" max="55" width="13.54296875" customWidth="1"/>
    <col min="57" max="74" width="5.6328125" style="22" customWidth="1"/>
    <col min="75" max="77" width="8.81640625" style="10"/>
  </cols>
  <sheetData>
    <row r="1" spans="1:77" ht="55" customHeight="1" thickBot="1" x14ac:dyDescent="0.5">
      <c r="A1" s="7" t="s">
        <v>1031</v>
      </c>
      <c r="AA1" s="7" t="s">
        <v>1032</v>
      </c>
      <c r="BA1" s="7" t="s">
        <v>1033</v>
      </c>
    </row>
    <row r="2" spans="1:77" s="106" customFormat="1" ht="14.5" customHeight="1" thickBot="1" x14ac:dyDescent="0.4">
      <c r="A2" s="466" t="s">
        <v>1</v>
      </c>
      <c r="B2" s="461" t="s">
        <v>3</v>
      </c>
      <c r="C2" s="459" t="s">
        <v>897</v>
      </c>
      <c r="D2" s="462" t="s">
        <v>4</v>
      </c>
      <c r="E2" s="458" t="s">
        <v>221</v>
      </c>
      <c r="F2" s="458"/>
      <c r="G2" s="458"/>
      <c r="H2" s="458" t="s">
        <v>222</v>
      </c>
      <c r="I2" s="458"/>
      <c r="J2" s="458"/>
      <c r="K2" s="458" t="s">
        <v>223</v>
      </c>
      <c r="L2" s="458"/>
      <c r="M2" s="458"/>
      <c r="N2" s="458" t="s">
        <v>233</v>
      </c>
      <c r="O2" s="458"/>
      <c r="P2" s="458"/>
      <c r="Q2" s="458" t="s">
        <v>234</v>
      </c>
      <c r="R2" s="458"/>
      <c r="S2" s="458"/>
      <c r="T2" s="458" t="s">
        <v>235</v>
      </c>
      <c r="U2" s="458"/>
      <c r="V2" s="458"/>
      <c r="W2" s="458" t="s">
        <v>224</v>
      </c>
      <c r="X2" s="458"/>
      <c r="Y2" s="458"/>
      <c r="AA2" s="466" t="s">
        <v>1</v>
      </c>
      <c r="AB2" s="461" t="s">
        <v>3</v>
      </c>
      <c r="AC2" s="459" t="s">
        <v>897</v>
      </c>
      <c r="AD2" s="462" t="s">
        <v>4</v>
      </c>
      <c r="AE2" s="458" t="s">
        <v>221</v>
      </c>
      <c r="AF2" s="458"/>
      <c r="AG2" s="458"/>
      <c r="AH2" s="458" t="s">
        <v>222</v>
      </c>
      <c r="AI2" s="458"/>
      <c r="AJ2" s="458"/>
      <c r="AK2" s="458" t="s">
        <v>223</v>
      </c>
      <c r="AL2" s="458"/>
      <c r="AM2" s="458"/>
      <c r="AN2" s="458" t="s">
        <v>233</v>
      </c>
      <c r="AO2" s="458"/>
      <c r="AP2" s="458"/>
      <c r="AQ2" s="458" t="s">
        <v>234</v>
      </c>
      <c r="AR2" s="458"/>
      <c r="AS2" s="458"/>
      <c r="AT2" s="458" t="s">
        <v>235</v>
      </c>
      <c r="AU2" s="458"/>
      <c r="AV2" s="458"/>
      <c r="AW2" s="458" t="s">
        <v>224</v>
      </c>
      <c r="AX2" s="458"/>
      <c r="AY2" s="458"/>
      <c r="BA2" s="466" t="s">
        <v>1</v>
      </c>
      <c r="BB2" s="461" t="s">
        <v>3</v>
      </c>
      <c r="BC2" s="459" t="s">
        <v>897</v>
      </c>
      <c r="BD2" s="462" t="s">
        <v>4</v>
      </c>
      <c r="BE2" s="458" t="s">
        <v>221</v>
      </c>
      <c r="BF2" s="458"/>
      <c r="BG2" s="458"/>
      <c r="BH2" s="458" t="s">
        <v>222</v>
      </c>
      <c r="BI2" s="458"/>
      <c r="BJ2" s="458"/>
      <c r="BK2" s="458" t="s">
        <v>223</v>
      </c>
      <c r="BL2" s="458"/>
      <c r="BM2" s="458"/>
      <c r="BN2" s="458" t="s">
        <v>233</v>
      </c>
      <c r="BO2" s="458"/>
      <c r="BP2" s="458"/>
      <c r="BQ2" s="458" t="s">
        <v>234</v>
      </c>
      <c r="BR2" s="458"/>
      <c r="BS2" s="458"/>
      <c r="BT2" s="458" t="s">
        <v>235</v>
      </c>
      <c r="BU2" s="458"/>
      <c r="BV2" s="458"/>
      <c r="BW2" s="458" t="s">
        <v>224</v>
      </c>
      <c r="BX2" s="458"/>
      <c r="BY2" s="458"/>
    </row>
    <row r="3" spans="1:77" s="106" customFormat="1" ht="15" thickBot="1" x14ac:dyDescent="0.4">
      <c r="A3" s="466"/>
      <c r="B3" s="461"/>
      <c r="C3" s="460"/>
      <c r="D3" s="462"/>
      <c r="E3" s="117" t="s">
        <v>20</v>
      </c>
      <c r="F3" s="117" t="s">
        <v>19</v>
      </c>
      <c r="G3" s="117" t="s">
        <v>52</v>
      </c>
      <c r="H3" s="117" t="s">
        <v>20</v>
      </c>
      <c r="I3" s="117" t="s">
        <v>19</v>
      </c>
      <c r="J3" s="117" t="s">
        <v>52</v>
      </c>
      <c r="K3" s="117" t="s">
        <v>20</v>
      </c>
      <c r="L3" s="117" t="s">
        <v>19</v>
      </c>
      <c r="M3" s="117" t="s">
        <v>52</v>
      </c>
      <c r="N3" s="118" t="s">
        <v>20</v>
      </c>
      <c r="O3" s="118" t="s">
        <v>19</v>
      </c>
      <c r="P3" s="118" t="s">
        <v>52</v>
      </c>
      <c r="Q3" s="118" t="s">
        <v>20</v>
      </c>
      <c r="R3" s="118" t="s">
        <v>19</v>
      </c>
      <c r="S3" s="118" t="s">
        <v>52</v>
      </c>
      <c r="T3" s="118" t="s">
        <v>20</v>
      </c>
      <c r="U3" s="118" t="s">
        <v>19</v>
      </c>
      <c r="V3" s="118" t="s">
        <v>52</v>
      </c>
      <c r="W3" s="116" t="s">
        <v>20</v>
      </c>
      <c r="X3" s="118" t="s">
        <v>19</v>
      </c>
      <c r="Y3" s="118" t="s">
        <v>52</v>
      </c>
      <c r="AA3" s="466"/>
      <c r="AB3" s="461"/>
      <c r="AC3" s="460"/>
      <c r="AD3" s="462"/>
      <c r="AE3" s="117" t="s">
        <v>20</v>
      </c>
      <c r="AF3" s="117" t="s">
        <v>19</v>
      </c>
      <c r="AG3" s="117" t="s">
        <v>52</v>
      </c>
      <c r="AH3" s="117" t="s">
        <v>20</v>
      </c>
      <c r="AI3" s="117" t="s">
        <v>19</v>
      </c>
      <c r="AJ3" s="117" t="s">
        <v>52</v>
      </c>
      <c r="AK3" s="117" t="s">
        <v>20</v>
      </c>
      <c r="AL3" s="117" t="s">
        <v>19</v>
      </c>
      <c r="AM3" s="117" t="s">
        <v>52</v>
      </c>
      <c r="AN3" s="118" t="s">
        <v>20</v>
      </c>
      <c r="AO3" s="118" t="s">
        <v>19</v>
      </c>
      <c r="AP3" s="118" t="s">
        <v>52</v>
      </c>
      <c r="AQ3" s="118" t="s">
        <v>20</v>
      </c>
      <c r="AR3" s="118" t="s">
        <v>19</v>
      </c>
      <c r="AS3" s="118" t="s">
        <v>52</v>
      </c>
      <c r="AT3" s="118" t="s">
        <v>20</v>
      </c>
      <c r="AU3" s="118" t="s">
        <v>19</v>
      </c>
      <c r="AV3" s="118" t="s">
        <v>52</v>
      </c>
      <c r="AW3" s="116" t="s">
        <v>20</v>
      </c>
      <c r="AX3" s="118" t="s">
        <v>19</v>
      </c>
      <c r="AY3" s="118" t="s">
        <v>52</v>
      </c>
      <c r="BA3" s="466"/>
      <c r="BB3" s="461"/>
      <c r="BC3" s="460"/>
      <c r="BD3" s="462"/>
      <c r="BE3" s="117" t="s">
        <v>20</v>
      </c>
      <c r="BF3" s="117" t="s">
        <v>19</v>
      </c>
      <c r="BG3" s="117" t="s">
        <v>52</v>
      </c>
      <c r="BH3" s="117" t="s">
        <v>20</v>
      </c>
      <c r="BI3" s="117" t="s">
        <v>19</v>
      </c>
      <c r="BJ3" s="117" t="s">
        <v>52</v>
      </c>
      <c r="BK3" s="117" t="s">
        <v>20</v>
      </c>
      <c r="BL3" s="117" t="s">
        <v>19</v>
      </c>
      <c r="BM3" s="117" t="s">
        <v>52</v>
      </c>
      <c r="BN3" s="118" t="s">
        <v>20</v>
      </c>
      <c r="BO3" s="118" t="s">
        <v>19</v>
      </c>
      <c r="BP3" s="118" t="s">
        <v>52</v>
      </c>
      <c r="BQ3" s="118" t="s">
        <v>20</v>
      </c>
      <c r="BR3" s="118" t="s">
        <v>19</v>
      </c>
      <c r="BS3" s="118" t="s">
        <v>52</v>
      </c>
      <c r="BT3" s="118" t="s">
        <v>20</v>
      </c>
      <c r="BU3" s="118" t="s">
        <v>19</v>
      </c>
      <c r="BV3" s="118" t="s">
        <v>52</v>
      </c>
      <c r="BW3" s="116" t="s">
        <v>20</v>
      </c>
      <c r="BX3" s="118" t="s">
        <v>19</v>
      </c>
      <c r="BY3" s="118" t="s">
        <v>52</v>
      </c>
    </row>
    <row r="4" spans="1:77" ht="15.5" x14ac:dyDescent="0.35">
      <c r="A4" s="103">
        <v>1</v>
      </c>
      <c r="B4" s="87" t="s">
        <v>5</v>
      </c>
      <c r="C4" s="172" t="s">
        <v>241</v>
      </c>
      <c r="D4" s="107" t="s">
        <v>6</v>
      </c>
      <c r="E4" s="115"/>
      <c r="F4" s="115"/>
      <c r="G4" s="115">
        <v>1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>
        <v>2</v>
      </c>
      <c r="S4" s="115">
        <v>3</v>
      </c>
      <c r="T4" s="115"/>
      <c r="U4" s="115"/>
      <c r="V4" s="115"/>
      <c r="W4" s="109">
        <f t="shared" ref="W4:W35" si="0">SUM(E4,H4,K4,N4,Q4,T4)</f>
        <v>0</v>
      </c>
      <c r="X4" s="109">
        <f t="shared" ref="X4:X35" si="1">SUM(F4,I4,L4,O4,R4,U4)</f>
        <v>2</v>
      </c>
      <c r="Y4" s="109">
        <f t="shared" ref="Y4:Y35" si="2">SUM(G4,J4,M4,P4,S4,V4)</f>
        <v>4</v>
      </c>
      <c r="AA4" s="103">
        <v>2</v>
      </c>
      <c r="AB4" s="87" t="s">
        <v>7</v>
      </c>
      <c r="AC4" s="172" t="s">
        <v>241</v>
      </c>
      <c r="AD4" s="107" t="s">
        <v>6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09">
        <f t="shared" ref="AW4:AW35" si="3">SUM(AE4,AH4,AK4,AN4,AQ4,AT4)</f>
        <v>0</v>
      </c>
      <c r="AX4" s="109">
        <f t="shared" ref="AX4:AX35" si="4">SUM(AF4,AI4,AL4,AO4,AR4,AU4)</f>
        <v>0</v>
      </c>
      <c r="AY4" s="109">
        <f t="shared" ref="AY4:AY35" si="5">SUM(AG4,AJ4,AM4,AP4,AS4,AV4)</f>
        <v>0</v>
      </c>
      <c r="BA4" s="103">
        <v>2</v>
      </c>
      <c r="BB4" s="87" t="s">
        <v>7</v>
      </c>
      <c r="BC4" s="172" t="s">
        <v>241</v>
      </c>
      <c r="BD4" s="107" t="s">
        <v>6</v>
      </c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09">
        <f t="shared" ref="BW4:BW35" si="6">SUM(BE4,BH4,BK4,BN4,BQ4,BT4)</f>
        <v>0</v>
      </c>
      <c r="BX4" s="109">
        <f t="shared" ref="BX4:BX35" si="7">SUM(BF4,BI4,BL4,BO4,BR4,BU4)</f>
        <v>0</v>
      </c>
      <c r="BY4" s="109">
        <f t="shared" ref="BY4:BY35" si="8">SUM(BG4,BJ4,BM4,BP4,BS4,BV4)</f>
        <v>0</v>
      </c>
    </row>
    <row r="5" spans="1:77" ht="15.5" x14ac:dyDescent="0.35">
      <c r="A5" s="1">
        <v>2</v>
      </c>
      <c r="B5" s="80" t="s">
        <v>7</v>
      </c>
      <c r="C5" s="172" t="s">
        <v>241</v>
      </c>
      <c r="D5" s="81" t="s">
        <v>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>
        <f t="shared" si="0"/>
        <v>0</v>
      </c>
      <c r="X5" s="30">
        <f t="shared" si="1"/>
        <v>0</v>
      </c>
      <c r="Y5" s="30">
        <f t="shared" si="2"/>
        <v>0</v>
      </c>
      <c r="AA5" s="1">
        <v>3</v>
      </c>
      <c r="AB5" s="80" t="s">
        <v>854</v>
      </c>
      <c r="AC5" s="172" t="s">
        <v>241</v>
      </c>
      <c r="AD5" s="82" t="s">
        <v>8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30">
        <f t="shared" si="3"/>
        <v>0</v>
      </c>
      <c r="AX5" s="30">
        <f t="shared" si="4"/>
        <v>0</v>
      </c>
      <c r="AY5" s="30">
        <f t="shared" si="5"/>
        <v>0</v>
      </c>
      <c r="BA5" s="1">
        <v>3</v>
      </c>
      <c r="BB5" s="80" t="s">
        <v>854</v>
      </c>
      <c r="BC5" s="172" t="s">
        <v>241</v>
      </c>
      <c r="BD5" s="82" t="s">
        <v>8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30">
        <f t="shared" si="6"/>
        <v>0</v>
      </c>
      <c r="BX5" s="30">
        <f t="shared" si="7"/>
        <v>0</v>
      </c>
      <c r="BY5" s="30">
        <f t="shared" si="8"/>
        <v>0</v>
      </c>
    </row>
    <row r="6" spans="1:77" ht="15.5" x14ac:dyDescent="0.35">
      <c r="A6" s="1">
        <v>3</v>
      </c>
      <c r="B6" s="80" t="s">
        <v>854</v>
      </c>
      <c r="C6" s="172" t="s">
        <v>241</v>
      </c>
      <c r="D6" s="82" t="s">
        <v>8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>
        <f t="shared" si="0"/>
        <v>0</v>
      </c>
      <c r="X6" s="30">
        <f t="shared" si="1"/>
        <v>0</v>
      </c>
      <c r="Y6" s="30">
        <f t="shared" si="2"/>
        <v>0</v>
      </c>
      <c r="AA6" s="1">
        <v>4</v>
      </c>
      <c r="AB6" s="80" t="s">
        <v>9</v>
      </c>
      <c r="AC6" s="172" t="s">
        <v>241</v>
      </c>
      <c r="AD6" s="81" t="s">
        <v>8</v>
      </c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>
        <v>8</v>
      </c>
      <c r="AR6" s="29"/>
      <c r="AS6" s="29"/>
      <c r="AT6" s="29"/>
      <c r="AU6" s="29"/>
      <c r="AV6" s="29"/>
      <c r="AW6" s="30">
        <f t="shared" si="3"/>
        <v>8</v>
      </c>
      <c r="AX6" s="30">
        <f t="shared" si="4"/>
        <v>0</v>
      </c>
      <c r="AY6" s="30">
        <f t="shared" si="5"/>
        <v>0</v>
      </c>
      <c r="BA6" s="1">
        <v>4</v>
      </c>
      <c r="BB6" s="80" t="s">
        <v>9</v>
      </c>
      <c r="BC6" s="172" t="s">
        <v>241</v>
      </c>
      <c r="BD6" s="81" t="s">
        <v>8</v>
      </c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>
        <v>8</v>
      </c>
      <c r="BR6" s="29"/>
      <c r="BS6" s="29"/>
      <c r="BT6" s="29"/>
      <c r="BU6" s="29"/>
      <c r="BV6" s="29"/>
      <c r="BW6" s="30">
        <f t="shared" si="6"/>
        <v>8</v>
      </c>
      <c r="BX6" s="30">
        <f t="shared" si="7"/>
        <v>0</v>
      </c>
      <c r="BY6" s="30">
        <f t="shared" si="8"/>
        <v>0</v>
      </c>
    </row>
    <row r="7" spans="1:77" ht="15.5" x14ac:dyDescent="0.35">
      <c r="A7" s="1">
        <v>6</v>
      </c>
      <c r="B7" s="80" t="s">
        <v>11</v>
      </c>
      <c r="C7" s="172" t="s">
        <v>241</v>
      </c>
      <c r="D7" s="81" t="s">
        <v>8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0">
        <f t="shared" si="0"/>
        <v>0</v>
      </c>
      <c r="X7" s="30">
        <f t="shared" si="1"/>
        <v>0</v>
      </c>
      <c r="Y7" s="30">
        <f t="shared" si="2"/>
        <v>0</v>
      </c>
      <c r="AA7" s="1">
        <v>6</v>
      </c>
      <c r="AB7" s="80" t="s">
        <v>11</v>
      </c>
      <c r="AC7" s="172" t="s">
        <v>241</v>
      </c>
      <c r="AD7" s="81" t="s">
        <v>8</v>
      </c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30">
        <f t="shared" si="3"/>
        <v>0</v>
      </c>
      <c r="AX7" s="30">
        <f t="shared" si="4"/>
        <v>0</v>
      </c>
      <c r="AY7" s="30">
        <f t="shared" si="5"/>
        <v>0</v>
      </c>
      <c r="BA7" s="1">
        <v>6</v>
      </c>
      <c r="BB7" s="80" t="s">
        <v>11</v>
      </c>
      <c r="BC7" s="172" t="s">
        <v>241</v>
      </c>
      <c r="BD7" s="81" t="s">
        <v>8</v>
      </c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30">
        <f t="shared" si="6"/>
        <v>0</v>
      </c>
      <c r="BX7" s="30">
        <f t="shared" si="7"/>
        <v>0</v>
      </c>
      <c r="BY7" s="30">
        <f t="shared" si="8"/>
        <v>0</v>
      </c>
    </row>
    <row r="8" spans="1:77" ht="15.5" x14ac:dyDescent="0.35">
      <c r="A8" s="1">
        <v>7</v>
      </c>
      <c r="B8" s="80" t="s">
        <v>12</v>
      </c>
      <c r="C8" s="172" t="s">
        <v>241</v>
      </c>
      <c r="D8" s="81" t="s">
        <v>6</v>
      </c>
      <c r="E8" s="29"/>
      <c r="F8" s="29"/>
      <c r="G8" s="29">
        <v>4</v>
      </c>
      <c r="H8" s="29"/>
      <c r="I8" s="29"/>
      <c r="J8" s="29"/>
      <c r="K8" s="29"/>
      <c r="L8" s="29"/>
      <c r="M8" s="29">
        <v>4</v>
      </c>
      <c r="N8" s="29"/>
      <c r="O8" s="29"/>
      <c r="P8" s="29">
        <v>5</v>
      </c>
      <c r="Q8" s="29"/>
      <c r="R8" s="29">
        <v>1</v>
      </c>
      <c r="S8" s="29">
        <v>1</v>
      </c>
      <c r="T8" s="29"/>
      <c r="U8" s="29"/>
      <c r="V8" s="29"/>
      <c r="W8" s="30">
        <f t="shared" si="0"/>
        <v>0</v>
      </c>
      <c r="X8" s="30">
        <f t="shared" si="1"/>
        <v>1</v>
      </c>
      <c r="Y8" s="30">
        <f t="shared" si="2"/>
        <v>14</v>
      </c>
      <c r="AA8" s="1">
        <v>10</v>
      </c>
      <c r="AB8" s="80" t="s">
        <v>14</v>
      </c>
      <c r="AC8" s="172" t="s">
        <v>241</v>
      </c>
      <c r="AD8" s="81" t="s">
        <v>6</v>
      </c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>
        <v>6</v>
      </c>
      <c r="AQ8" s="29"/>
      <c r="AR8" s="29"/>
      <c r="AS8" s="29">
        <v>1</v>
      </c>
      <c r="AT8" s="29"/>
      <c r="AU8" s="29"/>
      <c r="AV8" s="29">
        <v>2</v>
      </c>
      <c r="AW8" s="30">
        <f t="shared" si="3"/>
        <v>0</v>
      </c>
      <c r="AX8" s="30">
        <f t="shared" si="4"/>
        <v>0</v>
      </c>
      <c r="AY8" s="30">
        <f t="shared" si="5"/>
        <v>9</v>
      </c>
      <c r="BA8" s="1">
        <v>8</v>
      </c>
      <c r="BB8" s="80" t="s">
        <v>855</v>
      </c>
      <c r="BC8" s="172" t="s">
        <v>241</v>
      </c>
      <c r="BD8" s="81" t="s">
        <v>6</v>
      </c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>
        <v>2</v>
      </c>
      <c r="BV8" s="29"/>
      <c r="BW8" s="30">
        <f t="shared" si="6"/>
        <v>0</v>
      </c>
      <c r="BX8" s="30">
        <f t="shared" si="7"/>
        <v>2</v>
      </c>
      <c r="BY8" s="30">
        <f t="shared" si="8"/>
        <v>0</v>
      </c>
    </row>
    <row r="9" spans="1:77" ht="15.5" x14ac:dyDescent="0.35">
      <c r="A9" s="1">
        <v>8</v>
      </c>
      <c r="B9" s="80" t="s">
        <v>855</v>
      </c>
      <c r="C9" s="172" t="s">
        <v>241</v>
      </c>
      <c r="D9" s="81" t="s">
        <v>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>
        <v>2</v>
      </c>
      <c r="V9" s="29"/>
      <c r="W9" s="30">
        <f t="shared" si="0"/>
        <v>0</v>
      </c>
      <c r="X9" s="30">
        <f t="shared" si="1"/>
        <v>2</v>
      </c>
      <c r="Y9" s="30">
        <f t="shared" si="2"/>
        <v>0</v>
      </c>
      <c r="AA9" s="1">
        <v>12</v>
      </c>
      <c r="AB9" s="80" t="s">
        <v>16</v>
      </c>
      <c r="AC9" s="172" t="s">
        <v>241</v>
      </c>
      <c r="AD9" s="81" t="s">
        <v>8</v>
      </c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30">
        <f t="shared" si="3"/>
        <v>0</v>
      </c>
      <c r="AX9" s="30">
        <f t="shared" si="4"/>
        <v>0</v>
      </c>
      <c r="AY9" s="30">
        <f t="shared" si="5"/>
        <v>0</v>
      </c>
      <c r="BA9" s="1">
        <v>11</v>
      </c>
      <c r="BB9" s="80" t="s">
        <v>15</v>
      </c>
      <c r="BC9" s="172" t="s">
        <v>241</v>
      </c>
      <c r="BD9" s="81" t="s">
        <v>6</v>
      </c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>
        <v>2</v>
      </c>
      <c r="BR9" s="29"/>
      <c r="BS9" s="29"/>
      <c r="BT9" s="29"/>
      <c r="BU9" s="29">
        <v>2</v>
      </c>
      <c r="BV9" s="29"/>
      <c r="BW9" s="30">
        <f t="shared" si="6"/>
        <v>2</v>
      </c>
      <c r="BX9" s="30">
        <f t="shared" si="7"/>
        <v>2</v>
      </c>
      <c r="BY9" s="30">
        <f t="shared" si="8"/>
        <v>0</v>
      </c>
    </row>
    <row r="10" spans="1:77" ht="15.5" x14ac:dyDescent="0.35">
      <c r="A10" s="1">
        <v>10</v>
      </c>
      <c r="B10" s="80" t="s">
        <v>14</v>
      </c>
      <c r="C10" s="172" t="s">
        <v>241</v>
      </c>
      <c r="D10" s="81" t="s">
        <v>6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>
        <v>6</v>
      </c>
      <c r="Q10" s="29"/>
      <c r="R10" s="29"/>
      <c r="S10" s="29">
        <v>1</v>
      </c>
      <c r="T10" s="29"/>
      <c r="U10" s="29"/>
      <c r="V10" s="29">
        <v>2</v>
      </c>
      <c r="W10" s="30">
        <f t="shared" si="0"/>
        <v>0</v>
      </c>
      <c r="X10" s="30">
        <f t="shared" si="1"/>
        <v>0</v>
      </c>
      <c r="Y10" s="30">
        <f t="shared" si="2"/>
        <v>9</v>
      </c>
      <c r="AA10" s="1">
        <v>13</v>
      </c>
      <c r="AB10" s="80" t="s">
        <v>17</v>
      </c>
      <c r="AC10" s="172" t="s">
        <v>241</v>
      </c>
      <c r="AD10" s="81" t="s">
        <v>8</v>
      </c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30">
        <f t="shared" si="3"/>
        <v>0</v>
      </c>
      <c r="AX10" s="30">
        <f t="shared" si="4"/>
        <v>0</v>
      </c>
      <c r="AY10" s="30">
        <f t="shared" si="5"/>
        <v>0</v>
      </c>
      <c r="BA10" s="1">
        <v>12</v>
      </c>
      <c r="BB10" s="80" t="s">
        <v>16</v>
      </c>
      <c r="BC10" s="172" t="s">
        <v>241</v>
      </c>
      <c r="BD10" s="81" t="s">
        <v>8</v>
      </c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30">
        <f t="shared" si="6"/>
        <v>0</v>
      </c>
      <c r="BX10" s="30">
        <f t="shared" si="7"/>
        <v>0</v>
      </c>
      <c r="BY10" s="30">
        <f t="shared" si="8"/>
        <v>0</v>
      </c>
    </row>
    <row r="11" spans="1:77" ht="15.5" x14ac:dyDescent="0.35">
      <c r="A11" s="1">
        <v>12</v>
      </c>
      <c r="B11" s="80" t="s">
        <v>16</v>
      </c>
      <c r="C11" s="172" t="s">
        <v>241</v>
      </c>
      <c r="D11" s="81" t="s">
        <v>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>
        <f t="shared" si="0"/>
        <v>0</v>
      </c>
      <c r="X11" s="30">
        <f t="shared" si="1"/>
        <v>0</v>
      </c>
      <c r="Y11" s="30">
        <f t="shared" si="2"/>
        <v>0</v>
      </c>
      <c r="AA11" s="1">
        <v>14</v>
      </c>
      <c r="AB11" s="80" t="s">
        <v>18</v>
      </c>
      <c r="AC11" s="172" t="s">
        <v>241</v>
      </c>
      <c r="AD11" s="85" t="s">
        <v>8</v>
      </c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30">
        <f t="shared" si="3"/>
        <v>0</v>
      </c>
      <c r="AX11" s="30">
        <f t="shared" si="4"/>
        <v>0</v>
      </c>
      <c r="AY11" s="30">
        <f t="shared" si="5"/>
        <v>0</v>
      </c>
      <c r="BA11" s="1">
        <v>13</v>
      </c>
      <c r="BB11" s="80" t="s">
        <v>17</v>
      </c>
      <c r="BC11" s="172" t="s">
        <v>241</v>
      </c>
      <c r="BD11" s="81" t="s">
        <v>8</v>
      </c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30">
        <f t="shared" si="6"/>
        <v>0</v>
      </c>
      <c r="BX11" s="30">
        <f t="shared" si="7"/>
        <v>0</v>
      </c>
      <c r="BY11" s="30">
        <f t="shared" si="8"/>
        <v>0</v>
      </c>
    </row>
    <row r="12" spans="1:77" ht="15.5" x14ac:dyDescent="0.35">
      <c r="A12" s="1">
        <v>13</v>
      </c>
      <c r="B12" s="80" t="s">
        <v>17</v>
      </c>
      <c r="C12" s="172" t="s">
        <v>241</v>
      </c>
      <c r="D12" s="81" t="s">
        <v>8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>
        <f t="shared" si="0"/>
        <v>0</v>
      </c>
      <c r="X12" s="30">
        <f t="shared" si="1"/>
        <v>0</v>
      </c>
      <c r="Y12" s="30">
        <f t="shared" si="2"/>
        <v>0</v>
      </c>
      <c r="AA12" s="1">
        <v>17</v>
      </c>
      <c r="AB12" s="90" t="s">
        <v>67</v>
      </c>
      <c r="AC12" s="172" t="s">
        <v>1074</v>
      </c>
      <c r="AD12" s="89" t="s">
        <v>6</v>
      </c>
      <c r="AE12" s="4"/>
      <c r="AF12" s="4"/>
      <c r="AG12" s="4"/>
      <c r="AH12" s="4"/>
      <c r="AI12" s="5"/>
      <c r="AJ12" s="4"/>
      <c r="AK12" s="12"/>
      <c r="AL12" s="4"/>
      <c r="AM12" s="4"/>
      <c r="AN12" s="13"/>
      <c r="AO12" s="13"/>
      <c r="AP12" s="13"/>
      <c r="AQ12" s="4"/>
      <c r="AR12" s="4"/>
      <c r="AS12" s="4"/>
      <c r="AT12" s="4"/>
      <c r="AU12" s="4"/>
      <c r="AV12" s="4"/>
      <c r="AW12" s="30">
        <f t="shared" si="3"/>
        <v>0</v>
      </c>
      <c r="AX12" s="30">
        <f t="shared" si="4"/>
        <v>0</v>
      </c>
      <c r="AY12" s="30">
        <f t="shared" si="5"/>
        <v>0</v>
      </c>
      <c r="BA12" s="1">
        <v>14</v>
      </c>
      <c r="BB12" s="80" t="s">
        <v>18</v>
      </c>
      <c r="BC12" s="172" t="s">
        <v>241</v>
      </c>
      <c r="BD12" s="85" t="s">
        <v>8</v>
      </c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30">
        <f t="shared" si="6"/>
        <v>0</v>
      </c>
      <c r="BX12" s="30">
        <f t="shared" si="7"/>
        <v>0</v>
      </c>
      <c r="BY12" s="30">
        <f t="shared" si="8"/>
        <v>0</v>
      </c>
    </row>
    <row r="13" spans="1:77" ht="15.5" x14ac:dyDescent="0.35">
      <c r="A13" s="1">
        <v>14</v>
      </c>
      <c r="B13" s="80" t="s">
        <v>18</v>
      </c>
      <c r="C13" s="172" t="s">
        <v>241</v>
      </c>
      <c r="D13" s="85" t="s">
        <v>8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>
        <f t="shared" si="0"/>
        <v>0</v>
      </c>
      <c r="X13" s="30">
        <f t="shared" si="1"/>
        <v>0</v>
      </c>
      <c r="Y13" s="30">
        <f t="shared" si="2"/>
        <v>0</v>
      </c>
      <c r="AA13" s="1">
        <v>1</v>
      </c>
      <c r="AB13" s="80" t="s">
        <v>71</v>
      </c>
      <c r="AC13" s="172" t="s">
        <v>1075</v>
      </c>
      <c r="AD13" s="81" t="s">
        <v>6</v>
      </c>
      <c r="AE13" s="4"/>
      <c r="AF13" s="4"/>
      <c r="AG13" s="5">
        <v>1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4"/>
      <c r="AU13" s="4"/>
      <c r="AV13" s="4">
        <v>1</v>
      </c>
      <c r="AW13" s="30">
        <f t="shared" si="3"/>
        <v>0</v>
      </c>
      <c r="AX13" s="30">
        <f t="shared" si="4"/>
        <v>0</v>
      </c>
      <c r="AY13" s="30">
        <f t="shared" si="5"/>
        <v>2</v>
      </c>
      <c r="BA13" s="1">
        <v>1</v>
      </c>
      <c r="BB13" s="80" t="s">
        <v>53</v>
      </c>
      <c r="BC13" s="172" t="s">
        <v>1074</v>
      </c>
      <c r="BD13" s="174" t="s">
        <v>6</v>
      </c>
      <c r="BE13" s="4"/>
      <c r="BF13" s="4"/>
      <c r="BG13" s="5"/>
      <c r="BH13" s="4">
        <v>1</v>
      </c>
      <c r="BI13" s="5"/>
      <c r="BJ13" s="5"/>
      <c r="BK13" s="12"/>
      <c r="BL13" s="4"/>
      <c r="BM13" s="4"/>
      <c r="BN13" s="13"/>
      <c r="BO13" s="13"/>
      <c r="BP13" s="13"/>
      <c r="BQ13" s="4"/>
      <c r="BR13" s="4">
        <v>2</v>
      </c>
      <c r="BS13" s="4"/>
      <c r="BT13" s="4"/>
      <c r="BU13" s="4"/>
      <c r="BV13" s="4"/>
      <c r="BW13" s="30">
        <f t="shared" si="6"/>
        <v>1</v>
      </c>
      <c r="BX13" s="30">
        <f t="shared" si="7"/>
        <v>2</v>
      </c>
      <c r="BY13" s="30">
        <f t="shared" si="8"/>
        <v>0</v>
      </c>
    </row>
    <row r="14" spans="1:77" ht="15.5" x14ac:dyDescent="0.35">
      <c r="A14" s="1">
        <v>3</v>
      </c>
      <c r="B14" s="80" t="s">
        <v>55</v>
      </c>
      <c r="C14" s="172" t="s">
        <v>1074</v>
      </c>
      <c r="D14" s="88" t="s">
        <v>6</v>
      </c>
      <c r="E14" s="5"/>
      <c r="F14" s="4"/>
      <c r="G14" s="4"/>
      <c r="H14" s="4"/>
      <c r="I14" s="5"/>
      <c r="J14" s="4"/>
      <c r="K14" s="12"/>
      <c r="L14" s="4"/>
      <c r="M14" s="4"/>
      <c r="N14" s="13"/>
      <c r="O14" s="13">
        <v>2</v>
      </c>
      <c r="P14" s="13">
        <v>2</v>
      </c>
      <c r="Q14" s="4"/>
      <c r="R14" s="4">
        <v>2</v>
      </c>
      <c r="S14" s="4"/>
      <c r="T14" s="4"/>
      <c r="U14" s="4">
        <v>1</v>
      </c>
      <c r="V14" s="4"/>
      <c r="W14" s="30">
        <f t="shared" si="0"/>
        <v>0</v>
      </c>
      <c r="X14" s="30">
        <f t="shared" si="1"/>
        <v>5</v>
      </c>
      <c r="Y14" s="30">
        <f t="shared" si="2"/>
        <v>2</v>
      </c>
      <c r="AA14" s="1">
        <v>2</v>
      </c>
      <c r="AB14" s="80" t="s">
        <v>72</v>
      </c>
      <c r="AC14" s="172" t="s">
        <v>1075</v>
      </c>
      <c r="AD14" s="81" t="s">
        <v>6</v>
      </c>
      <c r="AE14" s="4"/>
      <c r="AF14" s="4"/>
      <c r="AG14" s="4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4"/>
      <c r="AU14" s="4"/>
      <c r="AV14" s="4">
        <v>4</v>
      </c>
      <c r="AW14" s="30">
        <f t="shared" si="3"/>
        <v>0</v>
      </c>
      <c r="AX14" s="30">
        <f t="shared" si="4"/>
        <v>0</v>
      </c>
      <c r="AY14" s="30">
        <f t="shared" si="5"/>
        <v>4</v>
      </c>
      <c r="BA14" s="1">
        <v>6</v>
      </c>
      <c r="BB14" s="80" t="s">
        <v>58</v>
      </c>
      <c r="BC14" s="172" t="s">
        <v>1074</v>
      </c>
      <c r="BD14" s="89" t="s">
        <v>6</v>
      </c>
      <c r="BE14" s="4"/>
      <c r="BF14" s="4">
        <v>2</v>
      </c>
      <c r="BG14" s="4"/>
      <c r="BH14" s="4"/>
      <c r="BI14" s="4"/>
      <c r="BJ14" s="4"/>
      <c r="BK14" s="12"/>
      <c r="BL14" s="4"/>
      <c r="BM14" s="4"/>
      <c r="BN14" s="13"/>
      <c r="BO14" s="13"/>
      <c r="BP14" s="13"/>
      <c r="BQ14" s="4"/>
      <c r="BR14" s="4">
        <v>3</v>
      </c>
      <c r="BS14" s="4"/>
      <c r="BT14" s="4"/>
      <c r="BU14" s="4"/>
      <c r="BV14" s="4"/>
      <c r="BW14" s="30">
        <f t="shared" si="6"/>
        <v>0</v>
      </c>
      <c r="BX14" s="30">
        <f t="shared" si="7"/>
        <v>5</v>
      </c>
      <c r="BY14" s="30">
        <f t="shared" si="8"/>
        <v>0</v>
      </c>
    </row>
    <row r="15" spans="1:77" ht="15.5" x14ac:dyDescent="0.35">
      <c r="A15" s="1">
        <v>6</v>
      </c>
      <c r="B15" s="80" t="s">
        <v>58</v>
      </c>
      <c r="C15" s="172" t="s">
        <v>1074</v>
      </c>
      <c r="D15" s="89" t="s">
        <v>6</v>
      </c>
      <c r="E15" s="4"/>
      <c r="F15" s="4">
        <v>2</v>
      </c>
      <c r="G15" s="4"/>
      <c r="H15" s="4"/>
      <c r="I15" s="4"/>
      <c r="J15" s="4"/>
      <c r="K15" s="12"/>
      <c r="L15" s="4"/>
      <c r="M15" s="4"/>
      <c r="N15" s="13"/>
      <c r="O15" s="13"/>
      <c r="P15" s="13"/>
      <c r="Q15" s="4"/>
      <c r="R15" s="4">
        <v>3</v>
      </c>
      <c r="S15" s="4"/>
      <c r="T15" s="4"/>
      <c r="U15" s="4"/>
      <c r="V15" s="4"/>
      <c r="W15" s="30">
        <f t="shared" si="0"/>
        <v>0</v>
      </c>
      <c r="X15" s="30">
        <f t="shared" si="1"/>
        <v>5</v>
      </c>
      <c r="Y15" s="30">
        <f t="shared" si="2"/>
        <v>0</v>
      </c>
      <c r="AA15" s="1">
        <v>3</v>
      </c>
      <c r="AB15" s="80" t="s">
        <v>73</v>
      </c>
      <c r="AC15" s="172" t="s">
        <v>1075</v>
      </c>
      <c r="AD15" s="81" t="s">
        <v>6</v>
      </c>
      <c r="AE15" s="4"/>
      <c r="AF15" s="5"/>
      <c r="AG15" s="4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4"/>
      <c r="AU15" s="4"/>
      <c r="AV15" s="4"/>
      <c r="AW15" s="30">
        <f t="shared" si="3"/>
        <v>0</v>
      </c>
      <c r="AX15" s="30">
        <f t="shared" si="4"/>
        <v>0</v>
      </c>
      <c r="AY15" s="30">
        <f t="shared" si="5"/>
        <v>0</v>
      </c>
      <c r="BA15" s="1">
        <v>9</v>
      </c>
      <c r="BB15" s="90" t="s">
        <v>856</v>
      </c>
      <c r="BC15" s="172" t="s">
        <v>1074</v>
      </c>
      <c r="BD15" s="89" t="s">
        <v>6</v>
      </c>
      <c r="BE15" s="4"/>
      <c r="BF15" s="4"/>
      <c r="BG15" s="4"/>
      <c r="BH15" s="4"/>
      <c r="BI15" s="4"/>
      <c r="BJ15" s="5"/>
      <c r="BK15" s="4"/>
      <c r="BL15" s="4"/>
      <c r="BM15" s="4"/>
      <c r="BN15" s="13"/>
      <c r="BO15" s="13"/>
      <c r="BP15" s="13"/>
      <c r="BQ15" s="4"/>
      <c r="BR15" s="4">
        <v>2</v>
      </c>
      <c r="BS15" s="4"/>
      <c r="BT15" s="4"/>
      <c r="BU15" s="4"/>
      <c r="BV15" s="4"/>
      <c r="BW15" s="30">
        <f t="shared" si="6"/>
        <v>0</v>
      </c>
      <c r="BX15" s="30">
        <f t="shared" si="7"/>
        <v>2</v>
      </c>
      <c r="BY15" s="30">
        <f t="shared" si="8"/>
        <v>0</v>
      </c>
    </row>
    <row r="16" spans="1:77" ht="15.5" x14ac:dyDescent="0.35">
      <c r="A16" s="1">
        <v>7</v>
      </c>
      <c r="B16" s="80" t="s">
        <v>59</v>
      </c>
      <c r="C16" s="172" t="s">
        <v>1074</v>
      </c>
      <c r="D16" s="89" t="s">
        <v>6</v>
      </c>
      <c r="E16" s="4"/>
      <c r="F16" s="4"/>
      <c r="G16" s="4"/>
      <c r="H16" s="4"/>
      <c r="I16" s="5"/>
      <c r="J16" s="5"/>
      <c r="K16" s="4"/>
      <c r="L16" s="4"/>
      <c r="M16" s="4"/>
      <c r="N16" s="13"/>
      <c r="O16" s="13"/>
      <c r="P16" s="13"/>
      <c r="Q16" s="4"/>
      <c r="R16" s="4">
        <v>2</v>
      </c>
      <c r="S16" s="4">
        <v>1</v>
      </c>
      <c r="T16" s="4"/>
      <c r="U16" s="4"/>
      <c r="V16" s="4"/>
      <c r="W16" s="30">
        <f t="shared" si="0"/>
        <v>0</v>
      </c>
      <c r="X16" s="30">
        <f t="shared" si="1"/>
        <v>2</v>
      </c>
      <c r="Y16" s="30">
        <f t="shared" si="2"/>
        <v>1</v>
      </c>
      <c r="AA16" s="1">
        <v>5</v>
      </c>
      <c r="AB16" s="80" t="s">
        <v>858</v>
      </c>
      <c r="AC16" s="172" t="s">
        <v>1075</v>
      </c>
      <c r="AD16" s="81" t="s">
        <v>6</v>
      </c>
      <c r="AE16" s="4"/>
      <c r="AF16" s="4"/>
      <c r="AG16" s="4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4"/>
      <c r="AU16" s="4"/>
      <c r="AV16" s="4"/>
      <c r="AW16" s="30">
        <f t="shared" si="3"/>
        <v>0</v>
      </c>
      <c r="AX16" s="30">
        <f t="shared" si="4"/>
        <v>0</v>
      </c>
      <c r="AY16" s="30">
        <f t="shared" si="5"/>
        <v>0</v>
      </c>
      <c r="BA16" s="1">
        <v>11</v>
      </c>
      <c r="BB16" s="80" t="s">
        <v>857</v>
      </c>
      <c r="BC16" s="172" t="s">
        <v>1074</v>
      </c>
      <c r="BD16" s="89" t="s">
        <v>6</v>
      </c>
      <c r="BE16" s="4"/>
      <c r="BF16" s="4"/>
      <c r="BG16" s="4"/>
      <c r="BH16" s="5"/>
      <c r="BI16" s="5"/>
      <c r="BJ16" s="4"/>
      <c r="BK16" s="4"/>
      <c r="BL16" s="4"/>
      <c r="BM16" s="4"/>
      <c r="BN16" s="13"/>
      <c r="BO16" s="13"/>
      <c r="BP16" s="13"/>
      <c r="BQ16" s="4"/>
      <c r="BR16" s="4"/>
      <c r="BS16" s="4"/>
      <c r="BT16" s="4"/>
      <c r="BU16" s="4">
        <v>1</v>
      </c>
      <c r="BV16" s="4"/>
      <c r="BW16" s="30">
        <f t="shared" si="6"/>
        <v>0</v>
      </c>
      <c r="BX16" s="30">
        <f t="shared" si="7"/>
        <v>1</v>
      </c>
      <c r="BY16" s="30">
        <f t="shared" si="8"/>
        <v>0</v>
      </c>
    </row>
    <row r="17" spans="1:77" ht="15.5" x14ac:dyDescent="0.35">
      <c r="A17" s="1">
        <v>9</v>
      </c>
      <c r="B17" s="90" t="s">
        <v>856</v>
      </c>
      <c r="C17" s="172" t="s">
        <v>1074</v>
      </c>
      <c r="D17" s="89" t="s">
        <v>6</v>
      </c>
      <c r="E17" s="4"/>
      <c r="F17" s="4"/>
      <c r="G17" s="4"/>
      <c r="H17" s="4"/>
      <c r="I17" s="4"/>
      <c r="J17" s="5"/>
      <c r="K17" s="4"/>
      <c r="L17" s="4"/>
      <c r="M17" s="4"/>
      <c r="N17" s="13"/>
      <c r="O17" s="13"/>
      <c r="P17" s="13"/>
      <c r="Q17" s="4"/>
      <c r="R17" s="4">
        <v>2</v>
      </c>
      <c r="S17" s="4"/>
      <c r="T17" s="4"/>
      <c r="U17" s="4"/>
      <c r="V17" s="4"/>
      <c r="W17" s="30">
        <f t="shared" si="0"/>
        <v>0</v>
      </c>
      <c r="X17" s="30">
        <f t="shared" si="1"/>
        <v>2</v>
      </c>
      <c r="Y17" s="30">
        <f t="shared" si="2"/>
        <v>0</v>
      </c>
      <c r="AA17" s="1">
        <v>7</v>
      </c>
      <c r="AB17" s="80" t="s">
        <v>76</v>
      </c>
      <c r="AC17" s="172" t="s">
        <v>1075</v>
      </c>
      <c r="AD17" s="81" t="s">
        <v>6</v>
      </c>
      <c r="AE17" s="4"/>
      <c r="AF17" s="4"/>
      <c r="AG17" s="4">
        <v>2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4"/>
      <c r="AU17" s="4"/>
      <c r="AV17" s="4">
        <v>1</v>
      </c>
      <c r="AW17" s="30">
        <f t="shared" si="3"/>
        <v>0</v>
      </c>
      <c r="AX17" s="30">
        <f t="shared" si="4"/>
        <v>0</v>
      </c>
      <c r="AY17" s="30">
        <f t="shared" si="5"/>
        <v>3</v>
      </c>
      <c r="BA17" s="1">
        <v>14</v>
      </c>
      <c r="BB17" s="80" t="s">
        <v>64</v>
      </c>
      <c r="BC17" s="172" t="s">
        <v>1074</v>
      </c>
      <c r="BD17" s="89" t="s">
        <v>6</v>
      </c>
      <c r="BE17" s="4"/>
      <c r="BF17" s="4"/>
      <c r="BG17" s="5"/>
      <c r="BH17" s="4"/>
      <c r="BI17" s="5"/>
      <c r="BJ17" s="5"/>
      <c r="BK17" s="4"/>
      <c r="BL17" s="4"/>
      <c r="BM17" s="4"/>
      <c r="BN17" s="13">
        <v>1</v>
      </c>
      <c r="BO17" s="13"/>
      <c r="BP17" s="13"/>
      <c r="BQ17" s="4"/>
      <c r="BR17" s="4">
        <v>1</v>
      </c>
      <c r="BS17" s="4"/>
      <c r="BT17" s="4"/>
      <c r="BU17" s="4"/>
      <c r="BV17" s="4"/>
      <c r="BW17" s="30">
        <f t="shared" si="6"/>
        <v>1</v>
      </c>
      <c r="BX17" s="30">
        <f t="shared" si="7"/>
        <v>1</v>
      </c>
      <c r="BY17" s="30">
        <f t="shared" si="8"/>
        <v>0</v>
      </c>
    </row>
    <row r="18" spans="1:77" ht="15.5" x14ac:dyDescent="0.35">
      <c r="A18" s="103">
        <v>10</v>
      </c>
      <c r="B18" s="87" t="s">
        <v>61</v>
      </c>
      <c r="C18" s="173" t="s">
        <v>1074</v>
      </c>
      <c r="D18" s="181" t="s">
        <v>6</v>
      </c>
      <c r="E18" s="108"/>
      <c r="F18" s="108"/>
      <c r="G18" s="113"/>
      <c r="H18" s="108"/>
      <c r="I18" s="113"/>
      <c r="J18" s="113"/>
      <c r="K18" s="108"/>
      <c r="L18" s="108"/>
      <c r="M18" s="108"/>
      <c r="N18" s="122"/>
      <c r="O18" s="122">
        <v>1</v>
      </c>
      <c r="P18" s="122">
        <v>5</v>
      </c>
      <c r="Q18" s="108"/>
      <c r="R18" s="108">
        <v>4</v>
      </c>
      <c r="S18" s="108"/>
      <c r="T18" s="108"/>
      <c r="U18" s="108">
        <v>1</v>
      </c>
      <c r="V18" s="108"/>
      <c r="W18" s="109">
        <f t="shared" si="0"/>
        <v>0</v>
      </c>
      <c r="X18" s="109">
        <f t="shared" si="1"/>
        <v>6</v>
      </c>
      <c r="Y18" s="109">
        <f t="shared" si="2"/>
        <v>5</v>
      </c>
      <c r="AA18" s="103">
        <v>10</v>
      </c>
      <c r="AB18" s="87" t="s">
        <v>79</v>
      </c>
      <c r="AC18" s="173" t="s">
        <v>1075</v>
      </c>
      <c r="AD18" s="97" t="s">
        <v>6</v>
      </c>
      <c r="AE18" s="108"/>
      <c r="AF18" s="108"/>
      <c r="AG18" s="113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08"/>
      <c r="AU18" s="108"/>
      <c r="AV18" s="108"/>
      <c r="AW18" s="109">
        <f t="shared" si="3"/>
        <v>0</v>
      </c>
      <c r="AX18" s="109">
        <f t="shared" si="4"/>
        <v>0</v>
      </c>
      <c r="AY18" s="109">
        <f t="shared" si="5"/>
        <v>0</v>
      </c>
      <c r="BA18" s="103">
        <v>16</v>
      </c>
      <c r="BB18" s="185" t="s">
        <v>66</v>
      </c>
      <c r="BC18" s="173" t="s">
        <v>1074</v>
      </c>
      <c r="BD18" s="181" t="s">
        <v>6</v>
      </c>
      <c r="BE18" s="108"/>
      <c r="BF18" s="113"/>
      <c r="BG18" s="108"/>
      <c r="BH18" s="108"/>
      <c r="BI18" s="108"/>
      <c r="BJ18" s="108"/>
      <c r="BK18" s="114"/>
      <c r="BL18" s="108"/>
      <c r="BM18" s="108"/>
      <c r="BN18" s="122"/>
      <c r="BO18" s="122"/>
      <c r="BP18" s="122"/>
      <c r="BQ18" s="108"/>
      <c r="BR18" s="108">
        <v>2</v>
      </c>
      <c r="BS18" s="108"/>
      <c r="BT18" s="108"/>
      <c r="BU18" s="108"/>
      <c r="BV18" s="108"/>
      <c r="BW18" s="109">
        <f t="shared" si="6"/>
        <v>0</v>
      </c>
      <c r="BX18" s="109">
        <f t="shared" si="7"/>
        <v>2</v>
      </c>
      <c r="BY18" s="109">
        <f t="shared" si="8"/>
        <v>0</v>
      </c>
    </row>
    <row r="19" spans="1:77" ht="15.5" x14ac:dyDescent="0.35">
      <c r="A19" s="1">
        <v>11</v>
      </c>
      <c r="B19" s="80" t="s">
        <v>857</v>
      </c>
      <c r="C19" s="173" t="s">
        <v>1074</v>
      </c>
      <c r="D19" s="177" t="s">
        <v>6</v>
      </c>
      <c r="E19" s="4"/>
      <c r="F19" s="4"/>
      <c r="G19" s="4"/>
      <c r="H19" s="5"/>
      <c r="I19" s="5"/>
      <c r="J19" s="4"/>
      <c r="K19" s="4"/>
      <c r="L19" s="4"/>
      <c r="M19" s="4"/>
      <c r="N19" s="13"/>
      <c r="O19" s="13"/>
      <c r="P19" s="13"/>
      <c r="Q19" s="4"/>
      <c r="R19" s="4"/>
      <c r="S19" s="4"/>
      <c r="T19" s="4"/>
      <c r="U19" s="4">
        <v>1</v>
      </c>
      <c r="V19" s="4"/>
      <c r="W19" s="30">
        <f t="shared" si="0"/>
        <v>0</v>
      </c>
      <c r="X19" s="30">
        <f t="shared" si="1"/>
        <v>1</v>
      </c>
      <c r="Y19" s="30">
        <f t="shared" si="2"/>
        <v>0</v>
      </c>
      <c r="AA19" s="1">
        <v>11</v>
      </c>
      <c r="AB19" s="80" t="s">
        <v>80</v>
      </c>
      <c r="AC19" s="173" t="s">
        <v>1075</v>
      </c>
      <c r="AD19" s="91" t="s">
        <v>6</v>
      </c>
      <c r="AE19" s="4"/>
      <c r="AF19" s="4"/>
      <c r="AG19" s="4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4"/>
      <c r="AU19" s="4"/>
      <c r="AV19" s="4">
        <v>1</v>
      </c>
      <c r="AW19" s="30">
        <f t="shared" si="3"/>
        <v>0</v>
      </c>
      <c r="AX19" s="30">
        <f t="shared" si="4"/>
        <v>0</v>
      </c>
      <c r="AY19" s="30">
        <f t="shared" si="5"/>
        <v>1</v>
      </c>
      <c r="BA19" s="1">
        <v>17</v>
      </c>
      <c r="BB19" s="90" t="s">
        <v>67</v>
      </c>
      <c r="BC19" s="173" t="s">
        <v>1074</v>
      </c>
      <c r="BD19" s="177" t="s">
        <v>6</v>
      </c>
      <c r="BE19" s="4"/>
      <c r="BF19" s="4"/>
      <c r="BG19" s="4"/>
      <c r="BH19" s="4"/>
      <c r="BI19" s="5"/>
      <c r="BJ19" s="4"/>
      <c r="BK19" s="12"/>
      <c r="BL19" s="4"/>
      <c r="BM19" s="4"/>
      <c r="BN19" s="13"/>
      <c r="BO19" s="13"/>
      <c r="BP19" s="13"/>
      <c r="BQ19" s="4"/>
      <c r="BR19" s="4"/>
      <c r="BS19" s="4"/>
      <c r="BT19" s="4"/>
      <c r="BU19" s="4"/>
      <c r="BV19" s="4"/>
      <c r="BW19" s="30">
        <f t="shared" si="6"/>
        <v>0</v>
      </c>
      <c r="BX19" s="30">
        <f t="shared" si="7"/>
        <v>0</v>
      </c>
      <c r="BY19" s="30">
        <f t="shared" si="8"/>
        <v>0</v>
      </c>
    </row>
    <row r="20" spans="1:77" ht="15.5" x14ac:dyDescent="0.35">
      <c r="A20" s="1">
        <v>12</v>
      </c>
      <c r="B20" s="80" t="s">
        <v>62</v>
      </c>
      <c r="C20" s="173" t="s">
        <v>1074</v>
      </c>
      <c r="D20" s="89" t="s">
        <v>6</v>
      </c>
      <c r="E20" s="5"/>
      <c r="F20" s="4"/>
      <c r="G20" s="5"/>
      <c r="H20" s="5"/>
      <c r="I20" s="5"/>
      <c r="J20" s="5"/>
      <c r="K20" s="4"/>
      <c r="L20" s="4"/>
      <c r="M20" s="4"/>
      <c r="N20" s="13"/>
      <c r="O20" s="13"/>
      <c r="P20" s="13"/>
      <c r="Q20" s="4"/>
      <c r="R20" s="4">
        <v>1</v>
      </c>
      <c r="S20" s="4">
        <v>1</v>
      </c>
      <c r="T20" s="4"/>
      <c r="U20" s="4">
        <v>2</v>
      </c>
      <c r="V20" s="4">
        <v>1</v>
      </c>
      <c r="W20" s="30">
        <f t="shared" si="0"/>
        <v>0</v>
      </c>
      <c r="X20" s="30">
        <f t="shared" si="1"/>
        <v>3</v>
      </c>
      <c r="Y20" s="30">
        <f t="shared" si="2"/>
        <v>2</v>
      </c>
      <c r="AA20" s="1">
        <v>14</v>
      </c>
      <c r="AB20" s="80" t="s">
        <v>83</v>
      </c>
      <c r="AC20" s="173" t="s">
        <v>1075</v>
      </c>
      <c r="AD20" s="81" t="s">
        <v>6</v>
      </c>
      <c r="AE20" s="4"/>
      <c r="AF20" s="4"/>
      <c r="AG20" s="4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4"/>
      <c r="AU20" s="4"/>
      <c r="AV20" s="4"/>
      <c r="AW20" s="30">
        <f t="shared" si="3"/>
        <v>0</v>
      </c>
      <c r="AX20" s="30">
        <f t="shared" si="4"/>
        <v>0</v>
      </c>
      <c r="AY20" s="30">
        <f t="shared" si="5"/>
        <v>0</v>
      </c>
      <c r="BA20" s="1">
        <v>19</v>
      </c>
      <c r="BB20" s="80" t="s">
        <v>69</v>
      </c>
      <c r="BC20" s="173" t="s">
        <v>1074</v>
      </c>
      <c r="BD20" s="89" t="s">
        <v>6</v>
      </c>
      <c r="BE20" s="4"/>
      <c r="BF20" s="4"/>
      <c r="BG20" s="4"/>
      <c r="BH20" s="4"/>
      <c r="BI20" s="5"/>
      <c r="BJ20" s="5"/>
      <c r="BK20" s="4"/>
      <c r="BL20" s="4"/>
      <c r="BM20" s="4"/>
      <c r="BN20" s="13"/>
      <c r="BO20" s="13"/>
      <c r="BP20" s="13"/>
      <c r="BQ20" s="4"/>
      <c r="BR20" s="4">
        <v>1</v>
      </c>
      <c r="BS20" s="4"/>
      <c r="BT20" s="4"/>
      <c r="BU20" s="4"/>
      <c r="BV20" s="4"/>
      <c r="BW20" s="30">
        <f t="shared" si="6"/>
        <v>0</v>
      </c>
      <c r="BX20" s="30">
        <f t="shared" si="7"/>
        <v>1</v>
      </c>
      <c r="BY20" s="30">
        <f t="shared" si="8"/>
        <v>0</v>
      </c>
    </row>
    <row r="21" spans="1:77" ht="15.5" x14ac:dyDescent="0.35">
      <c r="A21" s="1">
        <v>13</v>
      </c>
      <c r="B21" s="80" t="s">
        <v>63</v>
      </c>
      <c r="C21" s="173" t="s">
        <v>1074</v>
      </c>
      <c r="D21" s="89" t="s">
        <v>6</v>
      </c>
      <c r="E21" s="4"/>
      <c r="F21" s="4"/>
      <c r="G21" s="4">
        <v>3</v>
      </c>
      <c r="H21" s="5"/>
      <c r="I21" s="5"/>
      <c r="J21" s="5"/>
      <c r="K21" s="4"/>
      <c r="L21" s="4"/>
      <c r="M21" s="4"/>
      <c r="N21" s="13"/>
      <c r="O21" s="13"/>
      <c r="P21" s="13"/>
      <c r="Q21" s="4"/>
      <c r="R21" s="4">
        <v>1</v>
      </c>
      <c r="S21" s="4">
        <v>2</v>
      </c>
      <c r="T21" s="4"/>
      <c r="U21" s="4"/>
      <c r="V21" s="4"/>
      <c r="W21" s="30">
        <f t="shared" si="0"/>
        <v>0</v>
      </c>
      <c r="X21" s="30">
        <f t="shared" si="1"/>
        <v>1</v>
      </c>
      <c r="Y21" s="30">
        <f t="shared" si="2"/>
        <v>5</v>
      </c>
      <c r="AA21" s="1">
        <v>18</v>
      </c>
      <c r="AB21" s="80" t="s">
        <v>87</v>
      </c>
      <c r="AC21" s="173" t="s">
        <v>1075</v>
      </c>
      <c r="AD21" s="81" t="s">
        <v>6</v>
      </c>
      <c r="AE21" s="4"/>
      <c r="AF21" s="4"/>
      <c r="AG21" s="4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4"/>
      <c r="AU21" s="4"/>
      <c r="AV21" s="4"/>
      <c r="AW21" s="30">
        <f t="shared" si="3"/>
        <v>0</v>
      </c>
      <c r="AX21" s="30">
        <f t="shared" si="4"/>
        <v>0</v>
      </c>
      <c r="AY21" s="30">
        <f t="shared" si="5"/>
        <v>0</v>
      </c>
      <c r="BA21" s="1">
        <v>3</v>
      </c>
      <c r="BB21" s="80" t="s">
        <v>73</v>
      </c>
      <c r="BC21" s="173" t="s">
        <v>1075</v>
      </c>
      <c r="BD21" s="81" t="s">
        <v>6</v>
      </c>
      <c r="BE21" s="4"/>
      <c r="BF21" s="5"/>
      <c r="BG21" s="4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4"/>
      <c r="BU21" s="4"/>
      <c r="BV21" s="4"/>
      <c r="BW21" s="30">
        <f t="shared" si="6"/>
        <v>0</v>
      </c>
      <c r="BX21" s="30">
        <f t="shared" si="7"/>
        <v>0</v>
      </c>
      <c r="BY21" s="30">
        <f t="shared" si="8"/>
        <v>0</v>
      </c>
    </row>
    <row r="22" spans="1:77" ht="15.5" x14ac:dyDescent="0.35">
      <c r="A22" s="1">
        <v>15</v>
      </c>
      <c r="B22" s="80" t="s">
        <v>65</v>
      </c>
      <c r="C22" s="173" t="s">
        <v>1074</v>
      </c>
      <c r="D22" s="89" t="s">
        <v>6</v>
      </c>
      <c r="E22" s="9"/>
      <c r="F22" s="16"/>
      <c r="G22" s="9"/>
      <c r="H22" s="9"/>
      <c r="I22" s="9"/>
      <c r="J22" s="9"/>
      <c r="K22" s="28"/>
      <c r="L22" s="9"/>
      <c r="M22" s="9"/>
      <c r="N22" s="15"/>
      <c r="O22" s="15"/>
      <c r="P22" s="15"/>
      <c r="Q22" s="9"/>
      <c r="R22" s="9">
        <v>4</v>
      </c>
      <c r="S22" s="9">
        <v>1</v>
      </c>
      <c r="T22" s="9"/>
      <c r="U22" s="9">
        <v>1</v>
      </c>
      <c r="V22" s="9">
        <v>1</v>
      </c>
      <c r="W22" s="30">
        <f t="shared" si="0"/>
        <v>0</v>
      </c>
      <c r="X22" s="30">
        <f t="shared" si="1"/>
        <v>5</v>
      </c>
      <c r="Y22" s="30">
        <f t="shared" si="2"/>
        <v>2</v>
      </c>
      <c r="AA22" s="2" t="s">
        <v>21</v>
      </c>
      <c r="AB22" s="80" t="s">
        <v>89</v>
      </c>
      <c r="AC22" s="173" t="s">
        <v>243</v>
      </c>
      <c r="AD22" s="81" t="s">
        <v>8</v>
      </c>
      <c r="AE22" s="4"/>
      <c r="AF22" s="4"/>
      <c r="AG22" s="4"/>
      <c r="AH22" s="4"/>
      <c r="AI22" s="5"/>
      <c r="AJ22" s="4"/>
      <c r="AK22" s="4"/>
      <c r="AL22" s="4"/>
      <c r="AM22" s="4"/>
      <c r="AN22" s="4"/>
      <c r="AO22" s="4"/>
      <c r="AP22" s="4"/>
      <c r="AQ22" s="4">
        <v>1</v>
      </c>
      <c r="AR22" s="4"/>
      <c r="AS22" s="4">
        <v>1</v>
      </c>
      <c r="AT22" s="4"/>
      <c r="AU22" s="4"/>
      <c r="AV22" s="4"/>
      <c r="AW22" s="30">
        <f t="shared" si="3"/>
        <v>1</v>
      </c>
      <c r="AX22" s="30">
        <f t="shared" si="4"/>
        <v>0</v>
      </c>
      <c r="AY22" s="30">
        <f t="shared" si="5"/>
        <v>1</v>
      </c>
      <c r="BA22" s="1">
        <v>4</v>
      </c>
      <c r="BB22" s="80" t="s">
        <v>74</v>
      </c>
      <c r="BC22" s="173" t="s">
        <v>1075</v>
      </c>
      <c r="BD22" s="81" t="s">
        <v>6</v>
      </c>
      <c r="BE22" s="4"/>
      <c r="BF22" s="4"/>
      <c r="BG22" s="5"/>
      <c r="BH22" s="13"/>
      <c r="BI22" s="13"/>
      <c r="BJ22" s="13"/>
      <c r="BK22" s="13"/>
      <c r="BL22" s="13"/>
      <c r="BM22" s="13"/>
      <c r="BN22" s="13"/>
      <c r="BO22" s="13">
        <v>1</v>
      </c>
      <c r="BP22" s="13"/>
      <c r="BQ22" s="13"/>
      <c r="BR22" s="13">
        <v>1</v>
      </c>
      <c r="BS22" s="13"/>
      <c r="BT22" s="4"/>
      <c r="BU22" s="4"/>
      <c r="BV22" s="4"/>
      <c r="BW22" s="30">
        <f t="shared" si="6"/>
        <v>0</v>
      </c>
      <c r="BX22" s="30">
        <f t="shared" si="7"/>
        <v>2</v>
      </c>
      <c r="BY22" s="30">
        <f t="shared" si="8"/>
        <v>0</v>
      </c>
    </row>
    <row r="23" spans="1:77" ht="15.5" x14ac:dyDescent="0.35">
      <c r="A23" s="1">
        <v>16</v>
      </c>
      <c r="B23" s="90" t="s">
        <v>66</v>
      </c>
      <c r="C23" s="173" t="s">
        <v>1074</v>
      </c>
      <c r="D23" s="89" t="s">
        <v>6</v>
      </c>
      <c r="E23" s="4"/>
      <c r="F23" s="5"/>
      <c r="G23" s="4"/>
      <c r="H23" s="4"/>
      <c r="I23" s="4"/>
      <c r="J23" s="4"/>
      <c r="K23" s="12"/>
      <c r="L23" s="4"/>
      <c r="M23" s="4"/>
      <c r="N23" s="13"/>
      <c r="O23" s="13"/>
      <c r="P23" s="13"/>
      <c r="Q23" s="4"/>
      <c r="R23" s="4">
        <v>2</v>
      </c>
      <c r="S23" s="4"/>
      <c r="T23" s="4"/>
      <c r="U23" s="4"/>
      <c r="V23" s="4"/>
      <c r="W23" s="30">
        <f t="shared" si="0"/>
        <v>0</v>
      </c>
      <c r="X23" s="30">
        <f t="shared" si="1"/>
        <v>2</v>
      </c>
      <c r="Y23" s="30">
        <f t="shared" si="2"/>
        <v>0</v>
      </c>
      <c r="AA23" s="2" t="s">
        <v>23</v>
      </c>
      <c r="AB23" s="80" t="s">
        <v>91</v>
      </c>
      <c r="AC23" s="173" t="s">
        <v>243</v>
      </c>
      <c r="AD23" s="81" t="s">
        <v>6</v>
      </c>
      <c r="AE23" s="4"/>
      <c r="AF23" s="5"/>
      <c r="AG23" s="4">
        <v>2</v>
      </c>
      <c r="AH23" s="4"/>
      <c r="AI23" s="5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30">
        <f t="shared" si="3"/>
        <v>0</v>
      </c>
      <c r="AX23" s="30">
        <f t="shared" si="4"/>
        <v>0</v>
      </c>
      <c r="AY23" s="30">
        <f t="shared" si="5"/>
        <v>2</v>
      </c>
      <c r="BA23" s="1">
        <v>5</v>
      </c>
      <c r="BB23" s="80" t="s">
        <v>858</v>
      </c>
      <c r="BC23" s="173" t="s">
        <v>1075</v>
      </c>
      <c r="BD23" s="81" t="s">
        <v>6</v>
      </c>
      <c r="BE23" s="4"/>
      <c r="BF23" s="4"/>
      <c r="BG23" s="4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4"/>
      <c r="BU23" s="4"/>
      <c r="BV23" s="4"/>
      <c r="BW23" s="30">
        <f t="shared" si="6"/>
        <v>0</v>
      </c>
      <c r="BX23" s="30">
        <f t="shared" si="7"/>
        <v>0</v>
      </c>
      <c r="BY23" s="30">
        <f t="shared" si="8"/>
        <v>0</v>
      </c>
    </row>
    <row r="24" spans="1:77" ht="15.5" x14ac:dyDescent="0.35">
      <c r="A24" s="1">
        <v>17</v>
      </c>
      <c r="B24" s="90" t="s">
        <v>67</v>
      </c>
      <c r="C24" s="173" t="s">
        <v>1074</v>
      </c>
      <c r="D24" s="89" t="s">
        <v>6</v>
      </c>
      <c r="E24" s="4"/>
      <c r="F24" s="4"/>
      <c r="G24" s="4"/>
      <c r="H24" s="4"/>
      <c r="I24" s="5"/>
      <c r="J24" s="4"/>
      <c r="K24" s="12"/>
      <c r="L24" s="4"/>
      <c r="M24" s="4"/>
      <c r="N24" s="13"/>
      <c r="O24" s="13"/>
      <c r="P24" s="13"/>
      <c r="Q24" s="4"/>
      <c r="R24" s="4"/>
      <c r="S24" s="4"/>
      <c r="T24" s="4"/>
      <c r="U24" s="4"/>
      <c r="V24" s="4"/>
      <c r="W24" s="30">
        <f t="shared" si="0"/>
        <v>0</v>
      </c>
      <c r="X24" s="30">
        <f t="shared" si="1"/>
        <v>0</v>
      </c>
      <c r="Y24" s="30">
        <f t="shared" si="2"/>
        <v>0</v>
      </c>
      <c r="AA24" s="2" t="s">
        <v>24</v>
      </c>
      <c r="AB24" s="80" t="s">
        <v>92</v>
      </c>
      <c r="AC24" s="173" t="s">
        <v>243</v>
      </c>
      <c r="AD24" s="81" t="s">
        <v>8</v>
      </c>
      <c r="AE24" s="4">
        <v>2</v>
      </c>
      <c r="AF24" s="4"/>
      <c r="AG24" s="4"/>
      <c r="AH24" s="4"/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30">
        <f t="shared" si="3"/>
        <v>2</v>
      </c>
      <c r="AX24" s="30">
        <f t="shared" si="4"/>
        <v>0</v>
      </c>
      <c r="AY24" s="30">
        <f t="shared" si="5"/>
        <v>0</v>
      </c>
      <c r="BA24" s="1">
        <v>10</v>
      </c>
      <c r="BB24" s="80" t="s">
        <v>79</v>
      </c>
      <c r="BC24" s="173" t="s">
        <v>1075</v>
      </c>
      <c r="BD24" s="81" t="s">
        <v>6</v>
      </c>
      <c r="BE24" s="4"/>
      <c r="BF24" s="4"/>
      <c r="BG24" s="5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4"/>
      <c r="BU24" s="4"/>
      <c r="BV24" s="4"/>
      <c r="BW24" s="30">
        <f t="shared" si="6"/>
        <v>0</v>
      </c>
      <c r="BX24" s="30">
        <f t="shared" si="7"/>
        <v>0</v>
      </c>
      <c r="BY24" s="30">
        <f t="shared" si="8"/>
        <v>0</v>
      </c>
    </row>
    <row r="25" spans="1:77" ht="15.5" x14ac:dyDescent="0.35">
      <c r="A25" s="1">
        <v>19</v>
      </c>
      <c r="B25" s="80" t="s">
        <v>69</v>
      </c>
      <c r="C25" s="173" t="s">
        <v>1074</v>
      </c>
      <c r="D25" s="89" t="s">
        <v>6</v>
      </c>
      <c r="E25" s="4"/>
      <c r="F25" s="4"/>
      <c r="G25" s="4"/>
      <c r="H25" s="4"/>
      <c r="I25" s="5"/>
      <c r="J25" s="5"/>
      <c r="K25" s="4"/>
      <c r="L25" s="4"/>
      <c r="M25" s="4"/>
      <c r="N25" s="13"/>
      <c r="O25" s="13"/>
      <c r="P25" s="13"/>
      <c r="Q25" s="4"/>
      <c r="R25" s="4">
        <v>1</v>
      </c>
      <c r="S25" s="4"/>
      <c r="T25" s="4"/>
      <c r="U25" s="4"/>
      <c r="V25" s="4"/>
      <c r="W25" s="30">
        <f t="shared" si="0"/>
        <v>0</v>
      </c>
      <c r="X25" s="30">
        <f t="shared" si="1"/>
        <v>1</v>
      </c>
      <c r="Y25" s="30">
        <f t="shared" si="2"/>
        <v>0</v>
      </c>
      <c r="AA25" s="2" t="s">
        <v>26</v>
      </c>
      <c r="AB25" s="80" t="s">
        <v>94</v>
      </c>
      <c r="AC25" s="173" t="s">
        <v>243</v>
      </c>
      <c r="AD25" s="81" t="s">
        <v>8</v>
      </c>
      <c r="AE25" s="4"/>
      <c r="AF25" s="4"/>
      <c r="AG25" s="4"/>
      <c r="AH25" s="5"/>
      <c r="AI25" s="4"/>
      <c r="AJ25" s="4"/>
      <c r="AK25" s="4"/>
      <c r="AL25" s="4"/>
      <c r="AM25" s="4"/>
      <c r="AN25" s="4"/>
      <c r="AO25" s="4"/>
      <c r="AP25" s="4"/>
      <c r="AQ25" s="4">
        <v>1</v>
      </c>
      <c r="AR25" s="4"/>
      <c r="AS25" s="4"/>
      <c r="AT25" s="4"/>
      <c r="AU25" s="4"/>
      <c r="AV25" s="4"/>
      <c r="AW25" s="30">
        <f t="shared" si="3"/>
        <v>1</v>
      </c>
      <c r="AX25" s="30">
        <f t="shared" si="4"/>
        <v>0</v>
      </c>
      <c r="AY25" s="30">
        <f t="shared" si="5"/>
        <v>0</v>
      </c>
      <c r="BA25" s="1">
        <v>12</v>
      </c>
      <c r="BB25" s="80" t="s">
        <v>81</v>
      </c>
      <c r="BC25" s="173" t="s">
        <v>1075</v>
      </c>
      <c r="BD25" s="81" t="s">
        <v>6</v>
      </c>
      <c r="BE25" s="4"/>
      <c r="BF25" s="4"/>
      <c r="BG25" s="5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>
        <v>1</v>
      </c>
      <c r="BS25" s="13"/>
      <c r="BT25" s="4"/>
      <c r="BU25" s="4"/>
      <c r="BV25" s="4"/>
      <c r="BW25" s="30">
        <f t="shared" si="6"/>
        <v>0</v>
      </c>
      <c r="BX25" s="30">
        <f t="shared" si="7"/>
        <v>1</v>
      </c>
      <c r="BY25" s="30">
        <f t="shared" si="8"/>
        <v>0</v>
      </c>
    </row>
    <row r="26" spans="1:77" ht="15.5" x14ac:dyDescent="0.35">
      <c r="A26" s="1">
        <v>1</v>
      </c>
      <c r="B26" s="80" t="s">
        <v>71</v>
      </c>
      <c r="C26" s="173" t="s">
        <v>1075</v>
      </c>
      <c r="D26" s="81" t="s">
        <v>6</v>
      </c>
      <c r="E26" s="4"/>
      <c r="F26" s="4"/>
      <c r="G26" s="5">
        <v>1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4"/>
      <c r="U26" s="4"/>
      <c r="V26" s="4">
        <v>1</v>
      </c>
      <c r="W26" s="30">
        <f t="shared" si="0"/>
        <v>0</v>
      </c>
      <c r="X26" s="30">
        <f t="shared" si="1"/>
        <v>0</v>
      </c>
      <c r="Y26" s="30">
        <f t="shared" si="2"/>
        <v>2</v>
      </c>
      <c r="AA26" s="2" t="s">
        <v>30</v>
      </c>
      <c r="AB26" s="80" t="s">
        <v>98</v>
      </c>
      <c r="AC26" s="173" t="s">
        <v>243</v>
      </c>
      <c r="AD26" s="81" t="s">
        <v>6</v>
      </c>
      <c r="AE26" s="4"/>
      <c r="AF26" s="4"/>
      <c r="AG26" s="4"/>
      <c r="AH26" s="4">
        <v>1</v>
      </c>
      <c r="AI26" s="5"/>
      <c r="AJ26" s="4">
        <v>3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30">
        <f t="shared" si="3"/>
        <v>1</v>
      </c>
      <c r="AX26" s="30">
        <f t="shared" si="4"/>
        <v>0</v>
      </c>
      <c r="AY26" s="30">
        <f t="shared" si="5"/>
        <v>3</v>
      </c>
      <c r="BA26" s="1">
        <v>14</v>
      </c>
      <c r="BB26" s="80" t="s">
        <v>83</v>
      </c>
      <c r="BC26" s="173" t="s">
        <v>1075</v>
      </c>
      <c r="BD26" s="81" t="s">
        <v>6</v>
      </c>
      <c r="BE26" s="4"/>
      <c r="BF26" s="4"/>
      <c r="BG26" s="4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4"/>
      <c r="BU26" s="4"/>
      <c r="BV26" s="4"/>
      <c r="BW26" s="30">
        <f t="shared" si="6"/>
        <v>0</v>
      </c>
      <c r="BX26" s="30">
        <f t="shared" si="7"/>
        <v>0</v>
      </c>
      <c r="BY26" s="30">
        <f t="shared" si="8"/>
        <v>0</v>
      </c>
    </row>
    <row r="27" spans="1:77" ht="15.5" x14ac:dyDescent="0.35">
      <c r="A27" s="1">
        <v>2</v>
      </c>
      <c r="B27" s="80" t="s">
        <v>72</v>
      </c>
      <c r="C27" s="173" t="s">
        <v>1075</v>
      </c>
      <c r="D27" s="81" t="s">
        <v>6</v>
      </c>
      <c r="E27" s="4"/>
      <c r="F27" s="4"/>
      <c r="G27" s="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4"/>
      <c r="U27" s="4"/>
      <c r="V27" s="4">
        <v>4</v>
      </c>
      <c r="W27" s="30">
        <f t="shared" si="0"/>
        <v>0</v>
      </c>
      <c r="X27" s="30">
        <f t="shared" si="1"/>
        <v>0</v>
      </c>
      <c r="Y27" s="30">
        <f t="shared" si="2"/>
        <v>4</v>
      </c>
      <c r="AA27" s="2" t="s">
        <v>32</v>
      </c>
      <c r="AB27" s="80" t="s">
        <v>100</v>
      </c>
      <c r="AC27" s="173" t="s">
        <v>243</v>
      </c>
      <c r="AD27" s="81" t="s">
        <v>6</v>
      </c>
      <c r="AE27" s="4"/>
      <c r="AF27" s="4"/>
      <c r="AG27" s="4"/>
      <c r="AH27" s="4"/>
      <c r="AI27" s="5"/>
      <c r="AJ27" s="5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30">
        <f t="shared" si="3"/>
        <v>0</v>
      </c>
      <c r="AX27" s="30">
        <f t="shared" si="4"/>
        <v>0</v>
      </c>
      <c r="AY27" s="30">
        <f t="shared" si="5"/>
        <v>0</v>
      </c>
      <c r="BA27" s="1">
        <v>15</v>
      </c>
      <c r="BB27" s="80" t="s">
        <v>84</v>
      </c>
      <c r="BC27" s="173" t="s">
        <v>1075</v>
      </c>
      <c r="BD27" s="81" t="s">
        <v>6</v>
      </c>
      <c r="BE27" s="9"/>
      <c r="BF27" s="9"/>
      <c r="BG27" s="9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>
        <v>1</v>
      </c>
      <c r="BS27" s="15"/>
      <c r="BT27" s="9"/>
      <c r="BU27" s="9"/>
      <c r="BV27" s="9"/>
      <c r="BW27" s="30">
        <f t="shared" si="6"/>
        <v>0</v>
      </c>
      <c r="BX27" s="30">
        <f t="shared" si="7"/>
        <v>1</v>
      </c>
      <c r="BY27" s="30">
        <f t="shared" si="8"/>
        <v>0</v>
      </c>
    </row>
    <row r="28" spans="1:77" ht="15.5" x14ac:dyDescent="0.35">
      <c r="A28" s="1">
        <v>3</v>
      </c>
      <c r="B28" s="80" t="s">
        <v>73</v>
      </c>
      <c r="C28" s="173" t="s">
        <v>1075</v>
      </c>
      <c r="D28" s="81" t="s">
        <v>6</v>
      </c>
      <c r="E28" s="4"/>
      <c r="F28" s="5"/>
      <c r="G28" s="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4"/>
      <c r="U28" s="4"/>
      <c r="V28" s="4"/>
      <c r="W28" s="30">
        <f t="shared" si="0"/>
        <v>0</v>
      </c>
      <c r="X28" s="30">
        <f t="shared" si="1"/>
        <v>0</v>
      </c>
      <c r="Y28" s="30">
        <f t="shared" si="2"/>
        <v>0</v>
      </c>
      <c r="AA28" s="2" t="s">
        <v>33</v>
      </c>
      <c r="AB28" s="80" t="s">
        <v>101</v>
      </c>
      <c r="AC28" s="173" t="s">
        <v>243</v>
      </c>
      <c r="AD28" s="81" t="s">
        <v>6</v>
      </c>
      <c r="AE28" s="4"/>
      <c r="AF28" s="4"/>
      <c r="AG28" s="4"/>
      <c r="AH28" s="4"/>
      <c r="AI28" s="5"/>
      <c r="AJ28" s="4"/>
      <c r="AK28" s="4"/>
      <c r="AL28" s="4"/>
      <c r="AM28" s="4"/>
      <c r="AN28" s="4"/>
      <c r="AO28" s="4"/>
      <c r="AP28" s="4"/>
      <c r="AQ28" s="4"/>
      <c r="AR28" s="4"/>
      <c r="AS28" s="4">
        <v>6</v>
      </c>
      <c r="AT28" s="4"/>
      <c r="AU28" s="4"/>
      <c r="AV28" s="4">
        <v>1</v>
      </c>
      <c r="AW28" s="30">
        <f t="shared" si="3"/>
        <v>0</v>
      </c>
      <c r="AX28" s="30">
        <f t="shared" si="4"/>
        <v>0</v>
      </c>
      <c r="AY28" s="30">
        <f t="shared" si="5"/>
        <v>7</v>
      </c>
      <c r="BA28" s="1">
        <v>16</v>
      </c>
      <c r="BB28" s="80" t="s">
        <v>85</v>
      </c>
      <c r="BC28" s="173" t="s">
        <v>1075</v>
      </c>
      <c r="BD28" s="81" t="s">
        <v>6</v>
      </c>
      <c r="BE28" s="4"/>
      <c r="BF28" s="4"/>
      <c r="BG28" s="5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>
        <v>2</v>
      </c>
      <c r="BS28" s="13"/>
      <c r="BT28" s="4"/>
      <c r="BU28" s="4"/>
      <c r="BV28" s="4"/>
      <c r="BW28" s="30">
        <f t="shared" si="6"/>
        <v>0</v>
      </c>
      <c r="BX28" s="30">
        <f t="shared" si="7"/>
        <v>2</v>
      </c>
      <c r="BY28" s="30">
        <f t="shared" si="8"/>
        <v>0</v>
      </c>
    </row>
    <row r="29" spans="1:77" ht="15.5" x14ac:dyDescent="0.35">
      <c r="A29" s="1">
        <v>4</v>
      </c>
      <c r="B29" s="80" t="s">
        <v>74</v>
      </c>
      <c r="C29" s="173" t="s">
        <v>1075</v>
      </c>
      <c r="D29" s="81" t="s">
        <v>6</v>
      </c>
      <c r="E29" s="4"/>
      <c r="F29" s="4"/>
      <c r="G29" s="5"/>
      <c r="H29" s="13"/>
      <c r="I29" s="13"/>
      <c r="J29" s="13"/>
      <c r="K29" s="13"/>
      <c r="L29" s="13"/>
      <c r="M29" s="13"/>
      <c r="N29" s="13"/>
      <c r="O29" s="13">
        <v>1</v>
      </c>
      <c r="P29" s="13"/>
      <c r="Q29" s="13"/>
      <c r="R29" s="13">
        <v>1</v>
      </c>
      <c r="S29" s="13"/>
      <c r="T29" s="4"/>
      <c r="U29" s="4"/>
      <c r="V29" s="4"/>
      <c r="W29" s="30">
        <f t="shared" si="0"/>
        <v>0</v>
      </c>
      <c r="X29" s="30">
        <f t="shared" si="1"/>
        <v>2</v>
      </c>
      <c r="Y29" s="30">
        <f t="shared" si="2"/>
        <v>0</v>
      </c>
      <c r="AA29" s="2" t="s">
        <v>38</v>
      </c>
      <c r="AB29" s="80" t="s">
        <v>104</v>
      </c>
      <c r="AC29" s="173" t="s">
        <v>243</v>
      </c>
      <c r="AD29" s="81" t="s">
        <v>8</v>
      </c>
      <c r="AE29" s="4"/>
      <c r="AF29" s="4"/>
      <c r="AG29" s="4"/>
      <c r="AH29" s="4"/>
      <c r="AI29" s="5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30">
        <f t="shared" si="3"/>
        <v>0</v>
      </c>
      <c r="AX29" s="30">
        <f t="shared" si="4"/>
        <v>0</v>
      </c>
      <c r="AY29" s="30">
        <f t="shared" si="5"/>
        <v>0</v>
      </c>
      <c r="BA29" s="1">
        <v>17</v>
      </c>
      <c r="BB29" s="80" t="s">
        <v>86</v>
      </c>
      <c r="BC29" s="173" t="s">
        <v>1075</v>
      </c>
      <c r="BD29" s="81" t="s">
        <v>6</v>
      </c>
      <c r="BE29" s="4"/>
      <c r="BF29" s="5"/>
      <c r="BG29" s="5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>
        <v>1</v>
      </c>
      <c r="BS29" s="13"/>
      <c r="BT29" s="4"/>
      <c r="BU29" s="4"/>
      <c r="BV29" s="4"/>
      <c r="BW29" s="30">
        <f t="shared" si="6"/>
        <v>0</v>
      </c>
      <c r="BX29" s="30">
        <f t="shared" si="7"/>
        <v>1</v>
      </c>
      <c r="BY29" s="30">
        <f t="shared" si="8"/>
        <v>0</v>
      </c>
    </row>
    <row r="30" spans="1:77" ht="15.5" x14ac:dyDescent="0.35">
      <c r="A30" s="1">
        <v>5</v>
      </c>
      <c r="B30" s="80" t="s">
        <v>858</v>
      </c>
      <c r="C30" s="173" t="s">
        <v>1075</v>
      </c>
      <c r="D30" s="81" t="s">
        <v>6</v>
      </c>
      <c r="E30" s="4"/>
      <c r="F30" s="4"/>
      <c r="G30" s="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4"/>
      <c r="U30" s="4"/>
      <c r="V30" s="4"/>
      <c r="W30" s="30">
        <f t="shared" si="0"/>
        <v>0</v>
      </c>
      <c r="X30" s="30">
        <f t="shared" si="1"/>
        <v>0</v>
      </c>
      <c r="Y30" s="30">
        <f t="shared" si="2"/>
        <v>0</v>
      </c>
      <c r="AA30" s="2" t="s">
        <v>39</v>
      </c>
      <c r="AB30" s="80" t="s">
        <v>105</v>
      </c>
      <c r="AC30" s="173" t="s">
        <v>243</v>
      </c>
      <c r="AD30" s="81" t="s">
        <v>8</v>
      </c>
      <c r="AE30" s="4"/>
      <c r="AF30" s="4"/>
      <c r="AG30" s="4"/>
      <c r="AH30" s="4"/>
      <c r="AI30" s="4"/>
      <c r="AJ30" s="4"/>
      <c r="AK30" s="4"/>
      <c r="AL30" s="4"/>
      <c r="AM30" s="4"/>
      <c r="AN30" s="4">
        <v>1</v>
      </c>
      <c r="AO30" s="4"/>
      <c r="AP30" s="4"/>
      <c r="AQ30" s="4"/>
      <c r="AR30" s="4"/>
      <c r="AS30" s="4"/>
      <c r="AT30" s="4"/>
      <c r="AU30" s="4"/>
      <c r="AV30" s="4"/>
      <c r="AW30" s="30">
        <f t="shared" si="3"/>
        <v>1</v>
      </c>
      <c r="AX30" s="30">
        <f t="shared" si="4"/>
        <v>0</v>
      </c>
      <c r="AY30" s="30">
        <f t="shared" si="5"/>
        <v>0</v>
      </c>
      <c r="BA30" s="1">
        <v>18</v>
      </c>
      <c r="BB30" s="80" t="s">
        <v>87</v>
      </c>
      <c r="BC30" s="173" t="s">
        <v>1075</v>
      </c>
      <c r="BD30" s="81" t="s">
        <v>6</v>
      </c>
      <c r="BE30" s="4"/>
      <c r="BF30" s="4"/>
      <c r="BG30" s="4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4"/>
      <c r="BU30" s="4"/>
      <c r="BV30" s="4"/>
      <c r="BW30" s="30">
        <f t="shared" si="6"/>
        <v>0</v>
      </c>
      <c r="BX30" s="30">
        <f t="shared" si="7"/>
        <v>0</v>
      </c>
      <c r="BY30" s="30">
        <f t="shared" si="8"/>
        <v>0</v>
      </c>
    </row>
    <row r="31" spans="1:77" ht="15.5" x14ac:dyDescent="0.35">
      <c r="A31" s="1">
        <v>6</v>
      </c>
      <c r="B31" s="80" t="s">
        <v>75</v>
      </c>
      <c r="C31" s="173" t="s">
        <v>1075</v>
      </c>
      <c r="D31" s="81" t="s">
        <v>6</v>
      </c>
      <c r="E31" s="4"/>
      <c r="F31" s="4"/>
      <c r="G31" s="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>
        <v>1</v>
      </c>
      <c r="S31" s="13"/>
      <c r="T31" s="4"/>
      <c r="U31" s="4"/>
      <c r="V31" s="4">
        <v>2</v>
      </c>
      <c r="W31" s="30">
        <f t="shared" si="0"/>
        <v>0</v>
      </c>
      <c r="X31" s="30">
        <f t="shared" si="1"/>
        <v>1</v>
      </c>
      <c r="Y31" s="30">
        <f t="shared" si="2"/>
        <v>2</v>
      </c>
      <c r="AA31" s="2" t="s">
        <v>43</v>
      </c>
      <c r="AB31" s="90" t="s">
        <v>109</v>
      </c>
      <c r="AC31" s="173" t="s">
        <v>243</v>
      </c>
      <c r="AD31" s="81" t="s">
        <v>6</v>
      </c>
      <c r="AE31" s="4"/>
      <c r="AF31" s="4"/>
      <c r="AG31" s="4"/>
      <c r="AH31" s="4"/>
      <c r="AI31" s="5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>
        <v>1</v>
      </c>
      <c r="AU31" s="4"/>
      <c r="AV31" s="4"/>
      <c r="AW31" s="30">
        <f t="shared" si="3"/>
        <v>1</v>
      </c>
      <c r="AX31" s="30">
        <f t="shared" si="4"/>
        <v>0</v>
      </c>
      <c r="AY31" s="30">
        <f t="shared" si="5"/>
        <v>0</v>
      </c>
      <c r="BA31" s="2" t="s">
        <v>22</v>
      </c>
      <c r="BB31" s="80" t="s">
        <v>90</v>
      </c>
      <c r="BC31" s="173" t="s">
        <v>243</v>
      </c>
      <c r="BD31" s="81" t="s">
        <v>6</v>
      </c>
      <c r="BE31" s="4"/>
      <c r="BF31" s="4"/>
      <c r="BG31" s="4"/>
      <c r="BH31" s="4">
        <v>1</v>
      </c>
      <c r="BI31" s="4"/>
      <c r="BJ31" s="4"/>
      <c r="BK31" s="4"/>
      <c r="BL31" s="4"/>
      <c r="BM31" s="4"/>
      <c r="BN31" s="4"/>
      <c r="BO31" s="4"/>
      <c r="BP31" s="4"/>
      <c r="BQ31" s="4"/>
      <c r="BR31" s="4">
        <v>3</v>
      </c>
      <c r="BS31" s="4"/>
      <c r="BT31" s="4"/>
      <c r="BU31" s="4"/>
      <c r="BV31" s="4"/>
      <c r="BW31" s="30">
        <f t="shared" si="6"/>
        <v>1</v>
      </c>
      <c r="BX31" s="30">
        <f t="shared" si="7"/>
        <v>3</v>
      </c>
      <c r="BY31" s="30">
        <f t="shared" si="8"/>
        <v>0</v>
      </c>
    </row>
    <row r="32" spans="1:77" ht="15.5" x14ac:dyDescent="0.35">
      <c r="A32" s="1">
        <v>7</v>
      </c>
      <c r="B32" s="80" t="s">
        <v>76</v>
      </c>
      <c r="C32" s="173" t="s">
        <v>1075</v>
      </c>
      <c r="D32" s="81" t="s">
        <v>6</v>
      </c>
      <c r="E32" s="4"/>
      <c r="F32" s="4"/>
      <c r="G32" s="4">
        <v>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4"/>
      <c r="U32" s="4"/>
      <c r="V32" s="4">
        <v>1</v>
      </c>
      <c r="W32" s="30">
        <f t="shared" si="0"/>
        <v>0</v>
      </c>
      <c r="X32" s="30">
        <f t="shared" si="1"/>
        <v>0</v>
      </c>
      <c r="Y32" s="30">
        <f t="shared" si="2"/>
        <v>3</v>
      </c>
      <c r="AA32" s="2" t="s">
        <v>45</v>
      </c>
      <c r="AB32" s="80" t="s">
        <v>111</v>
      </c>
      <c r="AC32" s="173" t="s">
        <v>243</v>
      </c>
      <c r="AD32" s="81" t="s">
        <v>8</v>
      </c>
      <c r="AE32" s="4"/>
      <c r="AF32" s="4"/>
      <c r="AG32" s="4"/>
      <c r="AH32" s="4"/>
      <c r="AI32" s="5"/>
      <c r="AJ32" s="4"/>
      <c r="AK32" s="4"/>
      <c r="AL32" s="4"/>
      <c r="AM32" s="4"/>
      <c r="AN32" s="4">
        <v>1</v>
      </c>
      <c r="AO32" s="4"/>
      <c r="AP32" s="4"/>
      <c r="AQ32" s="4"/>
      <c r="AR32" s="4"/>
      <c r="AS32" s="4"/>
      <c r="AT32" s="4"/>
      <c r="AU32" s="4"/>
      <c r="AV32" s="4"/>
      <c r="AW32" s="30">
        <f t="shared" si="3"/>
        <v>1</v>
      </c>
      <c r="AX32" s="30">
        <f t="shared" si="4"/>
        <v>0</v>
      </c>
      <c r="AY32" s="30">
        <f t="shared" si="5"/>
        <v>0</v>
      </c>
      <c r="BA32" s="2" t="s">
        <v>24</v>
      </c>
      <c r="BB32" s="80" t="s">
        <v>92</v>
      </c>
      <c r="BC32" s="173" t="s">
        <v>243</v>
      </c>
      <c r="BD32" s="81" t="s">
        <v>8</v>
      </c>
      <c r="BE32" s="4">
        <v>2</v>
      </c>
      <c r="BF32" s="4"/>
      <c r="BG32" s="4"/>
      <c r="BH32" s="4"/>
      <c r="BI32" s="5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30">
        <f t="shared" si="6"/>
        <v>2</v>
      </c>
      <c r="BX32" s="30">
        <f t="shared" si="7"/>
        <v>0</v>
      </c>
      <c r="BY32" s="30">
        <f t="shared" si="8"/>
        <v>0</v>
      </c>
    </row>
    <row r="33" spans="1:77" ht="15.5" x14ac:dyDescent="0.35">
      <c r="A33" s="1">
        <v>8</v>
      </c>
      <c r="B33" s="80" t="s">
        <v>77</v>
      </c>
      <c r="C33" s="173" t="s">
        <v>1075</v>
      </c>
      <c r="D33" s="81" t="s">
        <v>6</v>
      </c>
      <c r="E33" s="4"/>
      <c r="F33" s="4"/>
      <c r="G33" s="5">
        <v>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4"/>
      <c r="U33" s="4">
        <v>1</v>
      </c>
      <c r="V33" s="4">
        <v>3</v>
      </c>
      <c r="W33" s="30">
        <f t="shared" si="0"/>
        <v>0</v>
      </c>
      <c r="X33" s="30">
        <f t="shared" si="1"/>
        <v>1</v>
      </c>
      <c r="Y33" s="30">
        <f t="shared" si="2"/>
        <v>4</v>
      </c>
      <c r="AA33" s="2" t="s">
        <v>49</v>
      </c>
      <c r="AB33" s="80" t="s">
        <v>115</v>
      </c>
      <c r="AC33" s="173" t="s">
        <v>243</v>
      </c>
      <c r="AD33" s="81" t="s">
        <v>8</v>
      </c>
      <c r="AE33" s="4"/>
      <c r="AF33" s="5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>
        <v>1</v>
      </c>
      <c r="AR33" s="4"/>
      <c r="AS33" s="4"/>
      <c r="AT33" s="4"/>
      <c r="AU33" s="4"/>
      <c r="AV33" s="4"/>
      <c r="AW33" s="30">
        <f t="shared" si="3"/>
        <v>1</v>
      </c>
      <c r="AX33" s="30">
        <f t="shared" si="4"/>
        <v>0</v>
      </c>
      <c r="AY33" s="30">
        <f t="shared" si="5"/>
        <v>0</v>
      </c>
      <c r="BA33" s="2" t="s">
        <v>26</v>
      </c>
      <c r="BB33" s="80" t="s">
        <v>94</v>
      </c>
      <c r="BC33" s="173" t="s">
        <v>243</v>
      </c>
      <c r="BD33" s="81" t="s">
        <v>8</v>
      </c>
      <c r="BE33" s="4"/>
      <c r="BF33" s="4"/>
      <c r="BG33" s="4"/>
      <c r="BH33" s="5"/>
      <c r="BI33" s="4"/>
      <c r="BJ33" s="4"/>
      <c r="BK33" s="4"/>
      <c r="BL33" s="4"/>
      <c r="BM33" s="4"/>
      <c r="BN33" s="4"/>
      <c r="BO33" s="4"/>
      <c r="BP33" s="4"/>
      <c r="BQ33" s="4">
        <v>1</v>
      </c>
      <c r="BR33" s="4"/>
      <c r="BS33" s="4"/>
      <c r="BT33" s="4"/>
      <c r="BU33" s="4"/>
      <c r="BV33" s="4"/>
      <c r="BW33" s="30">
        <f t="shared" si="6"/>
        <v>1</v>
      </c>
      <c r="BX33" s="30">
        <f t="shared" si="7"/>
        <v>0</v>
      </c>
      <c r="BY33" s="30">
        <f t="shared" si="8"/>
        <v>0</v>
      </c>
    </row>
    <row r="34" spans="1:77" ht="15.5" x14ac:dyDescent="0.35">
      <c r="A34" s="1">
        <v>9</v>
      </c>
      <c r="B34" s="80" t="s">
        <v>78</v>
      </c>
      <c r="C34" s="173" t="s">
        <v>1075</v>
      </c>
      <c r="D34" s="81" t="s">
        <v>6</v>
      </c>
      <c r="E34" s="4"/>
      <c r="F34" s="4"/>
      <c r="G34" s="5">
        <v>1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>
        <v>3</v>
      </c>
      <c r="S34" s="13"/>
      <c r="T34" s="4"/>
      <c r="U34" s="4"/>
      <c r="V34" s="4">
        <v>1</v>
      </c>
      <c r="W34" s="30">
        <f t="shared" si="0"/>
        <v>0</v>
      </c>
      <c r="X34" s="30">
        <f t="shared" si="1"/>
        <v>3</v>
      </c>
      <c r="Y34" s="30">
        <f t="shared" si="2"/>
        <v>2</v>
      </c>
      <c r="AA34" s="2" t="s">
        <v>51</v>
      </c>
      <c r="AB34" s="80" t="s">
        <v>117</v>
      </c>
      <c r="AC34" s="173" t="s">
        <v>243</v>
      </c>
      <c r="AD34" s="81" t="s">
        <v>6</v>
      </c>
      <c r="AE34" s="4">
        <v>1</v>
      </c>
      <c r="AF34" s="4"/>
      <c r="AG34" s="4">
        <v>1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>
        <v>3</v>
      </c>
      <c r="AT34" s="4"/>
      <c r="AU34" s="4"/>
      <c r="AV34" s="4">
        <v>4</v>
      </c>
      <c r="AW34" s="30">
        <f t="shared" si="3"/>
        <v>1</v>
      </c>
      <c r="AX34" s="30">
        <f t="shared" si="4"/>
        <v>0</v>
      </c>
      <c r="AY34" s="30">
        <f t="shared" si="5"/>
        <v>8</v>
      </c>
      <c r="BA34" s="2" t="s">
        <v>27</v>
      </c>
      <c r="BB34" s="80" t="s">
        <v>95</v>
      </c>
      <c r="BC34" s="173" t="s">
        <v>243</v>
      </c>
      <c r="BD34" s="81" t="s">
        <v>8</v>
      </c>
      <c r="BE34" s="4"/>
      <c r="BF34" s="4"/>
      <c r="BG34" s="4"/>
      <c r="BH34" s="4"/>
      <c r="BI34" s="4"/>
      <c r="BJ34" s="5"/>
      <c r="BK34" s="4"/>
      <c r="BL34" s="4"/>
      <c r="BM34" s="4"/>
      <c r="BN34" s="4"/>
      <c r="BO34" s="4"/>
      <c r="BP34" s="4"/>
      <c r="BQ34" s="4"/>
      <c r="BR34" s="4">
        <v>4</v>
      </c>
      <c r="BS34" s="4"/>
      <c r="BT34" s="4"/>
      <c r="BU34" s="4"/>
      <c r="BV34" s="4"/>
      <c r="BW34" s="30">
        <f t="shared" si="6"/>
        <v>0</v>
      </c>
      <c r="BX34" s="30">
        <f t="shared" si="7"/>
        <v>4</v>
      </c>
      <c r="BY34" s="30">
        <f t="shared" si="8"/>
        <v>0</v>
      </c>
    </row>
    <row r="35" spans="1:77" ht="15.5" x14ac:dyDescent="0.35">
      <c r="A35" s="1">
        <v>10</v>
      </c>
      <c r="B35" s="80" t="s">
        <v>79</v>
      </c>
      <c r="C35" s="173" t="s">
        <v>1075</v>
      </c>
      <c r="D35" s="81" t="s">
        <v>6</v>
      </c>
      <c r="E35" s="4"/>
      <c r="F35" s="4"/>
      <c r="G35" s="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4"/>
      <c r="U35" s="4"/>
      <c r="V35" s="4"/>
      <c r="W35" s="30">
        <f t="shared" si="0"/>
        <v>0</v>
      </c>
      <c r="X35" s="30">
        <f t="shared" si="1"/>
        <v>0</v>
      </c>
      <c r="Y35" s="30">
        <f t="shared" si="2"/>
        <v>0</v>
      </c>
      <c r="AA35" s="2" t="s">
        <v>123</v>
      </c>
      <c r="AB35" s="92" t="s">
        <v>119</v>
      </c>
      <c r="AC35" s="173" t="s">
        <v>243</v>
      </c>
      <c r="AD35" s="81" t="s">
        <v>6</v>
      </c>
      <c r="AE35" s="4"/>
      <c r="AF35" s="4"/>
      <c r="AG35" s="4"/>
      <c r="AH35" s="4"/>
      <c r="AI35" s="5"/>
      <c r="AJ35" s="4"/>
      <c r="AK35" s="4"/>
      <c r="AL35" s="4"/>
      <c r="AM35" s="4"/>
      <c r="AN35" s="4">
        <v>1</v>
      </c>
      <c r="AO35" s="4"/>
      <c r="AP35" s="4"/>
      <c r="AQ35" s="4">
        <v>1</v>
      </c>
      <c r="AR35" s="4"/>
      <c r="AS35" s="4"/>
      <c r="AT35" s="4"/>
      <c r="AU35" s="4"/>
      <c r="AV35" s="4"/>
      <c r="AW35" s="30">
        <f t="shared" si="3"/>
        <v>2</v>
      </c>
      <c r="AX35" s="30">
        <f t="shared" si="4"/>
        <v>0</v>
      </c>
      <c r="AY35" s="30">
        <f t="shared" si="5"/>
        <v>0</v>
      </c>
      <c r="BA35" s="2" t="s">
        <v>28</v>
      </c>
      <c r="BB35" s="80" t="s">
        <v>96</v>
      </c>
      <c r="BC35" s="173" t="s">
        <v>243</v>
      </c>
      <c r="BD35" s="81" t="s">
        <v>6</v>
      </c>
      <c r="BE35" s="4"/>
      <c r="BF35" s="4"/>
      <c r="BG35" s="4"/>
      <c r="BH35" s="4"/>
      <c r="BI35" s="5"/>
      <c r="BJ35" s="5"/>
      <c r="BK35" s="4"/>
      <c r="BL35" s="4"/>
      <c r="BM35" s="4"/>
      <c r="BN35" s="4"/>
      <c r="BO35" s="4">
        <v>5</v>
      </c>
      <c r="BP35" s="4"/>
      <c r="BQ35" s="4"/>
      <c r="BR35" s="4"/>
      <c r="BS35" s="4"/>
      <c r="BT35" s="4"/>
      <c r="BU35" s="4"/>
      <c r="BV35" s="4"/>
      <c r="BW35" s="30">
        <f t="shared" si="6"/>
        <v>0</v>
      </c>
      <c r="BX35" s="30">
        <f t="shared" si="7"/>
        <v>5</v>
      </c>
      <c r="BY35" s="30">
        <f t="shared" si="8"/>
        <v>0</v>
      </c>
    </row>
    <row r="36" spans="1:77" ht="15.5" x14ac:dyDescent="0.35">
      <c r="A36" s="1">
        <v>11</v>
      </c>
      <c r="B36" s="80" t="s">
        <v>80</v>
      </c>
      <c r="C36" s="173" t="s">
        <v>1075</v>
      </c>
      <c r="D36" s="81" t="s">
        <v>6</v>
      </c>
      <c r="E36" s="4"/>
      <c r="F36" s="4"/>
      <c r="G36" s="4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4"/>
      <c r="U36" s="4"/>
      <c r="V36" s="4">
        <v>1</v>
      </c>
      <c r="W36" s="30">
        <f t="shared" ref="W36:W67" si="9">SUM(E36,H36,K36,N36,Q36,T36)</f>
        <v>0</v>
      </c>
      <c r="X36" s="30">
        <f t="shared" ref="X36:X67" si="10">SUM(F36,I36,L36,O36,R36,U36)</f>
        <v>0</v>
      </c>
      <c r="Y36" s="30">
        <f t="shared" ref="Y36:Y67" si="11">SUM(G36,J36,M36,P36,S36,V36)</f>
        <v>1</v>
      </c>
      <c r="AA36" s="2" t="s">
        <v>125</v>
      </c>
      <c r="AB36" s="94" t="s">
        <v>121</v>
      </c>
      <c r="AC36" s="173" t="s">
        <v>243</v>
      </c>
      <c r="AD36" s="85" t="s">
        <v>8</v>
      </c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30">
        <f t="shared" ref="AW36:AW67" si="12">SUM(AE36,AH36,AK36,AN36,AQ36,AT36)</f>
        <v>0</v>
      </c>
      <c r="AX36" s="30">
        <f t="shared" ref="AX36:AX67" si="13">SUM(AF36,AI36,AL36,AO36,AR36,AU36)</f>
        <v>0</v>
      </c>
      <c r="AY36" s="30">
        <f t="shared" ref="AY36:AY67" si="14">SUM(AG36,AJ36,AM36,AP36,AS36,AV36)</f>
        <v>0</v>
      </c>
      <c r="BA36" s="2" t="s">
        <v>29</v>
      </c>
      <c r="BB36" s="80" t="s">
        <v>97</v>
      </c>
      <c r="BC36" s="173" t="s">
        <v>243</v>
      </c>
      <c r="BD36" s="81" t="s">
        <v>8</v>
      </c>
      <c r="BE36" s="4"/>
      <c r="BF36" s="4"/>
      <c r="BG36" s="5"/>
      <c r="BH36" s="4"/>
      <c r="BI36" s="5"/>
      <c r="BJ36" s="5"/>
      <c r="BK36" s="4"/>
      <c r="BL36" s="4"/>
      <c r="BM36" s="4"/>
      <c r="BN36" s="4">
        <v>1</v>
      </c>
      <c r="BO36" s="4">
        <v>1</v>
      </c>
      <c r="BP36" s="4"/>
      <c r="BQ36" s="4"/>
      <c r="BR36" s="4"/>
      <c r="BS36" s="4"/>
      <c r="BT36" s="4"/>
      <c r="BU36" s="4"/>
      <c r="BV36" s="4"/>
      <c r="BW36" s="30">
        <f t="shared" ref="BW36:BW67" si="15">SUM(BE36,BH36,BK36,BN36,BQ36,BT36)</f>
        <v>1</v>
      </c>
      <c r="BX36" s="30">
        <f t="shared" ref="BX36:BX67" si="16">SUM(BF36,BI36,BL36,BO36,BR36,BU36)</f>
        <v>1</v>
      </c>
      <c r="BY36" s="30">
        <f t="shared" ref="BY36:BY67" si="17">SUM(BG36,BJ36,BM36,BP36,BS36,BV36)</f>
        <v>0</v>
      </c>
    </row>
    <row r="37" spans="1:77" ht="15.5" x14ac:dyDescent="0.35">
      <c r="A37" s="1">
        <v>12</v>
      </c>
      <c r="B37" s="80" t="s">
        <v>81</v>
      </c>
      <c r="C37" s="173" t="s">
        <v>1075</v>
      </c>
      <c r="D37" s="81" t="s">
        <v>6</v>
      </c>
      <c r="E37" s="4"/>
      <c r="F37" s="4"/>
      <c r="G37" s="5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>
        <v>1</v>
      </c>
      <c r="S37" s="13"/>
      <c r="T37" s="4"/>
      <c r="U37" s="4"/>
      <c r="V37" s="4"/>
      <c r="W37" s="30">
        <f t="shared" si="9"/>
        <v>0</v>
      </c>
      <c r="X37" s="30">
        <f t="shared" si="10"/>
        <v>1</v>
      </c>
      <c r="Y37" s="30">
        <f t="shared" si="11"/>
        <v>0</v>
      </c>
      <c r="AA37" s="32" t="s">
        <v>21</v>
      </c>
      <c r="AB37" s="80" t="s">
        <v>128</v>
      </c>
      <c r="AC37" s="173" t="s">
        <v>244</v>
      </c>
      <c r="AD37" s="81" t="s">
        <v>8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30">
        <f t="shared" si="12"/>
        <v>0</v>
      </c>
      <c r="AX37" s="30">
        <f t="shared" si="13"/>
        <v>0</v>
      </c>
      <c r="AY37" s="30">
        <f t="shared" si="14"/>
        <v>0</v>
      </c>
      <c r="BA37" s="2" t="s">
        <v>31</v>
      </c>
      <c r="BB37" s="80" t="s">
        <v>99</v>
      </c>
      <c r="BC37" s="173" t="s">
        <v>243</v>
      </c>
      <c r="BD37" s="81" t="s">
        <v>8</v>
      </c>
      <c r="BE37" s="4"/>
      <c r="BF37" s="4">
        <v>1</v>
      </c>
      <c r="BG37" s="4"/>
      <c r="BH37" s="4">
        <v>1</v>
      </c>
      <c r="BI37" s="4"/>
      <c r="BJ37" s="5"/>
      <c r="BK37" s="4"/>
      <c r="BL37" s="4"/>
      <c r="BM37" s="4"/>
      <c r="BN37" s="4"/>
      <c r="BO37" s="4"/>
      <c r="BP37" s="4"/>
      <c r="BQ37" s="4"/>
      <c r="BR37" s="4">
        <v>1</v>
      </c>
      <c r="BS37" s="4"/>
      <c r="BT37" s="4"/>
      <c r="BU37" s="4"/>
      <c r="BV37" s="4"/>
      <c r="BW37" s="30">
        <f t="shared" si="15"/>
        <v>1</v>
      </c>
      <c r="BX37" s="30">
        <f t="shared" si="16"/>
        <v>2</v>
      </c>
      <c r="BY37" s="30">
        <f t="shared" si="17"/>
        <v>0</v>
      </c>
    </row>
    <row r="38" spans="1:77" ht="15.5" x14ac:dyDescent="0.35">
      <c r="A38" s="103">
        <v>13</v>
      </c>
      <c r="B38" s="87" t="s">
        <v>82</v>
      </c>
      <c r="C38" s="87" t="s">
        <v>1075</v>
      </c>
      <c r="D38" s="111" t="s">
        <v>6</v>
      </c>
      <c r="E38" s="108"/>
      <c r="F38" s="113"/>
      <c r="G38" s="108"/>
      <c r="H38" s="122"/>
      <c r="I38" s="122"/>
      <c r="J38" s="122"/>
      <c r="K38" s="122"/>
      <c r="L38" s="122"/>
      <c r="M38" s="122"/>
      <c r="N38" s="122"/>
      <c r="O38" s="122">
        <v>1</v>
      </c>
      <c r="P38" s="122"/>
      <c r="Q38" s="122"/>
      <c r="R38" s="122">
        <v>1</v>
      </c>
      <c r="S38" s="122"/>
      <c r="T38" s="108"/>
      <c r="U38" s="108"/>
      <c r="V38" s="108">
        <v>2</v>
      </c>
      <c r="W38" s="109">
        <f t="shared" si="9"/>
        <v>0</v>
      </c>
      <c r="X38" s="109">
        <f t="shared" si="10"/>
        <v>2</v>
      </c>
      <c r="Y38" s="109">
        <f t="shared" si="11"/>
        <v>2</v>
      </c>
      <c r="AA38" s="31" t="s">
        <v>23</v>
      </c>
      <c r="AB38" s="87" t="s">
        <v>130</v>
      </c>
      <c r="AC38" s="87" t="s">
        <v>244</v>
      </c>
      <c r="AD38" s="111" t="s">
        <v>8</v>
      </c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9">
        <f t="shared" si="12"/>
        <v>0</v>
      </c>
      <c r="AX38" s="109">
        <f t="shared" si="13"/>
        <v>0</v>
      </c>
      <c r="AY38" s="109">
        <f t="shared" si="14"/>
        <v>0</v>
      </c>
      <c r="BA38" s="112" t="s">
        <v>32</v>
      </c>
      <c r="BB38" s="87" t="s">
        <v>100</v>
      </c>
      <c r="BC38" s="87" t="s">
        <v>243</v>
      </c>
      <c r="BD38" s="111" t="s">
        <v>6</v>
      </c>
      <c r="BE38" s="108"/>
      <c r="BF38" s="108"/>
      <c r="BG38" s="108"/>
      <c r="BH38" s="108"/>
      <c r="BI38" s="113"/>
      <c r="BJ38" s="113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9">
        <f t="shared" si="15"/>
        <v>0</v>
      </c>
      <c r="BX38" s="109">
        <f t="shared" si="16"/>
        <v>0</v>
      </c>
      <c r="BY38" s="109">
        <f t="shared" si="17"/>
        <v>0</v>
      </c>
    </row>
    <row r="39" spans="1:77" ht="15.5" x14ac:dyDescent="0.35">
      <c r="A39" s="1">
        <v>14</v>
      </c>
      <c r="B39" s="80" t="s">
        <v>83</v>
      </c>
      <c r="C39" s="87" t="s">
        <v>1075</v>
      </c>
      <c r="D39" s="91" t="s">
        <v>6</v>
      </c>
      <c r="E39" s="4"/>
      <c r="F39" s="4"/>
      <c r="G39" s="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4"/>
      <c r="U39" s="4"/>
      <c r="V39" s="4"/>
      <c r="W39" s="30">
        <f t="shared" si="9"/>
        <v>0</v>
      </c>
      <c r="X39" s="30">
        <f t="shared" si="10"/>
        <v>0</v>
      </c>
      <c r="Y39" s="30">
        <f t="shared" si="11"/>
        <v>0</v>
      </c>
      <c r="AA39" s="32" t="s">
        <v>24</v>
      </c>
      <c r="AB39" s="80" t="s">
        <v>860</v>
      </c>
      <c r="AC39" s="87" t="s">
        <v>244</v>
      </c>
      <c r="AD39" s="91" t="s">
        <v>8</v>
      </c>
      <c r="AE39" s="4"/>
      <c r="AF39" s="4"/>
      <c r="AG39" s="4"/>
      <c r="AH39" s="4"/>
      <c r="AI39" s="5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30">
        <f t="shared" si="12"/>
        <v>0</v>
      </c>
      <c r="AX39" s="30">
        <f t="shared" si="13"/>
        <v>0</v>
      </c>
      <c r="AY39" s="30">
        <f t="shared" si="14"/>
        <v>0</v>
      </c>
      <c r="BA39" s="2" t="s">
        <v>34</v>
      </c>
      <c r="BB39" s="80" t="s">
        <v>859</v>
      </c>
      <c r="BC39" s="87" t="s">
        <v>243</v>
      </c>
      <c r="BD39" s="91" t="s">
        <v>8</v>
      </c>
      <c r="BE39" s="9"/>
      <c r="BF39" s="9">
        <v>1</v>
      </c>
      <c r="BG39" s="9"/>
      <c r="BH39" s="9"/>
      <c r="BI39" s="16"/>
      <c r="BJ39" s="16"/>
      <c r="BK39" s="9"/>
      <c r="BL39" s="9"/>
      <c r="BM39" s="9"/>
      <c r="BN39" s="9"/>
      <c r="BO39" s="9"/>
      <c r="BP39" s="9"/>
      <c r="BQ39" s="9">
        <v>1</v>
      </c>
      <c r="BR39" s="9">
        <v>2</v>
      </c>
      <c r="BS39" s="9"/>
      <c r="BT39" s="9"/>
      <c r="BU39" s="9">
        <v>1</v>
      </c>
      <c r="BV39" s="9"/>
      <c r="BW39" s="30">
        <f t="shared" si="15"/>
        <v>1</v>
      </c>
      <c r="BX39" s="30">
        <f t="shared" si="16"/>
        <v>4</v>
      </c>
      <c r="BY39" s="30">
        <f t="shared" si="17"/>
        <v>0</v>
      </c>
    </row>
    <row r="40" spans="1:77" ht="15.5" x14ac:dyDescent="0.35">
      <c r="A40" s="1">
        <v>15</v>
      </c>
      <c r="B40" s="80" t="s">
        <v>84</v>
      </c>
      <c r="C40" s="87" t="s">
        <v>1075</v>
      </c>
      <c r="D40" s="91" t="s">
        <v>6</v>
      </c>
      <c r="E40" s="9"/>
      <c r="F40" s="9"/>
      <c r="G40" s="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>
        <v>1</v>
      </c>
      <c r="S40" s="15"/>
      <c r="T40" s="9"/>
      <c r="U40" s="9"/>
      <c r="V40" s="9"/>
      <c r="W40" s="30">
        <f t="shared" si="9"/>
        <v>0</v>
      </c>
      <c r="X40" s="30">
        <f t="shared" si="10"/>
        <v>1</v>
      </c>
      <c r="Y40" s="30">
        <f t="shared" si="11"/>
        <v>0</v>
      </c>
      <c r="AA40" s="32" t="s">
        <v>25</v>
      </c>
      <c r="AB40" s="80" t="s">
        <v>131</v>
      </c>
      <c r="AC40" s="87" t="s">
        <v>244</v>
      </c>
      <c r="AD40" s="91" t="s">
        <v>6</v>
      </c>
      <c r="AE40" s="4"/>
      <c r="AF40" s="4"/>
      <c r="AG40" s="4"/>
      <c r="AH40" s="4"/>
      <c r="AI40" s="5"/>
      <c r="AJ40" s="4"/>
      <c r="AK40" s="4">
        <v>1</v>
      </c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30">
        <f t="shared" si="12"/>
        <v>1</v>
      </c>
      <c r="AX40" s="30">
        <f t="shared" si="13"/>
        <v>0</v>
      </c>
      <c r="AY40" s="30">
        <f t="shared" si="14"/>
        <v>0</v>
      </c>
      <c r="BA40" s="2" t="s">
        <v>38</v>
      </c>
      <c r="BB40" s="80" t="s">
        <v>104</v>
      </c>
      <c r="BC40" s="87" t="s">
        <v>243</v>
      </c>
      <c r="BD40" s="91" t="s">
        <v>8</v>
      </c>
      <c r="BE40" s="4"/>
      <c r="BF40" s="4"/>
      <c r="BG40" s="4"/>
      <c r="BH40" s="4"/>
      <c r="BI40" s="5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30">
        <f t="shared" si="15"/>
        <v>0</v>
      </c>
      <c r="BX40" s="30">
        <f t="shared" si="16"/>
        <v>0</v>
      </c>
      <c r="BY40" s="30">
        <f t="shared" si="17"/>
        <v>0</v>
      </c>
    </row>
    <row r="41" spans="1:77" ht="15.5" x14ac:dyDescent="0.35">
      <c r="A41" s="1">
        <v>16</v>
      </c>
      <c r="B41" s="80" t="s">
        <v>85</v>
      </c>
      <c r="C41" s="87" t="s">
        <v>1075</v>
      </c>
      <c r="D41" s="91" t="s">
        <v>6</v>
      </c>
      <c r="E41" s="4"/>
      <c r="F41" s="4"/>
      <c r="G41" s="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>
        <v>2</v>
      </c>
      <c r="S41" s="13"/>
      <c r="T41" s="4"/>
      <c r="U41" s="4"/>
      <c r="V41" s="4"/>
      <c r="W41" s="30">
        <f t="shared" si="9"/>
        <v>0</v>
      </c>
      <c r="X41" s="30">
        <f t="shared" si="10"/>
        <v>2</v>
      </c>
      <c r="Y41" s="30">
        <f t="shared" si="11"/>
        <v>0</v>
      </c>
      <c r="AA41" s="32" t="s">
        <v>26</v>
      </c>
      <c r="AB41" s="80" t="s">
        <v>861</v>
      </c>
      <c r="AC41" s="87" t="s">
        <v>244</v>
      </c>
      <c r="AD41" s="91" t="s">
        <v>8</v>
      </c>
      <c r="AE41" s="4"/>
      <c r="AF41" s="4"/>
      <c r="AG41" s="4"/>
      <c r="AH41" s="4"/>
      <c r="AI41" s="5"/>
      <c r="AJ41" s="4"/>
      <c r="AK41" s="4"/>
      <c r="AL41" s="4"/>
      <c r="AM41" s="4"/>
      <c r="AN41" s="23"/>
      <c r="AO41" s="4"/>
      <c r="AP41" s="23"/>
      <c r="AQ41" s="4"/>
      <c r="AR41" s="4"/>
      <c r="AS41" s="4"/>
      <c r="AT41" s="4"/>
      <c r="AU41" s="4"/>
      <c r="AV41" s="4"/>
      <c r="AW41" s="30">
        <f t="shared" si="12"/>
        <v>0</v>
      </c>
      <c r="AX41" s="30">
        <f t="shared" si="13"/>
        <v>0</v>
      </c>
      <c r="AY41" s="30">
        <f t="shared" si="14"/>
        <v>0</v>
      </c>
      <c r="BA41" s="2" t="s">
        <v>39</v>
      </c>
      <c r="BB41" s="80" t="s">
        <v>105</v>
      </c>
      <c r="BC41" s="87" t="s">
        <v>243</v>
      </c>
      <c r="BD41" s="91" t="s">
        <v>8</v>
      </c>
      <c r="BE41" s="4"/>
      <c r="BF41" s="4"/>
      <c r="BG41" s="4"/>
      <c r="BH41" s="4"/>
      <c r="BI41" s="4"/>
      <c r="BJ41" s="4"/>
      <c r="BK41" s="4"/>
      <c r="BL41" s="4"/>
      <c r="BM41" s="4"/>
      <c r="BN41" s="4">
        <v>1</v>
      </c>
      <c r="BO41" s="4"/>
      <c r="BP41" s="4"/>
      <c r="BQ41" s="4"/>
      <c r="BR41" s="4"/>
      <c r="BS41" s="4"/>
      <c r="BT41" s="4"/>
      <c r="BU41" s="4"/>
      <c r="BV41" s="4"/>
      <c r="BW41" s="30">
        <f t="shared" si="15"/>
        <v>1</v>
      </c>
      <c r="BX41" s="30">
        <f t="shared" si="16"/>
        <v>0</v>
      </c>
      <c r="BY41" s="30">
        <f t="shared" si="17"/>
        <v>0</v>
      </c>
    </row>
    <row r="42" spans="1:77" ht="15.5" x14ac:dyDescent="0.35">
      <c r="A42" s="1">
        <v>17</v>
      </c>
      <c r="B42" s="80" t="s">
        <v>86</v>
      </c>
      <c r="C42" s="87" t="s">
        <v>1075</v>
      </c>
      <c r="D42" s="91" t="s">
        <v>6</v>
      </c>
      <c r="E42" s="4"/>
      <c r="F42" s="5"/>
      <c r="G42" s="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>
        <v>1</v>
      </c>
      <c r="S42" s="13"/>
      <c r="T42" s="4"/>
      <c r="U42" s="4"/>
      <c r="V42" s="4"/>
      <c r="W42" s="30">
        <f t="shared" si="9"/>
        <v>0</v>
      </c>
      <c r="X42" s="30">
        <f t="shared" si="10"/>
        <v>1</v>
      </c>
      <c r="Y42" s="30">
        <f t="shared" si="11"/>
        <v>0</v>
      </c>
      <c r="AA42" s="32" t="s">
        <v>35</v>
      </c>
      <c r="AB42" s="80" t="s">
        <v>139</v>
      </c>
      <c r="AC42" s="87" t="s">
        <v>244</v>
      </c>
      <c r="AD42" s="91" t="s">
        <v>8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30">
        <f t="shared" si="12"/>
        <v>0</v>
      </c>
      <c r="AX42" s="30">
        <f t="shared" si="13"/>
        <v>0</v>
      </c>
      <c r="AY42" s="30">
        <f t="shared" si="14"/>
        <v>0</v>
      </c>
      <c r="BA42" s="2" t="s">
        <v>40</v>
      </c>
      <c r="BB42" s="80" t="s">
        <v>106</v>
      </c>
      <c r="BC42" s="87" t="s">
        <v>243</v>
      </c>
      <c r="BD42" s="91" t="s">
        <v>8</v>
      </c>
      <c r="BE42" s="4"/>
      <c r="BF42" s="4">
        <v>1</v>
      </c>
      <c r="BG42" s="4"/>
      <c r="BH42" s="4">
        <v>1</v>
      </c>
      <c r="BI42" s="5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30">
        <f t="shared" si="15"/>
        <v>1</v>
      </c>
      <c r="BX42" s="30">
        <f t="shared" si="16"/>
        <v>1</v>
      </c>
      <c r="BY42" s="30">
        <f t="shared" si="17"/>
        <v>0</v>
      </c>
    </row>
    <row r="43" spans="1:77" ht="15.5" x14ac:dyDescent="0.35">
      <c r="A43" s="1">
        <v>18</v>
      </c>
      <c r="B43" s="80" t="s">
        <v>87</v>
      </c>
      <c r="C43" s="87" t="s">
        <v>1075</v>
      </c>
      <c r="D43" s="91" t="s">
        <v>6</v>
      </c>
      <c r="E43" s="4"/>
      <c r="F43" s="4"/>
      <c r="G43" s="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4"/>
      <c r="U43" s="4"/>
      <c r="V43" s="4"/>
      <c r="W43" s="30">
        <f t="shared" si="9"/>
        <v>0</v>
      </c>
      <c r="X43" s="30">
        <f t="shared" si="10"/>
        <v>0</v>
      </c>
      <c r="Y43" s="30">
        <f t="shared" si="11"/>
        <v>0</v>
      </c>
      <c r="AA43" s="32" t="s">
        <v>40</v>
      </c>
      <c r="AB43" s="80" t="s">
        <v>143</v>
      </c>
      <c r="AC43" s="87" t="s">
        <v>244</v>
      </c>
      <c r="AD43" s="91" t="s">
        <v>6</v>
      </c>
      <c r="AE43" s="4"/>
      <c r="AF43" s="4"/>
      <c r="AG43" s="4"/>
      <c r="AH43" s="4"/>
      <c r="AI43" s="5"/>
      <c r="AJ43" s="5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30">
        <f t="shared" si="12"/>
        <v>0</v>
      </c>
      <c r="AX43" s="30">
        <f t="shared" si="13"/>
        <v>0</v>
      </c>
      <c r="AY43" s="30">
        <f t="shared" si="14"/>
        <v>0</v>
      </c>
      <c r="BA43" s="2" t="s">
        <v>42</v>
      </c>
      <c r="BB43" s="80" t="s">
        <v>108</v>
      </c>
      <c r="BC43" s="87" t="s">
        <v>243</v>
      </c>
      <c r="BD43" s="91" t="s">
        <v>6</v>
      </c>
      <c r="BE43" s="4"/>
      <c r="BF43" s="4"/>
      <c r="BG43" s="4"/>
      <c r="BH43" s="4"/>
      <c r="BI43" s="5">
        <v>1</v>
      </c>
      <c r="BJ43" s="4"/>
      <c r="BK43" s="4"/>
      <c r="BL43" s="4"/>
      <c r="BM43" s="4"/>
      <c r="BN43" s="4"/>
      <c r="BO43" s="4"/>
      <c r="BP43" s="4"/>
      <c r="BQ43" s="4"/>
      <c r="BR43" s="4">
        <v>2</v>
      </c>
      <c r="BS43" s="4"/>
      <c r="BT43" s="4"/>
      <c r="BU43" s="4"/>
      <c r="BV43" s="4"/>
      <c r="BW43" s="30">
        <f t="shared" si="15"/>
        <v>0</v>
      </c>
      <c r="BX43" s="30">
        <f t="shared" si="16"/>
        <v>3</v>
      </c>
      <c r="BY43" s="30">
        <f t="shared" si="17"/>
        <v>0</v>
      </c>
    </row>
    <row r="44" spans="1:77" ht="15.5" x14ac:dyDescent="0.35">
      <c r="A44" s="1">
        <v>19</v>
      </c>
      <c r="B44" s="80" t="s">
        <v>88</v>
      </c>
      <c r="C44" s="87" t="s">
        <v>1075</v>
      </c>
      <c r="D44" s="91" t="s">
        <v>6</v>
      </c>
      <c r="E44" s="4"/>
      <c r="F44" s="4">
        <v>1</v>
      </c>
      <c r="G44" s="4"/>
      <c r="H44" s="13"/>
      <c r="I44" s="13"/>
      <c r="J44" s="13"/>
      <c r="K44" s="13"/>
      <c r="L44" s="13"/>
      <c r="M44" s="13"/>
      <c r="N44" s="13"/>
      <c r="O44" s="13">
        <v>1</v>
      </c>
      <c r="P44" s="13"/>
      <c r="Q44" s="13"/>
      <c r="R44" s="13"/>
      <c r="S44" s="13"/>
      <c r="T44" s="4"/>
      <c r="U44" s="4"/>
      <c r="V44" s="4">
        <v>1</v>
      </c>
      <c r="W44" s="30">
        <f t="shared" si="9"/>
        <v>0</v>
      </c>
      <c r="X44" s="30">
        <f t="shared" si="10"/>
        <v>2</v>
      </c>
      <c r="Y44" s="30">
        <f t="shared" si="11"/>
        <v>1</v>
      </c>
      <c r="AA44" s="32" t="s">
        <v>45</v>
      </c>
      <c r="AB44" s="94" t="s">
        <v>146</v>
      </c>
      <c r="AC44" s="87" t="s">
        <v>244</v>
      </c>
      <c r="AD44" s="91" t="s">
        <v>8</v>
      </c>
      <c r="AE44" s="4"/>
      <c r="AF44" s="4"/>
      <c r="AG44" s="4"/>
      <c r="AH44" s="4"/>
      <c r="AI44" s="5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30">
        <f t="shared" si="12"/>
        <v>0</v>
      </c>
      <c r="AX44" s="30">
        <f t="shared" si="13"/>
        <v>0</v>
      </c>
      <c r="AY44" s="30">
        <f t="shared" si="14"/>
        <v>0</v>
      </c>
      <c r="BA44" s="2" t="s">
        <v>43</v>
      </c>
      <c r="BB44" s="90" t="s">
        <v>109</v>
      </c>
      <c r="BC44" s="87" t="s">
        <v>243</v>
      </c>
      <c r="BD44" s="91" t="s">
        <v>6</v>
      </c>
      <c r="BE44" s="4"/>
      <c r="BF44" s="4"/>
      <c r="BG44" s="4"/>
      <c r="BH44" s="4"/>
      <c r="BI44" s="5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>
        <v>1</v>
      </c>
      <c r="BU44" s="4"/>
      <c r="BV44" s="4"/>
      <c r="BW44" s="30">
        <f t="shared" si="15"/>
        <v>1</v>
      </c>
      <c r="BX44" s="30">
        <f t="shared" si="16"/>
        <v>0</v>
      </c>
      <c r="BY44" s="30">
        <f t="shared" si="17"/>
        <v>0</v>
      </c>
    </row>
    <row r="45" spans="1:77" ht="15.5" x14ac:dyDescent="0.35">
      <c r="A45" s="2" t="s">
        <v>23</v>
      </c>
      <c r="B45" s="80" t="s">
        <v>91</v>
      </c>
      <c r="C45" s="87" t="s">
        <v>243</v>
      </c>
      <c r="D45" s="91" t="s">
        <v>6</v>
      </c>
      <c r="E45" s="4"/>
      <c r="F45" s="5"/>
      <c r="G45" s="4">
        <v>2</v>
      </c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30">
        <f t="shared" si="9"/>
        <v>0</v>
      </c>
      <c r="X45" s="30">
        <f t="shared" si="10"/>
        <v>0</v>
      </c>
      <c r="Y45" s="30">
        <f t="shared" si="11"/>
        <v>2</v>
      </c>
      <c r="AA45" s="32" t="s">
        <v>50</v>
      </c>
      <c r="AB45" s="94" t="s">
        <v>150</v>
      </c>
      <c r="AC45" s="87" t="s">
        <v>244</v>
      </c>
      <c r="AD45" s="98" t="s">
        <v>6</v>
      </c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30">
        <f t="shared" si="12"/>
        <v>0</v>
      </c>
      <c r="AX45" s="30">
        <f t="shared" si="13"/>
        <v>0</v>
      </c>
      <c r="AY45" s="30">
        <f t="shared" si="14"/>
        <v>0</v>
      </c>
      <c r="BA45" s="2" t="s">
        <v>44</v>
      </c>
      <c r="BB45" s="80" t="s">
        <v>110</v>
      </c>
      <c r="BC45" s="87" t="s">
        <v>243</v>
      </c>
      <c r="BD45" s="91" t="s">
        <v>8</v>
      </c>
      <c r="BE45" s="4">
        <v>1</v>
      </c>
      <c r="BF45" s="4"/>
      <c r="BG45" s="4"/>
      <c r="BH45" s="5">
        <v>1</v>
      </c>
      <c r="BI45" s="5">
        <v>1</v>
      </c>
      <c r="BJ45" s="4"/>
      <c r="BK45" s="4"/>
      <c r="BL45" s="4"/>
      <c r="BM45" s="4"/>
      <c r="BN45" s="4"/>
      <c r="BO45" s="4"/>
      <c r="BP45" s="4"/>
      <c r="BQ45" s="4">
        <v>1</v>
      </c>
      <c r="BR45" s="4"/>
      <c r="BS45" s="4"/>
      <c r="BT45" s="4"/>
      <c r="BU45" s="4"/>
      <c r="BV45" s="4"/>
      <c r="BW45" s="30">
        <f t="shared" si="15"/>
        <v>3</v>
      </c>
      <c r="BX45" s="30">
        <f t="shared" si="16"/>
        <v>1</v>
      </c>
      <c r="BY45" s="30">
        <f t="shared" si="17"/>
        <v>0</v>
      </c>
    </row>
    <row r="46" spans="1:77" ht="15.5" x14ac:dyDescent="0.35">
      <c r="A46" s="2" t="s">
        <v>27</v>
      </c>
      <c r="B46" s="80" t="s">
        <v>95</v>
      </c>
      <c r="C46" s="87" t="s">
        <v>243</v>
      </c>
      <c r="D46" s="91" t="s">
        <v>8</v>
      </c>
      <c r="E46" s="4"/>
      <c r="F46" s="4"/>
      <c r="G46" s="4"/>
      <c r="H46" s="4"/>
      <c r="I46" s="4"/>
      <c r="J46" s="5"/>
      <c r="K46" s="4"/>
      <c r="L46" s="4"/>
      <c r="M46" s="4"/>
      <c r="N46" s="4"/>
      <c r="O46" s="4"/>
      <c r="P46" s="4"/>
      <c r="Q46" s="4"/>
      <c r="R46" s="4">
        <v>4</v>
      </c>
      <c r="S46" s="4"/>
      <c r="T46" s="4"/>
      <c r="U46" s="4"/>
      <c r="V46" s="4"/>
      <c r="W46" s="30">
        <f t="shared" si="9"/>
        <v>0</v>
      </c>
      <c r="X46" s="30">
        <f t="shared" si="10"/>
        <v>4</v>
      </c>
      <c r="Y46" s="30">
        <f t="shared" si="11"/>
        <v>0</v>
      </c>
      <c r="AA46" s="32" t="s">
        <v>51</v>
      </c>
      <c r="AB46" s="53" t="s">
        <v>151</v>
      </c>
      <c r="AC46" s="87" t="s">
        <v>244</v>
      </c>
      <c r="AD46" s="91" t="s">
        <v>8</v>
      </c>
      <c r="AE46" s="4"/>
      <c r="AF46" s="4"/>
      <c r="AG46" s="4"/>
      <c r="AH46" s="4"/>
      <c r="AI46" s="5"/>
      <c r="AJ46" s="5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30">
        <f t="shared" si="12"/>
        <v>0</v>
      </c>
      <c r="AX46" s="30">
        <f t="shared" si="13"/>
        <v>0</v>
      </c>
      <c r="AY46" s="30">
        <f t="shared" si="14"/>
        <v>0</v>
      </c>
      <c r="BA46" s="2" t="s">
        <v>45</v>
      </c>
      <c r="BB46" s="80" t="s">
        <v>111</v>
      </c>
      <c r="BC46" s="87" t="s">
        <v>243</v>
      </c>
      <c r="BD46" s="91" t="s">
        <v>8</v>
      </c>
      <c r="BE46" s="4"/>
      <c r="BF46" s="4"/>
      <c r="BG46" s="4"/>
      <c r="BH46" s="4"/>
      <c r="BI46" s="5"/>
      <c r="BJ46" s="4"/>
      <c r="BK46" s="4"/>
      <c r="BL46" s="4"/>
      <c r="BM46" s="4"/>
      <c r="BN46" s="4">
        <v>1</v>
      </c>
      <c r="BO46" s="4"/>
      <c r="BP46" s="4"/>
      <c r="BQ46" s="4"/>
      <c r="BR46" s="4"/>
      <c r="BS46" s="4"/>
      <c r="BT46" s="4"/>
      <c r="BU46" s="4"/>
      <c r="BV46" s="4"/>
      <c r="BW46" s="30">
        <f t="shared" si="15"/>
        <v>1</v>
      </c>
      <c r="BX46" s="30">
        <f t="shared" si="16"/>
        <v>0</v>
      </c>
      <c r="BY46" s="30">
        <f t="shared" si="17"/>
        <v>0</v>
      </c>
    </row>
    <row r="47" spans="1:77" ht="15.5" x14ac:dyDescent="0.35">
      <c r="A47" s="2" t="s">
        <v>28</v>
      </c>
      <c r="B47" s="80" t="s">
        <v>96</v>
      </c>
      <c r="C47" s="87" t="s">
        <v>243</v>
      </c>
      <c r="D47" s="91" t="s">
        <v>6</v>
      </c>
      <c r="E47" s="4"/>
      <c r="F47" s="4"/>
      <c r="G47" s="4"/>
      <c r="H47" s="4"/>
      <c r="I47" s="5"/>
      <c r="J47" s="5"/>
      <c r="K47" s="4"/>
      <c r="L47" s="4"/>
      <c r="M47" s="4"/>
      <c r="N47" s="4"/>
      <c r="O47" s="4">
        <v>5</v>
      </c>
      <c r="P47" s="4"/>
      <c r="Q47" s="4"/>
      <c r="R47" s="4"/>
      <c r="S47" s="4"/>
      <c r="T47" s="4"/>
      <c r="U47" s="4"/>
      <c r="V47" s="4"/>
      <c r="W47" s="30">
        <f t="shared" si="9"/>
        <v>0</v>
      </c>
      <c r="X47" s="30">
        <f t="shared" si="10"/>
        <v>5</v>
      </c>
      <c r="Y47" s="30">
        <f t="shared" si="11"/>
        <v>0</v>
      </c>
      <c r="AA47" s="32" t="s">
        <v>124</v>
      </c>
      <c r="AB47" s="99" t="s">
        <v>868</v>
      </c>
      <c r="AC47" s="87" t="s">
        <v>244</v>
      </c>
      <c r="AD47" s="98" t="s">
        <v>6</v>
      </c>
      <c r="AE47" s="3"/>
      <c r="AF47" s="3"/>
      <c r="AG47" s="3"/>
      <c r="AH47" s="5"/>
      <c r="AI47" s="5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30">
        <f t="shared" si="12"/>
        <v>0</v>
      </c>
      <c r="AX47" s="30">
        <f t="shared" si="13"/>
        <v>0</v>
      </c>
      <c r="AY47" s="30">
        <f t="shared" si="14"/>
        <v>0</v>
      </c>
      <c r="BA47" s="2" t="s">
        <v>49</v>
      </c>
      <c r="BB47" s="80" t="s">
        <v>115</v>
      </c>
      <c r="BC47" s="87" t="s">
        <v>243</v>
      </c>
      <c r="BD47" s="91" t="s">
        <v>8</v>
      </c>
      <c r="BE47" s="4"/>
      <c r="BF47" s="5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>
        <v>1</v>
      </c>
      <c r="BR47" s="4"/>
      <c r="BS47" s="4"/>
      <c r="BT47" s="4"/>
      <c r="BU47" s="4"/>
      <c r="BV47" s="4"/>
      <c r="BW47" s="30">
        <f t="shared" si="15"/>
        <v>1</v>
      </c>
      <c r="BX47" s="30">
        <f t="shared" si="16"/>
        <v>0</v>
      </c>
      <c r="BY47" s="30">
        <f t="shared" si="17"/>
        <v>0</v>
      </c>
    </row>
    <row r="48" spans="1:77" ht="15.5" x14ac:dyDescent="0.35">
      <c r="A48" s="2" t="s">
        <v>32</v>
      </c>
      <c r="B48" s="80" t="s">
        <v>100</v>
      </c>
      <c r="C48" s="87" t="s">
        <v>243</v>
      </c>
      <c r="D48" s="91" t="s">
        <v>6</v>
      </c>
      <c r="E48" s="4"/>
      <c r="F48" s="4"/>
      <c r="G48" s="4"/>
      <c r="H48" s="4"/>
      <c r="I48" s="5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0">
        <f t="shared" si="9"/>
        <v>0</v>
      </c>
      <c r="X48" s="30">
        <f t="shared" si="10"/>
        <v>0</v>
      </c>
      <c r="Y48" s="30">
        <f t="shared" si="11"/>
        <v>0</v>
      </c>
      <c r="AA48" s="1">
        <v>1</v>
      </c>
      <c r="AB48" s="80" t="s">
        <v>155</v>
      </c>
      <c r="AC48" s="87" t="s">
        <v>245</v>
      </c>
      <c r="AD48" s="91" t="s">
        <v>6</v>
      </c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30">
        <f t="shared" si="12"/>
        <v>0</v>
      </c>
      <c r="AX48" s="30">
        <f t="shared" si="13"/>
        <v>0</v>
      </c>
      <c r="AY48" s="30">
        <f t="shared" si="14"/>
        <v>0</v>
      </c>
      <c r="BA48" s="2" t="s">
        <v>50</v>
      </c>
      <c r="BB48" s="80" t="s">
        <v>116</v>
      </c>
      <c r="BC48" s="87" t="s">
        <v>243</v>
      </c>
      <c r="BD48" s="91" t="s">
        <v>8</v>
      </c>
      <c r="BE48" s="4"/>
      <c r="BF48" s="4"/>
      <c r="BG48" s="4"/>
      <c r="BH48" s="4"/>
      <c r="BI48" s="5"/>
      <c r="BJ48" s="4"/>
      <c r="BK48" s="4"/>
      <c r="BL48" s="4"/>
      <c r="BM48" s="4"/>
      <c r="BN48" s="4"/>
      <c r="BO48" s="4">
        <v>2</v>
      </c>
      <c r="BP48" s="4"/>
      <c r="BQ48" s="4">
        <v>2</v>
      </c>
      <c r="BR48" s="4">
        <v>1</v>
      </c>
      <c r="BS48" s="4"/>
      <c r="BT48" s="4"/>
      <c r="BU48" s="4"/>
      <c r="BV48" s="4"/>
      <c r="BW48" s="30">
        <f t="shared" si="15"/>
        <v>2</v>
      </c>
      <c r="BX48" s="30">
        <f t="shared" si="16"/>
        <v>3</v>
      </c>
      <c r="BY48" s="30">
        <f t="shared" si="17"/>
        <v>0</v>
      </c>
    </row>
    <row r="49" spans="1:77" ht="15.5" x14ac:dyDescent="0.35">
      <c r="A49" s="2" t="s">
        <v>33</v>
      </c>
      <c r="B49" s="80" t="s">
        <v>101</v>
      </c>
      <c r="C49" s="87" t="s">
        <v>243</v>
      </c>
      <c r="D49" s="91" t="s">
        <v>6</v>
      </c>
      <c r="E49" s="4"/>
      <c r="F49" s="4"/>
      <c r="G49" s="4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>
        <v>6</v>
      </c>
      <c r="T49" s="4"/>
      <c r="U49" s="4"/>
      <c r="V49" s="4">
        <v>1</v>
      </c>
      <c r="W49" s="30">
        <f t="shared" si="9"/>
        <v>0</v>
      </c>
      <c r="X49" s="30">
        <f t="shared" si="10"/>
        <v>0</v>
      </c>
      <c r="Y49" s="30">
        <f t="shared" si="11"/>
        <v>7</v>
      </c>
      <c r="AA49" s="1">
        <v>2</v>
      </c>
      <c r="AB49" s="80" t="s">
        <v>869</v>
      </c>
      <c r="AC49" s="87" t="s">
        <v>245</v>
      </c>
      <c r="AD49" s="91" t="s">
        <v>8</v>
      </c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30">
        <f t="shared" si="12"/>
        <v>0</v>
      </c>
      <c r="AX49" s="30">
        <f t="shared" si="13"/>
        <v>0</v>
      </c>
      <c r="AY49" s="30">
        <f t="shared" si="14"/>
        <v>0</v>
      </c>
      <c r="BA49" s="2" t="s">
        <v>123</v>
      </c>
      <c r="BB49" s="92" t="s">
        <v>119</v>
      </c>
      <c r="BC49" s="87" t="s">
        <v>243</v>
      </c>
      <c r="BD49" s="91" t="s">
        <v>6</v>
      </c>
      <c r="BE49" s="4"/>
      <c r="BF49" s="4"/>
      <c r="BG49" s="4"/>
      <c r="BH49" s="4"/>
      <c r="BI49" s="5"/>
      <c r="BJ49" s="4"/>
      <c r="BK49" s="4"/>
      <c r="BL49" s="4"/>
      <c r="BM49" s="4"/>
      <c r="BN49" s="4">
        <v>1</v>
      </c>
      <c r="BO49" s="4"/>
      <c r="BP49" s="4"/>
      <c r="BQ49" s="4">
        <v>1</v>
      </c>
      <c r="BR49" s="4"/>
      <c r="BS49" s="4"/>
      <c r="BT49" s="4"/>
      <c r="BU49" s="4"/>
      <c r="BV49" s="4"/>
      <c r="BW49" s="30">
        <f t="shared" si="15"/>
        <v>2</v>
      </c>
      <c r="BX49" s="30">
        <f t="shared" si="16"/>
        <v>0</v>
      </c>
      <c r="BY49" s="30">
        <f t="shared" si="17"/>
        <v>0</v>
      </c>
    </row>
    <row r="50" spans="1:77" ht="15.5" x14ac:dyDescent="0.35">
      <c r="A50" s="2" t="s">
        <v>38</v>
      </c>
      <c r="B50" s="80" t="s">
        <v>104</v>
      </c>
      <c r="C50" s="87" t="s">
        <v>243</v>
      </c>
      <c r="D50" s="91" t="s">
        <v>8</v>
      </c>
      <c r="E50" s="4"/>
      <c r="F50" s="4"/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30">
        <f t="shared" si="9"/>
        <v>0</v>
      </c>
      <c r="X50" s="30">
        <f t="shared" si="10"/>
        <v>0</v>
      </c>
      <c r="Y50" s="30">
        <f t="shared" si="11"/>
        <v>0</v>
      </c>
      <c r="AA50" s="1">
        <v>3</v>
      </c>
      <c r="AB50" s="80" t="s">
        <v>156</v>
      </c>
      <c r="AC50" s="87" t="s">
        <v>245</v>
      </c>
      <c r="AD50" s="91" t="s">
        <v>8</v>
      </c>
      <c r="AE50" s="4">
        <v>1</v>
      </c>
      <c r="AF50" s="4"/>
      <c r="AG50" s="4"/>
      <c r="AH50" s="4"/>
      <c r="AI50" s="5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30">
        <f t="shared" si="12"/>
        <v>1</v>
      </c>
      <c r="AX50" s="30">
        <f t="shared" si="13"/>
        <v>0</v>
      </c>
      <c r="AY50" s="30">
        <f t="shared" si="14"/>
        <v>0</v>
      </c>
      <c r="BA50" s="2" t="s">
        <v>124</v>
      </c>
      <c r="BB50" s="94" t="s">
        <v>120</v>
      </c>
      <c r="BC50" s="87" t="s">
        <v>243</v>
      </c>
      <c r="BD50" s="84" t="s">
        <v>8</v>
      </c>
      <c r="BE50" s="11"/>
      <c r="BF50" s="11"/>
      <c r="BG50" s="11"/>
      <c r="BH50" s="11"/>
      <c r="BI50" s="18"/>
      <c r="BJ50" s="11"/>
      <c r="BK50" s="11"/>
      <c r="BL50" s="11"/>
      <c r="BM50" s="11"/>
      <c r="BN50" s="4"/>
      <c r="BO50" s="4">
        <v>2</v>
      </c>
      <c r="BP50" s="4"/>
      <c r="BQ50" s="4">
        <v>1</v>
      </c>
      <c r="BR50" s="4">
        <v>2</v>
      </c>
      <c r="BS50" s="4"/>
      <c r="BT50" s="4"/>
      <c r="BU50" s="4"/>
      <c r="BV50" s="4"/>
      <c r="BW50" s="30">
        <f t="shared" si="15"/>
        <v>1</v>
      </c>
      <c r="BX50" s="30">
        <f t="shared" si="16"/>
        <v>4</v>
      </c>
      <c r="BY50" s="30">
        <f t="shared" si="17"/>
        <v>0</v>
      </c>
    </row>
    <row r="51" spans="1:77" ht="15.5" x14ac:dyDescent="0.35">
      <c r="A51" s="2" t="s">
        <v>42</v>
      </c>
      <c r="B51" s="80" t="s">
        <v>108</v>
      </c>
      <c r="C51" s="87" t="s">
        <v>243</v>
      </c>
      <c r="D51" s="91" t="s">
        <v>6</v>
      </c>
      <c r="E51" s="4"/>
      <c r="F51" s="4"/>
      <c r="G51" s="4"/>
      <c r="H51" s="4"/>
      <c r="I51" s="5">
        <v>1</v>
      </c>
      <c r="J51" s="4"/>
      <c r="K51" s="4"/>
      <c r="L51" s="4"/>
      <c r="M51" s="4"/>
      <c r="N51" s="4"/>
      <c r="O51" s="4"/>
      <c r="P51" s="4"/>
      <c r="Q51" s="4"/>
      <c r="R51" s="4">
        <v>2</v>
      </c>
      <c r="S51" s="4"/>
      <c r="T51" s="4"/>
      <c r="U51" s="4"/>
      <c r="V51" s="4"/>
      <c r="W51" s="30">
        <f t="shared" si="9"/>
        <v>0</v>
      </c>
      <c r="X51" s="30">
        <f t="shared" si="10"/>
        <v>3</v>
      </c>
      <c r="Y51" s="30">
        <f t="shared" si="11"/>
        <v>0</v>
      </c>
      <c r="AA51" s="1">
        <v>6</v>
      </c>
      <c r="AB51" s="80" t="s">
        <v>159</v>
      </c>
      <c r="AC51" s="87" t="s">
        <v>245</v>
      </c>
      <c r="AD51" s="91" t="s">
        <v>6</v>
      </c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30">
        <f t="shared" si="12"/>
        <v>0</v>
      </c>
      <c r="AX51" s="30">
        <f t="shared" si="13"/>
        <v>0</v>
      </c>
      <c r="AY51" s="30">
        <f t="shared" si="14"/>
        <v>0</v>
      </c>
      <c r="BA51" s="2" t="s">
        <v>125</v>
      </c>
      <c r="BB51" s="94" t="s">
        <v>121</v>
      </c>
      <c r="BC51" s="87" t="s">
        <v>243</v>
      </c>
      <c r="BD51" s="98" t="s">
        <v>8</v>
      </c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30">
        <f t="shared" si="15"/>
        <v>0</v>
      </c>
      <c r="BX51" s="30">
        <f t="shared" si="16"/>
        <v>0</v>
      </c>
      <c r="BY51" s="30">
        <f t="shared" si="17"/>
        <v>0</v>
      </c>
    </row>
    <row r="52" spans="1:77" ht="15.5" x14ac:dyDescent="0.35">
      <c r="A52" s="2" t="s">
        <v>125</v>
      </c>
      <c r="B52" s="94" t="s">
        <v>121</v>
      </c>
      <c r="C52" s="87" t="s">
        <v>243</v>
      </c>
      <c r="D52" s="98" t="s">
        <v>8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30">
        <f t="shared" si="9"/>
        <v>0</v>
      </c>
      <c r="X52" s="30">
        <f t="shared" si="10"/>
        <v>0</v>
      </c>
      <c r="Y52" s="30">
        <f t="shared" si="11"/>
        <v>0</v>
      </c>
      <c r="AA52" s="1">
        <v>7</v>
      </c>
      <c r="AB52" s="80" t="s">
        <v>160</v>
      </c>
      <c r="AC52" s="87" t="s">
        <v>245</v>
      </c>
      <c r="AD52" s="91" t="s">
        <v>8</v>
      </c>
      <c r="AE52" s="4"/>
      <c r="AF52" s="4"/>
      <c r="AG52" s="4"/>
      <c r="AH52" s="4"/>
      <c r="AI52" s="5"/>
      <c r="AJ52" s="5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30">
        <f t="shared" si="12"/>
        <v>0</v>
      </c>
      <c r="AX52" s="30">
        <f t="shared" si="13"/>
        <v>0</v>
      </c>
      <c r="AY52" s="30">
        <f t="shared" si="14"/>
        <v>0</v>
      </c>
      <c r="BA52" s="2" t="s">
        <v>127</v>
      </c>
      <c r="BB52" s="134" t="s">
        <v>892</v>
      </c>
      <c r="BC52" s="87" t="s">
        <v>243</v>
      </c>
      <c r="BD52" s="91" t="s">
        <v>6</v>
      </c>
      <c r="BE52" s="23"/>
      <c r="BF52" s="23"/>
      <c r="BG52" s="23"/>
      <c r="BH52" s="23"/>
      <c r="BI52" s="23"/>
      <c r="BJ52" s="23"/>
      <c r="BK52" s="23"/>
      <c r="BL52" s="23">
        <v>1</v>
      </c>
      <c r="BM52" s="23"/>
      <c r="BN52" s="23"/>
      <c r="BO52" s="23"/>
      <c r="BP52" s="23"/>
      <c r="BQ52" s="23">
        <v>3</v>
      </c>
      <c r="BR52" s="23"/>
      <c r="BS52" s="23"/>
      <c r="BT52" s="23"/>
      <c r="BU52" s="23">
        <v>1</v>
      </c>
      <c r="BV52" s="23"/>
      <c r="BW52" s="30">
        <f t="shared" si="15"/>
        <v>3</v>
      </c>
      <c r="BX52" s="30">
        <f t="shared" si="16"/>
        <v>2</v>
      </c>
      <c r="BY52" s="30">
        <f t="shared" si="17"/>
        <v>0</v>
      </c>
    </row>
    <row r="53" spans="1:77" ht="15.5" x14ac:dyDescent="0.35">
      <c r="A53" s="32" t="s">
        <v>21</v>
      </c>
      <c r="B53" s="80" t="s">
        <v>128</v>
      </c>
      <c r="C53" s="87" t="s">
        <v>244</v>
      </c>
      <c r="D53" s="91" t="s">
        <v>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30">
        <f t="shared" si="9"/>
        <v>0</v>
      </c>
      <c r="X53" s="30">
        <f t="shared" si="10"/>
        <v>0</v>
      </c>
      <c r="Y53" s="30">
        <f t="shared" si="11"/>
        <v>0</v>
      </c>
      <c r="AA53" s="1">
        <v>8</v>
      </c>
      <c r="AB53" s="80" t="s">
        <v>161</v>
      </c>
      <c r="AC53" s="87" t="s">
        <v>245</v>
      </c>
      <c r="AD53" s="91" t="s">
        <v>8</v>
      </c>
      <c r="AE53" s="4"/>
      <c r="AF53" s="4"/>
      <c r="AG53" s="4"/>
      <c r="AH53" s="4"/>
      <c r="AI53" s="5"/>
      <c r="AJ53" s="5"/>
      <c r="AK53" s="4"/>
      <c r="AL53" s="4"/>
      <c r="AM53" s="4"/>
      <c r="AN53" s="4"/>
      <c r="AO53" s="4"/>
      <c r="AP53" s="4"/>
      <c r="AQ53" s="4"/>
      <c r="AR53" s="4"/>
      <c r="AS53" s="4">
        <v>1</v>
      </c>
      <c r="AT53" s="4"/>
      <c r="AU53" s="4"/>
      <c r="AV53" s="4"/>
      <c r="AW53" s="30">
        <f t="shared" si="12"/>
        <v>0</v>
      </c>
      <c r="AX53" s="30">
        <f t="shared" si="13"/>
        <v>0</v>
      </c>
      <c r="AY53" s="30">
        <f t="shared" si="14"/>
        <v>1</v>
      </c>
      <c r="BA53" s="32" t="s">
        <v>21</v>
      </c>
      <c r="BB53" s="80" t="s">
        <v>128</v>
      </c>
      <c r="BC53" s="87" t="s">
        <v>244</v>
      </c>
      <c r="BD53" s="91" t="s">
        <v>8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30">
        <f t="shared" si="15"/>
        <v>0</v>
      </c>
      <c r="BX53" s="30">
        <f t="shared" si="16"/>
        <v>0</v>
      </c>
      <c r="BY53" s="30">
        <f t="shared" si="17"/>
        <v>0</v>
      </c>
    </row>
    <row r="54" spans="1:77" ht="15.5" x14ac:dyDescent="0.35">
      <c r="A54" s="32" t="s">
        <v>22</v>
      </c>
      <c r="B54" s="80" t="s">
        <v>129</v>
      </c>
      <c r="C54" s="87" t="s">
        <v>244</v>
      </c>
      <c r="D54" s="91" t="s">
        <v>6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>
        <v>1</v>
      </c>
      <c r="T54" s="4"/>
      <c r="U54" s="4">
        <v>1</v>
      </c>
      <c r="V54" s="4"/>
      <c r="W54" s="30">
        <f t="shared" si="9"/>
        <v>0</v>
      </c>
      <c r="X54" s="30">
        <f t="shared" si="10"/>
        <v>1</v>
      </c>
      <c r="Y54" s="30">
        <f t="shared" si="11"/>
        <v>1</v>
      </c>
      <c r="AA54" s="1">
        <v>19</v>
      </c>
      <c r="AB54" s="80" t="s">
        <v>170</v>
      </c>
      <c r="AC54" s="87" t="s">
        <v>245</v>
      </c>
      <c r="AD54" s="91" t="s">
        <v>6</v>
      </c>
      <c r="AE54" s="4"/>
      <c r="AF54" s="4"/>
      <c r="AG54" s="4"/>
      <c r="AH54" s="4"/>
      <c r="AI54" s="5"/>
      <c r="AJ54" s="4"/>
      <c r="AK54" s="4"/>
      <c r="AL54" s="4"/>
      <c r="AM54" s="4"/>
      <c r="AN54" s="4"/>
      <c r="AO54" s="4"/>
      <c r="AP54" s="4"/>
      <c r="AQ54" s="4">
        <v>1</v>
      </c>
      <c r="AR54" s="4"/>
      <c r="AS54" s="4"/>
      <c r="AT54" s="4"/>
      <c r="AU54" s="4"/>
      <c r="AV54" s="4"/>
      <c r="AW54" s="30">
        <f t="shared" si="12"/>
        <v>1</v>
      </c>
      <c r="AX54" s="30">
        <f t="shared" si="13"/>
        <v>0</v>
      </c>
      <c r="AY54" s="30">
        <f t="shared" si="14"/>
        <v>0</v>
      </c>
      <c r="BA54" s="32" t="s">
        <v>23</v>
      </c>
      <c r="BB54" s="80" t="s">
        <v>130</v>
      </c>
      <c r="BC54" s="87" t="s">
        <v>244</v>
      </c>
      <c r="BD54" s="91" t="s">
        <v>8</v>
      </c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30">
        <f t="shared" si="15"/>
        <v>0</v>
      </c>
      <c r="BX54" s="30">
        <f t="shared" si="16"/>
        <v>0</v>
      </c>
      <c r="BY54" s="30">
        <f t="shared" si="17"/>
        <v>0</v>
      </c>
    </row>
    <row r="55" spans="1:77" ht="15.5" x14ac:dyDescent="0.35">
      <c r="A55" s="32" t="s">
        <v>23</v>
      </c>
      <c r="B55" s="80" t="s">
        <v>130</v>
      </c>
      <c r="C55" s="87" t="s">
        <v>244</v>
      </c>
      <c r="D55" s="91" t="s">
        <v>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30">
        <f t="shared" si="9"/>
        <v>0</v>
      </c>
      <c r="X55" s="30">
        <f t="shared" si="10"/>
        <v>0</v>
      </c>
      <c r="Y55" s="30">
        <f t="shared" si="11"/>
        <v>0</v>
      </c>
      <c r="AA55" s="1">
        <v>20</v>
      </c>
      <c r="AB55" s="80" t="s">
        <v>171</v>
      </c>
      <c r="AC55" s="87" t="s">
        <v>245</v>
      </c>
      <c r="AD55" s="91" t="s">
        <v>8</v>
      </c>
      <c r="AE55" s="4">
        <v>1</v>
      </c>
      <c r="AF55" s="4"/>
      <c r="AG55" s="4"/>
      <c r="AH55" s="4"/>
      <c r="AI55" s="5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30">
        <f t="shared" si="12"/>
        <v>1</v>
      </c>
      <c r="AX55" s="30">
        <f t="shared" si="13"/>
        <v>0</v>
      </c>
      <c r="AY55" s="30">
        <f t="shared" si="14"/>
        <v>0</v>
      </c>
      <c r="BA55" s="32" t="s">
        <v>24</v>
      </c>
      <c r="BB55" s="80" t="s">
        <v>860</v>
      </c>
      <c r="BC55" s="87" t="s">
        <v>244</v>
      </c>
      <c r="BD55" s="91" t="s">
        <v>8</v>
      </c>
      <c r="BE55" s="4"/>
      <c r="BF55" s="4"/>
      <c r="BG55" s="4"/>
      <c r="BH55" s="4"/>
      <c r="BI55" s="5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30">
        <f t="shared" si="15"/>
        <v>0</v>
      </c>
      <c r="BX55" s="30">
        <f t="shared" si="16"/>
        <v>0</v>
      </c>
      <c r="BY55" s="30">
        <f t="shared" si="17"/>
        <v>0</v>
      </c>
    </row>
    <row r="56" spans="1:77" ht="15.5" x14ac:dyDescent="0.35">
      <c r="A56" s="32" t="s">
        <v>24</v>
      </c>
      <c r="B56" s="80" t="s">
        <v>860</v>
      </c>
      <c r="C56" s="87" t="s">
        <v>244</v>
      </c>
      <c r="D56" s="91" t="s">
        <v>8</v>
      </c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30">
        <f t="shared" si="9"/>
        <v>0</v>
      </c>
      <c r="X56" s="30">
        <f t="shared" si="10"/>
        <v>0</v>
      </c>
      <c r="Y56" s="30">
        <f t="shared" si="11"/>
        <v>0</v>
      </c>
      <c r="AA56" s="1">
        <v>23</v>
      </c>
      <c r="AB56" s="80" t="s">
        <v>173</v>
      </c>
      <c r="AC56" s="87" t="s">
        <v>245</v>
      </c>
      <c r="AD56" s="91" t="s">
        <v>8</v>
      </c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30">
        <f t="shared" si="12"/>
        <v>0</v>
      </c>
      <c r="AX56" s="30">
        <f t="shared" si="13"/>
        <v>0</v>
      </c>
      <c r="AY56" s="30">
        <f t="shared" si="14"/>
        <v>0</v>
      </c>
      <c r="BA56" s="32" t="s">
        <v>25</v>
      </c>
      <c r="BB56" s="80" t="s">
        <v>131</v>
      </c>
      <c r="BC56" s="87" t="s">
        <v>244</v>
      </c>
      <c r="BD56" s="91" t="s">
        <v>6</v>
      </c>
      <c r="BE56" s="4"/>
      <c r="BF56" s="4"/>
      <c r="BG56" s="4"/>
      <c r="BH56" s="4"/>
      <c r="BI56" s="5"/>
      <c r="BJ56" s="4"/>
      <c r="BK56" s="4">
        <v>1</v>
      </c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30">
        <f t="shared" si="15"/>
        <v>1</v>
      </c>
      <c r="BX56" s="30">
        <f t="shared" si="16"/>
        <v>0</v>
      </c>
      <c r="BY56" s="30">
        <f t="shared" si="17"/>
        <v>0</v>
      </c>
    </row>
    <row r="57" spans="1:77" ht="15.5" x14ac:dyDescent="0.35">
      <c r="A57" s="31" t="s">
        <v>26</v>
      </c>
      <c r="B57" s="87" t="s">
        <v>861</v>
      </c>
      <c r="C57" s="172" t="s">
        <v>244</v>
      </c>
      <c r="D57" s="107" t="s">
        <v>8</v>
      </c>
      <c r="E57" s="108"/>
      <c r="F57" s="108"/>
      <c r="G57" s="108"/>
      <c r="H57" s="108"/>
      <c r="I57" s="113"/>
      <c r="J57" s="108"/>
      <c r="K57" s="108"/>
      <c r="L57" s="108"/>
      <c r="M57" s="108"/>
      <c r="N57" s="110"/>
      <c r="O57" s="108"/>
      <c r="P57" s="110"/>
      <c r="Q57" s="108"/>
      <c r="R57" s="108"/>
      <c r="S57" s="108"/>
      <c r="T57" s="108"/>
      <c r="U57" s="108"/>
      <c r="V57" s="108"/>
      <c r="W57" s="109">
        <f t="shared" si="9"/>
        <v>0</v>
      </c>
      <c r="X57" s="109">
        <f t="shared" si="10"/>
        <v>0</v>
      </c>
      <c r="Y57" s="109">
        <f t="shared" si="11"/>
        <v>0</v>
      </c>
      <c r="AA57" s="103">
        <v>27</v>
      </c>
      <c r="AB57" s="87" t="s">
        <v>177</v>
      </c>
      <c r="AC57" s="172" t="s">
        <v>245</v>
      </c>
      <c r="AD57" s="107" t="s">
        <v>6</v>
      </c>
      <c r="AE57" s="108"/>
      <c r="AF57" s="108"/>
      <c r="AG57" s="108"/>
      <c r="AH57" s="108"/>
      <c r="AI57" s="113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9">
        <f t="shared" si="12"/>
        <v>0</v>
      </c>
      <c r="AX57" s="109">
        <f t="shared" si="13"/>
        <v>0</v>
      </c>
      <c r="AY57" s="109">
        <f t="shared" si="14"/>
        <v>0</v>
      </c>
      <c r="BA57" s="31" t="s">
        <v>26</v>
      </c>
      <c r="BB57" s="87" t="s">
        <v>861</v>
      </c>
      <c r="BC57" s="172" t="s">
        <v>244</v>
      </c>
      <c r="BD57" s="107" t="s">
        <v>8</v>
      </c>
      <c r="BE57" s="108"/>
      <c r="BF57" s="108"/>
      <c r="BG57" s="108"/>
      <c r="BH57" s="108"/>
      <c r="BI57" s="113"/>
      <c r="BJ57" s="108"/>
      <c r="BK57" s="108"/>
      <c r="BL57" s="108"/>
      <c r="BM57" s="108"/>
      <c r="BN57" s="110"/>
      <c r="BO57" s="108"/>
      <c r="BP57" s="110"/>
      <c r="BQ57" s="108"/>
      <c r="BR57" s="108"/>
      <c r="BS57" s="108"/>
      <c r="BT57" s="108"/>
      <c r="BU57" s="108"/>
      <c r="BV57" s="108"/>
      <c r="BW57" s="109">
        <f t="shared" si="15"/>
        <v>0</v>
      </c>
      <c r="BX57" s="109">
        <f t="shared" si="16"/>
        <v>0</v>
      </c>
      <c r="BY57" s="109">
        <f t="shared" si="17"/>
        <v>0</v>
      </c>
    </row>
    <row r="58" spans="1:77" ht="15.5" x14ac:dyDescent="0.35">
      <c r="A58" s="32" t="s">
        <v>27</v>
      </c>
      <c r="B58" s="80" t="s">
        <v>132</v>
      </c>
      <c r="C58" s="172" t="s">
        <v>244</v>
      </c>
      <c r="D58" s="81" t="s">
        <v>6</v>
      </c>
      <c r="E58" s="4"/>
      <c r="F58" s="4"/>
      <c r="G58" s="4"/>
      <c r="H58" s="4"/>
      <c r="I58" s="4">
        <v>5</v>
      </c>
      <c r="J58" s="5"/>
      <c r="K58" s="4"/>
      <c r="L58" s="4"/>
      <c r="M58" s="4"/>
      <c r="N58" s="4"/>
      <c r="O58" s="4"/>
      <c r="P58" s="4"/>
      <c r="Q58" s="4"/>
      <c r="R58" s="4"/>
      <c r="S58" s="4">
        <v>1</v>
      </c>
      <c r="T58" s="4"/>
      <c r="U58" s="4"/>
      <c r="V58" s="4"/>
      <c r="W58" s="30">
        <f t="shared" si="9"/>
        <v>0</v>
      </c>
      <c r="X58" s="30">
        <f t="shared" si="10"/>
        <v>5</v>
      </c>
      <c r="Y58" s="30">
        <f t="shared" si="11"/>
        <v>1</v>
      </c>
      <c r="AA58" s="1">
        <v>29</v>
      </c>
      <c r="AB58" s="80" t="s">
        <v>179</v>
      </c>
      <c r="AC58" s="172" t="s">
        <v>245</v>
      </c>
      <c r="AD58" s="81" t="s">
        <v>8</v>
      </c>
      <c r="AE58" s="9"/>
      <c r="AF58" s="9"/>
      <c r="AG58" s="9"/>
      <c r="AH58" s="9">
        <v>3</v>
      </c>
      <c r="AI58" s="16"/>
      <c r="AJ58" s="9">
        <v>1</v>
      </c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30">
        <f t="shared" si="12"/>
        <v>3</v>
      </c>
      <c r="AX58" s="30">
        <f t="shared" si="13"/>
        <v>0</v>
      </c>
      <c r="AY58" s="30">
        <f t="shared" si="14"/>
        <v>1</v>
      </c>
      <c r="BA58" s="32" t="s">
        <v>28</v>
      </c>
      <c r="BB58" s="80" t="s">
        <v>862</v>
      </c>
      <c r="BC58" s="172" t="s">
        <v>244</v>
      </c>
      <c r="BD58" s="81" t="s">
        <v>8</v>
      </c>
      <c r="BE58" s="4"/>
      <c r="BF58" s="4"/>
      <c r="BG58" s="4"/>
      <c r="BH58" s="4"/>
      <c r="BI58" s="5">
        <v>1</v>
      </c>
      <c r="BJ58" s="5"/>
      <c r="BK58" s="4"/>
      <c r="BL58" s="4"/>
      <c r="BM58" s="4"/>
      <c r="BN58" s="4"/>
      <c r="BO58" s="4"/>
      <c r="BP58" s="4"/>
      <c r="BQ58" s="4"/>
      <c r="BR58" s="4">
        <v>1</v>
      </c>
      <c r="BS58" s="4"/>
      <c r="BT58" s="4"/>
      <c r="BU58" s="4"/>
      <c r="BV58" s="4"/>
      <c r="BW58" s="30">
        <f t="shared" si="15"/>
        <v>0</v>
      </c>
      <c r="BX58" s="30">
        <f t="shared" si="16"/>
        <v>2</v>
      </c>
      <c r="BY58" s="30">
        <f t="shared" si="17"/>
        <v>0</v>
      </c>
    </row>
    <row r="59" spans="1:77" ht="15.5" x14ac:dyDescent="0.35">
      <c r="A59" s="32" t="s">
        <v>28</v>
      </c>
      <c r="B59" s="80" t="s">
        <v>862</v>
      </c>
      <c r="C59" s="172" t="s">
        <v>244</v>
      </c>
      <c r="D59" s="81" t="s">
        <v>8</v>
      </c>
      <c r="E59" s="4"/>
      <c r="F59" s="4"/>
      <c r="G59" s="4"/>
      <c r="H59" s="4"/>
      <c r="I59" s="5">
        <v>1</v>
      </c>
      <c r="J59" s="5"/>
      <c r="K59" s="4"/>
      <c r="L59" s="4"/>
      <c r="M59" s="4"/>
      <c r="N59" s="4"/>
      <c r="O59" s="4"/>
      <c r="P59" s="4"/>
      <c r="Q59" s="4"/>
      <c r="R59" s="4">
        <v>1</v>
      </c>
      <c r="S59" s="4"/>
      <c r="T59" s="4"/>
      <c r="U59" s="4"/>
      <c r="V59" s="4"/>
      <c r="W59" s="30">
        <f t="shared" si="9"/>
        <v>0</v>
      </c>
      <c r="X59" s="30">
        <f t="shared" si="10"/>
        <v>2</v>
      </c>
      <c r="Y59" s="30">
        <f t="shared" si="11"/>
        <v>0</v>
      </c>
      <c r="AA59" s="1">
        <v>34</v>
      </c>
      <c r="AB59" s="94" t="s">
        <v>183</v>
      </c>
      <c r="AC59" s="172" t="s">
        <v>245</v>
      </c>
      <c r="AD59" s="81" t="s">
        <v>6</v>
      </c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30">
        <f t="shared" si="12"/>
        <v>0</v>
      </c>
      <c r="AX59" s="30">
        <f t="shared" si="13"/>
        <v>0</v>
      </c>
      <c r="AY59" s="30">
        <f t="shared" si="14"/>
        <v>0</v>
      </c>
      <c r="BA59" s="32" t="s">
        <v>30</v>
      </c>
      <c r="BB59" s="80" t="s">
        <v>135</v>
      </c>
      <c r="BC59" s="172" t="s">
        <v>244</v>
      </c>
      <c r="BD59" s="81" t="s">
        <v>8</v>
      </c>
      <c r="BE59" s="4"/>
      <c r="BF59" s="4">
        <v>1</v>
      </c>
      <c r="BG59" s="5"/>
      <c r="BH59" s="4"/>
      <c r="BI59" s="5"/>
      <c r="BJ59" s="5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30">
        <f t="shared" si="15"/>
        <v>0</v>
      </c>
      <c r="BX59" s="30">
        <f t="shared" si="16"/>
        <v>1</v>
      </c>
      <c r="BY59" s="30">
        <f t="shared" si="17"/>
        <v>0</v>
      </c>
    </row>
    <row r="60" spans="1:77" ht="15.5" x14ac:dyDescent="0.35">
      <c r="A60" s="32" t="s">
        <v>29</v>
      </c>
      <c r="B60" s="80" t="s">
        <v>134</v>
      </c>
      <c r="C60" s="172" t="s">
        <v>244</v>
      </c>
      <c r="D60" s="81" t="s">
        <v>6</v>
      </c>
      <c r="E60" s="4"/>
      <c r="F60" s="4"/>
      <c r="G60" s="4"/>
      <c r="H60" s="4"/>
      <c r="I60" s="5">
        <v>2</v>
      </c>
      <c r="J60" s="5"/>
      <c r="K60" s="4"/>
      <c r="L60" s="4">
        <v>2</v>
      </c>
      <c r="M60" s="4"/>
      <c r="N60" s="4"/>
      <c r="O60" s="4"/>
      <c r="P60" s="4"/>
      <c r="Q60" s="4"/>
      <c r="R60" s="4">
        <v>2</v>
      </c>
      <c r="S60" s="4">
        <v>1</v>
      </c>
      <c r="T60" s="4"/>
      <c r="U60" s="4"/>
      <c r="V60" s="4"/>
      <c r="W60" s="30">
        <f t="shared" si="9"/>
        <v>0</v>
      </c>
      <c r="X60" s="30">
        <f t="shared" si="10"/>
        <v>6</v>
      </c>
      <c r="Y60" s="30">
        <f t="shared" si="11"/>
        <v>1</v>
      </c>
      <c r="AA60" s="1">
        <v>35</v>
      </c>
      <c r="AB60" s="99" t="s">
        <v>184</v>
      </c>
      <c r="AC60" s="172" t="s">
        <v>245</v>
      </c>
      <c r="AD60" s="85" t="s">
        <v>8</v>
      </c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30">
        <f t="shared" si="12"/>
        <v>0</v>
      </c>
      <c r="AX60" s="30">
        <f t="shared" si="13"/>
        <v>0</v>
      </c>
      <c r="AY60" s="30">
        <f t="shared" si="14"/>
        <v>0</v>
      </c>
      <c r="BA60" s="32" t="s">
        <v>32</v>
      </c>
      <c r="BB60" s="80" t="s">
        <v>863</v>
      </c>
      <c r="BC60" s="172" t="s">
        <v>244</v>
      </c>
      <c r="BD60" s="81" t="s">
        <v>6</v>
      </c>
      <c r="BE60" s="4"/>
      <c r="BF60" s="4"/>
      <c r="BG60" s="4"/>
      <c r="BH60" s="4"/>
      <c r="BI60" s="4"/>
      <c r="BJ60" s="5"/>
      <c r="BK60" s="4"/>
      <c r="BL60" s="4">
        <v>1</v>
      </c>
      <c r="BM60" s="4"/>
      <c r="BN60" s="4"/>
      <c r="BO60" s="4"/>
      <c r="BP60" s="4"/>
      <c r="BQ60" s="4"/>
      <c r="BR60" s="4">
        <v>2</v>
      </c>
      <c r="BS60" s="4"/>
      <c r="BT60" s="4"/>
      <c r="BU60" s="4"/>
      <c r="BV60" s="4"/>
      <c r="BW60" s="30">
        <f t="shared" si="15"/>
        <v>0</v>
      </c>
      <c r="BX60" s="30">
        <f t="shared" si="16"/>
        <v>3</v>
      </c>
      <c r="BY60" s="30">
        <f t="shared" si="17"/>
        <v>0</v>
      </c>
    </row>
    <row r="61" spans="1:77" ht="15.5" x14ac:dyDescent="0.35">
      <c r="A61" s="32" t="s">
        <v>30</v>
      </c>
      <c r="B61" s="80" t="s">
        <v>135</v>
      </c>
      <c r="C61" s="172" t="s">
        <v>244</v>
      </c>
      <c r="D61" s="81" t="s">
        <v>8</v>
      </c>
      <c r="E61" s="4"/>
      <c r="F61" s="4">
        <v>1</v>
      </c>
      <c r="G61" s="5"/>
      <c r="H61" s="4"/>
      <c r="I61" s="5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30">
        <f t="shared" si="9"/>
        <v>0</v>
      </c>
      <c r="X61" s="30">
        <f t="shared" si="10"/>
        <v>1</v>
      </c>
      <c r="Y61" s="30">
        <f t="shared" si="11"/>
        <v>0</v>
      </c>
      <c r="AA61" s="1">
        <v>7</v>
      </c>
      <c r="AB61" s="80" t="s">
        <v>190</v>
      </c>
      <c r="AC61" s="172" t="s">
        <v>242</v>
      </c>
      <c r="AD61" s="82" t="s">
        <v>8</v>
      </c>
      <c r="AE61" s="4"/>
      <c r="AF61" s="4"/>
      <c r="AG61" s="4"/>
      <c r="AH61" s="4"/>
      <c r="AI61" s="5"/>
      <c r="AJ61" s="5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30">
        <f t="shared" si="12"/>
        <v>0</v>
      </c>
      <c r="AX61" s="30">
        <f t="shared" si="13"/>
        <v>0</v>
      </c>
      <c r="AY61" s="30">
        <f t="shared" si="14"/>
        <v>0</v>
      </c>
      <c r="BA61" s="32" t="s">
        <v>33</v>
      </c>
      <c r="BB61" s="80" t="s">
        <v>137</v>
      </c>
      <c r="BC61" s="172" t="s">
        <v>244</v>
      </c>
      <c r="BD61" s="81" t="s">
        <v>6</v>
      </c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>
        <v>1</v>
      </c>
      <c r="BS61" s="4"/>
      <c r="BT61" s="4"/>
      <c r="BU61" s="4"/>
      <c r="BV61" s="4"/>
      <c r="BW61" s="30">
        <f t="shared" si="15"/>
        <v>0</v>
      </c>
      <c r="BX61" s="30">
        <f t="shared" si="16"/>
        <v>1</v>
      </c>
      <c r="BY61" s="30">
        <f t="shared" si="17"/>
        <v>0</v>
      </c>
    </row>
    <row r="62" spans="1:77" ht="15.5" x14ac:dyDescent="0.35">
      <c r="A62" s="32" t="s">
        <v>32</v>
      </c>
      <c r="B62" s="80" t="s">
        <v>863</v>
      </c>
      <c r="C62" s="172" t="s">
        <v>244</v>
      </c>
      <c r="D62" s="81" t="s">
        <v>6</v>
      </c>
      <c r="E62" s="4"/>
      <c r="F62" s="4"/>
      <c r="G62" s="4"/>
      <c r="H62" s="4"/>
      <c r="I62" s="4"/>
      <c r="J62" s="5"/>
      <c r="K62" s="4"/>
      <c r="L62" s="4">
        <v>1</v>
      </c>
      <c r="M62" s="4"/>
      <c r="N62" s="4"/>
      <c r="O62" s="4"/>
      <c r="P62" s="4"/>
      <c r="Q62" s="4"/>
      <c r="R62" s="4">
        <v>2</v>
      </c>
      <c r="S62" s="4"/>
      <c r="T62" s="4"/>
      <c r="U62" s="4"/>
      <c r="V62" s="4"/>
      <c r="W62" s="30">
        <f t="shared" si="9"/>
        <v>0</v>
      </c>
      <c r="X62" s="30">
        <f t="shared" si="10"/>
        <v>3</v>
      </c>
      <c r="Y62" s="30">
        <f t="shared" si="11"/>
        <v>0</v>
      </c>
      <c r="AA62" s="1">
        <v>8</v>
      </c>
      <c r="AB62" s="80" t="s">
        <v>191</v>
      </c>
      <c r="AC62" s="172" t="s">
        <v>242</v>
      </c>
      <c r="AD62" s="81" t="s">
        <v>8</v>
      </c>
      <c r="AE62" s="4"/>
      <c r="AF62" s="4"/>
      <c r="AG62" s="4"/>
      <c r="AH62" s="4"/>
      <c r="AI62" s="4"/>
      <c r="AJ62" s="5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30">
        <f t="shared" si="12"/>
        <v>0</v>
      </c>
      <c r="AX62" s="30">
        <f t="shared" si="13"/>
        <v>0</v>
      </c>
      <c r="AY62" s="30">
        <f t="shared" si="14"/>
        <v>0</v>
      </c>
      <c r="BA62" s="32" t="s">
        <v>34</v>
      </c>
      <c r="BB62" s="80" t="s">
        <v>138</v>
      </c>
      <c r="BC62" s="172" t="s">
        <v>244</v>
      </c>
      <c r="BD62" s="81" t="s">
        <v>6</v>
      </c>
      <c r="BE62" s="4"/>
      <c r="BF62" s="4"/>
      <c r="BG62" s="4"/>
      <c r="BH62" s="4"/>
      <c r="BI62" s="5"/>
      <c r="BJ62" s="4"/>
      <c r="BK62" s="4"/>
      <c r="BL62" s="4"/>
      <c r="BM62" s="4"/>
      <c r="BN62" s="4"/>
      <c r="BO62" s="4"/>
      <c r="BP62" s="4"/>
      <c r="BQ62" s="4"/>
      <c r="BR62" s="4">
        <v>1</v>
      </c>
      <c r="BS62" s="4"/>
      <c r="BT62" s="4"/>
      <c r="BU62" s="4"/>
      <c r="BV62" s="4"/>
      <c r="BW62" s="30">
        <f t="shared" si="15"/>
        <v>0</v>
      </c>
      <c r="BX62" s="30">
        <f t="shared" si="16"/>
        <v>1</v>
      </c>
      <c r="BY62" s="30">
        <f t="shared" si="17"/>
        <v>0</v>
      </c>
    </row>
    <row r="63" spans="1:77" ht="15.5" x14ac:dyDescent="0.35">
      <c r="A63" s="32" t="s">
        <v>33</v>
      </c>
      <c r="B63" s="80" t="s">
        <v>137</v>
      </c>
      <c r="C63" s="172" t="s">
        <v>244</v>
      </c>
      <c r="D63" s="81" t="s">
        <v>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>
        <v>1</v>
      </c>
      <c r="S63" s="4"/>
      <c r="T63" s="4"/>
      <c r="U63" s="4"/>
      <c r="V63" s="4"/>
      <c r="W63" s="30">
        <f t="shared" si="9"/>
        <v>0</v>
      </c>
      <c r="X63" s="30">
        <f t="shared" si="10"/>
        <v>1</v>
      </c>
      <c r="Y63" s="30">
        <f t="shared" si="11"/>
        <v>0</v>
      </c>
      <c r="AA63" s="1">
        <v>11</v>
      </c>
      <c r="AB63" s="80" t="s">
        <v>194</v>
      </c>
      <c r="AC63" s="172" t="s">
        <v>242</v>
      </c>
      <c r="AD63" s="81" t="s">
        <v>8</v>
      </c>
      <c r="AE63" s="4"/>
      <c r="AF63" s="4"/>
      <c r="AG63" s="4"/>
      <c r="AH63" s="4"/>
      <c r="AI63" s="4"/>
      <c r="AJ63" s="5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30">
        <f t="shared" si="12"/>
        <v>0</v>
      </c>
      <c r="AX63" s="30">
        <f t="shared" si="13"/>
        <v>0</v>
      </c>
      <c r="AY63" s="30">
        <f t="shared" si="14"/>
        <v>0</v>
      </c>
      <c r="BA63" s="32" t="s">
        <v>35</v>
      </c>
      <c r="BB63" s="80" t="s">
        <v>139</v>
      </c>
      <c r="BC63" s="172" t="s">
        <v>244</v>
      </c>
      <c r="BD63" s="81" t="s">
        <v>8</v>
      </c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30">
        <f t="shared" si="15"/>
        <v>0</v>
      </c>
      <c r="BX63" s="30">
        <f t="shared" si="16"/>
        <v>0</v>
      </c>
      <c r="BY63" s="30">
        <f t="shared" si="17"/>
        <v>0</v>
      </c>
    </row>
    <row r="64" spans="1:77" ht="15.5" x14ac:dyDescent="0.35">
      <c r="A64" s="32" t="s">
        <v>34</v>
      </c>
      <c r="B64" s="80" t="s">
        <v>138</v>
      </c>
      <c r="C64" s="172" t="s">
        <v>244</v>
      </c>
      <c r="D64" s="81" t="s">
        <v>6</v>
      </c>
      <c r="E64" s="4"/>
      <c r="F64" s="4"/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>
        <v>1</v>
      </c>
      <c r="S64" s="4"/>
      <c r="T64" s="4"/>
      <c r="U64" s="4"/>
      <c r="V64" s="4"/>
      <c r="W64" s="30">
        <f t="shared" si="9"/>
        <v>0</v>
      </c>
      <c r="X64" s="30">
        <f t="shared" si="10"/>
        <v>1</v>
      </c>
      <c r="Y64" s="30">
        <f t="shared" si="11"/>
        <v>0</v>
      </c>
      <c r="AA64" s="1">
        <v>14</v>
      </c>
      <c r="AB64" s="80" t="s">
        <v>197</v>
      </c>
      <c r="AC64" s="172" t="s">
        <v>242</v>
      </c>
      <c r="AD64" s="81" t="s">
        <v>8</v>
      </c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30">
        <f t="shared" si="12"/>
        <v>0</v>
      </c>
      <c r="AX64" s="30">
        <f t="shared" si="13"/>
        <v>0</v>
      </c>
      <c r="AY64" s="30">
        <f t="shared" si="14"/>
        <v>0</v>
      </c>
      <c r="BA64" s="32" t="s">
        <v>36</v>
      </c>
      <c r="BB64" s="80" t="s">
        <v>140</v>
      </c>
      <c r="BC64" s="172" t="s">
        <v>244</v>
      </c>
      <c r="BD64" s="81" t="s">
        <v>8</v>
      </c>
      <c r="BE64" s="4"/>
      <c r="BF64" s="4"/>
      <c r="BG64" s="4"/>
      <c r="BH64" s="4"/>
      <c r="BI64" s="5">
        <v>1</v>
      </c>
      <c r="BJ64" s="4"/>
      <c r="BK64" s="4"/>
      <c r="BL64" s="4"/>
      <c r="BM64" s="4"/>
      <c r="BN64" s="4"/>
      <c r="BO64" s="4"/>
      <c r="BP64" s="4"/>
      <c r="BQ64" s="4">
        <v>2</v>
      </c>
      <c r="BR64" s="4">
        <v>4</v>
      </c>
      <c r="BS64" s="4"/>
      <c r="BT64" s="4"/>
      <c r="BU64" s="4">
        <v>1</v>
      </c>
      <c r="BV64" s="4"/>
      <c r="BW64" s="30">
        <f t="shared" si="15"/>
        <v>2</v>
      </c>
      <c r="BX64" s="30">
        <f t="shared" si="16"/>
        <v>6</v>
      </c>
      <c r="BY64" s="30">
        <f t="shared" si="17"/>
        <v>0</v>
      </c>
    </row>
    <row r="65" spans="1:77" ht="15.5" x14ac:dyDescent="0.35">
      <c r="A65" s="32" t="s">
        <v>35</v>
      </c>
      <c r="B65" s="80" t="s">
        <v>139</v>
      </c>
      <c r="C65" s="172" t="s">
        <v>244</v>
      </c>
      <c r="D65" s="81" t="s">
        <v>8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30">
        <f t="shared" si="9"/>
        <v>0</v>
      </c>
      <c r="X65" s="30">
        <f t="shared" si="10"/>
        <v>0</v>
      </c>
      <c r="Y65" s="30">
        <f t="shared" si="11"/>
        <v>0</v>
      </c>
      <c r="AA65" s="1">
        <v>17</v>
      </c>
      <c r="AB65" s="80" t="s">
        <v>200</v>
      </c>
      <c r="AC65" s="172" t="s">
        <v>242</v>
      </c>
      <c r="AD65" s="82" t="s">
        <v>8</v>
      </c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0">
        <f t="shared" si="12"/>
        <v>0</v>
      </c>
      <c r="AX65" s="30">
        <f t="shared" si="13"/>
        <v>0</v>
      </c>
      <c r="AY65" s="30">
        <f t="shared" si="14"/>
        <v>0</v>
      </c>
      <c r="BA65" s="32" t="s">
        <v>38</v>
      </c>
      <c r="BB65" s="80" t="s">
        <v>142</v>
      </c>
      <c r="BC65" s="172" t="s">
        <v>244</v>
      </c>
      <c r="BD65" s="81" t="s">
        <v>8</v>
      </c>
      <c r="BE65" s="4"/>
      <c r="BF65" s="4">
        <v>1</v>
      </c>
      <c r="BG65" s="4"/>
      <c r="BH65" s="4"/>
      <c r="BI65" s="5">
        <v>5</v>
      </c>
      <c r="BJ65" s="4"/>
      <c r="BK65" s="4"/>
      <c r="BL65" s="4">
        <v>3</v>
      </c>
      <c r="BM65" s="4"/>
      <c r="BN65" s="4"/>
      <c r="BO65" s="4"/>
      <c r="BP65" s="4"/>
      <c r="BQ65" s="4"/>
      <c r="BR65" s="4"/>
      <c r="BS65" s="4"/>
      <c r="BT65" s="4"/>
      <c r="BU65" s="4">
        <v>2</v>
      </c>
      <c r="BV65" s="4"/>
      <c r="BW65" s="30">
        <f t="shared" si="15"/>
        <v>0</v>
      </c>
      <c r="BX65" s="30">
        <f t="shared" si="16"/>
        <v>11</v>
      </c>
      <c r="BY65" s="30">
        <f t="shared" si="17"/>
        <v>0</v>
      </c>
    </row>
    <row r="66" spans="1:77" ht="15.5" x14ac:dyDescent="0.35">
      <c r="A66" s="32" t="s">
        <v>37</v>
      </c>
      <c r="B66" s="80" t="s">
        <v>141</v>
      </c>
      <c r="C66" s="172" t="s">
        <v>244</v>
      </c>
      <c r="D66" s="85" t="s">
        <v>6</v>
      </c>
      <c r="E66" s="4"/>
      <c r="F66" s="4">
        <v>1</v>
      </c>
      <c r="G66" s="4"/>
      <c r="H66" s="4"/>
      <c r="I66" s="5"/>
      <c r="J66" s="4"/>
      <c r="K66" s="4"/>
      <c r="L66" s="4">
        <v>6</v>
      </c>
      <c r="M66" s="4"/>
      <c r="N66" s="4"/>
      <c r="O66" s="4"/>
      <c r="P66" s="4"/>
      <c r="Q66" s="4"/>
      <c r="R66" s="4">
        <v>1</v>
      </c>
      <c r="S66" s="4">
        <v>1</v>
      </c>
      <c r="T66" s="4"/>
      <c r="U66" s="4"/>
      <c r="V66" s="4"/>
      <c r="W66" s="30">
        <f t="shared" si="9"/>
        <v>0</v>
      </c>
      <c r="X66" s="30">
        <f t="shared" si="10"/>
        <v>8</v>
      </c>
      <c r="Y66" s="30">
        <f t="shared" si="11"/>
        <v>1</v>
      </c>
      <c r="AA66" s="1">
        <v>18</v>
      </c>
      <c r="AB66" s="80" t="s">
        <v>201</v>
      </c>
      <c r="AC66" s="172" t="s">
        <v>242</v>
      </c>
      <c r="AD66" s="82" t="s">
        <v>8</v>
      </c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0">
        <f t="shared" si="12"/>
        <v>0</v>
      </c>
      <c r="AX66" s="30">
        <f t="shared" si="13"/>
        <v>0</v>
      </c>
      <c r="AY66" s="30">
        <f t="shared" si="14"/>
        <v>0</v>
      </c>
      <c r="BA66" s="32" t="s">
        <v>39</v>
      </c>
      <c r="BB66" s="80" t="s">
        <v>864</v>
      </c>
      <c r="BC66" s="172" t="s">
        <v>244</v>
      </c>
      <c r="BD66" s="81" t="s">
        <v>6</v>
      </c>
      <c r="BE66" s="4"/>
      <c r="BF66" s="4"/>
      <c r="BG66" s="4"/>
      <c r="BH66" s="5"/>
      <c r="BI66" s="5">
        <v>1</v>
      </c>
      <c r="BJ66" s="4"/>
      <c r="BK66" s="4"/>
      <c r="BL66" s="4">
        <v>1</v>
      </c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30">
        <f t="shared" si="15"/>
        <v>0</v>
      </c>
      <c r="BX66" s="30">
        <f t="shared" si="16"/>
        <v>2</v>
      </c>
      <c r="BY66" s="30">
        <f t="shared" si="17"/>
        <v>0</v>
      </c>
    </row>
    <row r="67" spans="1:77" ht="15.5" x14ac:dyDescent="0.35">
      <c r="A67" s="32" t="s">
        <v>38</v>
      </c>
      <c r="B67" s="80" t="s">
        <v>142</v>
      </c>
      <c r="C67" s="172" t="s">
        <v>244</v>
      </c>
      <c r="D67" s="81" t="s">
        <v>8</v>
      </c>
      <c r="E67" s="4"/>
      <c r="F67" s="4">
        <v>1</v>
      </c>
      <c r="G67" s="4"/>
      <c r="H67" s="4"/>
      <c r="I67" s="5">
        <v>5</v>
      </c>
      <c r="J67" s="4"/>
      <c r="K67" s="4"/>
      <c r="L67" s="4">
        <v>3</v>
      </c>
      <c r="M67" s="4"/>
      <c r="N67" s="4"/>
      <c r="O67" s="4"/>
      <c r="P67" s="4"/>
      <c r="Q67" s="4"/>
      <c r="R67" s="4"/>
      <c r="S67" s="4"/>
      <c r="T67" s="4"/>
      <c r="U67" s="4">
        <v>2</v>
      </c>
      <c r="V67" s="4"/>
      <c r="W67" s="30">
        <f t="shared" si="9"/>
        <v>0</v>
      </c>
      <c r="X67" s="30">
        <f t="shared" si="10"/>
        <v>11</v>
      </c>
      <c r="Y67" s="30">
        <f t="shared" si="11"/>
        <v>0</v>
      </c>
      <c r="AA67" s="1">
        <v>20</v>
      </c>
      <c r="AB67" s="80" t="s">
        <v>203</v>
      </c>
      <c r="AC67" s="172" t="s">
        <v>242</v>
      </c>
      <c r="AD67" s="82" t="s">
        <v>8</v>
      </c>
      <c r="AE67" s="4"/>
      <c r="AF67" s="4"/>
      <c r="AG67" s="4">
        <v>1</v>
      </c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>
        <v>1</v>
      </c>
      <c r="AT67" s="4"/>
      <c r="AU67" s="4"/>
      <c r="AV67" s="4"/>
      <c r="AW67" s="30">
        <f t="shared" si="12"/>
        <v>0</v>
      </c>
      <c r="AX67" s="30">
        <f t="shared" si="13"/>
        <v>0</v>
      </c>
      <c r="AY67" s="30">
        <f t="shared" si="14"/>
        <v>2</v>
      </c>
      <c r="BA67" s="32" t="s">
        <v>40</v>
      </c>
      <c r="BB67" s="80" t="s">
        <v>143</v>
      </c>
      <c r="BC67" s="172" t="s">
        <v>244</v>
      </c>
      <c r="BD67" s="81" t="s">
        <v>6</v>
      </c>
      <c r="BE67" s="4"/>
      <c r="BF67" s="4"/>
      <c r="BG67" s="4"/>
      <c r="BH67" s="4"/>
      <c r="BI67" s="5"/>
      <c r="BJ67" s="5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30">
        <f t="shared" si="15"/>
        <v>0</v>
      </c>
      <c r="BX67" s="30">
        <f t="shared" si="16"/>
        <v>0</v>
      </c>
      <c r="BY67" s="30">
        <f t="shared" si="17"/>
        <v>0</v>
      </c>
    </row>
    <row r="68" spans="1:77" ht="15.5" x14ac:dyDescent="0.35">
      <c r="A68" s="32" t="s">
        <v>39</v>
      </c>
      <c r="B68" s="80" t="s">
        <v>864</v>
      </c>
      <c r="C68" s="172" t="s">
        <v>244</v>
      </c>
      <c r="D68" s="81" t="s">
        <v>6</v>
      </c>
      <c r="E68" s="4"/>
      <c r="F68" s="4"/>
      <c r="G68" s="4"/>
      <c r="H68" s="5"/>
      <c r="I68" s="5">
        <v>1</v>
      </c>
      <c r="J68" s="4"/>
      <c r="K68" s="4"/>
      <c r="L68" s="4">
        <v>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30">
        <f t="shared" ref="W68:W99" si="18">SUM(E68,H68,K68,N68,Q68,T68)</f>
        <v>0</v>
      </c>
      <c r="X68" s="30">
        <f t="shared" ref="X68:X99" si="19">SUM(F68,I68,L68,O68,R68,U68)</f>
        <v>2</v>
      </c>
      <c r="Y68" s="30">
        <f t="shared" ref="Y68:Y99" si="20">SUM(G68,J68,M68,P68,S68,V68)</f>
        <v>0</v>
      </c>
      <c r="AA68" s="1">
        <v>22</v>
      </c>
      <c r="AB68" s="80" t="s">
        <v>205</v>
      </c>
      <c r="AC68" s="172" t="s">
        <v>242</v>
      </c>
      <c r="AD68" s="81" t="s">
        <v>8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>
        <v>1</v>
      </c>
      <c r="AR68" s="4"/>
      <c r="AS68" s="4"/>
      <c r="AT68" s="4"/>
      <c r="AU68" s="4"/>
      <c r="AV68" s="4"/>
      <c r="AW68" s="30">
        <f t="shared" ref="AW68:AW99" si="21">SUM(AE68,AH68,AK68,AN68,AQ68,AT68)</f>
        <v>1</v>
      </c>
      <c r="AX68" s="30">
        <f t="shared" ref="AX68:AX99" si="22">SUM(AF68,AI68,AL68,AO68,AR68,AU68)</f>
        <v>0</v>
      </c>
      <c r="AY68" s="30">
        <f t="shared" ref="AY68:AY99" si="23">SUM(AG68,AJ68,AM68,AP68,AS68,AV68)</f>
        <v>0</v>
      </c>
      <c r="BA68" s="32" t="s">
        <v>42</v>
      </c>
      <c r="BB68" s="80" t="s">
        <v>145</v>
      </c>
      <c r="BC68" s="172" t="s">
        <v>244</v>
      </c>
      <c r="BD68" s="81" t="s">
        <v>8</v>
      </c>
      <c r="BE68" s="4"/>
      <c r="BF68" s="4"/>
      <c r="BG68" s="4"/>
      <c r="BH68" s="4"/>
      <c r="BI68" s="5"/>
      <c r="BJ68" s="4"/>
      <c r="BK68" s="4"/>
      <c r="BL68" s="4"/>
      <c r="BM68" s="4"/>
      <c r="BN68" s="4"/>
      <c r="BO68" s="4"/>
      <c r="BP68" s="4"/>
      <c r="BQ68" s="4"/>
      <c r="BR68" s="4">
        <v>2</v>
      </c>
      <c r="BS68" s="4"/>
      <c r="BT68" s="4"/>
      <c r="BU68" s="4">
        <v>1</v>
      </c>
      <c r="BV68" s="4"/>
      <c r="BW68" s="30">
        <f t="shared" ref="BW68:BW99" si="24">SUM(BE68,BH68,BK68,BN68,BQ68,BT68)</f>
        <v>0</v>
      </c>
      <c r="BX68" s="30">
        <f t="shared" ref="BX68:BX99" si="25">SUM(BF68,BI68,BL68,BO68,BR68,BU68)</f>
        <v>3</v>
      </c>
      <c r="BY68" s="30">
        <f t="shared" ref="BY68:BY99" si="26">SUM(BG68,BJ68,BM68,BP68,BS68,BV68)</f>
        <v>0</v>
      </c>
    </row>
    <row r="69" spans="1:77" ht="15.5" x14ac:dyDescent="0.35">
      <c r="A69" s="32" t="s">
        <v>40</v>
      </c>
      <c r="B69" s="80" t="s">
        <v>143</v>
      </c>
      <c r="C69" s="172" t="s">
        <v>244</v>
      </c>
      <c r="D69" s="81" t="s">
        <v>6</v>
      </c>
      <c r="E69" s="4"/>
      <c r="F69" s="4"/>
      <c r="G69" s="4"/>
      <c r="H69" s="4"/>
      <c r="I69" s="5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30">
        <f t="shared" si="18"/>
        <v>0</v>
      </c>
      <c r="X69" s="30">
        <f t="shared" si="19"/>
        <v>0</v>
      </c>
      <c r="Y69" s="30">
        <f t="shared" si="20"/>
        <v>0</v>
      </c>
      <c r="AA69" s="1">
        <v>38</v>
      </c>
      <c r="AB69" s="80" t="s">
        <v>217</v>
      </c>
      <c r="AC69" s="172" t="s">
        <v>242</v>
      </c>
      <c r="AD69" s="95" t="s">
        <v>8</v>
      </c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>
        <v>3</v>
      </c>
      <c r="AT69" s="4"/>
      <c r="AU69" s="4"/>
      <c r="AV69" s="4"/>
      <c r="AW69" s="30">
        <f t="shared" si="21"/>
        <v>0</v>
      </c>
      <c r="AX69" s="30">
        <f t="shared" si="22"/>
        <v>0</v>
      </c>
      <c r="AY69" s="30">
        <f t="shared" si="23"/>
        <v>3</v>
      </c>
      <c r="BA69" s="32" t="s">
        <v>43</v>
      </c>
      <c r="BB69" s="80" t="s">
        <v>865</v>
      </c>
      <c r="BC69" s="172" t="s">
        <v>244</v>
      </c>
      <c r="BD69" s="81" t="s">
        <v>8</v>
      </c>
      <c r="BE69" s="4"/>
      <c r="BF69" s="4">
        <v>1</v>
      </c>
      <c r="BG69" s="4"/>
      <c r="BH69" s="4"/>
      <c r="BI69" s="5"/>
      <c r="BJ69" s="4"/>
      <c r="BK69" s="4"/>
      <c r="BL69" s="4">
        <v>5</v>
      </c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30">
        <f t="shared" si="24"/>
        <v>0</v>
      </c>
      <c r="BX69" s="30">
        <f t="shared" si="25"/>
        <v>6</v>
      </c>
      <c r="BY69" s="30">
        <f t="shared" si="26"/>
        <v>0</v>
      </c>
    </row>
    <row r="70" spans="1:77" ht="15.5" x14ac:dyDescent="0.35">
      <c r="A70" s="32" t="s">
        <v>42</v>
      </c>
      <c r="B70" s="80" t="s">
        <v>145</v>
      </c>
      <c r="C70" s="172" t="s">
        <v>244</v>
      </c>
      <c r="D70" s="81" t="s">
        <v>8</v>
      </c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>
        <v>2</v>
      </c>
      <c r="S70" s="4"/>
      <c r="T70" s="4"/>
      <c r="U70" s="4">
        <v>1</v>
      </c>
      <c r="V70" s="4"/>
      <c r="W70" s="30">
        <f t="shared" si="18"/>
        <v>0</v>
      </c>
      <c r="X70" s="30">
        <f t="shared" si="19"/>
        <v>3</v>
      </c>
      <c r="Y70" s="30">
        <f t="shared" si="20"/>
        <v>0</v>
      </c>
      <c r="AA70" s="1">
        <v>39</v>
      </c>
      <c r="AB70" s="99" t="s">
        <v>218</v>
      </c>
      <c r="AC70" s="172" t="s">
        <v>242</v>
      </c>
      <c r="AD70" s="95" t="s">
        <v>8</v>
      </c>
      <c r="AE70" s="4"/>
      <c r="AF70" s="4"/>
      <c r="AG70" s="4"/>
      <c r="AH70" s="4"/>
      <c r="AI70" s="4"/>
      <c r="AJ70" s="4"/>
      <c r="AK70" s="4">
        <v>1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30">
        <f t="shared" si="21"/>
        <v>1</v>
      </c>
      <c r="AX70" s="30">
        <f t="shared" si="22"/>
        <v>0</v>
      </c>
      <c r="AY70" s="30">
        <f t="shared" si="23"/>
        <v>0</v>
      </c>
      <c r="BA70" s="32" t="s">
        <v>44</v>
      </c>
      <c r="BB70" s="80" t="s">
        <v>866</v>
      </c>
      <c r="BC70" s="172" t="s">
        <v>244</v>
      </c>
      <c r="BD70" s="81" t="s">
        <v>6</v>
      </c>
      <c r="BE70" s="4"/>
      <c r="BF70" s="4"/>
      <c r="BG70" s="4"/>
      <c r="BH70" s="4"/>
      <c r="BI70" s="5">
        <v>1</v>
      </c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30">
        <f t="shared" si="24"/>
        <v>0</v>
      </c>
      <c r="BX70" s="30">
        <f t="shared" si="25"/>
        <v>1</v>
      </c>
      <c r="BY70" s="30">
        <f t="shared" si="26"/>
        <v>0</v>
      </c>
    </row>
    <row r="71" spans="1:77" ht="15.5" x14ac:dyDescent="0.35">
      <c r="A71" s="32" t="s">
        <v>43</v>
      </c>
      <c r="B71" s="80" t="s">
        <v>865</v>
      </c>
      <c r="C71" s="172" t="s">
        <v>244</v>
      </c>
      <c r="D71" s="81" t="s">
        <v>8</v>
      </c>
      <c r="E71" s="4"/>
      <c r="F71" s="4">
        <v>1</v>
      </c>
      <c r="G71" s="4"/>
      <c r="H71" s="4"/>
      <c r="I71" s="5"/>
      <c r="J71" s="4"/>
      <c r="K71" s="4"/>
      <c r="L71" s="4">
        <v>5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30">
        <f t="shared" si="18"/>
        <v>0</v>
      </c>
      <c r="X71" s="30">
        <f t="shared" si="19"/>
        <v>6</v>
      </c>
      <c r="Y71" s="30">
        <f t="shared" si="20"/>
        <v>0</v>
      </c>
      <c r="AA71" s="1">
        <v>5</v>
      </c>
      <c r="AB71" s="80" t="s">
        <v>10</v>
      </c>
      <c r="AC71" s="172" t="s">
        <v>241</v>
      </c>
      <c r="AD71" s="81" t="s">
        <v>6</v>
      </c>
      <c r="AE71" s="29"/>
      <c r="AF71" s="29"/>
      <c r="AG71" s="29">
        <v>4</v>
      </c>
      <c r="AH71" s="29"/>
      <c r="AI71" s="29"/>
      <c r="AJ71" s="29"/>
      <c r="AK71" s="29"/>
      <c r="AL71" s="29"/>
      <c r="AM71" s="29">
        <v>3</v>
      </c>
      <c r="AN71" s="29"/>
      <c r="AO71" s="29"/>
      <c r="AP71" s="29"/>
      <c r="AQ71" s="29">
        <v>1</v>
      </c>
      <c r="AR71" s="29">
        <v>1</v>
      </c>
      <c r="AS71" s="29"/>
      <c r="AT71" s="29"/>
      <c r="AU71" s="29"/>
      <c r="AV71" s="29"/>
      <c r="AW71" s="30">
        <f t="shared" si="21"/>
        <v>1</v>
      </c>
      <c r="AX71" s="30">
        <f t="shared" si="22"/>
        <v>1</v>
      </c>
      <c r="AY71" s="30">
        <f t="shared" si="23"/>
        <v>7</v>
      </c>
      <c r="BA71" s="32" t="s">
        <v>45</v>
      </c>
      <c r="BB71" s="94" t="s">
        <v>146</v>
      </c>
      <c r="BC71" s="172" t="s">
        <v>244</v>
      </c>
      <c r="BD71" s="81" t="s">
        <v>8</v>
      </c>
      <c r="BE71" s="4"/>
      <c r="BF71" s="4"/>
      <c r="BG71" s="4"/>
      <c r="BH71" s="4"/>
      <c r="BI71" s="5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30">
        <f t="shared" si="24"/>
        <v>0</v>
      </c>
      <c r="BX71" s="30">
        <f t="shared" si="25"/>
        <v>0</v>
      </c>
      <c r="BY71" s="30">
        <f t="shared" si="26"/>
        <v>0</v>
      </c>
    </row>
    <row r="72" spans="1:77" ht="15.5" x14ac:dyDescent="0.35">
      <c r="A72" s="32" t="s">
        <v>44</v>
      </c>
      <c r="B72" s="80" t="s">
        <v>866</v>
      </c>
      <c r="C72" s="172" t="s">
        <v>244</v>
      </c>
      <c r="D72" s="81" t="s">
        <v>6</v>
      </c>
      <c r="E72" s="4"/>
      <c r="F72" s="4"/>
      <c r="G72" s="4"/>
      <c r="H72" s="4"/>
      <c r="I72" s="5">
        <v>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30">
        <f t="shared" si="18"/>
        <v>0</v>
      </c>
      <c r="X72" s="30">
        <f t="shared" si="19"/>
        <v>1</v>
      </c>
      <c r="Y72" s="30">
        <f t="shared" si="20"/>
        <v>0</v>
      </c>
      <c r="AA72" s="1">
        <v>7</v>
      </c>
      <c r="AB72" s="80" t="s">
        <v>12</v>
      </c>
      <c r="AC72" s="172" t="s">
        <v>241</v>
      </c>
      <c r="AD72" s="81" t="s">
        <v>6</v>
      </c>
      <c r="AE72" s="29"/>
      <c r="AF72" s="29"/>
      <c r="AG72" s="29">
        <v>4</v>
      </c>
      <c r="AH72" s="29"/>
      <c r="AI72" s="29"/>
      <c r="AJ72" s="29"/>
      <c r="AK72" s="29"/>
      <c r="AL72" s="29"/>
      <c r="AM72" s="29">
        <v>4</v>
      </c>
      <c r="AN72" s="29"/>
      <c r="AO72" s="29"/>
      <c r="AP72" s="29">
        <v>5</v>
      </c>
      <c r="AQ72" s="29"/>
      <c r="AR72" s="29">
        <v>1</v>
      </c>
      <c r="AS72" s="29">
        <v>1</v>
      </c>
      <c r="AT72" s="29"/>
      <c r="AU72" s="29"/>
      <c r="AV72" s="29"/>
      <c r="AW72" s="30">
        <f t="shared" si="21"/>
        <v>0</v>
      </c>
      <c r="AX72" s="30">
        <f t="shared" si="22"/>
        <v>1</v>
      </c>
      <c r="AY72" s="30">
        <f t="shared" si="23"/>
        <v>14</v>
      </c>
      <c r="BA72" s="32" t="s">
        <v>46</v>
      </c>
      <c r="BB72" s="94" t="s">
        <v>147</v>
      </c>
      <c r="BC72" s="172" t="s">
        <v>244</v>
      </c>
      <c r="BD72" s="81" t="s">
        <v>8</v>
      </c>
      <c r="BE72" s="4">
        <v>1</v>
      </c>
      <c r="BF72" s="4"/>
      <c r="BG72" s="4"/>
      <c r="BH72" s="4"/>
      <c r="BI72" s="5"/>
      <c r="BJ72" s="4"/>
      <c r="BK72" s="4"/>
      <c r="BL72" s="4">
        <v>5</v>
      </c>
      <c r="BM72" s="4"/>
      <c r="BN72" s="4"/>
      <c r="BO72" s="4"/>
      <c r="BP72" s="4"/>
      <c r="BQ72" s="4">
        <v>1</v>
      </c>
      <c r="BR72" s="4"/>
      <c r="BS72" s="4"/>
      <c r="BT72" s="4"/>
      <c r="BU72" s="4">
        <v>3</v>
      </c>
      <c r="BV72" s="4"/>
      <c r="BW72" s="30">
        <f t="shared" si="24"/>
        <v>2</v>
      </c>
      <c r="BX72" s="30">
        <f t="shared" si="25"/>
        <v>8</v>
      </c>
      <c r="BY72" s="30">
        <f t="shared" si="26"/>
        <v>0</v>
      </c>
    </row>
    <row r="73" spans="1:77" ht="15.5" x14ac:dyDescent="0.35">
      <c r="A73" s="32" t="s">
        <v>45</v>
      </c>
      <c r="B73" s="94" t="s">
        <v>146</v>
      </c>
      <c r="C73" s="172" t="s">
        <v>244</v>
      </c>
      <c r="D73" s="81" t="s">
        <v>8</v>
      </c>
      <c r="E73" s="4"/>
      <c r="F73" s="4"/>
      <c r="G73" s="4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30">
        <f t="shared" si="18"/>
        <v>0</v>
      </c>
      <c r="X73" s="30">
        <f t="shared" si="19"/>
        <v>0</v>
      </c>
      <c r="Y73" s="30">
        <f t="shared" si="20"/>
        <v>0</v>
      </c>
      <c r="AA73" s="1">
        <v>11</v>
      </c>
      <c r="AB73" s="80" t="s">
        <v>857</v>
      </c>
      <c r="AC73" s="172" t="s">
        <v>1074</v>
      </c>
      <c r="AD73" s="89" t="s">
        <v>6</v>
      </c>
      <c r="AE73" s="4"/>
      <c r="AF73" s="4"/>
      <c r="AG73" s="4"/>
      <c r="AH73" s="5"/>
      <c r="AI73" s="5"/>
      <c r="AJ73" s="4"/>
      <c r="AK73" s="4"/>
      <c r="AL73" s="4"/>
      <c r="AM73" s="4"/>
      <c r="AN73" s="13"/>
      <c r="AO73" s="13"/>
      <c r="AP73" s="13"/>
      <c r="AQ73" s="4"/>
      <c r="AR73" s="4"/>
      <c r="AS73" s="4"/>
      <c r="AT73" s="4"/>
      <c r="AU73" s="4">
        <v>1</v>
      </c>
      <c r="AV73" s="4"/>
      <c r="AW73" s="30">
        <f t="shared" si="21"/>
        <v>0</v>
      </c>
      <c r="AX73" s="30">
        <f t="shared" si="22"/>
        <v>1</v>
      </c>
      <c r="AY73" s="30">
        <f t="shared" si="23"/>
        <v>0</v>
      </c>
      <c r="BA73" s="32" t="s">
        <v>48</v>
      </c>
      <c r="BB73" s="94" t="s">
        <v>148</v>
      </c>
      <c r="BC73" s="172" t="s">
        <v>244</v>
      </c>
      <c r="BD73" s="81" t="s">
        <v>6</v>
      </c>
      <c r="BE73" s="9"/>
      <c r="BF73" s="9"/>
      <c r="BG73" s="9"/>
      <c r="BH73" s="9"/>
      <c r="BI73" s="9"/>
      <c r="BJ73" s="9"/>
      <c r="BK73" s="9"/>
      <c r="BL73" s="9">
        <v>2</v>
      </c>
      <c r="BM73" s="9"/>
      <c r="BN73" s="9"/>
      <c r="BO73" s="9"/>
      <c r="BP73" s="9"/>
      <c r="BQ73" s="9"/>
      <c r="BR73" s="9">
        <v>2</v>
      </c>
      <c r="BS73" s="9"/>
      <c r="BT73" s="9"/>
      <c r="BU73" s="9"/>
      <c r="BV73" s="9"/>
      <c r="BW73" s="30">
        <f t="shared" si="24"/>
        <v>0</v>
      </c>
      <c r="BX73" s="30">
        <f t="shared" si="25"/>
        <v>4</v>
      </c>
      <c r="BY73" s="30">
        <f t="shared" si="26"/>
        <v>0</v>
      </c>
    </row>
    <row r="74" spans="1:77" ht="15.5" x14ac:dyDescent="0.35">
      <c r="A74" s="32" t="s">
        <v>47</v>
      </c>
      <c r="B74" s="94" t="s">
        <v>867</v>
      </c>
      <c r="C74" s="172" t="s">
        <v>244</v>
      </c>
      <c r="D74" s="81" t="s">
        <v>6</v>
      </c>
      <c r="E74" s="4"/>
      <c r="F74" s="4">
        <v>1</v>
      </c>
      <c r="G74" s="4"/>
      <c r="H74" s="5"/>
      <c r="I74" s="5"/>
      <c r="J74" s="4"/>
      <c r="K74" s="4"/>
      <c r="L74" s="4"/>
      <c r="M74" s="4"/>
      <c r="N74" s="4"/>
      <c r="O74" s="4"/>
      <c r="P74" s="4"/>
      <c r="Q74" s="4"/>
      <c r="R74" s="4">
        <v>1</v>
      </c>
      <c r="S74" s="4">
        <v>1</v>
      </c>
      <c r="T74" s="4"/>
      <c r="U74" s="4"/>
      <c r="V74" s="4"/>
      <c r="W74" s="30">
        <f t="shared" si="18"/>
        <v>0</v>
      </c>
      <c r="X74" s="30">
        <f t="shared" si="19"/>
        <v>2</v>
      </c>
      <c r="Y74" s="30">
        <f t="shared" si="20"/>
        <v>1</v>
      </c>
      <c r="AA74" s="1">
        <v>13</v>
      </c>
      <c r="AB74" s="80" t="s">
        <v>63</v>
      </c>
      <c r="AC74" s="172" t="s">
        <v>1074</v>
      </c>
      <c r="AD74" s="89" t="s">
        <v>6</v>
      </c>
      <c r="AE74" s="4"/>
      <c r="AF74" s="4"/>
      <c r="AG74" s="4">
        <v>3</v>
      </c>
      <c r="AH74" s="5"/>
      <c r="AI74" s="5"/>
      <c r="AJ74" s="5"/>
      <c r="AK74" s="4"/>
      <c r="AL74" s="4"/>
      <c r="AM74" s="4"/>
      <c r="AN74" s="13"/>
      <c r="AO74" s="13"/>
      <c r="AP74" s="13"/>
      <c r="AQ74" s="4"/>
      <c r="AR74" s="4">
        <v>1</v>
      </c>
      <c r="AS74" s="4">
        <v>2</v>
      </c>
      <c r="AT74" s="4"/>
      <c r="AU74" s="4"/>
      <c r="AV74" s="4"/>
      <c r="AW74" s="30">
        <f t="shared" si="21"/>
        <v>0</v>
      </c>
      <c r="AX74" s="30">
        <f t="shared" si="22"/>
        <v>1</v>
      </c>
      <c r="AY74" s="30">
        <f t="shared" si="23"/>
        <v>5</v>
      </c>
      <c r="BA74" s="32" t="s">
        <v>49</v>
      </c>
      <c r="BB74" s="94" t="s">
        <v>149</v>
      </c>
      <c r="BC74" s="172" t="s">
        <v>244</v>
      </c>
      <c r="BD74" s="85" t="s">
        <v>8</v>
      </c>
      <c r="BE74" s="4"/>
      <c r="BF74" s="4"/>
      <c r="BG74" s="4"/>
      <c r="BH74" s="4"/>
      <c r="BI74" s="5">
        <v>1</v>
      </c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30">
        <f t="shared" si="24"/>
        <v>0</v>
      </c>
      <c r="BX74" s="30">
        <f t="shared" si="25"/>
        <v>1</v>
      </c>
      <c r="BY74" s="30">
        <f t="shared" si="26"/>
        <v>0</v>
      </c>
    </row>
    <row r="75" spans="1:77" ht="15.5" x14ac:dyDescent="0.35">
      <c r="A75" s="32" t="s">
        <v>48</v>
      </c>
      <c r="B75" s="94" t="s">
        <v>148</v>
      </c>
      <c r="C75" s="172" t="s">
        <v>244</v>
      </c>
      <c r="D75" s="81" t="s">
        <v>6</v>
      </c>
      <c r="E75" s="9"/>
      <c r="F75" s="9"/>
      <c r="G75" s="9"/>
      <c r="H75" s="9"/>
      <c r="I75" s="9"/>
      <c r="J75" s="9"/>
      <c r="K75" s="9"/>
      <c r="L75" s="9">
        <v>2</v>
      </c>
      <c r="M75" s="9"/>
      <c r="N75" s="9"/>
      <c r="O75" s="9"/>
      <c r="P75" s="9"/>
      <c r="Q75" s="9"/>
      <c r="R75" s="9">
        <v>2</v>
      </c>
      <c r="S75" s="9"/>
      <c r="T75" s="9"/>
      <c r="U75" s="9"/>
      <c r="V75" s="9"/>
      <c r="W75" s="30">
        <f t="shared" si="18"/>
        <v>0</v>
      </c>
      <c r="X75" s="30">
        <f t="shared" si="19"/>
        <v>4</v>
      </c>
      <c r="Y75" s="30">
        <f t="shared" si="20"/>
        <v>0</v>
      </c>
      <c r="AA75" s="1">
        <v>14</v>
      </c>
      <c r="AB75" s="80" t="s">
        <v>64</v>
      </c>
      <c r="AC75" s="172" t="s">
        <v>1074</v>
      </c>
      <c r="AD75" s="89" t="s">
        <v>6</v>
      </c>
      <c r="AE75" s="4"/>
      <c r="AF75" s="4"/>
      <c r="AG75" s="5"/>
      <c r="AH75" s="4"/>
      <c r="AI75" s="5"/>
      <c r="AJ75" s="5"/>
      <c r="AK75" s="4"/>
      <c r="AL75" s="4"/>
      <c r="AM75" s="4"/>
      <c r="AN75" s="13">
        <v>1</v>
      </c>
      <c r="AO75" s="13"/>
      <c r="AP75" s="13"/>
      <c r="AQ75" s="4"/>
      <c r="AR75" s="4">
        <v>1</v>
      </c>
      <c r="AS75" s="4"/>
      <c r="AT75" s="4"/>
      <c r="AU75" s="4"/>
      <c r="AV75" s="4"/>
      <c r="AW75" s="30">
        <f t="shared" si="21"/>
        <v>1</v>
      </c>
      <c r="AX75" s="30">
        <f t="shared" si="22"/>
        <v>1</v>
      </c>
      <c r="AY75" s="30">
        <f t="shared" si="23"/>
        <v>0</v>
      </c>
      <c r="BA75" s="32" t="s">
        <v>50</v>
      </c>
      <c r="BB75" s="94" t="s">
        <v>150</v>
      </c>
      <c r="BC75" s="172" t="s">
        <v>244</v>
      </c>
      <c r="BD75" s="85" t="s">
        <v>6</v>
      </c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30">
        <f t="shared" si="24"/>
        <v>0</v>
      </c>
      <c r="BX75" s="30">
        <f t="shared" si="25"/>
        <v>0</v>
      </c>
      <c r="BY75" s="30">
        <f t="shared" si="26"/>
        <v>0</v>
      </c>
    </row>
    <row r="76" spans="1:77" ht="15.5" x14ac:dyDescent="0.35">
      <c r="A76" s="32" t="s">
        <v>49</v>
      </c>
      <c r="B76" s="94" t="s">
        <v>149</v>
      </c>
      <c r="C76" s="172" t="s">
        <v>244</v>
      </c>
      <c r="D76" s="85" t="s">
        <v>8</v>
      </c>
      <c r="E76" s="4"/>
      <c r="F76" s="4"/>
      <c r="G76" s="4"/>
      <c r="H76" s="4"/>
      <c r="I76" s="5">
        <v>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30">
        <f t="shared" si="18"/>
        <v>0</v>
      </c>
      <c r="X76" s="30">
        <f t="shared" si="19"/>
        <v>1</v>
      </c>
      <c r="Y76" s="30">
        <f t="shared" si="20"/>
        <v>0</v>
      </c>
      <c r="AA76" s="1">
        <v>18</v>
      </c>
      <c r="AB76" s="90" t="s">
        <v>68</v>
      </c>
      <c r="AC76" s="172" t="s">
        <v>1074</v>
      </c>
      <c r="AD76" s="89" t="s">
        <v>6</v>
      </c>
      <c r="AE76" s="4">
        <v>1</v>
      </c>
      <c r="AF76" s="4"/>
      <c r="AG76" s="4">
        <v>2</v>
      </c>
      <c r="AH76" s="4"/>
      <c r="AI76" s="5"/>
      <c r="AJ76" s="5">
        <v>2</v>
      </c>
      <c r="AK76" s="12"/>
      <c r="AL76" s="4"/>
      <c r="AM76" s="4"/>
      <c r="AN76" s="13"/>
      <c r="AO76" s="13"/>
      <c r="AP76" s="13"/>
      <c r="AQ76" s="4">
        <v>1</v>
      </c>
      <c r="AR76" s="4">
        <v>1</v>
      </c>
      <c r="AS76" s="4">
        <v>1</v>
      </c>
      <c r="AT76" s="4"/>
      <c r="AU76" s="4"/>
      <c r="AV76" s="4">
        <v>2</v>
      </c>
      <c r="AW76" s="30">
        <f t="shared" si="21"/>
        <v>2</v>
      </c>
      <c r="AX76" s="30">
        <f t="shared" si="22"/>
        <v>1</v>
      </c>
      <c r="AY76" s="30">
        <f t="shared" si="23"/>
        <v>7</v>
      </c>
      <c r="BA76" s="32" t="s">
        <v>51</v>
      </c>
      <c r="BB76" s="53" t="s">
        <v>151</v>
      </c>
      <c r="BC76" s="172" t="s">
        <v>244</v>
      </c>
      <c r="BD76" s="81" t="s">
        <v>8</v>
      </c>
      <c r="BE76" s="4"/>
      <c r="BF76" s="4"/>
      <c r="BG76" s="4"/>
      <c r="BH76" s="4"/>
      <c r="BI76" s="5"/>
      <c r="BJ76" s="5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30">
        <f t="shared" si="24"/>
        <v>0</v>
      </c>
      <c r="BX76" s="30">
        <f t="shared" si="25"/>
        <v>0</v>
      </c>
      <c r="BY76" s="30">
        <f t="shared" si="26"/>
        <v>0</v>
      </c>
    </row>
    <row r="77" spans="1:77" ht="15.5" x14ac:dyDescent="0.35">
      <c r="A77" s="32" t="s">
        <v>50</v>
      </c>
      <c r="B77" s="94" t="s">
        <v>150</v>
      </c>
      <c r="C77" s="172" t="s">
        <v>244</v>
      </c>
      <c r="D77" s="85" t="s">
        <v>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30">
        <f t="shared" si="18"/>
        <v>0</v>
      </c>
      <c r="X77" s="30">
        <f t="shared" si="19"/>
        <v>0</v>
      </c>
      <c r="Y77" s="30">
        <f t="shared" si="20"/>
        <v>0</v>
      </c>
      <c r="AA77" s="1">
        <v>19</v>
      </c>
      <c r="AB77" s="80" t="s">
        <v>69</v>
      </c>
      <c r="AC77" s="172" t="s">
        <v>1074</v>
      </c>
      <c r="AD77" s="89" t="s">
        <v>6</v>
      </c>
      <c r="AE77" s="4"/>
      <c r="AF77" s="4"/>
      <c r="AG77" s="4"/>
      <c r="AH77" s="4"/>
      <c r="AI77" s="5"/>
      <c r="AJ77" s="5"/>
      <c r="AK77" s="4"/>
      <c r="AL77" s="4"/>
      <c r="AM77" s="4"/>
      <c r="AN77" s="13"/>
      <c r="AO77" s="13"/>
      <c r="AP77" s="13"/>
      <c r="AQ77" s="4"/>
      <c r="AR77" s="4">
        <v>1</v>
      </c>
      <c r="AS77" s="4"/>
      <c r="AT77" s="4"/>
      <c r="AU77" s="4"/>
      <c r="AV77" s="4"/>
      <c r="AW77" s="30">
        <f t="shared" si="21"/>
        <v>0</v>
      </c>
      <c r="AX77" s="30">
        <f t="shared" si="22"/>
        <v>1</v>
      </c>
      <c r="AY77" s="30">
        <f t="shared" si="23"/>
        <v>0</v>
      </c>
      <c r="BA77" s="32" t="s">
        <v>122</v>
      </c>
      <c r="BB77" s="99" t="s">
        <v>152</v>
      </c>
      <c r="BC77" s="172" t="s">
        <v>244</v>
      </c>
      <c r="BD77" s="85" t="s">
        <v>6</v>
      </c>
      <c r="BE77" s="4"/>
      <c r="BF77" s="4"/>
      <c r="BG77" s="4"/>
      <c r="BH77" s="4">
        <v>1</v>
      </c>
      <c r="BI77" s="4"/>
      <c r="BJ77" s="4"/>
      <c r="BK77" s="4"/>
      <c r="BL77" s="4"/>
      <c r="BM77" s="4"/>
      <c r="BN77" s="4"/>
      <c r="BO77" s="4"/>
      <c r="BP77" s="4"/>
      <c r="BQ77" s="4">
        <v>1</v>
      </c>
      <c r="BR77" s="4">
        <v>1</v>
      </c>
      <c r="BS77" s="4"/>
      <c r="BT77" s="4"/>
      <c r="BU77" s="4"/>
      <c r="BV77" s="4"/>
      <c r="BW77" s="30">
        <f t="shared" si="24"/>
        <v>2</v>
      </c>
      <c r="BX77" s="30">
        <f t="shared" si="25"/>
        <v>1</v>
      </c>
      <c r="BY77" s="30">
        <f t="shared" si="26"/>
        <v>0</v>
      </c>
    </row>
    <row r="78" spans="1:77" ht="15.5" x14ac:dyDescent="0.35">
      <c r="A78" s="32" t="s">
        <v>51</v>
      </c>
      <c r="B78" s="53" t="s">
        <v>151</v>
      </c>
      <c r="C78" s="172" t="s">
        <v>244</v>
      </c>
      <c r="D78" s="81" t="s">
        <v>8</v>
      </c>
      <c r="E78" s="4"/>
      <c r="F78" s="4"/>
      <c r="G78" s="4"/>
      <c r="H78" s="4"/>
      <c r="I78" s="5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30">
        <f t="shared" si="18"/>
        <v>0</v>
      </c>
      <c r="X78" s="30">
        <f t="shared" si="19"/>
        <v>0</v>
      </c>
      <c r="Y78" s="30">
        <f t="shared" si="20"/>
        <v>0</v>
      </c>
      <c r="AA78" s="1">
        <v>6</v>
      </c>
      <c r="AB78" s="80" t="s">
        <v>75</v>
      </c>
      <c r="AC78" s="172" t="s">
        <v>1075</v>
      </c>
      <c r="AD78" s="81" t="s">
        <v>6</v>
      </c>
      <c r="AE78" s="4"/>
      <c r="AF78" s="4"/>
      <c r="AG78" s="4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>
        <v>1</v>
      </c>
      <c r="AS78" s="13"/>
      <c r="AT78" s="4"/>
      <c r="AU78" s="4"/>
      <c r="AV78" s="4">
        <v>2</v>
      </c>
      <c r="AW78" s="30">
        <f t="shared" si="21"/>
        <v>0</v>
      </c>
      <c r="AX78" s="30">
        <f t="shared" si="22"/>
        <v>1</v>
      </c>
      <c r="AY78" s="30">
        <f t="shared" si="23"/>
        <v>2</v>
      </c>
      <c r="BA78" s="32" t="s">
        <v>123</v>
      </c>
      <c r="BB78" s="99" t="s">
        <v>153</v>
      </c>
      <c r="BC78" s="172" t="s">
        <v>244</v>
      </c>
      <c r="BD78" s="85" t="s">
        <v>8</v>
      </c>
      <c r="BE78" s="3"/>
      <c r="BF78" s="3"/>
      <c r="BG78" s="3"/>
      <c r="BH78" s="4"/>
      <c r="BI78" s="5"/>
      <c r="BJ78" s="4"/>
      <c r="BK78" s="4"/>
      <c r="BL78" s="4"/>
      <c r="BM78" s="4"/>
      <c r="BN78" s="4"/>
      <c r="BO78" s="4"/>
      <c r="BP78" s="4"/>
      <c r="BQ78" s="4"/>
      <c r="BR78" s="4">
        <v>1</v>
      </c>
      <c r="BS78" s="4"/>
      <c r="BT78" s="4"/>
      <c r="BU78" s="4">
        <v>1</v>
      </c>
      <c r="BV78" s="4"/>
      <c r="BW78" s="30">
        <f t="shared" si="24"/>
        <v>0</v>
      </c>
      <c r="BX78" s="30">
        <f t="shared" si="25"/>
        <v>2</v>
      </c>
      <c r="BY78" s="30">
        <f t="shared" si="26"/>
        <v>0</v>
      </c>
    </row>
    <row r="79" spans="1:77" ht="15.5" x14ac:dyDescent="0.35">
      <c r="A79" s="32" t="s">
        <v>123</v>
      </c>
      <c r="B79" s="99" t="s">
        <v>153</v>
      </c>
      <c r="C79" s="172" t="s">
        <v>244</v>
      </c>
      <c r="D79" s="85" t="s">
        <v>8</v>
      </c>
      <c r="E79" s="3"/>
      <c r="F79" s="3"/>
      <c r="G79" s="3"/>
      <c r="H79" s="4"/>
      <c r="I79" s="5"/>
      <c r="J79" s="4"/>
      <c r="K79" s="4"/>
      <c r="L79" s="4"/>
      <c r="M79" s="4"/>
      <c r="N79" s="4"/>
      <c r="O79" s="4"/>
      <c r="P79" s="4"/>
      <c r="Q79" s="4"/>
      <c r="R79" s="4">
        <v>1</v>
      </c>
      <c r="S79" s="4"/>
      <c r="T79" s="4"/>
      <c r="U79" s="4">
        <v>1</v>
      </c>
      <c r="V79" s="4"/>
      <c r="W79" s="30">
        <f t="shared" si="18"/>
        <v>0</v>
      </c>
      <c r="X79" s="30">
        <f t="shared" si="19"/>
        <v>2</v>
      </c>
      <c r="Y79" s="30">
        <f t="shared" si="20"/>
        <v>0</v>
      </c>
      <c r="AA79" s="1">
        <v>8</v>
      </c>
      <c r="AB79" s="80" t="s">
        <v>77</v>
      </c>
      <c r="AC79" s="172" t="s">
        <v>1075</v>
      </c>
      <c r="AD79" s="81" t="s">
        <v>6</v>
      </c>
      <c r="AE79" s="4"/>
      <c r="AF79" s="4"/>
      <c r="AG79" s="5">
        <v>1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4"/>
      <c r="AU79" s="4">
        <v>1</v>
      </c>
      <c r="AV79" s="4">
        <v>3</v>
      </c>
      <c r="AW79" s="30">
        <f t="shared" si="21"/>
        <v>0</v>
      </c>
      <c r="AX79" s="30">
        <f t="shared" si="22"/>
        <v>1</v>
      </c>
      <c r="AY79" s="30">
        <f t="shared" si="23"/>
        <v>4</v>
      </c>
      <c r="BA79" s="32" t="s">
        <v>124</v>
      </c>
      <c r="BB79" s="99" t="s">
        <v>868</v>
      </c>
      <c r="BC79" s="172" t="s">
        <v>244</v>
      </c>
      <c r="BD79" s="85" t="s">
        <v>6</v>
      </c>
      <c r="BE79" s="3"/>
      <c r="BF79" s="3"/>
      <c r="BG79" s="3"/>
      <c r="BH79" s="5"/>
      <c r="BI79" s="5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30">
        <f t="shared" si="24"/>
        <v>0</v>
      </c>
      <c r="BX79" s="30">
        <f t="shared" si="25"/>
        <v>0</v>
      </c>
      <c r="BY79" s="30">
        <f t="shared" si="26"/>
        <v>0</v>
      </c>
    </row>
    <row r="80" spans="1:77" ht="15.5" x14ac:dyDescent="0.35">
      <c r="A80" s="32" t="s">
        <v>124</v>
      </c>
      <c r="B80" s="99" t="s">
        <v>868</v>
      </c>
      <c r="C80" s="172" t="s">
        <v>244</v>
      </c>
      <c r="D80" s="85" t="s">
        <v>6</v>
      </c>
      <c r="E80" s="3"/>
      <c r="F80" s="3"/>
      <c r="G80" s="3"/>
      <c r="H80" s="5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30">
        <f t="shared" si="18"/>
        <v>0</v>
      </c>
      <c r="X80" s="30">
        <f t="shared" si="19"/>
        <v>0</v>
      </c>
      <c r="Y80" s="30">
        <f t="shared" si="20"/>
        <v>0</v>
      </c>
      <c r="AA80" s="1">
        <v>12</v>
      </c>
      <c r="AB80" s="80" t="s">
        <v>81</v>
      </c>
      <c r="AC80" s="172" t="s">
        <v>1075</v>
      </c>
      <c r="AD80" s="81" t="s">
        <v>6</v>
      </c>
      <c r="AE80" s="4"/>
      <c r="AF80" s="4"/>
      <c r="AG80" s="5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>
        <v>1</v>
      </c>
      <c r="AS80" s="13"/>
      <c r="AT80" s="4"/>
      <c r="AU80" s="4"/>
      <c r="AV80" s="4"/>
      <c r="AW80" s="30">
        <f t="shared" si="21"/>
        <v>0</v>
      </c>
      <c r="AX80" s="30">
        <f t="shared" si="22"/>
        <v>1</v>
      </c>
      <c r="AY80" s="30">
        <f t="shared" si="23"/>
        <v>0</v>
      </c>
      <c r="BA80" s="32" t="s">
        <v>125</v>
      </c>
      <c r="BB80" s="100" t="s">
        <v>154</v>
      </c>
      <c r="BC80" s="172" t="s">
        <v>244</v>
      </c>
      <c r="BD80" s="176" t="s">
        <v>8</v>
      </c>
      <c r="BE80" s="3"/>
      <c r="BF80" s="3"/>
      <c r="BG80" s="3"/>
      <c r="BH80" s="4"/>
      <c r="BI80" s="5"/>
      <c r="BJ80" s="4"/>
      <c r="BK80" s="4"/>
      <c r="BL80" s="4"/>
      <c r="BM80" s="4"/>
      <c r="BN80" s="4"/>
      <c r="BO80" s="4"/>
      <c r="BP80" s="4"/>
      <c r="BQ80" s="4"/>
      <c r="BR80" s="4">
        <v>1</v>
      </c>
      <c r="BS80" s="4"/>
      <c r="BT80" s="4"/>
      <c r="BU80" s="4"/>
      <c r="BV80" s="4"/>
      <c r="BW80" s="30">
        <f t="shared" si="24"/>
        <v>0</v>
      </c>
      <c r="BX80" s="30">
        <f t="shared" si="25"/>
        <v>1</v>
      </c>
      <c r="BY80" s="30">
        <f t="shared" si="26"/>
        <v>0</v>
      </c>
    </row>
    <row r="81" spans="1:77" ht="15.5" x14ac:dyDescent="0.35">
      <c r="A81" s="32" t="s">
        <v>125</v>
      </c>
      <c r="B81" s="100" t="s">
        <v>154</v>
      </c>
      <c r="C81" s="172" t="s">
        <v>244</v>
      </c>
      <c r="D81" s="176" t="s">
        <v>8</v>
      </c>
      <c r="E81" s="3"/>
      <c r="F81" s="3"/>
      <c r="G81" s="3"/>
      <c r="H81" s="4"/>
      <c r="I81" s="5"/>
      <c r="J81" s="4"/>
      <c r="K81" s="4"/>
      <c r="L81" s="4"/>
      <c r="M81" s="4"/>
      <c r="N81" s="4"/>
      <c r="O81" s="4"/>
      <c r="P81" s="4"/>
      <c r="Q81" s="4"/>
      <c r="R81" s="4">
        <v>1</v>
      </c>
      <c r="S81" s="4"/>
      <c r="T81" s="4"/>
      <c r="U81" s="4"/>
      <c r="V81" s="4"/>
      <c r="W81" s="30">
        <f t="shared" si="18"/>
        <v>0</v>
      </c>
      <c r="X81" s="30">
        <f t="shared" si="19"/>
        <v>1</v>
      </c>
      <c r="Y81" s="30">
        <f t="shared" si="20"/>
        <v>0</v>
      </c>
      <c r="AA81" s="1">
        <v>15</v>
      </c>
      <c r="AB81" s="80" t="s">
        <v>84</v>
      </c>
      <c r="AC81" s="172" t="s">
        <v>1075</v>
      </c>
      <c r="AD81" s="81" t="s">
        <v>6</v>
      </c>
      <c r="AE81" s="9"/>
      <c r="AF81" s="9"/>
      <c r="AG81" s="9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>
        <v>1</v>
      </c>
      <c r="AS81" s="15"/>
      <c r="AT81" s="9"/>
      <c r="AU81" s="9"/>
      <c r="AV81" s="9"/>
      <c r="AW81" s="30">
        <f t="shared" si="21"/>
        <v>0</v>
      </c>
      <c r="AX81" s="30">
        <f t="shared" si="22"/>
        <v>1</v>
      </c>
      <c r="AY81" s="30">
        <f t="shared" si="23"/>
        <v>0</v>
      </c>
      <c r="BA81" s="1">
        <v>1</v>
      </c>
      <c r="BB81" s="80" t="s">
        <v>155</v>
      </c>
      <c r="BC81" s="172" t="s">
        <v>245</v>
      </c>
      <c r="BD81" s="81" t="s">
        <v>6</v>
      </c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30">
        <f t="shared" si="24"/>
        <v>0</v>
      </c>
      <c r="BX81" s="30">
        <f t="shared" si="25"/>
        <v>0</v>
      </c>
      <c r="BY81" s="30">
        <f t="shared" si="26"/>
        <v>0</v>
      </c>
    </row>
    <row r="82" spans="1:77" ht="15.5" x14ac:dyDescent="0.35">
      <c r="A82" s="1">
        <v>1</v>
      </c>
      <c r="B82" s="80" t="s">
        <v>155</v>
      </c>
      <c r="C82" s="172" t="s">
        <v>245</v>
      </c>
      <c r="D82" s="81" t="s">
        <v>6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30">
        <f t="shared" si="18"/>
        <v>0</v>
      </c>
      <c r="X82" s="30">
        <f t="shared" si="19"/>
        <v>0</v>
      </c>
      <c r="Y82" s="30">
        <f t="shared" si="20"/>
        <v>0</v>
      </c>
      <c r="AA82" s="1">
        <v>17</v>
      </c>
      <c r="AB82" s="80" t="s">
        <v>86</v>
      </c>
      <c r="AC82" s="172" t="s">
        <v>1075</v>
      </c>
      <c r="AD82" s="81" t="s">
        <v>6</v>
      </c>
      <c r="AE82" s="4"/>
      <c r="AF82" s="5"/>
      <c r="AG82" s="5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>
        <v>1</v>
      </c>
      <c r="AS82" s="13"/>
      <c r="AT82" s="4"/>
      <c r="AU82" s="4"/>
      <c r="AV82" s="4"/>
      <c r="AW82" s="30">
        <f t="shared" si="21"/>
        <v>0</v>
      </c>
      <c r="AX82" s="30">
        <f t="shared" si="22"/>
        <v>1</v>
      </c>
      <c r="AY82" s="30">
        <f t="shared" si="23"/>
        <v>0</v>
      </c>
      <c r="BA82" s="1">
        <v>2</v>
      </c>
      <c r="BB82" s="80" t="s">
        <v>869</v>
      </c>
      <c r="BC82" s="172" t="s">
        <v>245</v>
      </c>
      <c r="BD82" s="81" t="s">
        <v>8</v>
      </c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30">
        <f t="shared" si="24"/>
        <v>0</v>
      </c>
      <c r="BX82" s="30">
        <f t="shared" si="25"/>
        <v>0</v>
      </c>
      <c r="BY82" s="30">
        <f t="shared" si="26"/>
        <v>0</v>
      </c>
    </row>
    <row r="83" spans="1:77" ht="15.5" x14ac:dyDescent="0.35">
      <c r="A83" s="1">
        <v>2</v>
      </c>
      <c r="B83" s="80" t="s">
        <v>869</v>
      </c>
      <c r="C83" s="172" t="s">
        <v>245</v>
      </c>
      <c r="D83" s="81" t="s">
        <v>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30">
        <f t="shared" si="18"/>
        <v>0</v>
      </c>
      <c r="X83" s="30">
        <f t="shared" si="19"/>
        <v>0</v>
      </c>
      <c r="Y83" s="30">
        <f t="shared" si="20"/>
        <v>0</v>
      </c>
      <c r="AA83" s="2" t="s">
        <v>29</v>
      </c>
      <c r="AB83" s="80" t="s">
        <v>97</v>
      </c>
      <c r="AC83" s="172" t="s">
        <v>243</v>
      </c>
      <c r="AD83" s="81" t="s">
        <v>8</v>
      </c>
      <c r="AE83" s="4"/>
      <c r="AF83" s="4"/>
      <c r="AG83" s="5"/>
      <c r="AH83" s="4"/>
      <c r="AI83" s="5"/>
      <c r="AJ83" s="5"/>
      <c r="AK83" s="4"/>
      <c r="AL83" s="4"/>
      <c r="AM83" s="4"/>
      <c r="AN83" s="4">
        <v>1</v>
      </c>
      <c r="AO83" s="4">
        <v>1</v>
      </c>
      <c r="AP83" s="4"/>
      <c r="AQ83" s="4"/>
      <c r="AR83" s="4"/>
      <c r="AS83" s="4"/>
      <c r="AT83" s="4"/>
      <c r="AU83" s="4"/>
      <c r="AV83" s="4"/>
      <c r="AW83" s="30">
        <f t="shared" si="21"/>
        <v>1</v>
      </c>
      <c r="AX83" s="30">
        <f t="shared" si="22"/>
        <v>1</v>
      </c>
      <c r="AY83" s="30">
        <f t="shared" si="23"/>
        <v>0</v>
      </c>
      <c r="BA83" s="1">
        <v>3</v>
      </c>
      <c r="BB83" s="80" t="s">
        <v>156</v>
      </c>
      <c r="BC83" s="172" t="s">
        <v>245</v>
      </c>
      <c r="BD83" s="81" t="s">
        <v>8</v>
      </c>
      <c r="BE83" s="4">
        <v>1</v>
      </c>
      <c r="BF83" s="4"/>
      <c r="BG83" s="4"/>
      <c r="BH83" s="4"/>
      <c r="BI83" s="5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30">
        <f t="shared" si="24"/>
        <v>1</v>
      </c>
      <c r="BX83" s="30">
        <f t="shared" si="25"/>
        <v>0</v>
      </c>
      <c r="BY83" s="30">
        <f t="shared" si="26"/>
        <v>0</v>
      </c>
    </row>
    <row r="84" spans="1:77" ht="15.5" x14ac:dyDescent="0.35">
      <c r="A84" s="1">
        <v>4</v>
      </c>
      <c r="B84" s="80" t="s">
        <v>157</v>
      </c>
      <c r="C84" s="172" t="s">
        <v>245</v>
      </c>
      <c r="D84" s="95" t="s">
        <v>6</v>
      </c>
      <c r="E84" s="4"/>
      <c r="F84" s="4"/>
      <c r="G84" s="4"/>
      <c r="H84" s="5"/>
      <c r="I84" s="5"/>
      <c r="J84" s="4"/>
      <c r="K84" s="4"/>
      <c r="L84" s="4"/>
      <c r="M84" s="4"/>
      <c r="N84" s="4"/>
      <c r="O84" s="4">
        <v>2</v>
      </c>
      <c r="P84" s="4"/>
      <c r="Q84" s="4"/>
      <c r="R84" s="4">
        <v>3</v>
      </c>
      <c r="S84" s="4"/>
      <c r="T84" s="4"/>
      <c r="U84" s="4"/>
      <c r="V84" s="4"/>
      <c r="W84" s="30">
        <f t="shared" si="18"/>
        <v>0</v>
      </c>
      <c r="X84" s="30">
        <f t="shared" si="19"/>
        <v>5</v>
      </c>
      <c r="Y84" s="30">
        <f t="shared" si="20"/>
        <v>0</v>
      </c>
      <c r="AA84" s="2" t="s">
        <v>35</v>
      </c>
      <c r="AB84" s="80" t="s">
        <v>102</v>
      </c>
      <c r="AC84" s="172" t="s">
        <v>243</v>
      </c>
      <c r="AD84" s="81" t="s">
        <v>6</v>
      </c>
      <c r="AE84" s="4"/>
      <c r="AF84" s="4"/>
      <c r="AG84" s="4"/>
      <c r="AH84" s="4"/>
      <c r="AI84" s="4"/>
      <c r="AJ84" s="4"/>
      <c r="AK84" s="4"/>
      <c r="AL84" s="4"/>
      <c r="AM84" s="4"/>
      <c r="AN84" s="4">
        <v>1</v>
      </c>
      <c r="AO84" s="4"/>
      <c r="AP84" s="4">
        <v>1</v>
      </c>
      <c r="AQ84" s="4"/>
      <c r="AR84" s="4">
        <v>1</v>
      </c>
      <c r="AS84" s="4"/>
      <c r="AT84" s="4"/>
      <c r="AU84" s="4"/>
      <c r="AV84" s="4"/>
      <c r="AW84" s="30">
        <f t="shared" si="21"/>
        <v>1</v>
      </c>
      <c r="AX84" s="30">
        <f t="shared" si="22"/>
        <v>1</v>
      </c>
      <c r="AY84" s="30">
        <f t="shared" si="23"/>
        <v>1</v>
      </c>
      <c r="BA84" s="1">
        <v>4</v>
      </c>
      <c r="BB84" s="80" t="s">
        <v>157</v>
      </c>
      <c r="BC84" s="172" t="s">
        <v>245</v>
      </c>
      <c r="BD84" s="95" t="s">
        <v>6</v>
      </c>
      <c r="BE84" s="4"/>
      <c r="BF84" s="4"/>
      <c r="BG84" s="4"/>
      <c r="BH84" s="5"/>
      <c r="BI84" s="5"/>
      <c r="BJ84" s="4"/>
      <c r="BK84" s="4"/>
      <c r="BL84" s="4"/>
      <c r="BM84" s="4"/>
      <c r="BN84" s="4"/>
      <c r="BO84" s="4">
        <v>2</v>
      </c>
      <c r="BP84" s="4"/>
      <c r="BQ84" s="4"/>
      <c r="BR84" s="4">
        <v>3</v>
      </c>
      <c r="BS84" s="4"/>
      <c r="BT84" s="4"/>
      <c r="BU84" s="4"/>
      <c r="BV84" s="4"/>
      <c r="BW84" s="30">
        <f t="shared" si="24"/>
        <v>0</v>
      </c>
      <c r="BX84" s="30">
        <f t="shared" si="25"/>
        <v>5</v>
      </c>
      <c r="BY84" s="30">
        <f t="shared" si="26"/>
        <v>0</v>
      </c>
    </row>
    <row r="85" spans="1:77" ht="15.5" x14ac:dyDescent="0.35">
      <c r="A85" s="1">
        <v>5</v>
      </c>
      <c r="B85" s="80" t="s">
        <v>158</v>
      </c>
      <c r="C85" s="172" t="s">
        <v>245</v>
      </c>
      <c r="D85" s="91" t="s">
        <v>8</v>
      </c>
      <c r="E85" s="4"/>
      <c r="F85" s="4"/>
      <c r="G85" s="4"/>
      <c r="H85" s="4"/>
      <c r="I85" s="5"/>
      <c r="J85" s="4"/>
      <c r="K85" s="4"/>
      <c r="L85" s="4"/>
      <c r="M85" s="4"/>
      <c r="N85" s="4"/>
      <c r="O85" s="4">
        <v>1</v>
      </c>
      <c r="P85" s="4"/>
      <c r="Q85" s="4"/>
      <c r="R85" s="4">
        <v>2</v>
      </c>
      <c r="S85" s="4"/>
      <c r="T85" s="4"/>
      <c r="U85" s="4">
        <v>3</v>
      </c>
      <c r="V85" s="4"/>
      <c r="W85" s="30">
        <f t="shared" si="18"/>
        <v>0</v>
      </c>
      <c r="X85" s="30">
        <f t="shared" si="19"/>
        <v>6</v>
      </c>
      <c r="Y85" s="30">
        <f t="shared" si="20"/>
        <v>0</v>
      </c>
      <c r="AA85" s="2" t="s">
        <v>40</v>
      </c>
      <c r="AB85" s="80" t="s">
        <v>106</v>
      </c>
      <c r="AC85" s="172" t="s">
        <v>243</v>
      </c>
      <c r="AD85" s="91" t="s">
        <v>8</v>
      </c>
      <c r="AE85" s="4"/>
      <c r="AF85" s="4">
        <v>1</v>
      </c>
      <c r="AG85" s="4"/>
      <c r="AH85" s="4">
        <v>1</v>
      </c>
      <c r="AI85" s="5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30">
        <f t="shared" si="21"/>
        <v>1</v>
      </c>
      <c r="AX85" s="30">
        <f t="shared" si="22"/>
        <v>1</v>
      </c>
      <c r="AY85" s="30">
        <f t="shared" si="23"/>
        <v>0</v>
      </c>
      <c r="BA85" s="1">
        <v>5</v>
      </c>
      <c r="BB85" s="80" t="s">
        <v>158</v>
      </c>
      <c r="BC85" s="172" t="s">
        <v>245</v>
      </c>
      <c r="BD85" s="91" t="s">
        <v>8</v>
      </c>
      <c r="BE85" s="4"/>
      <c r="BF85" s="4"/>
      <c r="BG85" s="4"/>
      <c r="BH85" s="4"/>
      <c r="BI85" s="5"/>
      <c r="BJ85" s="4"/>
      <c r="BK85" s="4"/>
      <c r="BL85" s="4"/>
      <c r="BM85" s="4"/>
      <c r="BN85" s="4"/>
      <c r="BO85" s="4">
        <v>1</v>
      </c>
      <c r="BP85" s="4"/>
      <c r="BQ85" s="4"/>
      <c r="BR85" s="4">
        <v>2</v>
      </c>
      <c r="BS85" s="4"/>
      <c r="BT85" s="4"/>
      <c r="BU85" s="4">
        <v>3</v>
      </c>
      <c r="BV85" s="4"/>
      <c r="BW85" s="30">
        <f t="shared" si="24"/>
        <v>0</v>
      </c>
      <c r="BX85" s="30">
        <f t="shared" si="25"/>
        <v>6</v>
      </c>
      <c r="BY85" s="30">
        <f t="shared" si="26"/>
        <v>0</v>
      </c>
    </row>
    <row r="86" spans="1:77" ht="15.5" x14ac:dyDescent="0.35">
      <c r="A86" s="1">
        <v>6</v>
      </c>
      <c r="B86" s="80" t="s">
        <v>159</v>
      </c>
      <c r="C86" s="172" t="s">
        <v>245</v>
      </c>
      <c r="D86" s="81" t="s">
        <v>6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30">
        <f t="shared" si="18"/>
        <v>0</v>
      </c>
      <c r="X86" s="30">
        <f t="shared" si="19"/>
        <v>0</v>
      </c>
      <c r="Y86" s="30">
        <f t="shared" si="20"/>
        <v>0</v>
      </c>
      <c r="AA86" s="2" t="s">
        <v>44</v>
      </c>
      <c r="AB86" s="80" t="s">
        <v>110</v>
      </c>
      <c r="AC86" s="172" t="s">
        <v>243</v>
      </c>
      <c r="AD86" s="81" t="s">
        <v>8</v>
      </c>
      <c r="AE86" s="4">
        <v>1</v>
      </c>
      <c r="AF86" s="4"/>
      <c r="AG86" s="4"/>
      <c r="AH86" s="5">
        <v>1</v>
      </c>
      <c r="AI86" s="5">
        <v>1</v>
      </c>
      <c r="AJ86" s="4"/>
      <c r="AK86" s="4"/>
      <c r="AL86" s="4"/>
      <c r="AM86" s="4"/>
      <c r="AN86" s="4"/>
      <c r="AO86" s="4"/>
      <c r="AP86" s="4"/>
      <c r="AQ86" s="4">
        <v>1</v>
      </c>
      <c r="AR86" s="4"/>
      <c r="AS86" s="4"/>
      <c r="AT86" s="4"/>
      <c r="AU86" s="4"/>
      <c r="AV86" s="4"/>
      <c r="AW86" s="30">
        <f t="shared" si="21"/>
        <v>3</v>
      </c>
      <c r="AX86" s="30">
        <f t="shared" si="22"/>
        <v>1</v>
      </c>
      <c r="AY86" s="30">
        <f t="shared" si="23"/>
        <v>0</v>
      </c>
      <c r="BA86" s="1">
        <v>6</v>
      </c>
      <c r="BB86" s="80" t="s">
        <v>159</v>
      </c>
      <c r="BC86" s="172" t="s">
        <v>245</v>
      </c>
      <c r="BD86" s="81" t="s">
        <v>6</v>
      </c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30">
        <f t="shared" si="24"/>
        <v>0</v>
      </c>
      <c r="BX86" s="30">
        <f t="shared" si="25"/>
        <v>0</v>
      </c>
      <c r="BY86" s="30">
        <f t="shared" si="26"/>
        <v>0</v>
      </c>
    </row>
    <row r="87" spans="1:77" ht="15.5" x14ac:dyDescent="0.35">
      <c r="A87" s="1">
        <v>7</v>
      </c>
      <c r="B87" s="80" t="s">
        <v>160</v>
      </c>
      <c r="C87" s="172" t="s">
        <v>245</v>
      </c>
      <c r="D87" s="91" t="s">
        <v>8</v>
      </c>
      <c r="E87" s="4"/>
      <c r="F87" s="4"/>
      <c r="G87" s="4"/>
      <c r="H87" s="4"/>
      <c r="I87" s="5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30">
        <f t="shared" si="18"/>
        <v>0</v>
      </c>
      <c r="X87" s="30">
        <f t="shared" si="19"/>
        <v>0</v>
      </c>
      <c r="Y87" s="30">
        <f t="shared" si="20"/>
        <v>0</v>
      </c>
      <c r="AA87" s="32" t="s">
        <v>22</v>
      </c>
      <c r="AB87" s="80" t="s">
        <v>129</v>
      </c>
      <c r="AC87" s="172" t="s">
        <v>244</v>
      </c>
      <c r="AD87" s="91" t="s">
        <v>6</v>
      </c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>
        <v>1</v>
      </c>
      <c r="AT87" s="4"/>
      <c r="AU87" s="4">
        <v>1</v>
      </c>
      <c r="AV87" s="4"/>
      <c r="AW87" s="30">
        <f t="shared" si="21"/>
        <v>0</v>
      </c>
      <c r="AX87" s="30">
        <f t="shared" si="22"/>
        <v>1</v>
      </c>
      <c r="AY87" s="30">
        <f t="shared" si="23"/>
        <v>1</v>
      </c>
      <c r="BA87" s="1">
        <v>7</v>
      </c>
      <c r="BB87" s="80" t="s">
        <v>160</v>
      </c>
      <c r="BC87" s="172" t="s">
        <v>245</v>
      </c>
      <c r="BD87" s="91" t="s">
        <v>8</v>
      </c>
      <c r="BE87" s="4"/>
      <c r="BF87" s="4"/>
      <c r="BG87" s="4"/>
      <c r="BH87" s="4"/>
      <c r="BI87" s="5"/>
      <c r="BJ87" s="5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30">
        <f t="shared" si="24"/>
        <v>0</v>
      </c>
      <c r="BX87" s="30">
        <f t="shared" si="25"/>
        <v>0</v>
      </c>
      <c r="BY87" s="30">
        <f t="shared" si="26"/>
        <v>0</v>
      </c>
    </row>
    <row r="88" spans="1:77" ht="15.5" x14ac:dyDescent="0.35">
      <c r="A88" s="1">
        <v>8</v>
      </c>
      <c r="B88" s="80" t="s">
        <v>161</v>
      </c>
      <c r="C88" s="172" t="s">
        <v>245</v>
      </c>
      <c r="D88" s="81" t="s">
        <v>8</v>
      </c>
      <c r="E88" s="4"/>
      <c r="F88" s="4"/>
      <c r="G88" s="4"/>
      <c r="H88" s="4"/>
      <c r="I88" s="5"/>
      <c r="J88" s="5"/>
      <c r="K88" s="4"/>
      <c r="L88" s="4"/>
      <c r="M88" s="4"/>
      <c r="N88" s="4"/>
      <c r="O88" s="4"/>
      <c r="P88" s="4"/>
      <c r="Q88" s="4"/>
      <c r="R88" s="4"/>
      <c r="S88" s="4">
        <v>1</v>
      </c>
      <c r="T88" s="4"/>
      <c r="U88" s="4"/>
      <c r="V88" s="4"/>
      <c r="W88" s="30">
        <f t="shared" si="18"/>
        <v>0</v>
      </c>
      <c r="X88" s="30">
        <f t="shared" si="19"/>
        <v>0</v>
      </c>
      <c r="Y88" s="30">
        <f t="shared" si="20"/>
        <v>1</v>
      </c>
      <c r="AA88" s="32" t="s">
        <v>30</v>
      </c>
      <c r="AB88" s="80" t="s">
        <v>135</v>
      </c>
      <c r="AC88" s="172" t="s">
        <v>244</v>
      </c>
      <c r="AD88" s="81" t="s">
        <v>8</v>
      </c>
      <c r="AE88" s="4"/>
      <c r="AF88" s="4">
        <v>1</v>
      </c>
      <c r="AG88" s="5"/>
      <c r="AH88" s="4"/>
      <c r="AI88" s="5"/>
      <c r="AJ88" s="5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0">
        <f t="shared" si="21"/>
        <v>0</v>
      </c>
      <c r="AX88" s="30">
        <f t="shared" si="22"/>
        <v>1</v>
      </c>
      <c r="AY88" s="30">
        <f t="shared" si="23"/>
        <v>0</v>
      </c>
      <c r="BA88" s="1">
        <v>10</v>
      </c>
      <c r="BB88" s="80" t="s">
        <v>870</v>
      </c>
      <c r="BC88" s="172" t="s">
        <v>245</v>
      </c>
      <c r="BD88" s="81" t="s">
        <v>8</v>
      </c>
      <c r="BE88" s="4"/>
      <c r="BF88" s="4"/>
      <c r="BG88" s="5"/>
      <c r="BH88" s="5"/>
      <c r="BI88" s="5"/>
      <c r="BJ88" s="5"/>
      <c r="BK88" s="4"/>
      <c r="BL88" s="4"/>
      <c r="BM88" s="4"/>
      <c r="BN88" s="4"/>
      <c r="BO88" s="4"/>
      <c r="BP88" s="4"/>
      <c r="BQ88" s="4"/>
      <c r="BR88" s="4">
        <v>2</v>
      </c>
      <c r="BS88" s="4"/>
      <c r="BT88" s="4"/>
      <c r="BU88" s="4"/>
      <c r="BV88" s="4"/>
      <c r="BW88" s="30">
        <f t="shared" si="24"/>
        <v>0</v>
      </c>
      <c r="BX88" s="30">
        <f t="shared" si="25"/>
        <v>2</v>
      </c>
      <c r="BY88" s="30">
        <f t="shared" si="26"/>
        <v>0</v>
      </c>
    </row>
    <row r="89" spans="1:77" ht="15.5" x14ac:dyDescent="0.35">
      <c r="A89" s="1">
        <v>9</v>
      </c>
      <c r="B89" s="80" t="s">
        <v>162</v>
      </c>
      <c r="C89" s="172" t="s">
        <v>245</v>
      </c>
      <c r="D89" s="81" t="s">
        <v>6</v>
      </c>
      <c r="E89" s="4"/>
      <c r="F89" s="4"/>
      <c r="G89" s="4"/>
      <c r="H89" s="4"/>
      <c r="I89" s="4"/>
      <c r="J89" s="5"/>
      <c r="K89" s="4"/>
      <c r="L89" s="4"/>
      <c r="M89" s="4"/>
      <c r="N89" s="4"/>
      <c r="O89" s="4"/>
      <c r="P89" s="4"/>
      <c r="Q89" s="4"/>
      <c r="R89" s="4">
        <v>1</v>
      </c>
      <c r="S89" s="4">
        <v>1</v>
      </c>
      <c r="T89" s="4"/>
      <c r="U89" s="4"/>
      <c r="V89" s="4"/>
      <c r="W89" s="30">
        <f t="shared" si="18"/>
        <v>0</v>
      </c>
      <c r="X89" s="30">
        <f t="shared" si="19"/>
        <v>1</v>
      </c>
      <c r="Y89" s="30">
        <f t="shared" si="20"/>
        <v>1</v>
      </c>
      <c r="AA89" s="32" t="s">
        <v>31</v>
      </c>
      <c r="AB89" s="80" t="s">
        <v>136</v>
      </c>
      <c r="AC89" s="172" t="s">
        <v>244</v>
      </c>
      <c r="AD89" s="81" t="s">
        <v>6</v>
      </c>
      <c r="AE89" s="4"/>
      <c r="AF89" s="4"/>
      <c r="AG89" s="4"/>
      <c r="AH89" s="4"/>
      <c r="AI89" s="5"/>
      <c r="AJ89" s="4"/>
      <c r="AK89" s="4"/>
      <c r="AL89" s="4"/>
      <c r="AM89" s="4"/>
      <c r="AN89" s="4"/>
      <c r="AO89" s="4"/>
      <c r="AP89" s="4"/>
      <c r="AQ89" s="4">
        <v>2</v>
      </c>
      <c r="AR89" s="4">
        <v>1</v>
      </c>
      <c r="AS89" s="4"/>
      <c r="AT89" s="4"/>
      <c r="AU89" s="4"/>
      <c r="AV89" s="4">
        <v>1</v>
      </c>
      <c r="AW89" s="30">
        <f t="shared" si="21"/>
        <v>2</v>
      </c>
      <c r="AX89" s="30">
        <f t="shared" si="22"/>
        <v>1</v>
      </c>
      <c r="AY89" s="30">
        <f t="shared" si="23"/>
        <v>1</v>
      </c>
      <c r="BA89" s="1">
        <v>11</v>
      </c>
      <c r="BB89" s="80" t="s">
        <v>163</v>
      </c>
      <c r="BC89" s="172" t="s">
        <v>245</v>
      </c>
      <c r="BD89" s="81" t="s">
        <v>6</v>
      </c>
      <c r="BE89" s="4"/>
      <c r="BF89" s="4">
        <v>1</v>
      </c>
      <c r="BG89" s="4"/>
      <c r="BH89" s="4"/>
      <c r="BI89" s="5"/>
      <c r="BJ89" s="4"/>
      <c r="BK89" s="4"/>
      <c r="BL89" s="4"/>
      <c r="BM89" s="4"/>
      <c r="BN89" s="4"/>
      <c r="BO89" s="4"/>
      <c r="BP89" s="4"/>
      <c r="BQ89" s="4"/>
      <c r="BR89" s="4">
        <v>2</v>
      </c>
      <c r="BS89" s="4"/>
      <c r="BT89" s="4"/>
      <c r="BU89" s="4"/>
      <c r="BV89" s="4"/>
      <c r="BW89" s="30">
        <f t="shared" si="24"/>
        <v>0</v>
      </c>
      <c r="BX89" s="30">
        <f t="shared" si="25"/>
        <v>3</v>
      </c>
      <c r="BY89" s="30">
        <f t="shared" si="26"/>
        <v>0</v>
      </c>
    </row>
    <row r="90" spans="1:77" ht="15.5" x14ac:dyDescent="0.35">
      <c r="A90" s="1">
        <v>10</v>
      </c>
      <c r="B90" s="80" t="s">
        <v>870</v>
      </c>
      <c r="C90" s="172" t="s">
        <v>245</v>
      </c>
      <c r="D90" s="91" t="s">
        <v>8</v>
      </c>
      <c r="E90" s="4"/>
      <c r="F90" s="4"/>
      <c r="G90" s="5"/>
      <c r="H90" s="5"/>
      <c r="I90" s="5"/>
      <c r="J90" s="5"/>
      <c r="K90" s="4"/>
      <c r="L90" s="4"/>
      <c r="M90" s="4"/>
      <c r="N90" s="4"/>
      <c r="O90" s="4"/>
      <c r="P90" s="4"/>
      <c r="Q90" s="4"/>
      <c r="R90" s="4">
        <v>2</v>
      </c>
      <c r="S90" s="4"/>
      <c r="T90" s="4"/>
      <c r="U90" s="4"/>
      <c r="V90" s="4"/>
      <c r="W90" s="30">
        <f t="shared" si="18"/>
        <v>0</v>
      </c>
      <c r="X90" s="30">
        <f t="shared" si="19"/>
        <v>2</v>
      </c>
      <c r="Y90" s="30">
        <f t="shared" si="20"/>
        <v>0</v>
      </c>
      <c r="AA90" s="32" t="s">
        <v>33</v>
      </c>
      <c r="AB90" s="80" t="s">
        <v>137</v>
      </c>
      <c r="AC90" s="172" t="s">
        <v>244</v>
      </c>
      <c r="AD90" s="91" t="s">
        <v>6</v>
      </c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>
        <v>1</v>
      </c>
      <c r="AS90" s="4"/>
      <c r="AT90" s="4"/>
      <c r="AU90" s="4"/>
      <c r="AV90" s="4"/>
      <c r="AW90" s="30">
        <f t="shared" si="21"/>
        <v>0</v>
      </c>
      <c r="AX90" s="30">
        <f t="shared" si="22"/>
        <v>1</v>
      </c>
      <c r="AY90" s="30">
        <f t="shared" si="23"/>
        <v>0</v>
      </c>
      <c r="BA90" s="1">
        <v>13</v>
      </c>
      <c r="BB90" s="80" t="s">
        <v>871</v>
      </c>
      <c r="BC90" s="172" t="s">
        <v>245</v>
      </c>
      <c r="BD90" s="91" t="s">
        <v>8</v>
      </c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>
        <v>1</v>
      </c>
      <c r="BS90" s="4"/>
      <c r="BT90" s="4"/>
      <c r="BU90" s="4"/>
      <c r="BV90" s="4"/>
      <c r="BW90" s="30">
        <f t="shared" si="24"/>
        <v>0</v>
      </c>
      <c r="BX90" s="30">
        <f t="shared" si="25"/>
        <v>1</v>
      </c>
      <c r="BY90" s="30">
        <f t="shared" si="26"/>
        <v>0</v>
      </c>
    </row>
    <row r="91" spans="1:77" ht="15.5" x14ac:dyDescent="0.35">
      <c r="A91" s="1">
        <v>11</v>
      </c>
      <c r="B91" s="80" t="s">
        <v>163</v>
      </c>
      <c r="C91" s="172" t="s">
        <v>245</v>
      </c>
      <c r="D91" s="91" t="s">
        <v>6</v>
      </c>
      <c r="E91" s="4"/>
      <c r="F91" s="4">
        <v>1</v>
      </c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>
        <v>2</v>
      </c>
      <c r="S91" s="4"/>
      <c r="T91" s="4"/>
      <c r="U91" s="4"/>
      <c r="V91" s="4"/>
      <c r="W91" s="30">
        <f t="shared" si="18"/>
        <v>0</v>
      </c>
      <c r="X91" s="30">
        <f t="shared" si="19"/>
        <v>3</v>
      </c>
      <c r="Y91" s="30">
        <f t="shared" si="20"/>
        <v>0</v>
      </c>
      <c r="AA91" s="32" t="s">
        <v>34</v>
      </c>
      <c r="AB91" s="80" t="s">
        <v>138</v>
      </c>
      <c r="AC91" s="172" t="s">
        <v>244</v>
      </c>
      <c r="AD91" s="91" t="s">
        <v>6</v>
      </c>
      <c r="AE91" s="4"/>
      <c r="AF91" s="4"/>
      <c r="AG91" s="4"/>
      <c r="AH91" s="4"/>
      <c r="AI91" s="5"/>
      <c r="AJ91" s="4"/>
      <c r="AK91" s="4"/>
      <c r="AL91" s="4"/>
      <c r="AM91" s="4"/>
      <c r="AN91" s="4"/>
      <c r="AO91" s="4"/>
      <c r="AP91" s="4"/>
      <c r="AQ91" s="4"/>
      <c r="AR91" s="4">
        <v>1</v>
      </c>
      <c r="AS91" s="4"/>
      <c r="AT91" s="4"/>
      <c r="AU91" s="4"/>
      <c r="AV91" s="4"/>
      <c r="AW91" s="30">
        <f t="shared" si="21"/>
        <v>0</v>
      </c>
      <c r="AX91" s="30">
        <f t="shared" si="22"/>
        <v>1</v>
      </c>
      <c r="AY91" s="30">
        <f t="shared" si="23"/>
        <v>0</v>
      </c>
      <c r="BA91" s="1">
        <v>14</v>
      </c>
      <c r="BB91" s="80" t="s">
        <v>165</v>
      </c>
      <c r="BC91" s="172" t="s">
        <v>245</v>
      </c>
      <c r="BD91" s="91" t="s">
        <v>8</v>
      </c>
      <c r="BE91" s="4"/>
      <c r="BF91" s="4"/>
      <c r="BG91" s="4"/>
      <c r="BH91" s="4"/>
      <c r="BI91" s="5"/>
      <c r="BJ91" s="5"/>
      <c r="BK91" s="4"/>
      <c r="BL91" s="4"/>
      <c r="BM91" s="4"/>
      <c r="BN91" s="4"/>
      <c r="BO91" s="4">
        <v>2</v>
      </c>
      <c r="BP91" s="4"/>
      <c r="BQ91" s="4"/>
      <c r="BR91" s="4"/>
      <c r="BS91" s="4"/>
      <c r="BT91" s="4"/>
      <c r="BU91" s="4">
        <v>1</v>
      </c>
      <c r="BV91" s="4"/>
      <c r="BW91" s="30">
        <f t="shared" si="24"/>
        <v>0</v>
      </c>
      <c r="BX91" s="30">
        <f t="shared" si="25"/>
        <v>3</v>
      </c>
      <c r="BY91" s="30">
        <f t="shared" si="26"/>
        <v>0</v>
      </c>
    </row>
    <row r="92" spans="1:77" ht="15.5" x14ac:dyDescent="0.35">
      <c r="A92" s="1">
        <v>13</v>
      </c>
      <c r="B92" s="80" t="s">
        <v>871</v>
      </c>
      <c r="C92" s="172" t="s">
        <v>245</v>
      </c>
      <c r="D92" s="91" t="s">
        <v>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>
        <v>1</v>
      </c>
      <c r="S92" s="4"/>
      <c r="T92" s="4"/>
      <c r="U92" s="4"/>
      <c r="V92" s="4"/>
      <c r="W92" s="30">
        <f t="shared" si="18"/>
        <v>0</v>
      </c>
      <c r="X92" s="30">
        <f t="shared" si="19"/>
        <v>1</v>
      </c>
      <c r="Y92" s="30">
        <f t="shared" si="20"/>
        <v>0</v>
      </c>
      <c r="AA92" s="32" t="s">
        <v>41</v>
      </c>
      <c r="AB92" s="80" t="s">
        <v>144</v>
      </c>
      <c r="AC92" s="172" t="s">
        <v>244</v>
      </c>
      <c r="AD92" s="91" t="s">
        <v>6</v>
      </c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>
        <v>1</v>
      </c>
      <c r="AR92" s="4">
        <v>1</v>
      </c>
      <c r="AS92" s="4">
        <v>5</v>
      </c>
      <c r="AT92" s="4"/>
      <c r="AU92" s="4"/>
      <c r="AV92" s="4"/>
      <c r="AW92" s="30">
        <f t="shared" si="21"/>
        <v>1</v>
      </c>
      <c r="AX92" s="30">
        <f t="shared" si="22"/>
        <v>1</v>
      </c>
      <c r="AY92" s="30">
        <f t="shared" si="23"/>
        <v>5</v>
      </c>
      <c r="BA92" s="1">
        <v>15</v>
      </c>
      <c r="BB92" s="80" t="s">
        <v>166</v>
      </c>
      <c r="BC92" s="172" t="s">
        <v>245</v>
      </c>
      <c r="BD92" s="91" t="s">
        <v>6</v>
      </c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>
        <v>1</v>
      </c>
      <c r="BR92" s="9"/>
      <c r="BS92" s="9"/>
      <c r="BT92" s="9"/>
      <c r="BU92" s="9">
        <v>2</v>
      </c>
      <c r="BV92" s="9"/>
      <c r="BW92" s="30">
        <f t="shared" si="24"/>
        <v>1</v>
      </c>
      <c r="BX92" s="30">
        <f t="shared" si="25"/>
        <v>2</v>
      </c>
      <c r="BY92" s="30">
        <f t="shared" si="26"/>
        <v>0</v>
      </c>
    </row>
    <row r="93" spans="1:77" ht="15.5" x14ac:dyDescent="0.35">
      <c r="A93" s="103">
        <v>14</v>
      </c>
      <c r="B93" s="87" t="s">
        <v>165</v>
      </c>
      <c r="C93" s="172" t="s">
        <v>245</v>
      </c>
      <c r="D93" s="107" t="s">
        <v>8</v>
      </c>
      <c r="E93" s="108"/>
      <c r="F93" s="108"/>
      <c r="G93" s="108"/>
      <c r="H93" s="108"/>
      <c r="I93" s="113"/>
      <c r="J93" s="113"/>
      <c r="K93" s="108"/>
      <c r="L93" s="108"/>
      <c r="M93" s="108"/>
      <c r="N93" s="108"/>
      <c r="O93" s="108">
        <v>2</v>
      </c>
      <c r="P93" s="108"/>
      <c r="Q93" s="108"/>
      <c r="R93" s="108"/>
      <c r="S93" s="108"/>
      <c r="T93" s="108"/>
      <c r="U93" s="108">
        <v>1</v>
      </c>
      <c r="V93" s="108"/>
      <c r="W93" s="109">
        <f t="shared" si="18"/>
        <v>0</v>
      </c>
      <c r="X93" s="109">
        <f t="shared" si="19"/>
        <v>3</v>
      </c>
      <c r="Y93" s="109">
        <f t="shared" si="20"/>
        <v>0</v>
      </c>
      <c r="AA93" s="31" t="s">
        <v>44</v>
      </c>
      <c r="AB93" s="87" t="s">
        <v>866</v>
      </c>
      <c r="AC93" s="172" t="s">
        <v>244</v>
      </c>
      <c r="AD93" s="107" t="s">
        <v>6</v>
      </c>
      <c r="AE93" s="108"/>
      <c r="AF93" s="108"/>
      <c r="AG93" s="108"/>
      <c r="AH93" s="108"/>
      <c r="AI93" s="113">
        <v>1</v>
      </c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9">
        <f t="shared" si="21"/>
        <v>0</v>
      </c>
      <c r="AX93" s="109">
        <f t="shared" si="22"/>
        <v>1</v>
      </c>
      <c r="AY93" s="109">
        <f t="shared" si="23"/>
        <v>0</v>
      </c>
      <c r="BA93" s="103">
        <v>16</v>
      </c>
      <c r="BB93" s="87" t="s">
        <v>167</v>
      </c>
      <c r="BC93" s="172" t="s">
        <v>245</v>
      </c>
      <c r="BD93" s="107" t="s">
        <v>8</v>
      </c>
      <c r="BE93" s="108"/>
      <c r="BF93" s="108"/>
      <c r="BG93" s="108"/>
      <c r="BH93" s="108"/>
      <c r="BI93" s="113"/>
      <c r="BJ93" s="108"/>
      <c r="BK93" s="108"/>
      <c r="BL93" s="108"/>
      <c r="BM93" s="108"/>
      <c r="BN93" s="108"/>
      <c r="BO93" s="108">
        <v>2</v>
      </c>
      <c r="BP93" s="108"/>
      <c r="BQ93" s="108"/>
      <c r="BR93" s="108">
        <v>4</v>
      </c>
      <c r="BS93" s="108"/>
      <c r="BT93" s="108"/>
      <c r="BU93" s="108"/>
      <c r="BV93" s="108"/>
      <c r="BW93" s="109">
        <f t="shared" si="24"/>
        <v>0</v>
      </c>
      <c r="BX93" s="109">
        <f t="shared" si="25"/>
        <v>6</v>
      </c>
      <c r="BY93" s="109">
        <f t="shared" si="26"/>
        <v>0</v>
      </c>
    </row>
    <row r="94" spans="1:77" ht="15.5" x14ac:dyDescent="0.35">
      <c r="A94" s="1">
        <v>16</v>
      </c>
      <c r="B94" s="80" t="s">
        <v>167</v>
      </c>
      <c r="C94" s="172" t="s">
        <v>245</v>
      </c>
      <c r="D94" s="81" t="s">
        <v>8</v>
      </c>
      <c r="E94" s="4"/>
      <c r="F94" s="4"/>
      <c r="G94" s="4"/>
      <c r="H94" s="4"/>
      <c r="I94" s="5"/>
      <c r="J94" s="4"/>
      <c r="K94" s="4"/>
      <c r="L94" s="4"/>
      <c r="M94" s="4"/>
      <c r="N94" s="4"/>
      <c r="O94" s="4">
        <v>2</v>
      </c>
      <c r="P94" s="4"/>
      <c r="Q94" s="4"/>
      <c r="R94" s="4">
        <v>4</v>
      </c>
      <c r="S94" s="4"/>
      <c r="T94" s="4"/>
      <c r="U94" s="4"/>
      <c r="V94" s="4"/>
      <c r="W94" s="30">
        <f t="shared" si="18"/>
        <v>0</v>
      </c>
      <c r="X94" s="30">
        <f t="shared" si="19"/>
        <v>6</v>
      </c>
      <c r="Y94" s="30">
        <f t="shared" si="20"/>
        <v>0</v>
      </c>
      <c r="AA94" s="32" t="s">
        <v>49</v>
      </c>
      <c r="AB94" s="94" t="s">
        <v>149</v>
      </c>
      <c r="AC94" s="172" t="s">
        <v>244</v>
      </c>
      <c r="AD94" s="85" t="s">
        <v>8</v>
      </c>
      <c r="AE94" s="4"/>
      <c r="AF94" s="4"/>
      <c r="AG94" s="4"/>
      <c r="AH94" s="4"/>
      <c r="AI94" s="5">
        <v>1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30">
        <f t="shared" si="21"/>
        <v>0</v>
      </c>
      <c r="AX94" s="30">
        <f t="shared" si="22"/>
        <v>1</v>
      </c>
      <c r="AY94" s="30">
        <f t="shared" si="23"/>
        <v>0</v>
      </c>
      <c r="BA94" s="1">
        <v>17</v>
      </c>
      <c r="BB94" s="80" t="s">
        <v>168</v>
      </c>
      <c r="BC94" s="172" t="s">
        <v>245</v>
      </c>
      <c r="BD94" s="81" t="s">
        <v>6</v>
      </c>
      <c r="BE94" s="4"/>
      <c r="BF94" s="5">
        <v>1</v>
      </c>
      <c r="BG94" s="4"/>
      <c r="BH94" s="4">
        <v>2</v>
      </c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30">
        <f t="shared" si="24"/>
        <v>2</v>
      </c>
      <c r="BX94" s="30">
        <f t="shared" si="25"/>
        <v>1</v>
      </c>
      <c r="BY94" s="30">
        <f t="shared" si="26"/>
        <v>0</v>
      </c>
    </row>
    <row r="95" spans="1:77" ht="15.5" x14ac:dyDescent="0.35">
      <c r="A95" s="1">
        <v>22</v>
      </c>
      <c r="B95" s="80" t="s">
        <v>172</v>
      </c>
      <c r="C95" s="172" t="s">
        <v>245</v>
      </c>
      <c r="D95" s="81" t="s">
        <v>8</v>
      </c>
      <c r="E95" s="4"/>
      <c r="F95" s="4">
        <v>1</v>
      </c>
      <c r="G95" s="4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30">
        <f t="shared" si="18"/>
        <v>0</v>
      </c>
      <c r="X95" s="30">
        <f t="shared" si="19"/>
        <v>1</v>
      </c>
      <c r="Y95" s="30">
        <f t="shared" si="20"/>
        <v>0</v>
      </c>
      <c r="AA95" s="32" t="s">
        <v>122</v>
      </c>
      <c r="AB95" s="99" t="s">
        <v>152</v>
      </c>
      <c r="AC95" s="172" t="s">
        <v>244</v>
      </c>
      <c r="AD95" s="85" t="s">
        <v>6</v>
      </c>
      <c r="AE95" s="4"/>
      <c r="AF95" s="4"/>
      <c r="AG95" s="4"/>
      <c r="AH95" s="4">
        <v>1</v>
      </c>
      <c r="AI95" s="4"/>
      <c r="AJ95" s="4"/>
      <c r="AK95" s="4"/>
      <c r="AL95" s="4"/>
      <c r="AM95" s="4"/>
      <c r="AN95" s="4"/>
      <c r="AO95" s="4"/>
      <c r="AP95" s="4"/>
      <c r="AQ95" s="4">
        <v>1</v>
      </c>
      <c r="AR95" s="4">
        <v>1</v>
      </c>
      <c r="AS95" s="4"/>
      <c r="AT95" s="4"/>
      <c r="AU95" s="4"/>
      <c r="AV95" s="4"/>
      <c r="AW95" s="30">
        <f t="shared" si="21"/>
        <v>2</v>
      </c>
      <c r="AX95" s="30">
        <f t="shared" si="22"/>
        <v>1</v>
      </c>
      <c r="AY95" s="30">
        <f t="shared" si="23"/>
        <v>0</v>
      </c>
      <c r="BA95" s="1">
        <v>19</v>
      </c>
      <c r="BB95" s="80" t="s">
        <v>170</v>
      </c>
      <c r="BC95" s="172" t="s">
        <v>245</v>
      </c>
      <c r="BD95" s="81" t="s">
        <v>6</v>
      </c>
      <c r="BE95" s="4"/>
      <c r="BF95" s="4"/>
      <c r="BG95" s="4"/>
      <c r="BH95" s="4"/>
      <c r="BI95" s="5"/>
      <c r="BJ95" s="4"/>
      <c r="BK95" s="4"/>
      <c r="BL95" s="4"/>
      <c r="BM95" s="4"/>
      <c r="BN95" s="4"/>
      <c r="BO95" s="4"/>
      <c r="BP95" s="4"/>
      <c r="BQ95" s="4">
        <v>1</v>
      </c>
      <c r="BR95" s="4"/>
      <c r="BS95" s="4"/>
      <c r="BT95" s="4"/>
      <c r="BU95" s="4"/>
      <c r="BV95" s="4"/>
      <c r="BW95" s="30">
        <f t="shared" si="24"/>
        <v>1</v>
      </c>
      <c r="BX95" s="30">
        <f t="shared" si="25"/>
        <v>0</v>
      </c>
      <c r="BY95" s="30">
        <f t="shared" si="26"/>
        <v>0</v>
      </c>
    </row>
    <row r="96" spans="1:77" ht="15.5" x14ac:dyDescent="0.35">
      <c r="A96" s="1">
        <v>23</v>
      </c>
      <c r="B96" s="80" t="s">
        <v>173</v>
      </c>
      <c r="C96" s="172" t="s">
        <v>245</v>
      </c>
      <c r="D96" s="81" t="s">
        <v>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30">
        <f t="shared" si="18"/>
        <v>0</v>
      </c>
      <c r="X96" s="30">
        <f t="shared" si="19"/>
        <v>0</v>
      </c>
      <c r="Y96" s="30">
        <f t="shared" si="20"/>
        <v>0</v>
      </c>
      <c r="AA96" s="32" t="s">
        <v>125</v>
      </c>
      <c r="AB96" s="100" t="s">
        <v>154</v>
      </c>
      <c r="AC96" s="172" t="s">
        <v>244</v>
      </c>
      <c r="AD96" s="176" t="s">
        <v>8</v>
      </c>
      <c r="AE96" s="3"/>
      <c r="AF96" s="3"/>
      <c r="AG96" s="3"/>
      <c r="AH96" s="4"/>
      <c r="AI96" s="5"/>
      <c r="AJ96" s="4"/>
      <c r="AK96" s="4"/>
      <c r="AL96" s="4"/>
      <c r="AM96" s="4"/>
      <c r="AN96" s="4"/>
      <c r="AO96" s="4"/>
      <c r="AP96" s="4"/>
      <c r="AQ96" s="4"/>
      <c r="AR96" s="4">
        <v>1</v>
      </c>
      <c r="AS96" s="4"/>
      <c r="AT96" s="4"/>
      <c r="AU96" s="4"/>
      <c r="AV96" s="4"/>
      <c r="AW96" s="30">
        <f t="shared" si="21"/>
        <v>0</v>
      </c>
      <c r="AX96" s="30">
        <f t="shared" si="22"/>
        <v>1</v>
      </c>
      <c r="AY96" s="30">
        <f t="shared" si="23"/>
        <v>0</v>
      </c>
      <c r="BA96" s="1">
        <v>20</v>
      </c>
      <c r="BB96" s="80" t="s">
        <v>171</v>
      </c>
      <c r="BC96" s="172" t="s">
        <v>245</v>
      </c>
      <c r="BD96" s="81" t="s">
        <v>8</v>
      </c>
      <c r="BE96" s="4">
        <v>1</v>
      </c>
      <c r="BF96" s="4"/>
      <c r="BG96" s="4"/>
      <c r="BH96" s="4"/>
      <c r="BI96" s="5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30">
        <f t="shared" si="24"/>
        <v>1</v>
      </c>
      <c r="BX96" s="30">
        <f t="shared" si="25"/>
        <v>0</v>
      </c>
      <c r="BY96" s="30">
        <f t="shared" si="26"/>
        <v>0</v>
      </c>
    </row>
    <row r="97" spans="1:77" ht="15.5" x14ac:dyDescent="0.35">
      <c r="A97" s="1">
        <v>24</v>
      </c>
      <c r="B97" s="80" t="s">
        <v>174</v>
      </c>
      <c r="C97" s="172" t="s">
        <v>245</v>
      </c>
      <c r="D97" s="81" t="s">
        <v>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>
        <v>1</v>
      </c>
      <c r="S97" s="4"/>
      <c r="T97" s="4"/>
      <c r="U97" s="4"/>
      <c r="V97" s="4"/>
      <c r="W97" s="30">
        <f t="shared" si="18"/>
        <v>0</v>
      </c>
      <c r="X97" s="30">
        <f t="shared" si="19"/>
        <v>1</v>
      </c>
      <c r="Y97" s="30">
        <f t="shared" si="20"/>
        <v>0</v>
      </c>
      <c r="AA97" s="1">
        <v>9</v>
      </c>
      <c r="AB97" s="80" t="s">
        <v>162</v>
      </c>
      <c r="AC97" s="172" t="s">
        <v>245</v>
      </c>
      <c r="AD97" s="81" t="s">
        <v>6</v>
      </c>
      <c r="AE97" s="4"/>
      <c r="AF97" s="4"/>
      <c r="AG97" s="4"/>
      <c r="AH97" s="4"/>
      <c r="AI97" s="4"/>
      <c r="AJ97" s="5"/>
      <c r="AK97" s="4"/>
      <c r="AL97" s="4"/>
      <c r="AM97" s="4"/>
      <c r="AN97" s="4"/>
      <c r="AO97" s="4"/>
      <c r="AP97" s="4"/>
      <c r="AQ97" s="4"/>
      <c r="AR97" s="4">
        <v>1</v>
      </c>
      <c r="AS97" s="4">
        <v>1</v>
      </c>
      <c r="AT97" s="4"/>
      <c r="AU97" s="4"/>
      <c r="AV97" s="4"/>
      <c r="AW97" s="30">
        <f t="shared" si="21"/>
        <v>0</v>
      </c>
      <c r="AX97" s="30">
        <f t="shared" si="22"/>
        <v>1</v>
      </c>
      <c r="AY97" s="30">
        <f t="shared" si="23"/>
        <v>1</v>
      </c>
      <c r="BA97" s="1">
        <v>22</v>
      </c>
      <c r="BB97" s="80" t="s">
        <v>172</v>
      </c>
      <c r="BC97" s="172" t="s">
        <v>245</v>
      </c>
      <c r="BD97" s="81" t="s">
        <v>8</v>
      </c>
      <c r="BE97" s="4"/>
      <c r="BF97" s="4">
        <v>1</v>
      </c>
      <c r="BG97" s="4"/>
      <c r="BH97" s="4"/>
      <c r="BI97" s="5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30">
        <f t="shared" si="24"/>
        <v>0</v>
      </c>
      <c r="BX97" s="30">
        <f t="shared" si="25"/>
        <v>1</v>
      </c>
      <c r="BY97" s="30">
        <f t="shared" si="26"/>
        <v>0</v>
      </c>
    </row>
    <row r="98" spans="1:77" ht="15.5" x14ac:dyDescent="0.35">
      <c r="A98" s="1">
        <v>25</v>
      </c>
      <c r="B98" s="80" t="s">
        <v>175</v>
      </c>
      <c r="C98" s="172" t="s">
        <v>245</v>
      </c>
      <c r="D98" s="81" t="s">
        <v>6</v>
      </c>
      <c r="E98" s="4"/>
      <c r="F98" s="4"/>
      <c r="G98" s="4"/>
      <c r="H98" s="4"/>
      <c r="I98" s="5"/>
      <c r="J98" s="4"/>
      <c r="K98" s="4"/>
      <c r="L98" s="4"/>
      <c r="M98" s="4"/>
      <c r="N98" s="8"/>
      <c r="O98" s="4"/>
      <c r="P98" s="8"/>
      <c r="Q98" s="4"/>
      <c r="R98" s="4">
        <v>1</v>
      </c>
      <c r="S98" s="4"/>
      <c r="T98" s="4"/>
      <c r="U98" s="4"/>
      <c r="V98" s="4"/>
      <c r="W98" s="30">
        <f t="shared" si="18"/>
        <v>0</v>
      </c>
      <c r="X98" s="30">
        <f t="shared" si="19"/>
        <v>1</v>
      </c>
      <c r="Y98" s="30">
        <f t="shared" si="20"/>
        <v>0</v>
      </c>
      <c r="AA98" s="1">
        <v>13</v>
      </c>
      <c r="AB98" s="80" t="s">
        <v>871</v>
      </c>
      <c r="AC98" s="172" t="s">
        <v>245</v>
      </c>
      <c r="AD98" s="81" t="s">
        <v>8</v>
      </c>
      <c r="AE98" s="4"/>
      <c r="AF98" s="4"/>
      <c r="AG98" s="4"/>
      <c r="AH98" s="4"/>
      <c r="AI98" s="4"/>
      <c r="AJ98" s="4"/>
      <c r="AK98" s="4"/>
      <c r="AL98" s="4"/>
      <c r="AM98" s="4"/>
      <c r="AN98" s="8"/>
      <c r="AO98" s="4"/>
      <c r="AP98" s="8"/>
      <c r="AQ98" s="4"/>
      <c r="AR98" s="4">
        <v>1</v>
      </c>
      <c r="AS98" s="4"/>
      <c r="AT98" s="4"/>
      <c r="AU98" s="4"/>
      <c r="AV98" s="4"/>
      <c r="AW98" s="30">
        <f t="shared" si="21"/>
        <v>0</v>
      </c>
      <c r="AX98" s="30">
        <f t="shared" si="22"/>
        <v>1</v>
      </c>
      <c r="AY98" s="30">
        <f t="shared" si="23"/>
        <v>0</v>
      </c>
      <c r="BA98" s="1">
        <v>23</v>
      </c>
      <c r="BB98" s="80" t="s">
        <v>173</v>
      </c>
      <c r="BC98" s="172" t="s">
        <v>245</v>
      </c>
      <c r="BD98" s="81" t="s">
        <v>8</v>
      </c>
      <c r="BE98" s="4"/>
      <c r="BF98" s="4"/>
      <c r="BG98" s="4"/>
      <c r="BH98" s="4"/>
      <c r="BI98" s="4"/>
      <c r="BJ98" s="4"/>
      <c r="BK98" s="4"/>
      <c r="BL98" s="4"/>
      <c r="BM98" s="4"/>
      <c r="BN98" s="8"/>
      <c r="BO98" s="4"/>
      <c r="BP98" s="8"/>
      <c r="BQ98" s="4"/>
      <c r="BR98" s="4"/>
      <c r="BS98" s="4"/>
      <c r="BT98" s="4"/>
      <c r="BU98" s="4"/>
      <c r="BV98" s="4"/>
      <c r="BW98" s="30">
        <f t="shared" si="24"/>
        <v>0</v>
      </c>
      <c r="BX98" s="30">
        <f t="shared" si="25"/>
        <v>0</v>
      </c>
      <c r="BY98" s="30">
        <f t="shared" si="26"/>
        <v>0</v>
      </c>
    </row>
    <row r="99" spans="1:77" ht="15.5" x14ac:dyDescent="0.35">
      <c r="A99" s="1">
        <v>27</v>
      </c>
      <c r="B99" s="80" t="s">
        <v>177</v>
      </c>
      <c r="C99" s="172" t="s">
        <v>245</v>
      </c>
      <c r="D99" s="81" t="s">
        <v>6</v>
      </c>
      <c r="E99" s="4"/>
      <c r="F99" s="4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30">
        <f t="shared" si="18"/>
        <v>0</v>
      </c>
      <c r="X99" s="30">
        <f t="shared" si="19"/>
        <v>0</v>
      </c>
      <c r="Y99" s="30">
        <f t="shared" si="20"/>
        <v>0</v>
      </c>
      <c r="AA99" s="1">
        <v>17</v>
      </c>
      <c r="AB99" s="80" t="s">
        <v>168</v>
      </c>
      <c r="AC99" s="172" t="s">
        <v>245</v>
      </c>
      <c r="AD99" s="81" t="s">
        <v>6</v>
      </c>
      <c r="AE99" s="4"/>
      <c r="AF99" s="5">
        <v>1</v>
      </c>
      <c r="AG99" s="4"/>
      <c r="AH99" s="4">
        <v>2</v>
      </c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30">
        <f t="shared" si="21"/>
        <v>2</v>
      </c>
      <c r="AX99" s="30">
        <f t="shared" si="22"/>
        <v>1</v>
      </c>
      <c r="AY99" s="30">
        <f t="shared" si="23"/>
        <v>0</v>
      </c>
      <c r="BA99" s="1">
        <v>24</v>
      </c>
      <c r="BB99" s="80" t="s">
        <v>174</v>
      </c>
      <c r="BC99" s="172" t="s">
        <v>245</v>
      </c>
      <c r="BD99" s="81" t="s">
        <v>8</v>
      </c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>
        <v>1</v>
      </c>
      <c r="BS99" s="4"/>
      <c r="BT99" s="4"/>
      <c r="BU99" s="4"/>
      <c r="BV99" s="4"/>
      <c r="BW99" s="30">
        <f t="shared" si="24"/>
        <v>0</v>
      </c>
      <c r="BX99" s="30">
        <f t="shared" si="25"/>
        <v>1</v>
      </c>
      <c r="BY99" s="30">
        <f t="shared" si="26"/>
        <v>0</v>
      </c>
    </row>
    <row r="100" spans="1:77" ht="15.5" x14ac:dyDescent="0.35">
      <c r="A100" s="1">
        <v>28</v>
      </c>
      <c r="B100" s="80" t="s">
        <v>178</v>
      </c>
      <c r="C100" s="172" t="s">
        <v>245</v>
      </c>
      <c r="D100" s="81" t="s">
        <v>6</v>
      </c>
      <c r="E100" s="4"/>
      <c r="F100" s="5">
        <v>1</v>
      </c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>
        <v>7</v>
      </c>
      <c r="S100" s="4"/>
      <c r="T100" s="4"/>
      <c r="U100" s="4">
        <v>1</v>
      </c>
      <c r="V100" s="4">
        <v>1</v>
      </c>
      <c r="W100" s="30">
        <f t="shared" ref="W100:W131" si="27">SUM(E100,H100,K100,N100,Q100,T100)</f>
        <v>0</v>
      </c>
      <c r="X100" s="30">
        <f t="shared" ref="X100:X131" si="28">SUM(F100,I100,L100,O100,R100,U100)</f>
        <v>9</v>
      </c>
      <c r="Y100" s="30">
        <f t="shared" ref="Y100:Y131" si="29">SUM(G100,J100,M100,P100,S100,V100)</f>
        <v>1</v>
      </c>
      <c r="AA100" s="1">
        <v>21</v>
      </c>
      <c r="AB100" s="80" t="s">
        <v>872</v>
      </c>
      <c r="AC100" s="172" t="s">
        <v>245</v>
      </c>
      <c r="AD100" s="81" t="s">
        <v>6</v>
      </c>
      <c r="AE100" s="4"/>
      <c r="AF100" s="5"/>
      <c r="AG100" s="4"/>
      <c r="AH100" s="5">
        <v>2</v>
      </c>
      <c r="AI100" s="4"/>
      <c r="AJ100" s="5"/>
      <c r="AK100" s="4"/>
      <c r="AL100" s="4"/>
      <c r="AM100" s="4"/>
      <c r="AN100" s="4"/>
      <c r="AO100" s="4"/>
      <c r="AP100" s="4"/>
      <c r="AQ100" s="4">
        <v>2</v>
      </c>
      <c r="AR100" s="4">
        <v>1</v>
      </c>
      <c r="AS100" s="4">
        <v>2</v>
      </c>
      <c r="AT100" s="4"/>
      <c r="AU100" s="4"/>
      <c r="AV100" s="4">
        <v>2</v>
      </c>
      <c r="AW100" s="30">
        <f t="shared" ref="AW100:AW131" si="30">SUM(AE100,AH100,AK100,AN100,AQ100,AT100)</f>
        <v>4</v>
      </c>
      <c r="AX100" s="30">
        <f t="shared" ref="AX100:AX131" si="31">SUM(AF100,AI100,AL100,AO100,AR100,AU100)</f>
        <v>1</v>
      </c>
      <c r="AY100" s="30">
        <f t="shared" ref="AY100:AY131" si="32">SUM(AG100,AJ100,AM100,AP100,AS100,AV100)</f>
        <v>4</v>
      </c>
      <c r="BA100" s="1">
        <v>25</v>
      </c>
      <c r="BB100" s="80" t="s">
        <v>175</v>
      </c>
      <c r="BC100" s="172" t="s">
        <v>245</v>
      </c>
      <c r="BD100" s="81" t="s">
        <v>6</v>
      </c>
      <c r="BE100" s="4"/>
      <c r="BF100" s="4"/>
      <c r="BG100" s="4"/>
      <c r="BH100" s="4"/>
      <c r="BI100" s="5"/>
      <c r="BJ100" s="4"/>
      <c r="BK100" s="4"/>
      <c r="BL100" s="4"/>
      <c r="BM100" s="4"/>
      <c r="BN100" s="4"/>
      <c r="BO100" s="4"/>
      <c r="BP100" s="4"/>
      <c r="BQ100" s="4"/>
      <c r="BR100" s="4">
        <v>1</v>
      </c>
      <c r="BS100" s="4"/>
      <c r="BT100" s="4"/>
      <c r="BU100" s="4"/>
      <c r="BV100" s="4"/>
      <c r="BW100" s="30">
        <f t="shared" ref="BW100:BW131" si="33">SUM(BE100,BH100,BK100,BN100,BQ100,BT100)</f>
        <v>0</v>
      </c>
      <c r="BX100" s="30">
        <f t="shared" ref="BX100:BX131" si="34">SUM(BF100,BI100,BL100,BO100,BR100,BU100)</f>
        <v>1</v>
      </c>
      <c r="BY100" s="30">
        <f t="shared" ref="BY100:BY131" si="35">SUM(BG100,BJ100,BM100,BP100,BS100,BV100)</f>
        <v>0</v>
      </c>
    </row>
    <row r="101" spans="1:77" ht="15.5" x14ac:dyDescent="0.35">
      <c r="A101" s="1">
        <v>32</v>
      </c>
      <c r="B101" s="53" t="s">
        <v>182</v>
      </c>
      <c r="C101" s="172" t="s">
        <v>245</v>
      </c>
      <c r="D101" s="81" t="s">
        <v>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>
        <v>1</v>
      </c>
      <c r="S101" s="4"/>
      <c r="T101" s="4"/>
      <c r="U101" s="4"/>
      <c r="V101" s="4"/>
      <c r="W101" s="30">
        <f t="shared" si="27"/>
        <v>0</v>
      </c>
      <c r="X101" s="30">
        <f t="shared" si="28"/>
        <v>1</v>
      </c>
      <c r="Y101" s="30">
        <f t="shared" si="29"/>
        <v>0</v>
      </c>
      <c r="AA101" s="1">
        <v>22</v>
      </c>
      <c r="AB101" s="80" t="s">
        <v>172</v>
      </c>
      <c r="AC101" s="172" t="s">
        <v>245</v>
      </c>
      <c r="AD101" s="81" t="s">
        <v>8</v>
      </c>
      <c r="AE101" s="4"/>
      <c r="AF101" s="4">
        <v>1</v>
      </c>
      <c r="AG101" s="4"/>
      <c r="AH101" s="4"/>
      <c r="AI101" s="5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30">
        <f t="shared" si="30"/>
        <v>0</v>
      </c>
      <c r="AX101" s="30">
        <f t="shared" si="31"/>
        <v>1</v>
      </c>
      <c r="AY101" s="30">
        <f t="shared" si="32"/>
        <v>0</v>
      </c>
      <c r="BA101" s="1">
        <v>27</v>
      </c>
      <c r="BB101" s="80" t="s">
        <v>177</v>
      </c>
      <c r="BC101" s="172" t="s">
        <v>245</v>
      </c>
      <c r="BD101" s="81" t="s">
        <v>6</v>
      </c>
      <c r="BE101" s="4"/>
      <c r="BF101" s="4"/>
      <c r="BG101" s="4"/>
      <c r="BH101" s="4"/>
      <c r="BI101" s="5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30">
        <f t="shared" si="33"/>
        <v>0</v>
      </c>
      <c r="BX101" s="30">
        <f t="shared" si="34"/>
        <v>0</v>
      </c>
      <c r="BY101" s="30">
        <f t="shared" si="35"/>
        <v>0</v>
      </c>
    </row>
    <row r="102" spans="1:77" ht="15.5" x14ac:dyDescent="0.35">
      <c r="A102" s="1">
        <v>33</v>
      </c>
      <c r="B102" s="53" t="s">
        <v>873</v>
      </c>
      <c r="C102" s="172" t="s">
        <v>245</v>
      </c>
      <c r="D102" s="81" t="s">
        <v>6</v>
      </c>
      <c r="E102" s="4"/>
      <c r="F102" s="4">
        <v>1</v>
      </c>
      <c r="G102" s="4"/>
      <c r="H102" s="5"/>
      <c r="I102" s="5"/>
      <c r="J102" s="5">
        <v>4</v>
      </c>
      <c r="K102" s="4"/>
      <c r="L102" s="4"/>
      <c r="M102" s="4"/>
      <c r="N102" s="4"/>
      <c r="O102" s="4"/>
      <c r="P102" s="4"/>
      <c r="Q102" s="4"/>
      <c r="R102" s="4"/>
      <c r="S102" s="4">
        <v>1</v>
      </c>
      <c r="T102" s="4"/>
      <c r="U102" s="4"/>
      <c r="V102" s="4"/>
      <c r="W102" s="30">
        <f t="shared" si="27"/>
        <v>0</v>
      </c>
      <c r="X102" s="30">
        <f t="shared" si="28"/>
        <v>1</v>
      </c>
      <c r="Y102" s="30">
        <f t="shared" si="29"/>
        <v>5</v>
      </c>
      <c r="AA102" s="1">
        <v>24</v>
      </c>
      <c r="AB102" s="80" t="s">
        <v>174</v>
      </c>
      <c r="AC102" s="172" t="s">
        <v>245</v>
      </c>
      <c r="AD102" s="81" t="s">
        <v>8</v>
      </c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>
        <v>1</v>
      </c>
      <c r="AS102" s="4"/>
      <c r="AT102" s="4"/>
      <c r="AU102" s="4"/>
      <c r="AV102" s="4"/>
      <c r="AW102" s="30">
        <f t="shared" si="30"/>
        <v>0</v>
      </c>
      <c r="AX102" s="30">
        <f t="shared" si="31"/>
        <v>1</v>
      </c>
      <c r="AY102" s="30">
        <f t="shared" si="32"/>
        <v>0</v>
      </c>
      <c r="BA102" s="1">
        <v>30</v>
      </c>
      <c r="BB102" s="99" t="s">
        <v>180</v>
      </c>
      <c r="BC102" s="172" t="s">
        <v>245</v>
      </c>
      <c r="BD102" s="85" t="s">
        <v>8</v>
      </c>
      <c r="BE102" s="4"/>
      <c r="BF102" s="4"/>
      <c r="BG102" s="4"/>
      <c r="BH102" s="4"/>
      <c r="BI102" s="4"/>
      <c r="BJ102" s="4"/>
      <c r="BK102" s="4"/>
      <c r="BL102" s="4"/>
      <c r="BM102" s="4"/>
      <c r="BN102" s="4">
        <v>1</v>
      </c>
      <c r="BO102" s="4"/>
      <c r="BP102" s="4"/>
      <c r="BQ102" s="4"/>
      <c r="BR102" s="4">
        <v>2</v>
      </c>
      <c r="BS102" s="4"/>
      <c r="BT102" s="4"/>
      <c r="BU102" s="4"/>
      <c r="BV102" s="4"/>
      <c r="BW102" s="30">
        <f t="shared" si="33"/>
        <v>1</v>
      </c>
      <c r="BX102" s="30">
        <f t="shared" si="34"/>
        <v>2</v>
      </c>
      <c r="BY102" s="30">
        <f t="shared" si="35"/>
        <v>0</v>
      </c>
    </row>
    <row r="103" spans="1:77" ht="15.5" x14ac:dyDescent="0.35">
      <c r="A103" s="1">
        <v>34</v>
      </c>
      <c r="B103" s="94" t="s">
        <v>183</v>
      </c>
      <c r="C103" s="172" t="s">
        <v>245</v>
      </c>
      <c r="D103" s="81" t="s">
        <v>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30">
        <f t="shared" si="27"/>
        <v>0</v>
      </c>
      <c r="X103" s="30">
        <f t="shared" si="28"/>
        <v>0</v>
      </c>
      <c r="Y103" s="30">
        <f t="shared" si="29"/>
        <v>0</v>
      </c>
      <c r="AA103" s="1">
        <v>25</v>
      </c>
      <c r="AB103" s="80" t="s">
        <v>175</v>
      </c>
      <c r="AC103" s="172" t="s">
        <v>245</v>
      </c>
      <c r="AD103" s="81" t="s">
        <v>6</v>
      </c>
      <c r="AE103" s="4"/>
      <c r="AF103" s="4"/>
      <c r="AG103" s="4"/>
      <c r="AH103" s="4"/>
      <c r="AI103" s="5"/>
      <c r="AJ103" s="4"/>
      <c r="AK103" s="4"/>
      <c r="AL103" s="4"/>
      <c r="AM103" s="4"/>
      <c r="AN103" s="4"/>
      <c r="AO103" s="4"/>
      <c r="AP103" s="4"/>
      <c r="AQ103" s="4"/>
      <c r="AR103" s="4">
        <v>1</v>
      </c>
      <c r="AS103" s="4"/>
      <c r="AT103" s="4"/>
      <c r="AU103" s="4"/>
      <c r="AV103" s="4"/>
      <c r="AW103" s="30">
        <f t="shared" si="30"/>
        <v>0</v>
      </c>
      <c r="AX103" s="30">
        <f t="shared" si="31"/>
        <v>1</v>
      </c>
      <c r="AY103" s="30">
        <f t="shared" si="32"/>
        <v>0</v>
      </c>
      <c r="BA103" s="1">
        <v>32</v>
      </c>
      <c r="BB103" s="53" t="s">
        <v>182</v>
      </c>
      <c r="BC103" s="172" t="s">
        <v>245</v>
      </c>
      <c r="BD103" s="81" t="s">
        <v>8</v>
      </c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>
        <v>1</v>
      </c>
      <c r="BS103" s="4"/>
      <c r="BT103" s="4"/>
      <c r="BU103" s="4"/>
      <c r="BV103" s="4"/>
      <c r="BW103" s="30">
        <f t="shared" si="33"/>
        <v>0</v>
      </c>
      <c r="BX103" s="30">
        <f t="shared" si="34"/>
        <v>1</v>
      </c>
      <c r="BY103" s="30">
        <f t="shared" si="35"/>
        <v>0</v>
      </c>
    </row>
    <row r="104" spans="1:77" ht="15.5" x14ac:dyDescent="0.35">
      <c r="A104" s="1">
        <v>35</v>
      </c>
      <c r="B104" s="99" t="s">
        <v>184</v>
      </c>
      <c r="C104" s="172" t="s">
        <v>245</v>
      </c>
      <c r="D104" s="85" t="s">
        <v>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30">
        <f t="shared" si="27"/>
        <v>0</v>
      </c>
      <c r="X104" s="30">
        <f t="shared" si="28"/>
        <v>0</v>
      </c>
      <c r="Y104" s="30">
        <f t="shared" si="29"/>
        <v>0</v>
      </c>
      <c r="AA104" s="1">
        <v>32</v>
      </c>
      <c r="AB104" s="53" t="s">
        <v>182</v>
      </c>
      <c r="AC104" s="172" t="s">
        <v>245</v>
      </c>
      <c r="AD104" s="81" t="s">
        <v>8</v>
      </c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>
        <v>1</v>
      </c>
      <c r="AS104" s="4"/>
      <c r="AT104" s="4"/>
      <c r="AU104" s="4"/>
      <c r="AV104" s="4"/>
      <c r="AW104" s="30">
        <f t="shared" si="30"/>
        <v>0</v>
      </c>
      <c r="AX104" s="30">
        <f t="shared" si="31"/>
        <v>1</v>
      </c>
      <c r="AY104" s="30">
        <f t="shared" si="32"/>
        <v>0</v>
      </c>
      <c r="BA104" s="1">
        <v>34</v>
      </c>
      <c r="BB104" s="94" t="s">
        <v>183</v>
      </c>
      <c r="BC104" s="172" t="s">
        <v>245</v>
      </c>
      <c r="BD104" s="81" t="s">
        <v>6</v>
      </c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30">
        <f t="shared" si="33"/>
        <v>0</v>
      </c>
      <c r="BX104" s="30">
        <f t="shared" si="34"/>
        <v>0</v>
      </c>
      <c r="BY104" s="30">
        <f t="shared" si="35"/>
        <v>0</v>
      </c>
    </row>
    <row r="105" spans="1:77" ht="15.5" x14ac:dyDescent="0.35">
      <c r="A105" s="1">
        <v>1</v>
      </c>
      <c r="B105" s="80" t="s">
        <v>185</v>
      </c>
      <c r="C105" s="172" t="s">
        <v>242</v>
      </c>
      <c r="D105" s="81" t="s">
        <v>8</v>
      </c>
      <c r="E105" s="4"/>
      <c r="F105" s="4">
        <v>1</v>
      </c>
      <c r="G105" s="4"/>
      <c r="H105" s="4"/>
      <c r="I105" s="4">
        <v>1</v>
      </c>
      <c r="J105" s="4"/>
      <c r="K105" s="4"/>
      <c r="L105" s="4"/>
      <c r="M105" s="4"/>
      <c r="N105" s="4"/>
      <c r="O105" s="4"/>
      <c r="P105" s="4"/>
      <c r="Q105" s="4"/>
      <c r="R105" s="4">
        <v>3</v>
      </c>
      <c r="S105" s="4"/>
      <c r="T105" s="4"/>
      <c r="U105" s="4">
        <v>1</v>
      </c>
      <c r="V105" s="4"/>
      <c r="W105" s="30">
        <f t="shared" si="27"/>
        <v>0</v>
      </c>
      <c r="X105" s="30">
        <f t="shared" si="28"/>
        <v>6</v>
      </c>
      <c r="Y105" s="30">
        <f t="shared" si="29"/>
        <v>0</v>
      </c>
      <c r="AA105" s="1">
        <v>33</v>
      </c>
      <c r="AB105" s="53" t="s">
        <v>873</v>
      </c>
      <c r="AC105" s="172" t="s">
        <v>245</v>
      </c>
      <c r="AD105" s="81" t="s">
        <v>6</v>
      </c>
      <c r="AE105" s="4"/>
      <c r="AF105" s="4">
        <v>1</v>
      </c>
      <c r="AG105" s="4"/>
      <c r="AH105" s="5"/>
      <c r="AI105" s="5"/>
      <c r="AJ105" s="5">
        <v>4</v>
      </c>
      <c r="AK105" s="4"/>
      <c r="AL105" s="4"/>
      <c r="AM105" s="4"/>
      <c r="AN105" s="4"/>
      <c r="AO105" s="4"/>
      <c r="AP105" s="4"/>
      <c r="AQ105" s="4"/>
      <c r="AR105" s="4"/>
      <c r="AS105" s="4">
        <v>1</v>
      </c>
      <c r="AT105" s="4"/>
      <c r="AU105" s="4"/>
      <c r="AV105" s="4"/>
      <c r="AW105" s="30">
        <f t="shared" si="30"/>
        <v>0</v>
      </c>
      <c r="AX105" s="30">
        <f t="shared" si="31"/>
        <v>1</v>
      </c>
      <c r="AY105" s="30">
        <f t="shared" si="32"/>
        <v>5</v>
      </c>
      <c r="BA105" s="1">
        <v>35</v>
      </c>
      <c r="BB105" s="99" t="s">
        <v>184</v>
      </c>
      <c r="BC105" s="172" t="s">
        <v>245</v>
      </c>
      <c r="BD105" s="85" t="s">
        <v>8</v>
      </c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30">
        <f t="shared" si="33"/>
        <v>0</v>
      </c>
      <c r="BX105" s="30">
        <f t="shared" si="34"/>
        <v>0</v>
      </c>
      <c r="BY105" s="30">
        <f t="shared" si="35"/>
        <v>0</v>
      </c>
    </row>
    <row r="106" spans="1:77" ht="15.5" x14ac:dyDescent="0.35">
      <c r="A106" s="1">
        <v>3</v>
      </c>
      <c r="B106" s="80" t="s">
        <v>187</v>
      </c>
      <c r="C106" s="172" t="s">
        <v>242</v>
      </c>
      <c r="D106" s="81" t="s">
        <v>8</v>
      </c>
      <c r="E106" s="4"/>
      <c r="F106" s="5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>
        <v>1</v>
      </c>
      <c r="S106" s="4"/>
      <c r="T106" s="4"/>
      <c r="U106" s="4"/>
      <c r="V106" s="4"/>
      <c r="W106" s="30">
        <f t="shared" si="27"/>
        <v>0</v>
      </c>
      <c r="X106" s="30">
        <f t="shared" si="28"/>
        <v>2</v>
      </c>
      <c r="Y106" s="30">
        <f t="shared" si="29"/>
        <v>0</v>
      </c>
      <c r="AA106" s="1">
        <v>9</v>
      </c>
      <c r="AB106" s="80" t="s">
        <v>192</v>
      </c>
      <c r="AC106" s="172" t="s">
        <v>242</v>
      </c>
      <c r="AD106" s="81" t="s">
        <v>8</v>
      </c>
      <c r="AE106" s="4"/>
      <c r="AF106" s="4"/>
      <c r="AG106" s="5"/>
      <c r="AH106" s="4"/>
      <c r="AI106" s="4"/>
      <c r="AJ106" s="5"/>
      <c r="AK106" s="4"/>
      <c r="AL106" s="4"/>
      <c r="AM106" s="4"/>
      <c r="AN106" s="4"/>
      <c r="AO106" s="4">
        <v>1</v>
      </c>
      <c r="AP106" s="4"/>
      <c r="AQ106" s="4"/>
      <c r="AR106" s="4"/>
      <c r="AS106" s="4"/>
      <c r="AT106" s="4">
        <v>1</v>
      </c>
      <c r="AU106" s="4"/>
      <c r="AV106" s="4"/>
      <c r="AW106" s="30">
        <f t="shared" si="30"/>
        <v>1</v>
      </c>
      <c r="AX106" s="30">
        <f t="shared" si="31"/>
        <v>1</v>
      </c>
      <c r="AY106" s="30">
        <f t="shared" si="32"/>
        <v>0</v>
      </c>
      <c r="BA106" s="1">
        <v>36</v>
      </c>
      <c r="BB106" s="72" t="s">
        <v>874</v>
      </c>
      <c r="BC106" s="172" t="s">
        <v>245</v>
      </c>
      <c r="BD106" s="85" t="s">
        <v>8</v>
      </c>
      <c r="BE106" s="3"/>
      <c r="BF106" s="3"/>
      <c r="BG106" s="3"/>
      <c r="BH106" s="5">
        <v>1</v>
      </c>
      <c r="BI106" s="5">
        <v>4</v>
      </c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30">
        <f t="shared" si="33"/>
        <v>1</v>
      </c>
      <c r="BX106" s="30">
        <f t="shared" si="34"/>
        <v>4</v>
      </c>
      <c r="BY106" s="30">
        <f t="shared" si="35"/>
        <v>0</v>
      </c>
    </row>
    <row r="107" spans="1:77" ht="15.5" x14ac:dyDescent="0.35">
      <c r="A107" s="1">
        <v>7</v>
      </c>
      <c r="B107" s="80" t="s">
        <v>190</v>
      </c>
      <c r="C107" s="172" t="s">
        <v>242</v>
      </c>
      <c r="D107" s="82" t="s">
        <v>8</v>
      </c>
      <c r="E107" s="4"/>
      <c r="F107" s="4"/>
      <c r="G107" s="4"/>
      <c r="H107" s="4"/>
      <c r="I107" s="5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30">
        <f t="shared" si="27"/>
        <v>0</v>
      </c>
      <c r="X107" s="30">
        <f t="shared" si="28"/>
        <v>0</v>
      </c>
      <c r="Y107" s="30">
        <f t="shared" si="29"/>
        <v>0</v>
      </c>
      <c r="AA107" s="1">
        <v>13</v>
      </c>
      <c r="AB107" s="92" t="s">
        <v>196</v>
      </c>
      <c r="AC107" s="172" t="s">
        <v>242</v>
      </c>
      <c r="AD107" s="82" t="s">
        <v>8</v>
      </c>
      <c r="AE107" s="4"/>
      <c r="AF107" s="4"/>
      <c r="AG107" s="4"/>
      <c r="AH107" s="4"/>
      <c r="AI107" s="5"/>
      <c r="AJ107" s="4"/>
      <c r="AK107" s="4"/>
      <c r="AL107" s="4"/>
      <c r="AM107" s="4"/>
      <c r="AN107" s="4"/>
      <c r="AO107" s="4">
        <v>1</v>
      </c>
      <c r="AP107" s="4"/>
      <c r="AQ107" s="4"/>
      <c r="AR107" s="4"/>
      <c r="AS107" s="4"/>
      <c r="AT107" s="4"/>
      <c r="AU107" s="4"/>
      <c r="AV107" s="4"/>
      <c r="AW107" s="30">
        <f t="shared" si="30"/>
        <v>0</v>
      </c>
      <c r="AX107" s="30">
        <f t="shared" si="31"/>
        <v>1</v>
      </c>
      <c r="AY107" s="30">
        <f t="shared" si="32"/>
        <v>0</v>
      </c>
      <c r="BA107" s="1">
        <v>1</v>
      </c>
      <c r="BB107" s="80" t="s">
        <v>185</v>
      </c>
      <c r="BC107" s="172" t="s">
        <v>242</v>
      </c>
      <c r="BD107" s="81" t="s">
        <v>8</v>
      </c>
      <c r="BE107" s="4"/>
      <c r="BF107" s="4">
        <v>1</v>
      </c>
      <c r="BG107" s="4"/>
      <c r="BH107" s="4"/>
      <c r="BI107" s="4">
        <v>1</v>
      </c>
      <c r="BJ107" s="4"/>
      <c r="BK107" s="4"/>
      <c r="BL107" s="4"/>
      <c r="BM107" s="4"/>
      <c r="BN107" s="4"/>
      <c r="BO107" s="4"/>
      <c r="BP107" s="4"/>
      <c r="BQ107" s="4"/>
      <c r="BR107" s="4">
        <v>3</v>
      </c>
      <c r="BS107" s="4"/>
      <c r="BT107" s="4"/>
      <c r="BU107" s="4">
        <v>1</v>
      </c>
      <c r="BV107" s="4"/>
      <c r="BW107" s="30">
        <f t="shared" si="33"/>
        <v>0</v>
      </c>
      <c r="BX107" s="30">
        <f t="shared" si="34"/>
        <v>6</v>
      </c>
      <c r="BY107" s="30">
        <f t="shared" si="35"/>
        <v>0</v>
      </c>
    </row>
    <row r="108" spans="1:77" ht="15.5" x14ac:dyDescent="0.35">
      <c r="A108" s="1">
        <v>8</v>
      </c>
      <c r="B108" s="80" t="s">
        <v>191</v>
      </c>
      <c r="C108" s="172" t="s">
        <v>242</v>
      </c>
      <c r="D108" s="81" t="s">
        <v>8</v>
      </c>
      <c r="E108" s="4"/>
      <c r="F108" s="4"/>
      <c r="G108" s="4"/>
      <c r="H108" s="4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30">
        <f t="shared" si="27"/>
        <v>0</v>
      </c>
      <c r="X108" s="30">
        <f t="shared" si="28"/>
        <v>0</v>
      </c>
      <c r="Y108" s="30">
        <f t="shared" si="29"/>
        <v>0</v>
      </c>
      <c r="AA108" s="1">
        <v>15</v>
      </c>
      <c r="AB108" s="80" t="s">
        <v>198</v>
      </c>
      <c r="AC108" s="172" t="s">
        <v>242</v>
      </c>
      <c r="AD108" s="81" t="s">
        <v>8</v>
      </c>
      <c r="AE108" s="4"/>
      <c r="AF108" s="4"/>
      <c r="AG108" s="4"/>
      <c r="AH108" s="4"/>
      <c r="AI108" s="4">
        <v>1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30">
        <f t="shared" si="30"/>
        <v>0</v>
      </c>
      <c r="AX108" s="30">
        <f t="shared" si="31"/>
        <v>1</v>
      </c>
      <c r="AY108" s="30">
        <f t="shared" si="32"/>
        <v>0</v>
      </c>
      <c r="BA108" s="1">
        <v>2</v>
      </c>
      <c r="BB108" s="80" t="s">
        <v>186</v>
      </c>
      <c r="BC108" s="172" t="s">
        <v>242</v>
      </c>
      <c r="BD108" s="82" t="s">
        <v>8</v>
      </c>
      <c r="BE108" s="4"/>
      <c r="BF108" s="4"/>
      <c r="BG108" s="4"/>
      <c r="BH108" s="4"/>
      <c r="BI108" s="4"/>
      <c r="BJ108" s="4"/>
      <c r="BK108" s="4"/>
      <c r="BL108" s="4">
        <v>1</v>
      </c>
      <c r="BM108" s="4"/>
      <c r="BN108" s="4">
        <v>2</v>
      </c>
      <c r="BO108" s="4"/>
      <c r="BP108" s="4"/>
      <c r="BQ108" s="4"/>
      <c r="BR108" s="4">
        <v>4</v>
      </c>
      <c r="BS108" s="4"/>
      <c r="BT108" s="4"/>
      <c r="BU108" s="4"/>
      <c r="BV108" s="4"/>
      <c r="BW108" s="30">
        <f t="shared" si="33"/>
        <v>2</v>
      </c>
      <c r="BX108" s="30">
        <f t="shared" si="34"/>
        <v>5</v>
      </c>
      <c r="BY108" s="30">
        <f t="shared" si="35"/>
        <v>0</v>
      </c>
    </row>
    <row r="109" spans="1:77" ht="15.5" x14ac:dyDescent="0.35">
      <c r="A109" s="1">
        <v>11</v>
      </c>
      <c r="B109" s="80" t="s">
        <v>194</v>
      </c>
      <c r="C109" s="172" t="s">
        <v>242</v>
      </c>
      <c r="D109" s="81" t="s">
        <v>8</v>
      </c>
      <c r="E109" s="4"/>
      <c r="F109" s="4"/>
      <c r="G109" s="4"/>
      <c r="H109" s="4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30">
        <f t="shared" si="27"/>
        <v>0</v>
      </c>
      <c r="X109" s="30">
        <f t="shared" si="28"/>
        <v>0</v>
      </c>
      <c r="Y109" s="30">
        <f t="shared" si="29"/>
        <v>0</v>
      </c>
      <c r="AA109" s="1">
        <v>34</v>
      </c>
      <c r="AB109" s="80" t="s">
        <v>214</v>
      </c>
      <c r="AC109" s="172" t="s">
        <v>242</v>
      </c>
      <c r="AD109" s="82" t="s">
        <v>8</v>
      </c>
      <c r="AE109" s="4"/>
      <c r="AF109" s="4"/>
      <c r="AG109" s="4"/>
      <c r="AH109" s="4"/>
      <c r="AI109" s="4"/>
      <c r="AJ109" s="4"/>
      <c r="AK109" s="4"/>
      <c r="AL109" s="4"/>
      <c r="AM109" s="4"/>
      <c r="AN109" s="4">
        <v>1</v>
      </c>
      <c r="AO109" s="4"/>
      <c r="AP109" s="4">
        <v>1</v>
      </c>
      <c r="AQ109" s="4"/>
      <c r="AR109" s="4">
        <v>1</v>
      </c>
      <c r="AS109" s="4">
        <v>1</v>
      </c>
      <c r="AT109" s="4"/>
      <c r="AU109" s="4"/>
      <c r="AV109" s="4">
        <v>1</v>
      </c>
      <c r="AW109" s="30">
        <f t="shared" si="30"/>
        <v>1</v>
      </c>
      <c r="AX109" s="30">
        <f t="shared" si="31"/>
        <v>1</v>
      </c>
      <c r="AY109" s="30">
        <f t="shared" si="32"/>
        <v>3</v>
      </c>
      <c r="BA109" s="1">
        <v>3</v>
      </c>
      <c r="BB109" s="80" t="s">
        <v>187</v>
      </c>
      <c r="BC109" s="172" t="s">
        <v>242</v>
      </c>
      <c r="BD109" s="81" t="s">
        <v>8</v>
      </c>
      <c r="BE109" s="4"/>
      <c r="BF109" s="5">
        <v>1</v>
      </c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>
        <v>1</v>
      </c>
      <c r="BS109" s="4"/>
      <c r="BT109" s="4"/>
      <c r="BU109" s="4"/>
      <c r="BV109" s="4"/>
      <c r="BW109" s="30">
        <f t="shared" si="33"/>
        <v>0</v>
      </c>
      <c r="BX109" s="30">
        <f t="shared" si="34"/>
        <v>2</v>
      </c>
      <c r="BY109" s="30">
        <f t="shared" si="35"/>
        <v>0</v>
      </c>
    </row>
    <row r="110" spans="1:77" ht="15.5" x14ac:dyDescent="0.35">
      <c r="A110" s="1">
        <v>12</v>
      </c>
      <c r="B110" s="80" t="s">
        <v>195</v>
      </c>
      <c r="C110" s="172" t="s">
        <v>242</v>
      </c>
      <c r="D110" s="81" t="s">
        <v>8</v>
      </c>
      <c r="E110" s="4"/>
      <c r="F110" s="4"/>
      <c r="G110" s="4"/>
      <c r="H110" s="4"/>
      <c r="I110" s="4">
        <v>1</v>
      </c>
      <c r="J110" s="4"/>
      <c r="K110" s="4"/>
      <c r="L110" s="4">
        <v>1</v>
      </c>
      <c r="M110" s="4"/>
      <c r="N110" s="4"/>
      <c r="O110" s="4">
        <v>2</v>
      </c>
      <c r="P110" s="4"/>
      <c r="Q110" s="4"/>
      <c r="R110" s="4"/>
      <c r="S110" s="4"/>
      <c r="T110" s="4"/>
      <c r="U110" s="4"/>
      <c r="V110" s="4"/>
      <c r="W110" s="30">
        <f t="shared" si="27"/>
        <v>0</v>
      </c>
      <c r="X110" s="30">
        <f t="shared" si="28"/>
        <v>4</v>
      </c>
      <c r="Y110" s="30">
        <f t="shared" si="29"/>
        <v>0</v>
      </c>
      <c r="AA110" s="1">
        <v>36</v>
      </c>
      <c r="AB110" s="80" t="s">
        <v>216</v>
      </c>
      <c r="AC110" s="172" t="s">
        <v>242</v>
      </c>
      <c r="AD110" s="85" t="s">
        <v>8</v>
      </c>
      <c r="AE110" s="4"/>
      <c r="AF110" s="4">
        <v>1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>
        <v>2</v>
      </c>
      <c r="AT110" s="4"/>
      <c r="AU110" s="4"/>
      <c r="AV110" s="4"/>
      <c r="AW110" s="30">
        <f t="shared" si="30"/>
        <v>0</v>
      </c>
      <c r="AX110" s="30">
        <f t="shared" si="31"/>
        <v>1</v>
      </c>
      <c r="AY110" s="30">
        <f t="shared" si="32"/>
        <v>2</v>
      </c>
      <c r="BA110" s="1">
        <v>4</v>
      </c>
      <c r="BB110" s="90" t="s">
        <v>188</v>
      </c>
      <c r="BC110" s="172" t="s">
        <v>242</v>
      </c>
      <c r="BD110" s="81" t="s">
        <v>8</v>
      </c>
      <c r="BE110" s="4"/>
      <c r="BF110" s="4">
        <v>1</v>
      </c>
      <c r="BG110" s="4"/>
      <c r="BH110" s="4">
        <v>1</v>
      </c>
      <c r="BI110" s="5">
        <v>1</v>
      </c>
      <c r="BJ110" s="4"/>
      <c r="BK110" s="4"/>
      <c r="BL110" s="4">
        <v>1</v>
      </c>
      <c r="BM110" s="4"/>
      <c r="BN110" s="4">
        <v>1</v>
      </c>
      <c r="BO110" s="4"/>
      <c r="BP110" s="4"/>
      <c r="BQ110" s="4"/>
      <c r="BR110" s="4">
        <v>1</v>
      </c>
      <c r="BS110" s="4"/>
      <c r="BT110" s="4"/>
      <c r="BU110" s="4"/>
      <c r="BV110" s="4"/>
      <c r="BW110" s="30">
        <f t="shared" si="33"/>
        <v>2</v>
      </c>
      <c r="BX110" s="30">
        <f t="shared" si="34"/>
        <v>4</v>
      </c>
      <c r="BY110" s="30">
        <f t="shared" si="35"/>
        <v>0</v>
      </c>
    </row>
    <row r="111" spans="1:77" ht="15.5" x14ac:dyDescent="0.35">
      <c r="A111" s="1">
        <v>13</v>
      </c>
      <c r="B111" s="92" t="s">
        <v>196</v>
      </c>
      <c r="C111" s="172" t="s">
        <v>242</v>
      </c>
      <c r="D111" s="82" t="s">
        <v>8</v>
      </c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>
        <v>1</v>
      </c>
      <c r="P111" s="4"/>
      <c r="Q111" s="4"/>
      <c r="R111" s="4"/>
      <c r="S111" s="4"/>
      <c r="T111" s="4"/>
      <c r="U111" s="4"/>
      <c r="V111" s="4"/>
      <c r="W111" s="30">
        <f t="shared" si="27"/>
        <v>0</v>
      </c>
      <c r="X111" s="30">
        <f t="shared" si="28"/>
        <v>1</v>
      </c>
      <c r="Y111" s="30">
        <f t="shared" si="29"/>
        <v>0</v>
      </c>
      <c r="AA111" s="1">
        <v>40</v>
      </c>
      <c r="AB111" s="80" t="s">
        <v>219</v>
      </c>
      <c r="AC111" s="172" t="s">
        <v>242</v>
      </c>
      <c r="AD111" s="81" t="s">
        <v>8</v>
      </c>
      <c r="AE111" s="9"/>
      <c r="AF111" s="9">
        <v>1</v>
      </c>
      <c r="AG111" s="9">
        <v>1</v>
      </c>
      <c r="AH111" s="9"/>
      <c r="AI111" s="4"/>
      <c r="AJ111" s="9"/>
      <c r="AK111" s="9"/>
      <c r="AL111" s="9"/>
      <c r="AM111" s="9"/>
      <c r="AN111" s="9"/>
      <c r="AO111" s="9"/>
      <c r="AP111" s="9"/>
      <c r="AQ111" s="9"/>
      <c r="AR111" s="9"/>
      <c r="AS111" s="9">
        <v>1</v>
      </c>
      <c r="AT111" s="9"/>
      <c r="AU111" s="9"/>
      <c r="AV111" s="9"/>
      <c r="AW111" s="30">
        <f t="shared" si="30"/>
        <v>0</v>
      </c>
      <c r="AX111" s="30">
        <f t="shared" si="31"/>
        <v>1</v>
      </c>
      <c r="AY111" s="30">
        <f t="shared" si="32"/>
        <v>2</v>
      </c>
      <c r="BA111" s="1">
        <v>7</v>
      </c>
      <c r="BB111" s="80" t="s">
        <v>190</v>
      </c>
      <c r="BC111" s="172" t="s">
        <v>242</v>
      </c>
      <c r="BD111" s="82" t="s">
        <v>8</v>
      </c>
      <c r="BE111" s="4"/>
      <c r="BF111" s="4"/>
      <c r="BG111" s="4"/>
      <c r="BH111" s="4"/>
      <c r="BI111" s="5"/>
      <c r="BJ111" s="5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30">
        <f t="shared" si="33"/>
        <v>0</v>
      </c>
      <c r="BX111" s="30">
        <f t="shared" si="34"/>
        <v>0</v>
      </c>
      <c r="BY111" s="30">
        <f t="shared" si="35"/>
        <v>0</v>
      </c>
    </row>
    <row r="112" spans="1:77" ht="15.5" x14ac:dyDescent="0.35">
      <c r="A112" s="1">
        <v>14</v>
      </c>
      <c r="B112" s="80" t="s">
        <v>197</v>
      </c>
      <c r="C112" s="172" t="s">
        <v>242</v>
      </c>
      <c r="D112" s="81" t="s">
        <v>8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30">
        <f t="shared" si="27"/>
        <v>0</v>
      </c>
      <c r="X112" s="30">
        <f t="shared" si="28"/>
        <v>0</v>
      </c>
      <c r="Y112" s="30">
        <f t="shared" si="29"/>
        <v>0</v>
      </c>
      <c r="AA112" s="1">
        <v>1</v>
      </c>
      <c r="AB112" s="80" t="s">
        <v>5</v>
      </c>
      <c r="AC112" s="172" t="s">
        <v>241</v>
      </c>
      <c r="AD112" s="81" t="s">
        <v>6</v>
      </c>
      <c r="AE112" s="29"/>
      <c r="AF112" s="29"/>
      <c r="AG112" s="29">
        <v>1</v>
      </c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>
        <v>2</v>
      </c>
      <c r="AS112" s="29">
        <v>3</v>
      </c>
      <c r="AT112" s="29"/>
      <c r="AU112" s="29"/>
      <c r="AV112" s="29"/>
      <c r="AW112" s="30">
        <f t="shared" si="30"/>
        <v>0</v>
      </c>
      <c r="AX112" s="30">
        <f t="shared" si="31"/>
        <v>2</v>
      </c>
      <c r="AY112" s="30">
        <f t="shared" si="32"/>
        <v>4</v>
      </c>
      <c r="BA112" s="1">
        <v>8</v>
      </c>
      <c r="BB112" s="80" t="s">
        <v>191</v>
      </c>
      <c r="BC112" s="172" t="s">
        <v>242</v>
      </c>
      <c r="BD112" s="81" t="s">
        <v>8</v>
      </c>
      <c r="BE112" s="4"/>
      <c r="BF112" s="4"/>
      <c r="BG112" s="4"/>
      <c r="BH112" s="4"/>
      <c r="BI112" s="4"/>
      <c r="BJ112" s="5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30">
        <f t="shared" si="33"/>
        <v>0</v>
      </c>
      <c r="BX112" s="30">
        <f t="shared" si="34"/>
        <v>0</v>
      </c>
      <c r="BY112" s="30">
        <f t="shared" si="35"/>
        <v>0</v>
      </c>
    </row>
    <row r="113" spans="1:77" ht="15.5" x14ac:dyDescent="0.35">
      <c r="A113" s="1">
        <v>15</v>
      </c>
      <c r="B113" s="80" t="s">
        <v>198</v>
      </c>
      <c r="C113" s="172" t="s">
        <v>242</v>
      </c>
      <c r="D113" s="81" t="s">
        <v>8</v>
      </c>
      <c r="E113" s="4"/>
      <c r="F113" s="4"/>
      <c r="G113" s="4"/>
      <c r="H113" s="4"/>
      <c r="I113" s="4">
        <v>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30">
        <f t="shared" si="27"/>
        <v>0</v>
      </c>
      <c r="X113" s="30">
        <f t="shared" si="28"/>
        <v>1</v>
      </c>
      <c r="Y113" s="30">
        <f t="shared" si="29"/>
        <v>0</v>
      </c>
      <c r="AA113" s="1">
        <v>8</v>
      </c>
      <c r="AB113" s="80" t="s">
        <v>855</v>
      </c>
      <c r="AC113" s="172" t="s">
        <v>241</v>
      </c>
      <c r="AD113" s="81" t="s">
        <v>6</v>
      </c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>
        <v>2</v>
      </c>
      <c r="AV113" s="29"/>
      <c r="AW113" s="30">
        <f t="shared" si="30"/>
        <v>0</v>
      </c>
      <c r="AX113" s="30">
        <f t="shared" si="31"/>
        <v>2</v>
      </c>
      <c r="AY113" s="30">
        <f t="shared" si="32"/>
        <v>0</v>
      </c>
      <c r="BA113" s="1">
        <v>9</v>
      </c>
      <c r="BB113" s="80" t="s">
        <v>192</v>
      </c>
      <c r="BC113" s="172" t="s">
        <v>242</v>
      </c>
      <c r="BD113" s="81" t="s">
        <v>8</v>
      </c>
      <c r="BE113" s="4"/>
      <c r="BF113" s="4"/>
      <c r="BG113" s="5"/>
      <c r="BH113" s="4"/>
      <c r="BI113" s="4"/>
      <c r="BJ113" s="5"/>
      <c r="BK113" s="4"/>
      <c r="BL113" s="4"/>
      <c r="BM113" s="4"/>
      <c r="BN113" s="4"/>
      <c r="BO113" s="4">
        <v>1</v>
      </c>
      <c r="BP113" s="4"/>
      <c r="BQ113" s="4"/>
      <c r="BR113" s="4"/>
      <c r="BS113" s="4"/>
      <c r="BT113" s="4">
        <v>1</v>
      </c>
      <c r="BU113" s="4"/>
      <c r="BV113" s="4"/>
      <c r="BW113" s="30">
        <f t="shared" si="33"/>
        <v>1</v>
      </c>
      <c r="BX113" s="30">
        <f t="shared" si="34"/>
        <v>1</v>
      </c>
      <c r="BY113" s="30">
        <f t="shared" si="35"/>
        <v>0</v>
      </c>
    </row>
    <row r="114" spans="1:77" ht="15.5" x14ac:dyDescent="0.35">
      <c r="A114" s="1">
        <v>16</v>
      </c>
      <c r="B114" s="80" t="s">
        <v>199</v>
      </c>
      <c r="C114" s="172" t="s">
        <v>242</v>
      </c>
      <c r="D114" s="82" t="s">
        <v>8</v>
      </c>
      <c r="E114" s="4"/>
      <c r="F114" s="4"/>
      <c r="G114" s="4"/>
      <c r="H114" s="4"/>
      <c r="I114" s="4">
        <v>1</v>
      </c>
      <c r="J114" s="4">
        <v>1</v>
      </c>
      <c r="K114" s="4"/>
      <c r="L114" s="4"/>
      <c r="M114" s="4"/>
      <c r="N114" s="4"/>
      <c r="O114" s="4">
        <v>2</v>
      </c>
      <c r="P114" s="4"/>
      <c r="Q114" s="4"/>
      <c r="R114" s="4">
        <v>1</v>
      </c>
      <c r="S114" s="4">
        <v>1</v>
      </c>
      <c r="T114" s="4"/>
      <c r="U114" s="4"/>
      <c r="V114" s="4"/>
      <c r="W114" s="30">
        <f t="shared" si="27"/>
        <v>0</v>
      </c>
      <c r="X114" s="30">
        <f t="shared" si="28"/>
        <v>4</v>
      </c>
      <c r="Y114" s="30">
        <f t="shared" si="29"/>
        <v>2</v>
      </c>
      <c r="AA114" s="1">
        <v>9</v>
      </c>
      <c r="AB114" s="83" t="s">
        <v>13</v>
      </c>
      <c r="AC114" s="172" t="s">
        <v>241</v>
      </c>
      <c r="AD114" s="81" t="s">
        <v>6</v>
      </c>
      <c r="AE114" s="29"/>
      <c r="AF114" s="29"/>
      <c r="AG114" s="29">
        <v>4</v>
      </c>
      <c r="AH114" s="29"/>
      <c r="AI114" s="29"/>
      <c r="AJ114" s="29"/>
      <c r="AK114" s="29"/>
      <c r="AL114" s="29"/>
      <c r="AM114" s="29">
        <v>4</v>
      </c>
      <c r="AN114" s="29"/>
      <c r="AO114" s="29">
        <v>1</v>
      </c>
      <c r="AP114" s="29">
        <v>2</v>
      </c>
      <c r="AQ114" s="29">
        <v>1</v>
      </c>
      <c r="AR114" s="29">
        <v>1</v>
      </c>
      <c r="AS114" s="29"/>
      <c r="AT114" s="29"/>
      <c r="AU114" s="29"/>
      <c r="AV114" s="29">
        <v>1</v>
      </c>
      <c r="AW114" s="30">
        <f t="shared" si="30"/>
        <v>1</v>
      </c>
      <c r="AX114" s="30">
        <f t="shared" si="31"/>
        <v>2</v>
      </c>
      <c r="AY114" s="30">
        <f t="shared" si="32"/>
        <v>11</v>
      </c>
      <c r="BA114" s="1">
        <v>10</v>
      </c>
      <c r="BB114" s="80" t="s">
        <v>193</v>
      </c>
      <c r="BC114" s="172" t="s">
        <v>242</v>
      </c>
      <c r="BD114" s="81" t="s">
        <v>8</v>
      </c>
      <c r="BE114" s="4"/>
      <c r="BF114" s="4"/>
      <c r="BG114" s="4"/>
      <c r="BH114" s="4">
        <v>2</v>
      </c>
      <c r="BI114" s="5">
        <v>2</v>
      </c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30">
        <f t="shared" si="33"/>
        <v>2</v>
      </c>
      <c r="BX114" s="30">
        <f t="shared" si="34"/>
        <v>2</v>
      </c>
      <c r="BY114" s="30">
        <f t="shared" si="35"/>
        <v>0</v>
      </c>
    </row>
    <row r="115" spans="1:77" ht="15.5" x14ac:dyDescent="0.35">
      <c r="A115" s="1">
        <v>17</v>
      </c>
      <c r="B115" s="80" t="s">
        <v>200</v>
      </c>
      <c r="C115" s="172" t="s">
        <v>242</v>
      </c>
      <c r="D115" s="82" t="s">
        <v>8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30">
        <f t="shared" si="27"/>
        <v>0</v>
      </c>
      <c r="X115" s="30">
        <f t="shared" si="28"/>
        <v>0</v>
      </c>
      <c r="Y115" s="30">
        <f t="shared" si="29"/>
        <v>0</v>
      </c>
      <c r="AA115" s="1">
        <v>11</v>
      </c>
      <c r="AB115" s="80" t="s">
        <v>15</v>
      </c>
      <c r="AC115" s="172" t="s">
        <v>241</v>
      </c>
      <c r="AD115" s="81" t="s">
        <v>6</v>
      </c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>
        <v>2</v>
      </c>
      <c r="AR115" s="29"/>
      <c r="AS115" s="29"/>
      <c r="AT115" s="29"/>
      <c r="AU115" s="29">
        <v>2</v>
      </c>
      <c r="AV115" s="29"/>
      <c r="AW115" s="30">
        <f t="shared" si="30"/>
        <v>2</v>
      </c>
      <c r="AX115" s="30">
        <f t="shared" si="31"/>
        <v>2</v>
      </c>
      <c r="AY115" s="30">
        <f t="shared" si="32"/>
        <v>0</v>
      </c>
      <c r="BA115" s="1">
        <v>11</v>
      </c>
      <c r="BB115" s="80" t="s">
        <v>194</v>
      </c>
      <c r="BC115" s="172" t="s">
        <v>242</v>
      </c>
      <c r="BD115" s="81" t="s">
        <v>8</v>
      </c>
      <c r="BE115" s="4"/>
      <c r="BF115" s="4"/>
      <c r="BG115" s="4"/>
      <c r="BH115" s="4"/>
      <c r="BI115" s="4"/>
      <c r="BJ115" s="5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30">
        <f t="shared" si="33"/>
        <v>0</v>
      </c>
      <c r="BX115" s="30">
        <f t="shared" si="34"/>
        <v>0</v>
      </c>
      <c r="BY115" s="30">
        <f t="shared" si="35"/>
        <v>0</v>
      </c>
    </row>
    <row r="116" spans="1:77" ht="15.5" x14ac:dyDescent="0.35">
      <c r="A116" s="1">
        <v>18</v>
      </c>
      <c r="B116" s="80" t="s">
        <v>201</v>
      </c>
      <c r="C116" s="172" t="s">
        <v>242</v>
      </c>
      <c r="D116" s="82" t="s">
        <v>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30">
        <f t="shared" si="27"/>
        <v>0</v>
      </c>
      <c r="X116" s="30">
        <f t="shared" si="28"/>
        <v>0</v>
      </c>
      <c r="Y116" s="30">
        <f t="shared" si="29"/>
        <v>0</v>
      </c>
      <c r="AA116" s="1">
        <v>1</v>
      </c>
      <c r="AB116" s="80" t="s">
        <v>53</v>
      </c>
      <c r="AC116" s="172" t="s">
        <v>1074</v>
      </c>
      <c r="AD116" s="174" t="s">
        <v>6</v>
      </c>
      <c r="AE116" s="4"/>
      <c r="AF116" s="4"/>
      <c r="AG116" s="5"/>
      <c r="AH116" s="4">
        <v>1</v>
      </c>
      <c r="AI116" s="5"/>
      <c r="AJ116" s="5"/>
      <c r="AK116" s="12"/>
      <c r="AL116" s="4"/>
      <c r="AM116" s="4"/>
      <c r="AN116" s="13"/>
      <c r="AO116" s="13"/>
      <c r="AP116" s="13"/>
      <c r="AQ116" s="4"/>
      <c r="AR116" s="4">
        <v>2</v>
      </c>
      <c r="AS116" s="4"/>
      <c r="AT116" s="4"/>
      <c r="AU116" s="4"/>
      <c r="AV116" s="4"/>
      <c r="AW116" s="30">
        <f t="shared" si="30"/>
        <v>1</v>
      </c>
      <c r="AX116" s="30">
        <f t="shared" si="31"/>
        <v>2</v>
      </c>
      <c r="AY116" s="30">
        <f t="shared" si="32"/>
        <v>0</v>
      </c>
      <c r="BA116" s="1">
        <v>12</v>
      </c>
      <c r="BB116" s="80" t="s">
        <v>195</v>
      </c>
      <c r="BC116" s="172" t="s">
        <v>242</v>
      </c>
      <c r="BD116" s="81" t="s">
        <v>8</v>
      </c>
      <c r="BE116" s="4"/>
      <c r="BF116" s="4"/>
      <c r="BG116" s="4"/>
      <c r="BH116" s="4"/>
      <c r="BI116" s="4">
        <v>1</v>
      </c>
      <c r="BJ116" s="4"/>
      <c r="BK116" s="4"/>
      <c r="BL116" s="4">
        <v>1</v>
      </c>
      <c r="BM116" s="4"/>
      <c r="BN116" s="4"/>
      <c r="BO116" s="4">
        <v>2</v>
      </c>
      <c r="BP116" s="4"/>
      <c r="BQ116" s="4"/>
      <c r="BR116" s="4"/>
      <c r="BS116" s="4"/>
      <c r="BT116" s="4"/>
      <c r="BU116" s="4"/>
      <c r="BV116" s="4"/>
      <c r="BW116" s="30">
        <f t="shared" si="33"/>
        <v>0</v>
      </c>
      <c r="BX116" s="30">
        <f t="shared" si="34"/>
        <v>4</v>
      </c>
      <c r="BY116" s="30">
        <f t="shared" si="35"/>
        <v>0</v>
      </c>
    </row>
    <row r="117" spans="1:77" ht="15.5" x14ac:dyDescent="0.35">
      <c r="A117" s="1">
        <v>20</v>
      </c>
      <c r="B117" s="80" t="s">
        <v>203</v>
      </c>
      <c r="C117" s="172" t="s">
        <v>242</v>
      </c>
      <c r="D117" s="82" t="s">
        <v>8</v>
      </c>
      <c r="E117" s="4"/>
      <c r="F117" s="4"/>
      <c r="G117" s="4">
        <v>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>
        <v>1</v>
      </c>
      <c r="T117" s="4"/>
      <c r="U117" s="4"/>
      <c r="V117" s="4"/>
      <c r="W117" s="30">
        <f t="shared" si="27"/>
        <v>0</v>
      </c>
      <c r="X117" s="30">
        <f t="shared" si="28"/>
        <v>0</v>
      </c>
      <c r="Y117" s="30">
        <f t="shared" si="29"/>
        <v>2</v>
      </c>
      <c r="AA117" s="1">
        <v>5</v>
      </c>
      <c r="AB117" s="80" t="s">
        <v>57</v>
      </c>
      <c r="AC117" s="172" t="s">
        <v>1074</v>
      </c>
      <c r="AD117" s="89" t="s">
        <v>6</v>
      </c>
      <c r="AE117" s="4"/>
      <c r="AF117" s="4">
        <v>1</v>
      </c>
      <c r="AG117" s="4"/>
      <c r="AH117" s="4"/>
      <c r="AI117" s="5"/>
      <c r="AJ117" s="4">
        <v>1</v>
      </c>
      <c r="AK117" s="12"/>
      <c r="AL117" s="4"/>
      <c r="AM117" s="4"/>
      <c r="AN117" s="13"/>
      <c r="AO117" s="13"/>
      <c r="AP117" s="13"/>
      <c r="AQ117" s="4"/>
      <c r="AR117" s="4"/>
      <c r="AS117" s="4"/>
      <c r="AT117" s="4">
        <v>2</v>
      </c>
      <c r="AU117" s="4">
        <v>1</v>
      </c>
      <c r="AV117" s="4"/>
      <c r="AW117" s="30">
        <f t="shared" si="30"/>
        <v>2</v>
      </c>
      <c r="AX117" s="30">
        <f t="shared" si="31"/>
        <v>2</v>
      </c>
      <c r="AY117" s="30">
        <f t="shared" si="32"/>
        <v>1</v>
      </c>
      <c r="BA117" s="1">
        <v>13</v>
      </c>
      <c r="BB117" s="92" t="s">
        <v>196</v>
      </c>
      <c r="BC117" s="172" t="s">
        <v>242</v>
      </c>
      <c r="BD117" s="82" t="s">
        <v>8</v>
      </c>
      <c r="BE117" s="4"/>
      <c r="BF117" s="4"/>
      <c r="BG117" s="4"/>
      <c r="BH117" s="4"/>
      <c r="BI117" s="5"/>
      <c r="BJ117" s="4"/>
      <c r="BK117" s="4"/>
      <c r="BL117" s="4"/>
      <c r="BM117" s="4"/>
      <c r="BN117" s="4"/>
      <c r="BO117" s="4">
        <v>1</v>
      </c>
      <c r="BP117" s="4"/>
      <c r="BQ117" s="4"/>
      <c r="BR117" s="4"/>
      <c r="BS117" s="4"/>
      <c r="BT117" s="4"/>
      <c r="BU117" s="4"/>
      <c r="BV117" s="4"/>
      <c r="BW117" s="30">
        <f t="shared" si="33"/>
        <v>0</v>
      </c>
      <c r="BX117" s="30">
        <f t="shared" si="34"/>
        <v>1</v>
      </c>
      <c r="BY117" s="30">
        <f t="shared" si="35"/>
        <v>0</v>
      </c>
    </row>
    <row r="118" spans="1:77" ht="15.5" x14ac:dyDescent="0.35">
      <c r="A118" s="1">
        <v>24</v>
      </c>
      <c r="B118" s="80" t="s">
        <v>207</v>
      </c>
      <c r="C118" s="172" t="s">
        <v>242</v>
      </c>
      <c r="D118" s="175" t="s">
        <v>8</v>
      </c>
      <c r="E118" s="4"/>
      <c r="F118" s="4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>
        <v>1</v>
      </c>
      <c r="S118" s="4"/>
      <c r="T118" s="4"/>
      <c r="U118" s="4">
        <v>1</v>
      </c>
      <c r="V118" s="4"/>
      <c r="W118" s="30">
        <f t="shared" si="27"/>
        <v>0</v>
      </c>
      <c r="X118" s="30">
        <f t="shared" si="28"/>
        <v>3</v>
      </c>
      <c r="Y118" s="30">
        <f t="shared" si="29"/>
        <v>0</v>
      </c>
      <c r="AA118" s="1">
        <v>7</v>
      </c>
      <c r="AB118" s="80" t="s">
        <v>59</v>
      </c>
      <c r="AC118" s="172" t="s">
        <v>1074</v>
      </c>
      <c r="AD118" s="177" t="s">
        <v>6</v>
      </c>
      <c r="AE118" s="4"/>
      <c r="AF118" s="4"/>
      <c r="AG118" s="4"/>
      <c r="AH118" s="4"/>
      <c r="AI118" s="5"/>
      <c r="AJ118" s="5"/>
      <c r="AK118" s="4"/>
      <c r="AL118" s="4"/>
      <c r="AM118" s="4"/>
      <c r="AN118" s="13"/>
      <c r="AO118" s="13"/>
      <c r="AP118" s="13"/>
      <c r="AQ118" s="4"/>
      <c r="AR118" s="4">
        <v>2</v>
      </c>
      <c r="AS118" s="4">
        <v>1</v>
      </c>
      <c r="AT118" s="4"/>
      <c r="AU118" s="4"/>
      <c r="AV118" s="4"/>
      <c r="AW118" s="30">
        <f t="shared" si="30"/>
        <v>0</v>
      </c>
      <c r="AX118" s="30">
        <f t="shared" si="31"/>
        <v>2</v>
      </c>
      <c r="AY118" s="30">
        <f t="shared" si="32"/>
        <v>1</v>
      </c>
      <c r="BA118" s="1">
        <v>14</v>
      </c>
      <c r="BB118" s="80" t="s">
        <v>197</v>
      </c>
      <c r="BC118" s="172" t="s">
        <v>242</v>
      </c>
      <c r="BD118" s="91" t="s">
        <v>8</v>
      </c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30">
        <f t="shared" si="33"/>
        <v>0</v>
      </c>
      <c r="BX118" s="30">
        <f t="shared" si="34"/>
        <v>0</v>
      </c>
      <c r="BY118" s="30">
        <f t="shared" si="35"/>
        <v>0</v>
      </c>
    </row>
    <row r="119" spans="1:77" ht="15.5" x14ac:dyDescent="0.35">
      <c r="A119" s="1">
        <v>25</v>
      </c>
      <c r="B119" s="80" t="s">
        <v>208</v>
      </c>
      <c r="C119" s="172" t="s">
        <v>242</v>
      </c>
      <c r="D119" s="175" t="s">
        <v>8</v>
      </c>
      <c r="E119" s="4"/>
      <c r="F119" s="4"/>
      <c r="G119" s="4"/>
      <c r="H119" s="4"/>
      <c r="I119" s="4">
        <v>1</v>
      </c>
      <c r="J119" s="4"/>
      <c r="K119" s="4"/>
      <c r="L119" s="4"/>
      <c r="M119" s="4"/>
      <c r="N119" s="4"/>
      <c r="O119" s="4"/>
      <c r="P119" s="4"/>
      <c r="Q119" s="4"/>
      <c r="R119" s="4">
        <v>1</v>
      </c>
      <c r="S119" s="4"/>
      <c r="T119" s="4"/>
      <c r="U119" s="4">
        <v>1</v>
      </c>
      <c r="V119" s="4"/>
      <c r="W119" s="30">
        <f t="shared" si="27"/>
        <v>0</v>
      </c>
      <c r="X119" s="30">
        <f t="shared" si="28"/>
        <v>3</v>
      </c>
      <c r="Y119" s="30">
        <f t="shared" si="29"/>
        <v>0</v>
      </c>
      <c r="AA119" s="1">
        <v>9</v>
      </c>
      <c r="AB119" s="90" t="s">
        <v>856</v>
      </c>
      <c r="AC119" s="172" t="s">
        <v>1074</v>
      </c>
      <c r="AD119" s="177" t="s">
        <v>6</v>
      </c>
      <c r="AE119" s="4"/>
      <c r="AF119" s="4"/>
      <c r="AG119" s="4"/>
      <c r="AH119" s="4"/>
      <c r="AI119" s="4"/>
      <c r="AJ119" s="5"/>
      <c r="AK119" s="4"/>
      <c r="AL119" s="4"/>
      <c r="AM119" s="4"/>
      <c r="AN119" s="13"/>
      <c r="AO119" s="13"/>
      <c r="AP119" s="13"/>
      <c r="AQ119" s="4"/>
      <c r="AR119" s="4">
        <v>2</v>
      </c>
      <c r="AS119" s="4"/>
      <c r="AT119" s="4"/>
      <c r="AU119" s="4"/>
      <c r="AV119" s="4"/>
      <c r="AW119" s="30">
        <f t="shared" si="30"/>
        <v>0</v>
      </c>
      <c r="AX119" s="30">
        <f t="shared" si="31"/>
        <v>2</v>
      </c>
      <c r="AY119" s="30">
        <f t="shared" si="32"/>
        <v>0</v>
      </c>
      <c r="BA119" s="1">
        <v>15</v>
      </c>
      <c r="BB119" s="80" t="s">
        <v>198</v>
      </c>
      <c r="BC119" s="172" t="s">
        <v>242</v>
      </c>
      <c r="BD119" s="91" t="s">
        <v>8</v>
      </c>
      <c r="BE119" s="4"/>
      <c r="BF119" s="4"/>
      <c r="BG119" s="4"/>
      <c r="BH119" s="4"/>
      <c r="BI119" s="4">
        <v>1</v>
      </c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30">
        <f t="shared" si="33"/>
        <v>0</v>
      </c>
      <c r="BX119" s="30">
        <f t="shared" si="34"/>
        <v>1</v>
      </c>
      <c r="BY119" s="30">
        <f t="shared" si="35"/>
        <v>0</v>
      </c>
    </row>
    <row r="120" spans="1:77" ht="15.5" x14ac:dyDescent="0.35">
      <c r="A120" s="1">
        <v>26</v>
      </c>
      <c r="B120" s="101" t="s">
        <v>876</v>
      </c>
      <c r="C120" s="172" t="s">
        <v>242</v>
      </c>
      <c r="D120" s="91" t="s">
        <v>8</v>
      </c>
      <c r="E120" s="4"/>
      <c r="F120" s="4">
        <v>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30">
        <f t="shared" si="27"/>
        <v>0</v>
      </c>
      <c r="X120" s="30">
        <f t="shared" si="28"/>
        <v>2</v>
      </c>
      <c r="Y120" s="30">
        <f t="shared" si="29"/>
        <v>0</v>
      </c>
      <c r="AA120" s="1">
        <v>16</v>
      </c>
      <c r="AB120" s="90" t="s">
        <v>66</v>
      </c>
      <c r="AC120" s="172" t="s">
        <v>1074</v>
      </c>
      <c r="AD120" s="177" t="s">
        <v>6</v>
      </c>
      <c r="AE120" s="4"/>
      <c r="AF120" s="5"/>
      <c r="AG120" s="4"/>
      <c r="AH120" s="4"/>
      <c r="AI120" s="4"/>
      <c r="AJ120" s="4"/>
      <c r="AK120" s="12"/>
      <c r="AL120" s="4"/>
      <c r="AM120" s="4"/>
      <c r="AN120" s="13"/>
      <c r="AO120" s="13"/>
      <c r="AP120" s="13"/>
      <c r="AQ120" s="4"/>
      <c r="AR120" s="4">
        <v>2</v>
      </c>
      <c r="AS120" s="4"/>
      <c r="AT120" s="4"/>
      <c r="AU120" s="4"/>
      <c r="AV120" s="4"/>
      <c r="AW120" s="30">
        <f t="shared" si="30"/>
        <v>0</v>
      </c>
      <c r="AX120" s="30">
        <f t="shared" si="31"/>
        <v>2</v>
      </c>
      <c r="AY120" s="30">
        <f t="shared" si="32"/>
        <v>0</v>
      </c>
      <c r="BA120" s="1">
        <v>17</v>
      </c>
      <c r="BB120" s="80" t="s">
        <v>200</v>
      </c>
      <c r="BC120" s="172" t="s">
        <v>242</v>
      </c>
      <c r="BD120" s="175" t="s">
        <v>8</v>
      </c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30">
        <f t="shared" si="33"/>
        <v>0</v>
      </c>
      <c r="BX120" s="30">
        <f t="shared" si="34"/>
        <v>0</v>
      </c>
      <c r="BY120" s="30">
        <f t="shared" si="35"/>
        <v>0</v>
      </c>
    </row>
    <row r="121" spans="1:77" ht="15.5" x14ac:dyDescent="0.35">
      <c r="A121" s="1">
        <v>27</v>
      </c>
      <c r="B121" s="80" t="s">
        <v>209</v>
      </c>
      <c r="C121" s="172" t="s">
        <v>242</v>
      </c>
      <c r="D121" s="82" t="s">
        <v>8</v>
      </c>
      <c r="E121" s="4"/>
      <c r="F121" s="4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9"/>
      <c r="R121" s="9">
        <v>2</v>
      </c>
      <c r="S121" s="4"/>
      <c r="T121" s="4"/>
      <c r="U121" s="4"/>
      <c r="V121" s="4"/>
      <c r="W121" s="30">
        <f t="shared" si="27"/>
        <v>0</v>
      </c>
      <c r="X121" s="30">
        <f t="shared" si="28"/>
        <v>3</v>
      </c>
      <c r="Y121" s="30">
        <f t="shared" si="29"/>
        <v>0</v>
      </c>
      <c r="AA121" s="1">
        <v>4</v>
      </c>
      <c r="AB121" s="80" t="s">
        <v>74</v>
      </c>
      <c r="AC121" s="172" t="s">
        <v>1075</v>
      </c>
      <c r="AD121" s="81" t="s">
        <v>6</v>
      </c>
      <c r="AE121" s="4"/>
      <c r="AF121" s="4"/>
      <c r="AG121" s="5"/>
      <c r="AH121" s="13"/>
      <c r="AI121" s="13"/>
      <c r="AJ121" s="13"/>
      <c r="AK121" s="13"/>
      <c r="AL121" s="13"/>
      <c r="AM121" s="13"/>
      <c r="AN121" s="13"/>
      <c r="AO121" s="13">
        <v>1</v>
      </c>
      <c r="AP121" s="13"/>
      <c r="AQ121" s="13"/>
      <c r="AR121" s="13">
        <v>1</v>
      </c>
      <c r="AS121" s="13"/>
      <c r="AT121" s="4"/>
      <c r="AU121" s="4"/>
      <c r="AV121" s="4"/>
      <c r="AW121" s="30">
        <f t="shared" si="30"/>
        <v>0</v>
      </c>
      <c r="AX121" s="30">
        <f t="shared" si="31"/>
        <v>2</v>
      </c>
      <c r="AY121" s="30">
        <f t="shared" si="32"/>
        <v>0</v>
      </c>
      <c r="BA121" s="1">
        <v>18</v>
      </c>
      <c r="BB121" s="80" t="s">
        <v>201</v>
      </c>
      <c r="BC121" s="172" t="s">
        <v>242</v>
      </c>
      <c r="BD121" s="82" t="s">
        <v>8</v>
      </c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30">
        <f t="shared" si="33"/>
        <v>0</v>
      </c>
      <c r="BX121" s="30">
        <f t="shared" si="34"/>
        <v>0</v>
      </c>
      <c r="BY121" s="30">
        <f t="shared" si="35"/>
        <v>0</v>
      </c>
    </row>
    <row r="122" spans="1:77" ht="15.5" x14ac:dyDescent="0.35">
      <c r="A122" s="1">
        <v>28</v>
      </c>
      <c r="B122" s="80" t="s">
        <v>210</v>
      </c>
      <c r="C122" s="172" t="s">
        <v>242</v>
      </c>
      <c r="D122" s="82" t="s">
        <v>8</v>
      </c>
      <c r="E122" s="9"/>
      <c r="F122" s="16"/>
      <c r="G122" s="9"/>
      <c r="H122" s="9"/>
      <c r="I122" s="9">
        <v>2</v>
      </c>
      <c r="J122" s="9"/>
      <c r="K122" s="9"/>
      <c r="L122" s="9">
        <v>2</v>
      </c>
      <c r="M122" s="9"/>
      <c r="N122" s="9"/>
      <c r="O122" s="9">
        <v>1</v>
      </c>
      <c r="P122" s="9"/>
      <c r="Q122" s="9"/>
      <c r="R122" s="9">
        <v>1</v>
      </c>
      <c r="S122" s="9"/>
      <c r="T122" s="9"/>
      <c r="U122" s="9"/>
      <c r="V122" s="9"/>
      <c r="W122" s="30">
        <f t="shared" si="27"/>
        <v>0</v>
      </c>
      <c r="X122" s="30">
        <f t="shared" si="28"/>
        <v>6</v>
      </c>
      <c r="Y122" s="30">
        <f t="shared" si="29"/>
        <v>0</v>
      </c>
      <c r="AA122" s="1">
        <v>13</v>
      </c>
      <c r="AB122" s="80" t="s">
        <v>82</v>
      </c>
      <c r="AC122" s="172" t="s">
        <v>1075</v>
      </c>
      <c r="AD122" s="81" t="s">
        <v>6</v>
      </c>
      <c r="AE122" s="4"/>
      <c r="AF122" s="5"/>
      <c r="AG122" s="4"/>
      <c r="AH122" s="13"/>
      <c r="AI122" s="13"/>
      <c r="AJ122" s="13"/>
      <c r="AK122" s="13"/>
      <c r="AL122" s="13"/>
      <c r="AM122" s="13"/>
      <c r="AN122" s="13"/>
      <c r="AO122" s="13">
        <v>1</v>
      </c>
      <c r="AP122" s="13"/>
      <c r="AQ122" s="13"/>
      <c r="AR122" s="13">
        <v>1</v>
      </c>
      <c r="AS122" s="13"/>
      <c r="AT122" s="4"/>
      <c r="AU122" s="4"/>
      <c r="AV122" s="4">
        <v>2</v>
      </c>
      <c r="AW122" s="30">
        <f t="shared" si="30"/>
        <v>0</v>
      </c>
      <c r="AX122" s="30">
        <f t="shared" si="31"/>
        <v>2</v>
      </c>
      <c r="AY122" s="30">
        <f t="shared" si="32"/>
        <v>2</v>
      </c>
      <c r="BA122" s="1">
        <v>19</v>
      </c>
      <c r="BB122" s="80" t="s">
        <v>202</v>
      </c>
      <c r="BC122" s="172" t="s">
        <v>242</v>
      </c>
      <c r="BD122" s="81" t="s">
        <v>8</v>
      </c>
      <c r="BE122" s="4"/>
      <c r="BF122" s="4"/>
      <c r="BG122" s="4"/>
      <c r="BH122" s="4">
        <v>1</v>
      </c>
      <c r="BI122" s="4">
        <v>2</v>
      </c>
      <c r="BJ122" s="4"/>
      <c r="BK122" s="4"/>
      <c r="BL122" s="4"/>
      <c r="BM122" s="4"/>
      <c r="BN122" s="4"/>
      <c r="BO122" s="4">
        <v>3</v>
      </c>
      <c r="BP122" s="4"/>
      <c r="BQ122" s="4">
        <v>1</v>
      </c>
      <c r="BR122" s="4">
        <v>1</v>
      </c>
      <c r="BS122" s="4"/>
      <c r="BT122" s="4"/>
      <c r="BU122" s="4"/>
      <c r="BV122" s="4"/>
      <c r="BW122" s="30">
        <f t="shared" si="33"/>
        <v>2</v>
      </c>
      <c r="BX122" s="30">
        <f t="shared" si="34"/>
        <v>6</v>
      </c>
      <c r="BY122" s="30">
        <f t="shared" si="35"/>
        <v>0</v>
      </c>
    </row>
    <row r="123" spans="1:77" ht="15.5" x14ac:dyDescent="0.35">
      <c r="A123" s="1">
        <v>29</v>
      </c>
      <c r="B123" s="80" t="s">
        <v>877</v>
      </c>
      <c r="C123" s="172" t="s">
        <v>242</v>
      </c>
      <c r="D123" s="81" t="s">
        <v>8</v>
      </c>
      <c r="E123" s="4"/>
      <c r="F123" s="5"/>
      <c r="G123" s="4"/>
      <c r="H123" s="4"/>
      <c r="I123" s="4"/>
      <c r="J123" s="4"/>
      <c r="K123" s="4"/>
      <c r="L123" s="4">
        <v>2</v>
      </c>
      <c r="M123" s="4"/>
      <c r="N123" s="4"/>
      <c r="O123" s="4">
        <v>1</v>
      </c>
      <c r="P123" s="4"/>
      <c r="Q123" s="4"/>
      <c r="R123" s="4">
        <v>1</v>
      </c>
      <c r="S123" s="4"/>
      <c r="T123" s="4"/>
      <c r="U123" s="4"/>
      <c r="V123" s="4"/>
      <c r="W123" s="30">
        <f t="shared" si="27"/>
        <v>0</v>
      </c>
      <c r="X123" s="30">
        <f t="shared" si="28"/>
        <v>4</v>
      </c>
      <c r="Y123" s="30">
        <f t="shared" si="29"/>
        <v>0</v>
      </c>
      <c r="AA123" s="1">
        <v>16</v>
      </c>
      <c r="AB123" s="80" t="s">
        <v>85</v>
      </c>
      <c r="AC123" s="172" t="s">
        <v>1075</v>
      </c>
      <c r="AD123" s="81" t="s">
        <v>6</v>
      </c>
      <c r="AE123" s="4"/>
      <c r="AF123" s="4"/>
      <c r="AG123" s="5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>
        <v>2</v>
      </c>
      <c r="AS123" s="13"/>
      <c r="AT123" s="4"/>
      <c r="AU123" s="4"/>
      <c r="AV123" s="4"/>
      <c r="AW123" s="30">
        <f t="shared" si="30"/>
        <v>0</v>
      </c>
      <c r="AX123" s="30">
        <f t="shared" si="31"/>
        <v>2</v>
      </c>
      <c r="AY123" s="30">
        <f t="shared" si="32"/>
        <v>0</v>
      </c>
      <c r="BA123" s="1">
        <v>21</v>
      </c>
      <c r="BB123" s="80" t="s">
        <v>204</v>
      </c>
      <c r="BC123" s="172" t="s">
        <v>242</v>
      </c>
      <c r="BD123" s="81" t="s">
        <v>8</v>
      </c>
      <c r="BE123" s="4"/>
      <c r="BF123" s="4"/>
      <c r="BG123" s="4"/>
      <c r="BH123" s="4">
        <v>1</v>
      </c>
      <c r="BI123" s="4"/>
      <c r="BJ123" s="4"/>
      <c r="BK123" s="4"/>
      <c r="BL123" s="4">
        <v>1</v>
      </c>
      <c r="BM123" s="4"/>
      <c r="BN123" s="4"/>
      <c r="BO123" s="4">
        <v>1</v>
      </c>
      <c r="BP123" s="4"/>
      <c r="BQ123" s="4"/>
      <c r="BR123" s="4"/>
      <c r="BS123" s="4"/>
      <c r="BT123" s="4"/>
      <c r="BU123" s="4"/>
      <c r="BV123" s="4"/>
      <c r="BW123" s="30">
        <f t="shared" si="33"/>
        <v>1</v>
      </c>
      <c r="BX123" s="30">
        <f t="shared" si="34"/>
        <v>2</v>
      </c>
      <c r="BY123" s="30">
        <f t="shared" si="35"/>
        <v>0</v>
      </c>
    </row>
    <row r="124" spans="1:77" ht="15.5" x14ac:dyDescent="0.35">
      <c r="A124" s="1">
        <v>31</v>
      </c>
      <c r="B124" s="80" t="s">
        <v>212</v>
      </c>
      <c r="C124" s="172" t="s">
        <v>242</v>
      </c>
      <c r="D124" s="81" t="s">
        <v>8</v>
      </c>
      <c r="E124" s="4"/>
      <c r="F124" s="5"/>
      <c r="G124" s="4"/>
      <c r="H124" s="4"/>
      <c r="I124" s="4">
        <v>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30">
        <f t="shared" si="27"/>
        <v>0</v>
      </c>
      <c r="X124" s="30">
        <f t="shared" si="28"/>
        <v>2</v>
      </c>
      <c r="Y124" s="30">
        <f t="shared" si="29"/>
        <v>0</v>
      </c>
      <c r="AA124" s="1">
        <v>19</v>
      </c>
      <c r="AB124" s="80" t="s">
        <v>88</v>
      </c>
      <c r="AC124" s="172" t="s">
        <v>1075</v>
      </c>
      <c r="AD124" s="81" t="s">
        <v>6</v>
      </c>
      <c r="AE124" s="4"/>
      <c r="AF124" s="4">
        <v>1</v>
      </c>
      <c r="AG124" s="4"/>
      <c r="AH124" s="13"/>
      <c r="AI124" s="13"/>
      <c r="AJ124" s="13"/>
      <c r="AK124" s="13"/>
      <c r="AL124" s="13"/>
      <c r="AM124" s="13"/>
      <c r="AN124" s="13"/>
      <c r="AO124" s="13">
        <v>1</v>
      </c>
      <c r="AP124" s="13"/>
      <c r="AQ124" s="13"/>
      <c r="AR124" s="13"/>
      <c r="AS124" s="13"/>
      <c r="AT124" s="4"/>
      <c r="AU124" s="4"/>
      <c r="AV124" s="4">
        <v>1</v>
      </c>
      <c r="AW124" s="30">
        <f t="shared" si="30"/>
        <v>0</v>
      </c>
      <c r="AX124" s="30">
        <f t="shared" si="31"/>
        <v>2</v>
      </c>
      <c r="AY124" s="30">
        <f t="shared" si="32"/>
        <v>1</v>
      </c>
      <c r="BA124" s="1">
        <v>22</v>
      </c>
      <c r="BB124" s="80" t="s">
        <v>205</v>
      </c>
      <c r="BC124" s="172" t="s">
        <v>242</v>
      </c>
      <c r="BD124" s="81" t="s">
        <v>8</v>
      </c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>
        <v>1</v>
      </c>
      <c r="BR124" s="4"/>
      <c r="BS124" s="4"/>
      <c r="BT124" s="4"/>
      <c r="BU124" s="4"/>
      <c r="BV124" s="4"/>
      <c r="BW124" s="30">
        <f t="shared" si="33"/>
        <v>1</v>
      </c>
      <c r="BX124" s="30">
        <f t="shared" si="34"/>
        <v>0</v>
      </c>
      <c r="BY124" s="30">
        <f t="shared" si="35"/>
        <v>0</v>
      </c>
    </row>
    <row r="125" spans="1:77" ht="15.5" x14ac:dyDescent="0.35">
      <c r="A125" s="1">
        <v>35</v>
      </c>
      <c r="B125" s="80" t="s">
        <v>215</v>
      </c>
      <c r="C125" s="172" t="s">
        <v>242</v>
      </c>
      <c r="D125" s="85" t="s">
        <v>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>
        <v>2</v>
      </c>
      <c r="P125" s="4"/>
      <c r="Q125" s="4"/>
      <c r="R125" s="4"/>
      <c r="S125" s="4"/>
      <c r="T125" s="4"/>
      <c r="U125" s="4"/>
      <c r="V125" s="4"/>
      <c r="W125" s="30">
        <f t="shared" si="27"/>
        <v>0</v>
      </c>
      <c r="X125" s="30">
        <f t="shared" si="28"/>
        <v>2</v>
      </c>
      <c r="Y125" s="30">
        <f t="shared" si="29"/>
        <v>0</v>
      </c>
      <c r="AA125" s="2" t="s">
        <v>31</v>
      </c>
      <c r="AB125" s="80" t="s">
        <v>99</v>
      </c>
      <c r="AC125" s="172" t="s">
        <v>243</v>
      </c>
      <c r="AD125" s="81" t="s">
        <v>8</v>
      </c>
      <c r="AE125" s="4"/>
      <c r="AF125" s="4">
        <v>1</v>
      </c>
      <c r="AG125" s="4"/>
      <c r="AH125" s="4">
        <v>1</v>
      </c>
      <c r="AI125" s="4"/>
      <c r="AJ125" s="5"/>
      <c r="AK125" s="4"/>
      <c r="AL125" s="4"/>
      <c r="AM125" s="4"/>
      <c r="AN125" s="4"/>
      <c r="AO125" s="4"/>
      <c r="AP125" s="4"/>
      <c r="AQ125" s="4"/>
      <c r="AR125" s="4">
        <v>1</v>
      </c>
      <c r="AS125" s="4"/>
      <c r="AT125" s="4"/>
      <c r="AU125" s="4"/>
      <c r="AV125" s="4"/>
      <c r="AW125" s="30">
        <f t="shared" si="30"/>
        <v>1</v>
      </c>
      <c r="AX125" s="30">
        <f t="shared" si="31"/>
        <v>2</v>
      </c>
      <c r="AY125" s="30">
        <f t="shared" si="32"/>
        <v>0</v>
      </c>
      <c r="BA125" s="1">
        <v>23</v>
      </c>
      <c r="BB125" s="80" t="s">
        <v>206</v>
      </c>
      <c r="BC125" s="172" t="s">
        <v>242</v>
      </c>
      <c r="BD125" s="81" t="s">
        <v>8</v>
      </c>
      <c r="BE125" s="4"/>
      <c r="BF125" s="4">
        <v>1</v>
      </c>
      <c r="BG125" s="4"/>
      <c r="BH125" s="4">
        <v>1</v>
      </c>
      <c r="BI125" s="4"/>
      <c r="BJ125" s="4"/>
      <c r="BK125" s="4"/>
      <c r="BL125" s="4">
        <v>1</v>
      </c>
      <c r="BM125" s="4"/>
      <c r="BN125" s="4">
        <v>1</v>
      </c>
      <c r="BO125" s="4">
        <v>1</v>
      </c>
      <c r="BP125" s="4"/>
      <c r="BQ125" s="4">
        <v>1</v>
      </c>
      <c r="BR125" s="4"/>
      <c r="BS125" s="4"/>
      <c r="BT125" s="4"/>
      <c r="BU125" s="4"/>
      <c r="BV125" s="4"/>
      <c r="BW125" s="30">
        <f t="shared" si="33"/>
        <v>3</v>
      </c>
      <c r="BX125" s="30">
        <f t="shared" si="34"/>
        <v>3</v>
      </c>
      <c r="BY125" s="30">
        <f t="shared" si="35"/>
        <v>0</v>
      </c>
    </row>
    <row r="126" spans="1:77" ht="15.5" x14ac:dyDescent="0.35">
      <c r="A126" s="1">
        <v>36</v>
      </c>
      <c r="B126" s="80" t="s">
        <v>216</v>
      </c>
      <c r="C126" s="172" t="s">
        <v>242</v>
      </c>
      <c r="D126" s="85" t="s">
        <v>8</v>
      </c>
      <c r="E126" s="4"/>
      <c r="F126" s="4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>
        <v>2</v>
      </c>
      <c r="T126" s="4"/>
      <c r="U126" s="4"/>
      <c r="V126" s="4"/>
      <c r="W126" s="30">
        <f t="shared" si="27"/>
        <v>0</v>
      </c>
      <c r="X126" s="30">
        <f t="shared" si="28"/>
        <v>1</v>
      </c>
      <c r="Y126" s="30">
        <f t="shared" si="29"/>
        <v>2</v>
      </c>
      <c r="AA126" s="2" t="s">
        <v>46</v>
      </c>
      <c r="AB126" s="80" t="s">
        <v>112</v>
      </c>
      <c r="AC126" s="172" t="s">
        <v>243</v>
      </c>
      <c r="AD126" s="81" t="s">
        <v>8</v>
      </c>
      <c r="AE126" s="4"/>
      <c r="AF126" s="4">
        <v>1</v>
      </c>
      <c r="AG126" s="4"/>
      <c r="AH126" s="4"/>
      <c r="AI126" s="4">
        <v>1</v>
      </c>
      <c r="AJ126" s="4">
        <v>1</v>
      </c>
      <c r="AK126" s="4"/>
      <c r="AL126" s="4"/>
      <c r="AM126" s="4"/>
      <c r="AN126" s="4"/>
      <c r="AO126" s="4"/>
      <c r="AP126" s="4"/>
      <c r="AQ126" s="4"/>
      <c r="AR126" s="4"/>
      <c r="AS126" s="4"/>
      <c r="AT126" s="4">
        <v>1</v>
      </c>
      <c r="AU126" s="4"/>
      <c r="AV126" s="4"/>
      <c r="AW126" s="30">
        <f t="shared" si="30"/>
        <v>1</v>
      </c>
      <c r="AX126" s="30">
        <f t="shared" si="31"/>
        <v>2</v>
      </c>
      <c r="AY126" s="30">
        <f t="shared" si="32"/>
        <v>1</v>
      </c>
      <c r="BA126" s="1">
        <v>24</v>
      </c>
      <c r="BB126" s="80" t="s">
        <v>207</v>
      </c>
      <c r="BC126" s="172" t="s">
        <v>242</v>
      </c>
      <c r="BD126" s="82" t="s">
        <v>8</v>
      </c>
      <c r="BE126" s="4"/>
      <c r="BF126" s="4">
        <v>1</v>
      </c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>
        <v>1</v>
      </c>
      <c r="BS126" s="4"/>
      <c r="BT126" s="4"/>
      <c r="BU126" s="4">
        <v>1</v>
      </c>
      <c r="BV126" s="4"/>
      <c r="BW126" s="30">
        <f t="shared" si="33"/>
        <v>0</v>
      </c>
      <c r="BX126" s="30">
        <f t="shared" si="34"/>
        <v>3</v>
      </c>
      <c r="BY126" s="30">
        <f t="shared" si="35"/>
        <v>0</v>
      </c>
    </row>
    <row r="127" spans="1:77" ht="15.5" x14ac:dyDescent="0.35">
      <c r="A127" s="1">
        <v>37</v>
      </c>
      <c r="B127" s="80" t="s">
        <v>879</v>
      </c>
      <c r="C127" s="172" t="s">
        <v>242</v>
      </c>
      <c r="D127" s="98" t="s">
        <v>8</v>
      </c>
      <c r="E127" s="4"/>
      <c r="F127" s="5"/>
      <c r="G127" s="4"/>
      <c r="H127" s="4"/>
      <c r="I127" s="4">
        <v>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>
        <v>1</v>
      </c>
      <c r="V127" s="4"/>
      <c r="W127" s="30">
        <f t="shared" si="27"/>
        <v>0</v>
      </c>
      <c r="X127" s="30">
        <f t="shared" si="28"/>
        <v>2</v>
      </c>
      <c r="Y127" s="30">
        <f t="shared" si="29"/>
        <v>0</v>
      </c>
      <c r="AA127" s="2" t="s">
        <v>48</v>
      </c>
      <c r="AB127" s="80" t="s">
        <v>114</v>
      </c>
      <c r="AC127" s="172" t="s">
        <v>243</v>
      </c>
      <c r="AD127" s="91" t="s">
        <v>6</v>
      </c>
      <c r="AE127" s="4"/>
      <c r="AF127" s="4"/>
      <c r="AG127" s="4"/>
      <c r="AH127" s="5"/>
      <c r="AI127" s="5"/>
      <c r="AJ127" s="5"/>
      <c r="AK127" s="4"/>
      <c r="AL127" s="4"/>
      <c r="AM127" s="4"/>
      <c r="AN127" s="4"/>
      <c r="AO127" s="4"/>
      <c r="AP127" s="4">
        <v>2</v>
      </c>
      <c r="AQ127" s="4">
        <v>1</v>
      </c>
      <c r="AR127" s="4">
        <v>2</v>
      </c>
      <c r="AS127" s="4"/>
      <c r="AT127" s="4"/>
      <c r="AU127" s="4"/>
      <c r="AV127" s="4"/>
      <c r="AW127" s="30">
        <f t="shared" si="30"/>
        <v>1</v>
      </c>
      <c r="AX127" s="30">
        <f t="shared" si="31"/>
        <v>2</v>
      </c>
      <c r="AY127" s="30">
        <f t="shared" si="32"/>
        <v>2</v>
      </c>
      <c r="BA127" s="1">
        <v>25</v>
      </c>
      <c r="BB127" s="80" t="s">
        <v>208</v>
      </c>
      <c r="BC127" s="172" t="s">
        <v>242</v>
      </c>
      <c r="BD127" s="175" t="s">
        <v>8</v>
      </c>
      <c r="BE127" s="4"/>
      <c r="BF127" s="4"/>
      <c r="BG127" s="4"/>
      <c r="BH127" s="4"/>
      <c r="BI127" s="4">
        <v>1</v>
      </c>
      <c r="BJ127" s="4"/>
      <c r="BK127" s="4"/>
      <c r="BL127" s="4"/>
      <c r="BM127" s="4"/>
      <c r="BN127" s="4"/>
      <c r="BO127" s="4"/>
      <c r="BP127" s="4"/>
      <c r="BQ127" s="4"/>
      <c r="BR127" s="4">
        <v>1</v>
      </c>
      <c r="BS127" s="4"/>
      <c r="BT127" s="4"/>
      <c r="BU127" s="4">
        <v>1</v>
      </c>
      <c r="BV127" s="4"/>
      <c r="BW127" s="30">
        <f t="shared" si="33"/>
        <v>0</v>
      </c>
      <c r="BX127" s="30">
        <f t="shared" si="34"/>
        <v>3</v>
      </c>
      <c r="BY127" s="30">
        <f t="shared" si="35"/>
        <v>0</v>
      </c>
    </row>
    <row r="128" spans="1:77" ht="15.5" x14ac:dyDescent="0.35">
      <c r="A128" s="103">
        <v>38</v>
      </c>
      <c r="B128" s="87" t="s">
        <v>217</v>
      </c>
      <c r="C128" s="172" t="s">
        <v>242</v>
      </c>
      <c r="D128" s="86" t="s">
        <v>8</v>
      </c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>
        <v>3</v>
      </c>
      <c r="T128" s="108"/>
      <c r="U128" s="108"/>
      <c r="V128" s="108"/>
      <c r="W128" s="109">
        <f t="shared" si="27"/>
        <v>0</v>
      </c>
      <c r="X128" s="109">
        <f t="shared" si="28"/>
        <v>0</v>
      </c>
      <c r="Y128" s="109">
        <f t="shared" si="29"/>
        <v>3</v>
      </c>
      <c r="AA128" s="112" t="s">
        <v>127</v>
      </c>
      <c r="AB128" s="182" t="s">
        <v>892</v>
      </c>
      <c r="AC128" s="172" t="s">
        <v>243</v>
      </c>
      <c r="AD128" s="111" t="s">
        <v>6</v>
      </c>
      <c r="AE128" s="110"/>
      <c r="AF128" s="110"/>
      <c r="AG128" s="110"/>
      <c r="AH128" s="110"/>
      <c r="AI128" s="110"/>
      <c r="AJ128" s="110"/>
      <c r="AK128" s="110"/>
      <c r="AL128" s="110">
        <v>1</v>
      </c>
      <c r="AM128" s="110"/>
      <c r="AN128" s="110"/>
      <c r="AO128" s="110"/>
      <c r="AP128" s="110"/>
      <c r="AQ128" s="110">
        <v>3</v>
      </c>
      <c r="AR128" s="110"/>
      <c r="AS128" s="110"/>
      <c r="AT128" s="110"/>
      <c r="AU128" s="110">
        <v>1</v>
      </c>
      <c r="AV128" s="110"/>
      <c r="AW128" s="109">
        <f t="shared" si="30"/>
        <v>3</v>
      </c>
      <c r="AX128" s="109">
        <f t="shared" si="31"/>
        <v>2</v>
      </c>
      <c r="AY128" s="109">
        <f t="shared" si="32"/>
        <v>0</v>
      </c>
      <c r="BA128" s="103">
        <v>26</v>
      </c>
      <c r="BB128" s="184" t="s">
        <v>876</v>
      </c>
      <c r="BC128" s="172" t="s">
        <v>242</v>
      </c>
      <c r="BD128" s="111" t="s">
        <v>8</v>
      </c>
      <c r="BE128" s="108"/>
      <c r="BF128" s="108">
        <v>2</v>
      </c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9">
        <f t="shared" si="33"/>
        <v>0</v>
      </c>
      <c r="BX128" s="109">
        <f t="shared" si="34"/>
        <v>2</v>
      </c>
      <c r="BY128" s="109">
        <f t="shared" si="35"/>
        <v>0</v>
      </c>
    </row>
    <row r="129" spans="1:77" ht="15.5" x14ac:dyDescent="0.35">
      <c r="A129" s="1">
        <v>40</v>
      </c>
      <c r="B129" s="80" t="s">
        <v>219</v>
      </c>
      <c r="C129" s="172" t="s">
        <v>242</v>
      </c>
      <c r="D129" s="91" t="s">
        <v>8</v>
      </c>
      <c r="E129" s="9"/>
      <c r="F129" s="9">
        <v>1</v>
      </c>
      <c r="G129" s="9">
        <v>1</v>
      </c>
      <c r="H129" s="9"/>
      <c r="I129" s="4"/>
      <c r="J129" s="9"/>
      <c r="K129" s="9"/>
      <c r="L129" s="9"/>
      <c r="M129" s="9"/>
      <c r="N129" s="9"/>
      <c r="O129" s="9"/>
      <c r="P129" s="9"/>
      <c r="Q129" s="9"/>
      <c r="R129" s="9"/>
      <c r="S129" s="9">
        <v>1</v>
      </c>
      <c r="T129" s="9"/>
      <c r="U129" s="9"/>
      <c r="V129" s="9"/>
      <c r="W129" s="30">
        <f t="shared" si="27"/>
        <v>0</v>
      </c>
      <c r="X129" s="30">
        <f t="shared" si="28"/>
        <v>1</v>
      </c>
      <c r="Y129" s="30">
        <f t="shared" si="29"/>
        <v>2</v>
      </c>
      <c r="AA129" s="32" t="s">
        <v>28</v>
      </c>
      <c r="AB129" s="80" t="s">
        <v>862</v>
      </c>
      <c r="AC129" s="172" t="s">
        <v>244</v>
      </c>
      <c r="AD129" s="91" t="s">
        <v>8</v>
      </c>
      <c r="AE129" s="4"/>
      <c r="AF129" s="4"/>
      <c r="AG129" s="4"/>
      <c r="AH129" s="4"/>
      <c r="AI129" s="5">
        <v>1</v>
      </c>
      <c r="AJ129" s="5"/>
      <c r="AK129" s="4"/>
      <c r="AL129" s="4"/>
      <c r="AM129" s="4"/>
      <c r="AN129" s="4"/>
      <c r="AO129" s="4"/>
      <c r="AP129" s="4"/>
      <c r="AQ129" s="4"/>
      <c r="AR129" s="4">
        <v>1</v>
      </c>
      <c r="AS129" s="4"/>
      <c r="AT129" s="4"/>
      <c r="AU129" s="4"/>
      <c r="AV129" s="4"/>
      <c r="AW129" s="30">
        <f t="shared" si="30"/>
        <v>0</v>
      </c>
      <c r="AX129" s="30">
        <f t="shared" si="31"/>
        <v>2</v>
      </c>
      <c r="AY129" s="30">
        <f t="shared" si="32"/>
        <v>0</v>
      </c>
      <c r="BA129" s="1">
        <v>27</v>
      </c>
      <c r="BB129" s="80" t="s">
        <v>209</v>
      </c>
      <c r="BC129" s="172" t="s">
        <v>242</v>
      </c>
      <c r="BD129" s="175" t="s">
        <v>8</v>
      </c>
      <c r="BE129" s="4"/>
      <c r="BF129" s="4">
        <v>1</v>
      </c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9"/>
      <c r="BR129" s="9">
        <v>2</v>
      </c>
      <c r="BS129" s="4"/>
      <c r="BT129" s="4"/>
      <c r="BU129" s="4"/>
      <c r="BV129" s="4"/>
      <c r="BW129" s="30">
        <f t="shared" si="33"/>
        <v>0</v>
      </c>
      <c r="BX129" s="30">
        <f t="shared" si="34"/>
        <v>3</v>
      </c>
      <c r="BY129" s="30">
        <f t="shared" si="35"/>
        <v>0</v>
      </c>
    </row>
    <row r="130" spans="1:77" ht="15.5" x14ac:dyDescent="0.35">
      <c r="A130" s="1">
        <v>5</v>
      </c>
      <c r="B130" s="80" t="s">
        <v>10</v>
      </c>
      <c r="C130" s="172" t="s">
        <v>241</v>
      </c>
      <c r="D130" s="91" t="s">
        <v>6</v>
      </c>
      <c r="E130" s="29"/>
      <c r="F130" s="29"/>
      <c r="G130" s="29">
        <v>4</v>
      </c>
      <c r="H130" s="29"/>
      <c r="I130" s="29"/>
      <c r="J130" s="29"/>
      <c r="K130" s="29"/>
      <c r="L130" s="29"/>
      <c r="M130" s="29">
        <v>3</v>
      </c>
      <c r="N130" s="29"/>
      <c r="O130" s="29"/>
      <c r="P130" s="29"/>
      <c r="Q130" s="29">
        <v>1</v>
      </c>
      <c r="R130" s="29">
        <v>1</v>
      </c>
      <c r="S130" s="29"/>
      <c r="T130" s="29"/>
      <c r="U130" s="29"/>
      <c r="V130" s="29"/>
      <c r="W130" s="30">
        <f t="shared" si="27"/>
        <v>1</v>
      </c>
      <c r="X130" s="30">
        <f t="shared" si="28"/>
        <v>1</v>
      </c>
      <c r="Y130" s="30">
        <f t="shared" si="29"/>
        <v>7</v>
      </c>
      <c r="AA130" s="32" t="s">
        <v>39</v>
      </c>
      <c r="AB130" s="80" t="s">
        <v>864</v>
      </c>
      <c r="AC130" s="172" t="s">
        <v>244</v>
      </c>
      <c r="AD130" s="91" t="s">
        <v>6</v>
      </c>
      <c r="AE130" s="4"/>
      <c r="AF130" s="4"/>
      <c r="AG130" s="4"/>
      <c r="AH130" s="5"/>
      <c r="AI130" s="5">
        <v>1</v>
      </c>
      <c r="AJ130" s="4"/>
      <c r="AK130" s="4"/>
      <c r="AL130" s="4">
        <v>1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30">
        <f t="shared" si="30"/>
        <v>0</v>
      </c>
      <c r="AX130" s="30">
        <f t="shared" si="31"/>
        <v>2</v>
      </c>
      <c r="AY130" s="30">
        <f t="shared" si="32"/>
        <v>0</v>
      </c>
      <c r="BA130" s="1">
        <v>28</v>
      </c>
      <c r="BB130" s="80" t="s">
        <v>210</v>
      </c>
      <c r="BC130" s="172" t="s">
        <v>242</v>
      </c>
      <c r="BD130" s="175" t="s">
        <v>8</v>
      </c>
      <c r="BE130" s="9"/>
      <c r="BF130" s="16"/>
      <c r="BG130" s="9"/>
      <c r="BH130" s="9"/>
      <c r="BI130" s="9">
        <v>2</v>
      </c>
      <c r="BJ130" s="9"/>
      <c r="BK130" s="9"/>
      <c r="BL130" s="9">
        <v>2</v>
      </c>
      <c r="BM130" s="9"/>
      <c r="BN130" s="9"/>
      <c r="BO130" s="9">
        <v>1</v>
      </c>
      <c r="BP130" s="9"/>
      <c r="BQ130" s="9"/>
      <c r="BR130" s="9">
        <v>1</v>
      </c>
      <c r="BS130" s="9"/>
      <c r="BT130" s="9"/>
      <c r="BU130" s="9"/>
      <c r="BV130" s="9"/>
      <c r="BW130" s="30">
        <f t="shared" si="33"/>
        <v>0</v>
      </c>
      <c r="BX130" s="30">
        <f t="shared" si="34"/>
        <v>6</v>
      </c>
      <c r="BY130" s="30">
        <f t="shared" si="35"/>
        <v>0</v>
      </c>
    </row>
    <row r="131" spans="1:77" ht="15.5" x14ac:dyDescent="0.35">
      <c r="A131" s="1">
        <v>9</v>
      </c>
      <c r="B131" s="83" t="s">
        <v>13</v>
      </c>
      <c r="C131" s="172" t="s">
        <v>241</v>
      </c>
      <c r="D131" s="91" t="s">
        <v>6</v>
      </c>
      <c r="E131" s="29"/>
      <c r="F131" s="29"/>
      <c r="G131" s="29">
        <v>4</v>
      </c>
      <c r="H131" s="29"/>
      <c r="I131" s="29"/>
      <c r="J131" s="29"/>
      <c r="K131" s="29"/>
      <c r="L131" s="29"/>
      <c r="M131" s="29">
        <v>4</v>
      </c>
      <c r="N131" s="29"/>
      <c r="O131" s="29">
        <v>1</v>
      </c>
      <c r="P131" s="29">
        <v>2</v>
      </c>
      <c r="Q131" s="29">
        <v>1</v>
      </c>
      <c r="R131" s="29">
        <v>1</v>
      </c>
      <c r="S131" s="29"/>
      <c r="T131" s="29"/>
      <c r="U131" s="29"/>
      <c r="V131" s="29">
        <v>1</v>
      </c>
      <c r="W131" s="30">
        <f t="shared" si="27"/>
        <v>1</v>
      </c>
      <c r="X131" s="30">
        <f t="shared" si="28"/>
        <v>2</v>
      </c>
      <c r="Y131" s="30">
        <f t="shared" si="29"/>
        <v>11</v>
      </c>
      <c r="AA131" s="32" t="s">
        <v>47</v>
      </c>
      <c r="AB131" s="94" t="s">
        <v>867</v>
      </c>
      <c r="AC131" s="172" t="s">
        <v>244</v>
      </c>
      <c r="AD131" s="91" t="s">
        <v>6</v>
      </c>
      <c r="AE131" s="4"/>
      <c r="AF131" s="4">
        <v>1</v>
      </c>
      <c r="AG131" s="4"/>
      <c r="AH131" s="5"/>
      <c r="AI131" s="5"/>
      <c r="AJ131" s="4"/>
      <c r="AK131" s="4"/>
      <c r="AL131" s="4"/>
      <c r="AM131" s="4"/>
      <c r="AN131" s="4"/>
      <c r="AO131" s="4"/>
      <c r="AP131" s="4"/>
      <c r="AQ131" s="4"/>
      <c r="AR131" s="4">
        <v>1</v>
      </c>
      <c r="AS131" s="4">
        <v>1</v>
      </c>
      <c r="AT131" s="4"/>
      <c r="AU131" s="4"/>
      <c r="AV131" s="4"/>
      <c r="AW131" s="30">
        <f t="shared" si="30"/>
        <v>0</v>
      </c>
      <c r="AX131" s="30">
        <f t="shared" si="31"/>
        <v>2</v>
      </c>
      <c r="AY131" s="30">
        <f t="shared" si="32"/>
        <v>1</v>
      </c>
      <c r="BA131" s="1">
        <v>29</v>
      </c>
      <c r="BB131" s="80" t="s">
        <v>877</v>
      </c>
      <c r="BC131" s="172" t="s">
        <v>242</v>
      </c>
      <c r="BD131" s="91" t="s">
        <v>8</v>
      </c>
      <c r="BE131" s="4"/>
      <c r="BF131" s="5"/>
      <c r="BG131" s="4"/>
      <c r="BH131" s="4"/>
      <c r="BI131" s="4"/>
      <c r="BJ131" s="4"/>
      <c r="BK131" s="4"/>
      <c r="BL131" s="4">
        <v>2</v>
      </c>
      <c r="BM131" s="4"/>
      <c r="BN131" s="4"/>
      <c r="BO131" s="4">
        <v>1</v>
      </c>
      <c r="BP131" s="4"/>
      <c r="BQ131" s="4"/>
      <c r="BR131" s="4">
        <v>1</v>
      </c>
      <c r="BS131" s="4"/>
      <c r="BT131" s="4"/>
      <c r="BU131" s="4"/>
      <c r="BV131" s="4"/>
      <c r="BW131" s="30">
        <f t="shared" si="33"/>
        <v>0</v>
      </c>
      <c r="BX131" s="30">
        <f t="shared" si="34"/>
        <v>4</v>
      </c>
      <c r="BY131" s="30">
        <f t="shared" si="35"/>
        <v>0</v>
      </c>
    </row>
    <row r="132" spans="1:77" ht="15.5" x14ac:dyDescent="0.35">
      <c r="A132" s="1">
        <v>1</v>
      </c>
      <c r="B132" s="80" t="s">
        <v>53</v>
      </c>
      <c r="C132" s="172" t="s">
        <v>1074</v>
      </c>
      <c r="D132" s="180" t="s">
        <v>6</v>
      </c>
      <c r="E132" s="4"/>
      <c r="F132" s="4"/>
      <c r="G132" s="5"/>
      <c r="H132" s="4">
        <v>1</v>
      </c>
      <c r="I132" s="5"/>
      <c r="J132" s="5"/>
      <c r="K132" s="12"/>
      <c r="L132" s="4"/>
      <c r="M132" s="4"/>
      <c r="N132" s="13"/>
      <c r="O132" s="13"/>
      <c r="P132" s="13"/>
      <c r="Q132" s="4"/>
      <c r="R132" s="4">
        <v>2</v>
      </c>
      <c r="S132" s="4"/>
      <c r="T132" s="4"/>
      <c r="U132" s="4"/>
      <c r="V132" s="4"/>
      <c r="W132" s="30">
        <f t="shared" ref="W132:W163" si="36">SUM(E132,H132,K132,N132,Q132,T132)</f>
        <v>1</v>
      </c>
      <c r="X132" s="30">
        <f t="shared" ref="X132:X163" si="37">SUM(F132,I132,L132,O132,R132,U132)</f>
        <v>2</v>
      </c>
      <c r="Y132" s="30">
        <f t="shared" ref="Y132:Y163" si="38">SUM(G132,J132,M132,P132,S132,V132)</f>
        <v>0</v>
      </c>
      <c r="AA132" s="32" t="s">
        <v>123</v>
      </c>
      <c r="AB132" s="99" t="s">
        <v>153</v>
      </c>
      <c r="AC132" s="172" t="s">
        <v>244</v>
      </c>
      <c r="AD132" s="98" t="s">
        <v>8</v>
      </c>
      <c r="AE132" s="3"/>
      <c r="AF132" s="3"/>
      <c r="AG132" s="3"/>
      <c r="AH132" s="4"/>
      <c r="AI132" s="5"/>
      <c r="AJ132" s="4"/>
      <c r="AK132" s="4"/>
      <c r="AL132" s="4"/>
      <c r="AM132" s="4"/>
      <c r="AN132" s="4"/>
      <c r="AO132" s="4"/>
      <c r="AP132" s="4"/>
      <c r="AQ132" s="4"/>
      <c r="AR132" s="4">
        <v>1</v>
      </c>
      <c r="AS132" s="4"/>
      <c r="AT132" s="4"/>
      <c r="AU132" s="4">
        <v>1</v>
      </c>
      <c r="AV132" s="4"/>
      <c r="AW132" s="30">
        <f t="shared" ref="AW132:AW163" si="39">SUM(AE132,AH132,AK132,AN132,AQ132,AT132)</f>
        <v>0</v>
      </c>
      <c r="AX132" s="30">
        <f t="shared" ref="AX132:AX163" si="40">SUM(AF132,AI132,AL132,AO132,AR132,AU132)</f>
        <v>2</v>
      </c>
      <c r="AY132" s="30">
        <f t="shared" ref="AY132:AY163" si="41">SUM(AG132,AJ132,AM132,AP132,AS132,AV132)</f>
        <v>0</v>
      </c>
      <c r="BA132" s="1">
        <v>30</v>
      </c>
      <c r="BB132" s="92" t="s">
        <v>211</v>
      </c>
      <c r="BC132" s="172" t="s">
        <v>242</v>
      </c>
      <c r="BD132" s="91" t="s">
        <v>8</v>
      </c>
      <c r="BE132" s="4"/>
      <c r="BF132" s="4">
        <v>1</v>
      </c>
      <c r="BG132" s="4"/>
      <c r="BH132" s="4">
        <v>1</v>
      </c>
      <c r="BI132" s="4">
        <v>3</v>
      </c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30">
        <f t="shared" ref="BW132:BW163" si="42">SUM(BE132,BH132,BK132,BN132,BQ132,BT132)</f>
        <v>1</v>
      </c>
      <c r="BX132" s="30">
        <f t="shared" ref="BX132:BX163" si="43">SUM(BF132,BI132,BL132,BO132,BR132,BU132)</f>
        <v>4</v>
      </c>
      <c r="BY132" s="30">
        <f t="shared" ref="BY132:BY163" si="44">SUM(BG132,BJ132,BM132,BP132,BS132,BV132)</f>
        <v>0</v>
      </c>
    </row>
    <row r="133" spans="1:77" ht="15.5" x14ac:dyDescent="0.35">
      <c r="A133" s="1">
        <v>4</v>
      </c>
      <c r="B133" s="80" t="s">
        <v>56</v>
      </c>
      <c r="C133" s="172" t="s">
        <v>1074</v>
      </c>
      <c r="D133" s="177" t="s">
        <v>6</v>
      </c>
      <c r="E133" s="4"/>
      <c r="F133" s="5">
        <v>1</v>
      </c>
      <c r="G133" s="4"/>
      <c r="H133" s="5"/>
      <c r="I133" s="5">
        <v>1</v>
      </c>
      <c r="J133" s="4"/>
      <c r="K133" s="12"/>
      <c r="L133" s="4"/>
      <c r="M133" s="4"/>
      <c r="N133" s="13"/>
      <c r="O133" s="13"/>
      <c r="P133" s="13"/>
      <c r="Q133" s="4"/>
      <c r="R133" s="4">
        <v>1</v>
      </c>
      <c r="S133" s="4">
        <v>2</v>
      </c>
      <c r="T133" s="4">
        <v>1</v>
      </c>
      <c r="U133" s="4"/>
      <c r="V133" s="4">
        <v>1</v>
      </c>
      <c r="W133" s="30">
        <f t="shared" si="36"/>
        <v>1</v>
      </c>
      <c r="X133" s="30">
        <f t="shared" si="37"/>
        <v>3</v>
      </c>
      <c r="Y133" s="30">
        <f t="shared" si="38"/>
        <v>3</v>
      </c>
      <c r="AA133" s="1">
        <v>10</v>
      </c>
      <c r="AB133" s="80" t="s">
        <v>870</v>
      </c>
      <c r="AC133" s="172" t="s">
        <v>245</v>
      </c>
      <c r="AD133" s="91" t="s">
        <v>8</v>
      </c>
      <c r="AE133" s="4"/>
      <c r="AF133" s="4"/>
      <c r="AG133" s="5"/>
      <c r="AH133" s="5"/>
      <c r="AI133" s="5"/>
      <c r="AJ133" s="5"/>
      <c r="AK133" s="4"/>
      <c r="AL133" s="4"/>
      <c r="AM133" s="4"/>
      <c r="AN133" s="4"/>
      <c r="AO133" s="4"/>
      <c r="AP133" s="4"/>
      <c r="AQ133" s="4"/>
      <c r="AR133" s="4">
        <v>2</v>
      </c>
      <c r="AS133" s="4"/>
      <c r="AT133" s="4"/>
      <c r="AU133" s="4"/>
      <c r="AV133" s="4"/>
      <c r="AW133" s="30">
        <f t="shared" si="39"/>
        <v>0</v>
      </c>
      <c r="AX133" s="30">
        <f t="shared" si="40"/>
        <v>2</v>
      </c>
      <c r="AY133" s="30">
        <f t="shared" si="41"/>
        <v>0</v>
      </c>
      <c r="BA133" s="1">
        <v>31</v>
      </c>
      <c r="BB133" s="80" t="s">
        <v>212</v>
      </c>
      <c r="BC133" s="172" t="s">
        <v>242</v>
      </c>
      <c r="BD133" s="91" t="s">
        <v>8</v>
      </c>
      <c r="BE133" s="4"/>
      <c r="BF133" s="5"/>
      <c r="BG133" s="4"/>
      <c r="BH133" s="4"/>
      <c r="BI133" s="4">
        <v>2</v>
      </c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30">
        <f t="shared" si="42"/>
        <v>0</v>
      </c>
      <c r="BX133" s="30">
        <f t="shared" si="43"/>
        <v>2</v>
      </c>
      <c r="BY133" s="30">
        <f t="shared" si="44"/>
        <v>0</v>
      </c>
    </row>
    <row r="134" spans="1:77" ht="15.5" x14ac:dyDescent="0.35">
      <c r="A134" s="1">
        <v>14</v>
      </c>
      <c r="B134" s="80" t="s">
        <v>64</v>
      </c>
      <c r="C134" s="172" t="s">
        <v>1074</v>
      </c>
      <c r="D134" s="177" t="s">
        <v>6</v>
      </c>
      <c r="E134" s="4"/>
      <c r="F134" s="4"/>
      <c r="G134" s="5"/>
      <c r="H134" s="4"/>
      <c r="I134" s="5"/>
      <c r="J134" s="5"/>
      <c r="K134" s="4"/>
      <c r="L134" s="4"/>
      <c r="M134" s="4"/>
      <c r="N134" s="13">
        <v>1</v>
      </c>
      <c r="O134" s="13"/>
      <c r="P134" s="13"/>
      <c r="Q134" s="4"/>
      <c r="R134" s="4">
        <v>1</v>
      </c>
      <c r="S134" s="4"/>
      <c r="T134" s="4"/>
      <c r="U134" s="4"/>
      <c r="V134" s="4"/>
      <c r="W134" s="30">
        <f t="shared" si="36"/>
        <v>1</v>
      </c>
      <c r="X134" s="30">
        <f t="shared" si="37"/>
        <v>1</v>
      </c>
      <c r="Y134" s="30">
        <f t="shared" si="38"/>
        <v>0</v>
      </c>
      <c r="AA134" s="1">
        <v>15</v>
      </c>
      <c r="AB134" s="80" t="s">
        <v>166</v>
      </c>
      <c r="AC134" s="172" t="s">
        <v>245</v>
      </c>
      <c r="AD134" s="91" t="s">
        <v>6</v>
      </c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>
        <v>1</v>
      </c>
      <c r="AR134" s="9"/>
      <c r="AS134" s="9"/>
      <c r="AT134" s="9"/>
      <c r="AU134" s="9">
        <v>2</v>
      </c>
      <c r="AV134" s="9"/>
      <c r="AW134" s="30">
        <f t="shared" si="39"/>
        <v>1</v>
      </c>
      <c r="AX134" s="30">
        <f t="shared" si="40"/>
        <v>2</v>
      </c>
      <c r="AY134" s="30">
        <f t="shared" si="41"/>
        <v>0</v>
      </c>
      <c r="BA134" s="1">
        <v>32</v>
      </c>
      <c r="BB134" s="80" t="s">
        <v>878</v>
      </c>
      <c r="BC134" s="172" t="s">
        <v>242</v>
      </c>
      <c r="BD134" s="91" t="s">
        <v>8</v>
      </c>
      <c r="BE134" s="4"/>
      <c r="BF134" s="4"/>
      <c r="BG134" s="4"/>
      <c r="BH134" s="4">
        <v>1</v>
      </c>
      <c r="BI134" s="4"/>
      <c r="BJ134" s="4"/>
      <c r="BK134" s="4"/>
      <c r="BL134" s="4">
        <v>1</v>
      </c>
      <c r="BM134" s="4"/>
      <c r="BN134" s="4"/>
      <c r="BO134" s="4">
        <v>2</v>
      </c>
      <c r="BP134" s="4"/>
      <c r="BQ134" s="4"/>
      <c r="BR134" s="4"/>
      <c r="BS134" s="4"/>
      <c r="BT134" s="4"/>
      <c r="BU134" s="4"/>
      <c r="BV134" s="4"/>
      <c r="BW134" s="30">
        <f t="shared" si="42"/>
        <v>1</v>
      </c>
      <c r="BX134" s="30">
        <f t="shared" si="43"/>
        <v>3</v>
      </c>
      <c r="BY134" s="30">
        <f t="shared" si="44"/>
        <v>0</v>
      </c>
    </row>
    <row r="135" spans="1:77" ht="15.5" x14ac:dyDescent="0.35">
      <c r="A135" s="1">
        <v>20</v>
      </c>
      <c r="B135" s="80" t="s">
        <v>70</v>
      </c>
      <c r="C135" s="172" t="s">
        <v>1074</v>
      </c>
      <c r="D135" s="177" t="s">
        <v>6</v>
      </c>
      <c r="E135" s="4"/>
      <c r="F135" s="5"/>
      <c r="G135" s="4">
        <v>2</v>
      </c>
      <c r="H135" s="4">
        <v>1</v>
      </c>
      <c r="I135" s="5"/>
      <c r="J135" s="4"/>
      <c r="K135" s="4"/>
      <c r="L135" s="4"/>
      <c r="M135" s="4"/>
      <c r="N135" s="13"/>
      <c r="O135" s="13"/>
      <c r="P135" s="13"/>
      <c r="Q135" s="4"/>
      <c r="R135" s="4">
        <v>3</v>
      </c>
      <c r="S135" s="4"/>
      <c r="T135" s="4"/>
      <c r="U135" s="4"/>
      <c r="V135" s="4">
        <v>1</v>
      </c>
      <c r="W135" s="30">
        <f t="shared" si="36"/>
        <v>1</v>
      </c>
      <c r="X135" s="30">
        <f t="shared" si="37"/>
        <v>3</v>
      </c>
      <c r="Y135" s="30">
        <f t="shared" si="38"/>
        <v>3</v>
      </c>
      <c r="AA135" s="1">
        <v>30</v>
      </c>
      <c r="AB135" s="99" t="s">
        <v>180</v>
      </c>
      <c r="AC135" s="172" t="s">
        <v>245</v>
      </c>
      <c r="AD135" s="98" t="s">
        <v>8</v>
      </c>
      <c r="AE135" s="4"/>
      <c r="AF135" s="4"/>
      <c r="AG135" s="4"/>
      <c r="AH135" s="4"/>
      <c r="AI135" s="4"/>
      <c r="AJ135" s="4"/>
      <c r="AK135" s="4"/>
      <c r="AL135" s="4"/>
      <c r="AM135" s="4"/>
      <c r="AN135" s="4">
        <v>1</v>
      </c>
      <c r="AO135" s="4"/>
      <c r="AP135" s="4"/>
      <c r="AQ135" s="4"/>
      <c r="AR135" s="4">
        <v>2</v>
      </c>
      <c r="AS135" s="4"/>
      <c r="AT135" s="4"/>
      <c r="AU135" s="4"/>
      <c r="AV135" s="4"/>
      <c r="AW135" s="30">
        <f t="shared" si="39"/>
        <v>1</v>
      </c>
      <c r="AX135" s="30">
        <f t="shared" si="40"/>
        <v>2</v>
      </c>
      <c r="AY135" s="30">
        <f t="shared" si="41"/>
        <v>0</v>
      </c>
      <c r="BA135" s="1">
        <v>35</v>
      </c>
      <c r="BB135" s="80" t="s">
        <v>215</v>
      </c>
      <c r="BC135" s="172" t="s">
        <v>242</v>
      </c>
      <c r="BD135" s="98" t="s">
        <v>8</v>
      </c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>
        <v>2</v>
      </c>
      <c r="BP135" s="4"/>
      <c r="BQ135" s="4"/>
      <c r="BR135" s="4"/>
      <c r="BS135" s="4"/>
      <c r="BT135" s="4"/>
      <c r="BU135" s="4"/>
      <c r="BV135" s="4"/>
      <c r="BW135" s="30">
        <f t="shared" si="42"/>
        <v>0</v>
      </c>
      <c r="BX135" s="30">
        <f t="shared" si="43"/>
        <v>2</v>
      </c>
      <c r="BY135" s="30">
        <f t="shared" si="44"/>
        <v>0</v>
      </c>
    </row>
    <row r="136" spans="1:77" ht="15.5" x14ac:dyDescent="0.35">
      <c r="A136" s="2" t="s">
        <v>21</v>
      </c>
      <c r="B136" s="80" t="s">
        <v>89</v>
      </c>
      <c r="C136" s="172" t="s">
        <v>243</v>
      </c>
      <c r="D136" s="91" t="s">
        <v>8</v>
      </c>
      <c r="E136" s="4"/>
      <c r="F136" s="4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>
        <v>1</v>
      </c>
      <c r="R136" s="4"/>
      <c r="S136" s="4">
        <v>1</v>
      </c>
      <c r="T136" s="4"/>
      <c r="U136" s="4"/>
      <c r="V136" s="4"/>
      <c r="W136" s="30">
        <f t="shared" si="36"/>
        <v>1</v>
      </c>
      <c r="X136" s="30">
        <f t="shared" si="37"/>
        <v>0</v>
      </c>
      <c r="Y136" s="30">
        <f t="shared" si="38"/>
        <v>1</v>
      </c>
      <c r="AA136" s="1">
        <v>3</v>
      </c>
      <c r="AB136" s="80" t="s">
        <v>187</v>
      </c>
      <c r="AC136" s="172" t="s">
        <v>242</v>
      </c>
      <c r="AD136" s="91" t="s">
        <v>8</v>
      </c>
      <c r="AE136" s="4"/>
      <c r="AF136" s="5">
        <v>1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>
        <v>1</v>
      </c>
      <c r="AS136" s="4"/>
      <c r="AT136" s="4"/>
      <c r="AU136" s="4"/>
      <c r="AV136" s="4"/>
      <c r="AW136" s="30">
        <f t="shared" si="39"/>
        <v>0</v>
      </c>
      <c r="AX136" s="30">
        <f t="shared" si="40"/>
        <v>2</v>
      </c>
      <c r="AY136" s="30">
        <f t="shared" si="41"/>
        <v>0</v>
      </c>
      <c r="BA136" s="1">
        <v>37</v>
      </c>
      <c r="BB136" s="80" t="s">
        <v>879</v>
      </c>
      <c r="BC136" s="172" t="s">
        <v>242</v>
      </c>
      <c r="BD136" s="98" t="s">
        <v>8</v>
      </c>
      <c r="BE136" s="4"/>
      <c r="BF136" s="5"/>
      <c r="BG136" s="4"/>
      <c r="BH136" s="4"/>
      <c r="BI136" s="4">
        <v>1</v>
      </c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>
        <v>1</v>
      </c>
      <c r="BV136" s="4"/>
      <c r="BW136" s="30">
        <f t="shared" si="42"/>
        <v>0</v>
      </c>
      <c r="BX136" s="30">
        <f t="shared" si="43"/>
        <v>2</v>
      </c>
      <c r="BY136" s="30">
        <f t="shared" si="44"/>
        <v>0</v>
      </c>
    </row>
    <row r="137" spans="1:77" ht="15.5" x14ac:dyDescent="0.35">
      <c r="A137" s="2" t="s">
        <v>22</v>
      </c>
      <c r="B137" s="80" t="s">
        <v>90</v>
      </c>
      <c r="C137" s="172" t="s">
        <v>243</v>
      </c>
      <c r="D137" s="91" t="s">
        <v>6</v>
      </c>
      <c r="E137" s="4"/>
      <c r="F137" s="4"/>
      <c r="G137" s="4"/>
      <c r="H137" s="4">
        <v>1</v>
      </c>
      <c r="I137" s="4"/>
      <c r="J137" s="4"/>
      <c r="K137" s="4"/>
      <c r="L137" s="4"/>
      <c r="M137" s="4"/>
      <c r="N137" s="4"/>
      <c r="O137" s="4"/>
      <c r="P137" s="4"/>
      <c r="Q137" s="4"/>
      <c r="R137" s="4">
        <v>3</v>
      </c>
      <c r="S137" s="4"/>
      <c r="T137" s="4"/>
      <c r="U137" s="4"/>
      <c r="V137" s="4"/>
      <c r="W137" s="30">
        <f t="shared" si="36"/>
        <v>1</v>
      </c>
      <c r="X137" s="30">
        <f t="shared" si="37"/>
        <v>3</v>
      </c>
      <c r="Y137" s="30">
        <f t="shared" si="38"/>
        <v>0</v>
      </c>
      <c r="AA137" s="1">
        <v>10</v>
      </c>
      <c r="AB137" s="80" t="s">
        <v>193</v>
      </c>
      <c r="AC137" s="172" t="s">
        <v>242</v>
      </c>
      <c r="AD137" s="91" t="s">
        <v>8</v>
      </c>
      <c r="AE137" s="4"/>
      <c r="AF137" s="4"/>
      <c r="AG137" s="4"/>
      <c r="AH137" s="4">
        <v>2</v>
      </c>
      <c r="AI137" s="5">
        <v>2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30">
        <f t="shared" si="39"/>
        <v>2</v>
      </c>
      <c r="AX137" s="30">
        <f t="shared" si="40"/>
        <v>2</v>
      </c>
      <c r="AY137" s="30">
        <f t="shared" si="41"/>
        <v>0</v>
      </c>
      <c r="BA137" s="1">
        <v>39</v>
      </c>
      <c r="BB137" s="99" t="s">
        <v>218</v>
      </c>
      <c r="BC137" s="172" t="s">
        <v>242</v>
      </c>
      <c r="BD137" s="84" t="s">
        <v>8</v>
      </c>
      <c r="BE137" s="4"/>
      <c r="BF137" s="4"/>
      <c r="BG137" s="4"/>
      <c r="BH137" s="4"/>
      <c r="BI137" s="4"/>
      <c r="BJ137" s="4"/>
      <c r="BK137" s="4">
        <v>1</v>
      </c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30">
        <f t="shared" si="42"/>
        <v>1</v>
      </c>
      <c r="BX137" s="30">
        <f t="shared" si="43"/>
        <v>0</v>
      </c>
      <c r="BY137" s="30">
        <f t="shared" si="44"/>
        <v>0</v>
      </c>
    </row>
    <row r="138" spans="1:77" ht="15.5" x14ac:dyDescent="0.35">
      <c r="A138" s="2" t="s">
        <v>25</v>
      </c>
      <c r="B138" s="92" t="s">
        <v>93</v>
      </c>
      <c r="C138" s="172" t="s">
        <v>243</v>
      </c>
      <c r="D138" s="91" t="s">
        <v>8</v>
      </c>
      <c r="E138" s="4"/>
      <c r="F138" s="5"/>
      <c r="G138" s="4"/>
      <c r="H138" s="5"/>
      <c r="I138" s="5"/>
      <c r="J138" s="5"/>
      <c r="K138" s="4"/>
      <c r="L138" s="4"/>
      <c r="M138" s="4"/>
      <c r="N138" s="4"/>
      <c r="O138" s="4">
        <v>1</v>
      </c>
      <c r="P138" s="4">
        <v>1</v>
      </c>
      <c r="Q138" s="4">
        <v>1</v>
      </c>
      <c r="R138" s="4">
        <v>2</v>
      </c>
      <c r="S138" s="4">
        <v>1</v>
      </c>
      <c r="T138" s="4"/>
      <c r="U138" s="4">
        <v>1</v>
      </c>
      <c r="V138" s="4"/>
      <c r="W138" s="30">
        <f t="shared" si="36"/>
        <v>1</v>
      </c>
      <c r="X138" s="30">
        <f t="shared" si="37"/>
        <v>4</v>
      </c>
      <c r="Y138" s="30">
        <f t="shared" si="38"/>
        <v>2</v>
      </c>
      <c r="AA138" s="1">
        <v>21</v>
      </c>
      <c r="AB138" s="80" t="s">
        <v>204</v>
      </c>
      <c r="AC138" s="172" t="s">
        <v>242</v>
      </c>
      <c r="AD138" s="91" t="s">
        <v>8</v>
      </c>
      <c r="AE138" s="4"/>
      <c r="AF138" s="4"/>
      <c r="AG138" s="4"/>
      <c r="AH138" s="4">
        <v>1</v>
      </c>
      <c r="AI138" s="4"/>
      <c r="AJ138" s="4"/>
      <c r="AK138" s="4"/>
      <c r="AL138" s="4">
        <v>1</v>
      </c>
      <c r="AM138" s="4"/>
      <c r="AN138" s="4"/>
      <c r="AO138" s="4">
        <v>1</v>
      </c>
      <c r="AP138" s="4"/>
      <c r="AQ138" s="4"/>
      <c r="AR138" s="4"/>
      <c r="AS138" s="4"/>
      <c r="AT138" s="4"/>
      <c r="AU138" s="4"/>
      <c r="AV138" s="4"/>
      <c r="AW138" s="30">
        <f t="shared" si="39"/>
        <v>1</v>
      </c>
      <c r="AX138" s="30">
        <f t="shared" si="40"/>
        <v>2</v>
      </c>
      <c r="AY138" s="30">
        <f t="shared" si="41"/>
        <v>0</v>
      </c>
      <c r="BA138" s="1">
        <v>5</v>
      </c>
      <c r="BB138" s="80" t="s">
        <v>57</v>
      </c>
      <c r="BC138" s="172" t="s">
        <v>1074</v>
      </c>
      <c r="BD138" s="177" t="s">
        <v>6</v>
      </c>
      <c r="BE138" s="4"/>
      <c r="BF138" s="4">
        <v>1</v>
      </c>
      <c r="BG138" s="4"/>
      <c r="BH138" s="4"/>
      <c r="BI138" s="5"/>
      <c r="BJ138" s="4">
        <v>1</v>
      </c>
      <c r="BK138" s="12"/>
      <c r="BL138" s="4"/>
      <c r="BM138" s="4"/>
      <c r="BN138" s="13"/>
      <c r="BO138" s="13"/>
      <c r="BP138" s="13"/>
      <c r="BQ138" s="4"/>
      <c r="BR138" s="4"/>
      <c r="BS138" s="4"/>
      <c r="BT138" s="4">
        <v>2</v>
      </c>
      <c r="BU138" s="4">
        <v>1</v>
      </c>
      <c r="BV138" s="4"/>
      <c r="BW138" s="30">
        <f t="shared" si="42"/>
        <v>2</v>
      </c>
      <c r="BX138" s="30">
        <f t="shared" si="43"/>
        <v>2</v>
      </c>
      <c r="BY138" s="30">
        <f t="shared" si="44"/>
        <v>1</v>
      </c>
    </row>
    <row r="139" spans="1:77" ht="15.5" x14ac:dyDescent="0.35">
      <c r="A139" s="2" t="s">
        <v>26</v>
      </c>
      <c r="B139" s="80" t="s">
        <v>94</v>
      </c>
      <c r="C139" s="172" t="s">
        <v>243</v>
      </c>
      <c r="D139" s="91" t="s">
        <v>8</v>
      </c>
      <c r="E139" s="4"/>
      <c r="F139" s="4"/>
      <c r="G139" s="4"/>
      <c r="H139" s="5"/>
      <c r="I139" s="4"/>
      <c r="J139" s="4"/>
      <c r="K139" s="4"/>
      <c r="L139" s="4"/>
      <c r="M139" s="4"/>
      <c r="N139" s="4"/>
      <c r="O139" s="4"/>
      <c r="P139" s="4"/>
      <c r="Q139" s="4">
        <v>1</v>
      </c>
      <c r="R139" s="4"/>
      <c r="S139" s="4"/>
      <c r="T139" s="4"/>
      <c r="U139" s="4"/>
      <c r="V139" s="4"/>
      <c r="W139" s="30">
        <f t="shared" si="36"/>
        <v>1</v>
      </c>
      <c r="X139" s="30">
        <f t="shared" si="37"/>
        <v>0</v>
      </c>
      <c r="Y139" s="30">
        <f t="shared" si="38"/>
        <v>0</v>
      </c>
      <c r="AA139" s="1">
        <v>26</v>
      </c>
      <c r="AB139" s="101" t="s">
        <v>876</v>
      </c>
      <c r="AC139" s="172" t="s">
        <v>242</v>
      </c>
      <c r="AD139" s="91" t="s">
        <v>8</v>
      </c>
      <c r="AE139" s="4"/>
      <c r="AF139" s="4">
        <v>2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30">
        <f t="shared" si="39"/>
        <v>0</v>
      </c>
      <c r="AX139" s="30">
        <f t="shared" si="40"/>
        <v>2</v>
      </c>
      <c r="AY139" s="30">
        <f t="shared" si="41"/>
        <v>0</v>
      </c>
      <c r="BA139" s="1">
        <v>7</v>
      </c>
      <c r="BB139" s="80" t="s">
        <v>59</v>
      </c>
      <c r="BC139" s="172" t="s">
        <v>1074</v>
      </c>
      <c r="BD139" s="177" t="s">
        <v>6</v>
      </c>
      <c r="BE139" s="4"/>
      <c r="BF139" s="4"/>
      <c r="BG139" s="4"/>
      <c r="BH139" s="4"/>
      <c r="BI139" s="5"/>
      <c r="BJ139" s="5"/>
      <c r="BK139" s="4"/>
      <c r="BL139" s="4"/>
      <c r="BM139" s="4"/>
      <c r="BN139" s="13"/>
      <c r="BO139" s="13"/>
      <c r="BP139" s="13"/>
      <c r="BQ139" s="4"/>
      <c r="BR139" s="4">
        <v>2</v>
      </c>
      <c r="BS139" s="4">
        <v>1</v>
      </c>
      <c r="BT139" s="4"/>
      <c r="BU139" s="4"/>
      <c r="BV139" s="4"/>
      <c r="BW139" s="30">
        <f t="shared" si="42"/>
        <v>0</v>
      </c>
      <c r="BX139" s="30">
        <f t="shared" si="43"/>
        <v>2</v>
      </c>
      <c r="BY139" s="30">
        <f t="shared" si="44"/>
        <v>1</v>
      </c>
    </row>
    <row r="140" spans="1:77" ht="15.5" x14ac:dyDescent="0.35">
      <c r="A140" s="2" t="s">
        <v>29</v>
      </c>
      <c r="B140" s="80" t="s">
        <v>97</v>
      </c>
      <c r="C140" s="172" t="s">
        <v>243</v>
      </c>
      <c r="D140" s="91" t="s">
        <v>8</v>
      </c>
      <c r="E140" s="4"/>
      <c r="F140" s="4"/>
      <c r="G140" s="5"/>
      <c r="H140" s="4"/>
      <c r="I140" s="5"/>
      <c r="J140" s="5"/>
      <c r="K140" s="4"/>
      <c r="L140" s="4"/>
      <c r="M140" s="4"/>
      <c r="N140" s="4">
        <v>1</v>
      </c>
      <c r="O140" s="4">
        <v>1</v>
      </c>
      <c r="P140" s="4"/>
      <c r="Q140" s="4"/>
      <c r="R140" s="4"/>
      <c r="S140" s="4"/>
      <c r="T140" s="4"/>
      <c r="U140" s="4"/>
      <c r="V140" s="4"/>
      <c r="W140" s="30">
        <f t="shared" si="36"/>
        <v>1</v>
      </c>
      <c r="X140" s="30">
        <f t="shared" si="37"/>
        <v>1</v>
      </c>
      <c r="Y140" s="30">
        <f t="shared" si="38"/>
        <v>0</v>
      </c>
      <c r="AA140" s="1">
        <v>31</v>
      </c>
      <c r="AB140" s="80" t="s">
        <v>212</v>
      </c>
      <c r="AC140" s="172" t="s">
        <v>242</v>
      </c>
      <c r="AD140" s="91" t="s">
        <v>8</v>
      </c>
      <c r="AE140" s="4"/>
      <c r="AF140" s="5"/>
      <c r="AG140" s="4"/>
      <c r="AH140" s="4"/>
      <c r="AI140" s="4">
        <v>2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30">
        <f t="shared" si="39"/>
        <v>0</v>
      </c>
      <c r="AX140" s="30">
        <f t="shared" si="40"/>
        <v>2</v>
      </c>
      <c r="AY140" s="30">
        <f t="shared" si="41"/>
        <v>0</v>
      </c>
      <c r="BA140" s="1">
        <v>11</v>
      </c>
      <c r="BB140" s="80" t="s">
        <v>80</v>
      </c>
      <c r="BC140" s="172" t="s">
        <v>1075</v>
      </c>
      <c r="BD140" s="91" t="s">
        <v>6</v>
      </c>
      <c r="BE140" s="4"/>
      <c r="BF140" s="4"/>
      <c r="BG140" s="4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4"/>
      <c r="BU140" s="4"/>
      <c r="BV140" s="4">
        <v>1</v>
      </c>
      <c r="BW140" s="30">
        <f t="shared" si="42"/>
        <v>0</v>
      </c>
      <c r="BX140" s="30">
        <f t="shared" si="43"/>
        <v>0</v>
      </c>
      <c r="BY140" s="30">
        <f t="shared" si="44"/>
        <v>1</v>
      </c>
    </row>
    <row r="141" spans="1:77" ht="15.5" x14ac:dyDescent="0.35">
      <c r="A141" s="2" t="s">
        <v>30</v>
      </c>
      <c r="B141" s="80" t="s">
        <v>98</v>
      </c>
      <c r="C141" s="172" t="s">
        <v>243</v>
      </c>
      <c r="D141" s="91" t="s">
        <v>6</v>
      </c>
      <c r="E141" s="4"/>
      <c r="F141" s="4"/>
      <c r="G141" s="4"/>
      <c r="H141" s="4">
        <v>1</v>
      </c>
      <c r="I141" s="5"/>
      <c r="J141" s="4">
        <v>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30">
        <f t="shared" si="36"/>
        <v>1</v>
      </c>
      <c r="X141" s="30">
        <f t="shared" si="37"/>
        <v>0</v>
      </c>
      <c r="Y141" s="30">
        <f t="shared" si="38"/>
        <v>3</v>
      </c>
      <c r="AA141" s="1">
        <v>35</v>
      </c>
      <c r="AB141" s="80" t="s">
        <v>215</v>
      </c>
      <c r="AC141" s="172" t="s">
        <v>242</v>
      </c>
      <c r="AD141" s="98" t="s">
        <v>8</v>
      </c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>
        <v>2</v>
      </c>
      <c r="AP141" s="4"/>
      <c r="AQ141" s="4"/>
      <c r="AR141" s="4"/>
      <c r="AS141" s="4"/>
      <c r="AT141" s="4"/>
      <c r="AU141" s="4"/>
      <c r="AV141" s="4"/>
      <c r="AW141" s="30">
        <f t="shared" si="39"/>
        <v>0</v>
      </c>
      <c r="AX141" s="30">
        <f t="shared" si="40"/>
        <v>2</v>
      </c>
      <c r="AY141" s="30">
        <f t="shared" si="41"/>
        <v>0</v>
      </c>
      <c r="BA141" s="1">
        <v>19</v>
      </c>
      <c r="BB141" s="80" t="s">
        <v>88</v>
      </c>
      <c r="BC141" s="172" t="s">
        <v>1075</v>
      </c>
      <c r="BD141" s="91" t="s">
        <v>6</v>
      </c>
      <c r="BE141" s="4"/>
      <c r="BF141" s="4">
        <v>1</v>
      </c>
      <c r="BG141" s="4"/>
      <c r="BH141" s="13"/>
      <c r="BI141" s="13"/>
      <c r="BJ141" s="13"/>
      <c r="BK141" s="13"/>
      <c r="BL141" s="13"/>
      <c r="BM141" s="13"/>
      <c r="BN141" s="13"/>
      <c r="BO141" s="13">
        <v>1</v>
      </c>
      <c r="BP141" s="13"/>
      <c r="BQ141" s="13"/>
      <c r="BR141" s="13"/>
      <c r="BS141" s="13"/>
      <c r="BT141" s="4"/>
      <c r="BU141" s="4"/>
      <c r="BV141" s="4">
        <v>1</v>
      </c>
      <c r="BW141" s="30">
        <f t="shared" si="42"/>
        <v>0</v>
      </c>
      <c r="BX141" s="30">
        <f t="shared" si="43"/>
        <v>2</v>
      </c>
      <c r="BY141" s="30">
        <f t="shared" si="44"/>
        <v>1</v>
      </c>
    </row>
    <row r="142" spans="1:77" ht="15.5" x14ac:dyDescent="0.35">
      <c r="A142" s="2" t="s">
        <v>31</v>
      </c>
      <c r="B142" s="80" t="s">
        <v>99</v>
      </c>
      <c r="C142" s="172" t="s">
        <v>243</v>
      </c>
      <c r="D142" s="91" t="s">
        <v>8</v>
      </c>
      <c r="E142" s="4"/>
      <c r="F142" s="4">
        <v>1</v>
      </c>
      <c r="G142" s="4"/>
      <c r="H142" s="4">
        <v>1</v>
      </c>
      <c r="I142" s="4"/>
      <c r="J142" s="5"/>
      <c r="K142" s="4"/>
      <c r="L142" s="4"/>
      <c r="M142" s="4"/>
      <c r="N142" s="4"/>
      <c r="O142" s="4"/>
      <c r="P142" s="4"/>
      <c r="Q142" s="4"/>
      <c r="R142" s="4">
        <v>1</v>
      </c>
      <c r="S142" s="4"/>
      <c r="T142" s="4"/>
      <c r="U142" s="4"/>
      <c r="V142" s="4"/>
      <c r="W142" s="30">
        <f t="shared" si="36"/>
        <v>1</v>
      </c>
      <c r="X142" s="30">
        <f t="shared" si="37"/>
        <v>2</v>
      </c>
      <c r="Y142" s="30">
        <f t="shared" si="38"/>
        <v>0</v>
      </c>
      <c r="AA142" s="1">
        <v>37</v>
      </c>
      <c r="AB142" s="80" t="s">
        <v>879</v>
      </c>
      <c r="AC142" s="172" t="s">
        <v>242</v>
      </c>
      <c r="AD142" s="98" t="s">
        <v>8</v>
      </c>
      <c r="AE142" s="4"/>
      <c r="AF142" s="5"/>
      <c r="AG142" s="4"/>
      <c r="AH142" s="4"/>
      <c r="AI142" s="4">
        <v>1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>
        <v>1</v>
      </c>
      <c r="AV142" s="4"/>
      <c r="AW142" s="30">
        <f t="shared" si="39"/>
        <v>0</v>
      </c>
      <c r="AX142" s="30">
        <f t="shared" si="40"/>
        <v>2</v>
      </c>
      <c r="AY142" s="30">
        <f t="shared" si="41"/>
        <v>0</v>
      </c>
      <c r="BA142" s="2" t="s">
        <v>21</v>
      </c>
      <c r="BB142" s="80" t="s">
        <v>89</v>
      </c>
      <c r="BC142" s="172" t="s">
        <v>243</v>
      </c>
      <c r="BD142" s="91" t="s">
        <v>8</v>
      </c>
      <c r="BE142" s="4"/>
      <c r="BF142" s="4"/>
      <c r="BG142" s="4"/>
      <c r="BH142" s="4"/>
      <c r="BI142" s="5"/>
      <c r="BJ142" s="4"/>
      <c r="BK142" s="4"/>
      <c r="BL142" s="4"/>
      <c r="BM142" s="4"/>
      <c r="BN142" s="4"/>
      <c r="BO142" s="4"/>
      <c r="BP142" s="4"/>
      <c r="BQ142" s="4">
        <v>1</v>
      </c>
      <c r="BR142" s="4"/>
      <c r="BS142" s="4">
        <v>1</v>
      </c>
      <c r="BT142" s="4"/>
      <c r="BU142" s="4"/>
      <c r="BV142" s="4"/>
      <c r="BW142" s="30">
        <f t="shared" si="42"/>
        <v>1</v>
      </c>
      <c r="BX142" s="30">
        <f t="shared" si="43"/>
        <v>0</v>
      </c>
      <c r="BY142" s="30">
        <f t="shared" si="44"/>
        <v>1</v>
      </c>
    </row>
    <row r="143" spans="1:77" ht="15.5" x14ac:dyDescent="0.35">
      <c r="A143" s="2" t="s">
        <v>34</v>
      </c>
      <c r="B143" s="80" t="s">
        <v>859</v>
      </c>
      <c r="C143" s="172" t="s">
        <v>243</v>
      </c>
      <c r="D143" s="91" t="s">
        <v>8</v>
      </c>
      <c r="E143" s="9"/>
      <c r="F143" s="9">
        <v>1</v>
      </c>
      <c r="G143" s="9"/>
      <c r="H143" s="9"/>
      <c r="I143" s="16"/>
      <c r="J143" s="16"/>
      <c r="K143" s="9"/>
      <c r="L143" s="9"/>
      <c r="M143" s="9"/>
      <c r="N143" s="9"/>
      <c r="O143" s="9"/>
      <c r="P143" s="9"/>
      <c r="Q143" s="9">
        <v>1</v>
      </c>
      <c r="R143" s="9">
        <v>2</v>
      </c>
      <c r="S143" s="9"/>
      <c r="T143" s="9"/>
      <c r="U143" s="9">
        <v>1</v>
      </c>
      <c r="V143" s="9"/>
      <c r="W143" s="30">
        <f t="shared" si="36"/>
        <v>1</v>
      </c>
      <c r="X143" s="30">
        <f t="shared" si="37"/>
        <v>4</v>
      </c>
      <c r="Y143" s="30">
        <f t="shared" si="38"/>
        <v>0</v>
      </c>
      <c r="AA143" s="1">
        <v>4</v>
      </c>
      <c r="AB143" s="80" t="s">
        <v>56</v>
      </c>
      <c r="AC143" s="172" t="s">
        <v>1074</v>
      </c>
      <c r="AD143" s="177" t="s">
        <v>6</v>
      </c>
      <c r="AE143" s="4"/>
      <c r="AF143" s="5">
        <v>1</v>
      </c>
      <c r="AG143" s="4"/>
      <c r="AH143" s="5"/>
      <c r="AI143" s="5">
        <v>1</v>
      </c>
      <c r="AJ143" s="4"/>
      <c r="AK143" s="12"/>
      <c r="AL143" s="4"/>
      <c r="AM143" s="4"/>
      <c r="AN143" s="13"/>
      <c r="AO143" s="13"/>
      <c r="AP143" s="13"/>
      <c r="AQ143" s="4"/>
      <c r="AR143" s="4">
        <v>1</v>
      </c>
      <c r="AS143" s="4">
        <v>2</v>
      </c>
      <c r="AT143" s="4">
        <v>1</v>
      </c>
      <c r="AU143" s="4"/>
      <c r="AV143" s="4">
        <v>1</v>
      </c>
      <c r="AW143" s="30">
        <f t="shared" si="39"/>
        <v>1</v>
      </c>
      <c r="AX143" s="30">
        <f t="shared" si="40"/>
        <v>3</v>
      </c>
      <c r="AY143" s="30">
        <f t="shared" si="41"/>
        <v>3</v>
      </c>
      <c r="BA143" s="2" t="s">
        <v>35</v>
      </c>
      <c r="BB143" s="80" t="s">
        <v>102</v>
      </c>
      <c r="BC143" s="172" t="s">
        <v>243</v>
      </c>
      <c r="BD143" s="91" t="s">
        <v>6</v>
      </c>
      <c r="BE143" s="4"/>
      <c r="BF143" s="4"/>
      <c r="BG143" s="4"/>
      <c r="BH143" s="4"/>
      <c r="BI143" s="4"/>
      <c r="BJ143" s="4"/>
      <c r="BK143" s="4"/>
      <c r="BL143" s="4"/>
      <c r="BM143" s="4"/>
      <c r="BN143" s="4">
        <v>1</v>
      </c>
      <c r="BO143" s="4"/>
      <c r="BP143" s="4">
        <v>1</v>
      </c>
      <c r="BQ143" s="4"/>
      <c r="BR143" s="4">
        <v>1</v>
      </c>
      <c r="BS143" s="4"/>
      <c r="BT143" s="4"/>
      <c r="BU143" s="4"/>
      <c r="BV143" s="4"/>
      <c r="BW143" s="30">
        <f t="shared" si="42"/>
        <v>1</v>
      </c>
      <c r="BX143" s="30">
        <f t="shared" si="43"/>
        <v>1</v>
      </c>
      <c r="BY143" s="30">
        <f t="shared" si="44"/>
        <v>1</v>
      </c>
    </row>
    <row r="144" spans="1:77" ht="15.5" x14ac:dyDescent="0.35">
      <c r="A144" s="2" t="s">
        <v>35</v>
      </c>
      <c r="B144" s="80" t="s">
        <v>102</v>
      </c>
      <c r="C144" s="172" t="s">
        <v>243</v>
      </c>
      <c r="D144" s="91" t="s">
        <v>6</v>
      </c>
      <c r="E144" s="4"/>
      <c r="F144" s="4"/>
      <c r="G144" s="4"/>
      <c r="H144" s="4"/>
      <c r="I144" s="4"/>
      <c r="J144" s="4"/>
      <c r="K144" s="4"/>
      <c r="L144" s="4"/>
      <c r="M144" s="4"/>
      <c r="N144" s="4">
        <v>1</v>
      </c>
      <c r="O144" s="4"/>
      <c r="P144" s="4">
        <v>1</v>
      </c>
      <c r="Q144" s="4"/>
      <c r="R144" s="4">
        <v>1</v>
      </c>
      <c r="S144" s="4"/>
      <c r="T144" s="4"/>
      <c r="U144" s="4"/>
      <c r="V144" s="4"/>
      <c r="W144" s="30">
        <f t="shared" si="36"/>
        <v>1</v>
      </c>
      <c r="X144" s="30">
        <f t="shared" si="37"/>
        <v>1</v>
      </c>
      <c r="Y144" s="30">
        <f t="shared" si="38"/>
        <v>1</v>
      </c>
      <c r="AA144" s="1">
        <v>12</v>
      </c>
      <c r="AB144" s="80" t="s">
        <v>62</v>
      </c>
      <c r="AC144" s="172" t="s">
        <v>1074</v>
      </c>
      <c r="AD144" s="177" t="s">
        <v>6</v>
      </c>
      <c r="AE144" s="5"/>
      <c r="AF144" s="4"/>
      <c r="AG144" s="5"/>
      <c r="AH144" s="5"/>
      <c r="AI144" s="5"/>
      <c r="AJ144" s="5"/>
      <c r="AK144" s="4"/>
      <c r="AL144" s="4"/>
      <c r="AM144" s="4"/>
      <c r="AN144" s="13"/>
      <c r="AO144" s="13"/>
      <c r="AP144" s="13"/>
      <c r="AQ144" s="4"/>
      <c r="AR144" s="4">
        <v>1</v>
      </c>
      <c r="AS144" s="4">
        <v>1</v>
      </c>
      <c r="AT144" s="4"/>
      <c r="AU144" s="4">
        <v>2</v>
      </c>
      <c r="AV144" s="4">
        <v>1</v>
      </c>
      <c r="AW144" s="30">
        <f t="shared" si="39"/>
        <v>0</v>
      </c>
      <c r="AX144" s="30">
        <f t="shared" si="40"/>
        <v>3</v>
      </c>
      <c r="AY144" s="30">
        <f t="shared" si="41"/>
        <v>2</v>
      </c>
      <c r="BA144" s="2" t="s">
        <v>41</v>
      </c>
      <c r="BB144" s="80" t="s">
        <v>107</v>
      </c>
      <c r="BC144" s="172" t="s">
        <v>243</v>
      </c>
      <c r="BD144" s="91" t="s">
        <v>8</v>
      </c>
      <c r="BE144" s="4"/>
      <c r="BF144" s="4">
        <v>2</v>
      </c>
      <c r="BG144" s="4">
        <v>1</v>
      </c>
      <c r="BH144" s="4"/>
      <c r="BI144" s="5"/>
      <c r="BJ144" s="4"/>
      <c r="BK144" s="4"/>
      <c r="BL144" s="4"/>
      <c r="BM144" s="4"/>
      <c r="BN144" s="4">
        <v>1</v>
      </c>
      <c r="BO144" s="4"/>
      <c r="BP144" s="4"/>
      <c r="BQ144" s="4">
        <v>1</v>
      </c>
      <c r="BR144" s="4">
        <v>2</v>
      </c>
      <c r="BS144" s="4"/>
      <c r="BT144" s="4"/>
      <c r="BU144" s="4">
        <v>1</v>
      </c>
      <c r="BV144" s="4"/>
      <c r="BW144" s="30">
        <f t="shared" si="42"/>
        <v>2</v>
      </c>
      <c r="BX144" s="30">
        <f t="shared" si="43"/>
        <v>5</v>
      </c>
      <c r="BY144" s="30">
        <f t="shared" si="44"/>
        <v>1</v>
      </c>
    </row>
    <row r="145" spans="1:77" ht="15.5" x14ac:dyDescent="0.35">
      <c r="A145" s="2" t="s">
        <v>39</v>
      </c>
      <c r="B145" s="80" t="s">
        <v>105</v>
      </c>
      <c r="C145" s="172" t="s">
        <v>243</v>
      </c>
      <c r="D145" s="91" t="s">
        <v>8</v>
      </c>
      <c r="E145" s="4"/>
      <c r="F145" s="4"/>
      <c r="G145" s="4"/>
      <c r="H145" s="4"/>
      <c r="I145" s="4"/>
      <c r="J145" s="4"/>
      <c r="K145" s="4"/>
      <c r="L145" s="4"/>
      <c r="M145" s="4"/>
      <c r="N145" s="4">
        <v>1</v>
      </c>
      <c r="O145" s="4"/>
      <c r="P145" s="4"/>
      <c r="Q145" s="4"/>
      <c r="R145" s="4"/>
      <c r="S145" s="4"/>
      <c r="T145" s="4"/>
      <c r="U145" s="4"/>
      <c r="V145" s="4"/>
      <c r="W145" s="30">
        <f t="shared" si="36"/>
        <v>1</v>
      </c>
      <c r="X145" s="30">
        <f t="shared" si="37"/>
        <v>0</v>
      </c>
      <c r="Y145" s="30">
        <f t="shared" si="38"/>
        <v>0</v>
      </c>
      <c r="AA145" s="1">
        <v>20</v>
      </c>
      <c r="AB145" s="80" t="s">
        <v>70</v>
      </c>
      <c r="AC145" s="172" t="s">
        <v>1074</v>
      </c>
      <c r="AD145" s="177" t="s">
        <v>6</v>
      </c>
      <c r="AE145" s="4"/>
      <c r="AF145" s="5"/>
      <c r="AG145" s="4">
        <v>2</v>
      </c>
      <c r="AH145" s="4">
        <v>1</v>
      </c>
      <c r="AI145" s="5"/>
      <c r="AJ145" s="4"/>
      <c r="AK145" s="4"/>
      <c r="AL145" s="4"/>
      <c r="AM145" s="4"/>
      <c r="AN145" s="13"/>
      <c r="AO145" s="13"/>
      <c r="AP145" s="13"/>
      <c r="AQ145" s="4"/>
      <c r="AR145" s="4">
        <v>3</v>
      </c>
      <c r="AS145" s="4"/>
      <c r="AT145" s="4"/>
      <c r="AU145" s="4"/>
      <c r="AV145" s="4">
        <v>1</v>
      </c>
      <c r="AW145" s="30">
        <f t="shared" si="39"/>
        <v>1</v>
      </c>
      <c r="AX145" s="30">
        <f t="shared" si="40"/>
        <v>3</v>
      </c>
      <c r="AY145" s="30">
        <f t="shared" si="41"/>
        <v>3</v>
      </c>
      <c r="BA145" s="2" t="s">
        <v>46</v>
      </c>
      <c r="BB145" s="80" t="s">
        <v>112</v>
      </c>
      <c r="BC145" s="172" t="s">
        <v>243</v>
      </c>
      <c r="BD145" s="91" t="s">
        <v>8</v>
      </c>
      <c r="BE145" s="4"/>
      <c r="BF145" s="4">
        <v>1</v>
      </c>
      <c r="BG145" s="4"/>
      <c r="BH145" s="4"/>
      <c r="BI145" s="4">
        <v>1</v>
      </c>
      <c r="BJ145" s="4">
        <v>1</v>
      </c>
      <c r="BK145" s="4"/>
      <c r="BL145" s="4"/>
      <c r="BM145" s="4"/>
      <c r="BN145" s="4"/>
      <c r="BO145" s="4"/>
      <c r="BP145" s="4"/>
      <c r="BQ145" s="4"/>
      <c r="BR145" s="4"/>
      <c r="BS145" s="4"/>
      <c r="BT145" s="4">
        <v>1</v>
      </c>
      <c r="BU145" s="4"/>
      <c r="BV145" s="4"/>
      <c r="BW145" s="30">
        <f t="shared" si="42"/>
        <v>1</v>
      </c>
      <c r="BX145" s="30">
        <f t="shared" si="43"/>
        <v>2</v>
      </c>
      <c r="BY145" s="30">
        <f t="shared" si="44"/>
        <v>1</v>
      </c>
    </row>
    <row r="146" spans="1:77" ht="15.5" x14ac:dyDescent="0.35">
      <c r="A146" s="2" t="s">
        <v>40</v>
      </c>
      <c r="B146" s="80" t="s">
        <v>106</v>
      </c>
      <c r="C146" s="172" t="s">
        <v>243</v>
      </c>
      <c r="D146" s="91" t="s">
        <v>8</v>
      </c>
      <c r="E146" s="4"/>
      <c r="F146" s="4">
        <v>1</v>
      </c>
      <c r="G146" s="4"/>
      <c r="H146" s="4">
        <v>1</v>
      </c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30">
        <f t="shared" si="36"/>
        <v>1</v>
      </c>
      <c r="X146" s="30">
        <f t="shared" si="37"/>
        <v>1</v>
      </c>
      <c r="Y146" s="30">
        <f t="shared" si="38"/>
        <v>0</v>
      </c>
      <c r="AA146" s="1">
        <v>9</v>
      </c>
      <c r="AB146" s="80" t="s">
        <v>78</v>
      </c>
      <c r="AC146" s="172" t="s">
        <v>1075</v>
      </c>
      <c r="AD146" s="91" t="s">
        <v>6</v>
      </c>
      <c r="AE146" s="4"/>
      <c r="AF146" s="4"/>
      <c r="AG146" s="5">
        <v>1</v>
      </c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>
        <v>3</v>
      </c>
      <c r="AS146" s="13"/>
      <c r="AT146" s="4"/>
      <c r="AU146" s="4"/>
      <c r="AV146" s="4">
        <v>1</v>
      </c>
      <c r="AW146" s="30">
        <f t="shared" si="39"/>
        <v>0</v>
      </c>
      <c r="AX146" s="30">
        <f t="shared" si="40"/>
        <v>3</v>
      </c>
      <c r="AY146" s="30">
        <f t="shared" si="41"/>
        <v>2</v>
      </c>
      <c r="BA146" s="2" t="s">
        <v>122</v>
      </c>
      <c r="BB146" s="93" t="s">
        <v>118</v>
      </c>
      <c r="BC146" s="172" t="s">
        <v>243</v>
      </c>
      <c r="BD146" s="91" t="s">
        <v>6</v>
      </c>
      <c r="BE146" s="4"/>
      <c r="BF146" s="4"/>
      <c r="BG146" s="4"/>
      <c r="BH146" s="4">
        <v>1</v>
      </c>
      <c r="BI146" s="5"/>
      <c r="BJ146" s="4">
        <v>1</v>
      </c>
      <c r="BK146" s="4"/>
      <c r="BL146" s="4"/>
      <c r="BM146" s="4"/>
      <c r="BN146" s="4"/>
      <c r="BO146" s="4"/>
      <c r="BP146" s="4"/>
      <c r="BQ146" s="4"/>
      <c r="BR146" s="4">
        <v>2</v>
      </c>
      <c r="BS146" s="4"/>
      <c r="BT146" s="4"/>
      <c r="BU146" s="4">
        <v>1</v>
      </c>
      <c r="BV146" s="4"/>
      <c r="BW146" s="30">
        <f t="shared" si="42"/>
        <v>1</v>
      </c>
      <c r="BX146" s="30">
        <f t="shared" si="43"/>
        <v>3</v>
      </c>
      <c r="BY146" s="30">
        <f t="shared" si="44"/>
        <v>1</v>
      </c>
    </row>
    <row r="147" spans="1:77" ht="15.5" x14ac:dyDescent="0.35">
      <c r="A147" s="2" t="s">
        <v>43</v>
      </c>
      <c r="B147" s="90" t="s">
        <v>109</v>
      </c>
      <c r="C147" s="172" t="s">
        <v>243</v>
      </c>
      <c r="D147" s="91" t="s">
        <v>6</v>
      </c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>
        <v>1</v>
      </c>
      <c r="U147" s="4"/>
      <c r="V147" s="4"/>
      <c r="W147" s="30">
        <f t="shared" si="36"/>
        <v>1</v>
      </c>
      <c r="X147" s="30">
        <f t="shared" si="37"/>
        <v>0</v>
      </c>
      <c r="Y147" s="30">
        <f t="shared" si="38"/>
        <v>0</v>
      </c>
      <c r="AA147" s="2" t="s">
        <v>22</v>
      </c>
      <c r="AB147" s="80" t="s">
        <v>90</v>
      </c>
      <c r="AC147" s="172" t="s">
        <v>243</v>
      </c>
      <c r="AD147" s="91" t="s">
        <v>6</v>
      </c>
      <c r="AE147" s="4"/>
      <c r="AF147" s="4"/>
      <c r="AG147" s="4"/>
      <c r="AH147" s="4">
        <v>1</v>
      </c>
      <c r="AI147" s="4"/>
      <c r="AJ147" s="4"/>
      <c r="AK147" s="4"/>
      <c r="AL147" s="4"/>
      <c r="AM147" s="4"/>
      <c r="AN147" s="4"/>
      <c r="AO147" s="4"/>
      <c r="AP147" s="4"/>
      <c r="AQ147" s="4"/>
      <c r="AR147" s="4">
        <v>3</v>
      </c>
      <c r="AS147" s="4"/>
      <c r="AT147" s="4"/>
      <c r="AU147" s="4"/>
      <c r="AV147" s="4"/>
      <c r="AW147" s="30">
        <f t="shared" si="39"/>
        <v>1</v>
      </c>
      <c r="AX147" s="30">
        <f t="shared" si="40"/>
        <v>3</v>
      </c>
      <c r="AY147" s="30">
        <f t="shared" si="41"/>
        <v>0</v>
      </c>
      <c r="BA147" s="2" t="s">
        <v>126</v>
      </c>
      <c r="BB147" s="96" t="s">
        <v>133</v>
      </c>
      <c r="BC147" s="172" t="s">
        <v>243</v>
      </c>
      <c r="BD147" s="91" t="s">
        <v>8</v>
      </c>
      <c r="BE147" s="23"/>
      <c r="BF147" s="23"/>
      <c r="BG147" s="23"/>
      <c r="BH147" s="23"/>
      <c r="BI147" s="23"/>
      <c r="BJ147" s="23"/>
      <c r="BK147" s="23"/>
      <c r="BL147" s="23"/>
      <c r="BM147" s="23"/>
      <c r="BN147" s="23">
        <v>1</v>
      </c>
      <c r="BO147" s="23">
        <v>1</v>
      </c>
      <c r="BP147" s="23">
        <v>1</v>
      </c>
      <c r="BQ147" s="23">
        <v>1</v>
      </c>
      <c r="BR147" s="23">
        <v>3</v>
      </c>
      <c r="BS147" s="23"/>
      <c r="BT147" s="23"/>
      <c r="BU147" s="23">
        <v>1</v>
      </c>
      <c r="BV147" s="23"/>
      <c r="BW147" s="30">
        <f t="shared" si="42"/>
        <v>2</v>
      </c>
      <c r="BX147" s="30">
        <f t="shared" si="43"/>
        <v>5</v>
      </c>
      <c r="BY147" s="30">
        <f t="shared" si="44"/>
        <v>1</v>
      </c>
    </row>
    <row r="148" spans="1:77" ht="15.5" x14ac:dyDescent="0.35">
      <c r="A148" s="2" t="s">
        <v>45</v>
      </c>
      <c r="B148" s="80" t="s">
        <v>111</v>
      </c>
      <c r="C148" s="172" t="s">
        <v>243</v>
      </c>
      <c r="D148" s="91" t="s">
        <v>8</v>
      </c>
      <c r="E148" s="4"/>
      <c r="F148" s="4"/>
      <c r="G148" s="4"/>
      <c r="H148" s="4"/>
      <c r="I148" s="5"/>
      <c r="J148" s="4"/>
      <c r="K148" s="4"/>
      <c r="L148" s="4"/>
      <c r="M148" s="4"/>
      <c r="N148" s="4">
        <v>1</v>
      </c>
      <c r="O148" s="4"/>
      <c r="P148" s="4"/>
      <c r="Q148" s="4"/>
      <c r="R148" s="4"/>
      <c r="S148" s="4"/>
      <c r="T148" s="4"/>
      <c r="U148" s="4"/>
      <c r="V148" s="4"/>
      <c r="W148" s="30">
        <f t="shared" si="36"/>
        <v>1</v>
      </c>
      <c r="X148" s="30">
        <f t="shared" si="37"/>
        <v>0</v>
      </c>
      <c r="Y148" s="30">
        <f t="shared" si="38"/>
        <v>0</v>
      </c>
      <c r="AA148" s="2" t="s">
        <v>36</v>
      </c>
      <c r="AB148" s="80" t="s">
        <v>103</v>
      </c>
      <c r="AC148" s="172" t="s">
        <v>243</v>
      </c>
      <c r="AD148" s="91" t="s">
        <v>6</v>
      </c>
      <c r="AE148" s="4"/>
      <c r="AF148" s="4">
        <v>1</v>
      </c>
      <c r="AG148" s="4"/>
      <c r="AH148" s="4">
        <v>1</v>
      </c>
      <c r="AI148" s="5"/>
      <c r="AJ148" s="4"/>
      <c r="AK148" s="4"/>
      <c r="AL148" s="4"/>
      <c r="AM148" s="4"/>
      <c r="AN148" s="4"/>
      <c r="AO148" s="4"/>
      <c r="AP148" s="4"/>
      <c r="AQ148" s="4">
        <v>1</v>
      </c>
      <c r="AR148" s="4">
        <v>1</v>
      </c>
      <c r="AS148" s="4">
        <v>3</v>
      </c>
      <c r="AT148" s="4"/>
      <c r="AU148" s="4">
        <v>1</v>
      </c>
      <c r="AV148" s="4">
        <v>1</v>
      </c>
      <c r="AW148" s="30">
        <f t="shared" si="39"/>
        <v>2</v>
      </c>
      <c r="AX148" s="30">
        <f t="shared" si="40"/>
        <v>3</v>
      </c>
      <c r="AY148" s="30">
        <f t="shared" si="41"/>
        <v>4</v>
      </c>
      <c r="BA148" s="32" t="s">
        <v>22</v>
      </c>
      <c r="BB148" s="80" t="s">
        <v>129</v>
      </c>
      <c r="BC148" s="172" t="s">
        <v>244</v>
      </c>
      <c r="BD148" s="91" t="s">
        <v>6</v>
      </c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>
        <v>1</v>
      </c>
      <c r="BT148" s="4"/>
      <c r="BU148" s="4">
        <v>1</v>
      </c>
      <c r="BV148" s="4"/>
      <c r="BW148" s="30">
        <f t="shared" si="42"/>
        <v>0</v>
      </c>
      <c r="BX148" s="30">
        <f t="shared" si="43"/>
        <v>1</v>
      </c>
      <c r="BY148" s="30">
        <f t="shared" si="44"/>
        <v>1</v>
      </c>
    </row>
    <row r="149" spans="1:77" ht="15.5" x14ac:dyDescent="0.35">
      <c r="A149" s="2" t="s">
        <v>46</v>
      </c>
      <c r="B149" s="80" t="s">
        <v>112</v>
      </c>
      <c r="C149" s="172" t="s">
        <v>243</v>
      </c>
      <c r="D149" s="91" t="s">
        <v>8</v>
      </c>
      <c r="E149" s="4"/>
      <c r="F149" s="4">
        <v>1</v>
      </c>
      <c r="G149" s="4"/>
      <c r="H149" s="4"/>
      <c r="I149" s="4">
        <v>1</v>
      </c>
      <c r="J149" s="4">
        <v>1</v>
      </c>
      <c r="K149" s="4"/>
      <c r="L149" s="4"/>
      <c r="M149" s="4"/>
      <c r="N149" s="4"/>
      <c r="O149" s="4"/>
      <c r="P149" s="4"/>
      <c r="Q149" s="4"/>
      <c r="R149" s="4"/>
      <c r="S149" s="4"/>
      <c r="T149" s="4">
        <v>1</v>
      </c>
      <c r="U149" s="4"/>
      <c r="V149" s="4"/>
      <c r="W149" s="30">
        <f t="shared" si="36"/>
        <v>1</v>
      </c>
      <c r="X149" s="30">
        <f t="shared" si="37"/>
        <v>2</v>
      </c>
      <c r="Y149" s="30">
        <f t="shared" si="38"/>
        <v>1</v>
      </c>
      <c r="AA149" s="2" t="s">
        <v>42</v>
      </c>
      <c r="AB149" s="80" t="s">
        <v>108</v>
      </c>
      <c r="AC149" s="172" t="s">
        <v>243</v>
      </c>
      <c r="AD149" s="91" t="s">
        <v>6</v>
      </c>
      <c r="AE149" s="4"/>
      <c r="AF149" s="4"/>
      <c r="AG149" s="4"/>
      <c r="AH149" s="4"/>
      <c r="AI149" s="5">
        <v>1</v>
      </c>
      <c r="AJ149" s="4"/>
      <c r="AK149" s="4"/>
      <c r="AL149" s="4"/>
      <c r="AM149" s="4"/>
      <c r="AN149" s="4"/>
      <c r="AO149" s="4"/>
      <c r="AP149" s="4"/>
      <c r="AQ149" s="4"/>
      <c r="AR149" s="4">
        <v>2</v>
      </c>
      <c r="AS149" s="4"/>
      <c r="AT149" s="4"/>
      <c r="AU149" s="4"/>
      <c r="AV149" s="4"/>
      <c r="AW149" s="30">
        <f t="shared" si="39"/>
        <v>0</v>
      </c>
      <c r="AX149" s="30">
        <f t="shared" si="40"/>
        <v>3</v>
      </c>
      <c r="AY149" s="30">
        <f t="shared" si="41"/>
        <v>0</v>
      </c>
      <c r="BA149" s="32" t="s">
        <v>27</v>
      </c>
      <c r="BB149" s="80" t="s">
        <v>132</v>
      </c>
      <c r="BC149" s="172" t="s">
        <v>244</v>
      </c>
      <c r="BD149" s="91" t="s">
        <v>6</v>
      </c>
      <c r="BE149" s="4"/>
      <c r="BF149" s="4"/>
      <c r="BG149" s="4"/>
      <c r="BH149" s="4"/>
      <c r="BI149" s="4">
        <v>5</v>
      </c>
      <c r="BJ149" s="5"/>
      <c r="BK149" s="4"/>
      <c r="BL149" s="4"/>
      <c r="BM149" s="4"/>
      <c r="BN149" s="4"/>
      <c r="BO149" s="4"/>
      <c r="BP149" s="4"/>
      <c r="BQ149" s="4"/>
      <c r="BR149" s="4"/>
      <c r="BS149" s="4">
        <v>1</v>
      </c>
      <c r="BT149" s="4"/>
      <c r="BU149" s="4"/>
      <c r="BV149" s="4"/>
      <c r="BW149" s="30">
        <f t="shared" si="42"/>
        <v>0</v>
      </c>
      <c r="BX149" s="30">
        <f t="shared" si="43"/>
        <v>5</v>
      </c>
      <c r="BY149" s="30">
        <f t="shared" si="44"/>
        <v>1</v>
      </c>
    </row>
    <row r="150" spans="1:77" ht="15.5" x14ac:dyDescent="0.35">
      <c r="A150" s="2" t="s">
        <v>47</v>
      </c>
      <c r="B150" s="80" t="s">
        <v>113</v>
      </c>
      <c r="C150" s="172" t="s">
        <v>243</v>
      </c>
      <c r="D150" s="91" t="s">
        <v>8</v>
      </c>
      <c r="E150" s="9"/>
      <c r="F150" s="9"/>
      <c r="G150" s="9"/>
      <c r="H150" s="16">
        <v>1</v>
      </c>
      <c r="I150" s="16"/>
      <c r="J150" s="9">
        <v>1</v>
      </c>
      <c r="K150" s="9"/>
      <c r="L150" s="9">
        <v>2</v>
      </c>
      <c r="M150" s="9"/>
      <c r="N150" s="9"/>
      <c r="O150" s="9">
        <v>2</v>
      </c>
      <c r="P150" s="9"/>
      <c r="Q150" s="9"/>
      <c r="R150" s="9"/>
      <c r="S150" s="9"/>
      <c r="T150" s="9"/>
      <c r="U150" s="9"/>
      <c r="V150" s="9">
        <v>1</v>
      </c>
      <c r="W150" s="30">
        <f t="shared" si="36"/>
        <v>1</v>
      </c>
      <c r="X150" s="30">
        <f t="shared" si="37"/>
        <v>4</v>
      </c>
      <c r="Y150" s="30">
        <f t="shared" si="38"/>
        <v>2</v>
      </c>
      <c r="AA150" s="2" t="s">
        <v>50</v>
      </c>
      <c r="AB150" s="80" t="s">
        <v>116</v>
      </c>
      <c r="AC150" s="172" t="s">
        <v>243</v>
      </c>
      <c r="AD150" s="91" t="s">
        <v>8</v>
      </c>
      <c r="AE150" s="4"/>
      <c r="AF150" s="4"/>
      <c r="AG150" s="4"/>
      <c r="AH150" s="4"/>
      <c r="AI150" s="5"/>
      <c r="AJ150" s="4"/>
      <c r="AK150" s="4"/>
      <c r="AL150" s="4"/>
      <c r="AM150" s="4"/>
      <c r="AN150" s="4"/>
      <c r="AO150" s="4">
        <v>2</v>
      </c>
      <c r="AP150" s="4"/>
      <c r="AQ150" s="4">
        <v>2</v>
      </c>
      <c r="AR150" s="4">
        <v>1</v>
      </c>
      <c r="AS150" s="4"/>
      <c r="AT150" s="4"/>
      <c r="AU150" s="4"/>
      <c r="AV150" s="4"/>
      <c r="AW150" s="30">
        <f t="shared" si="39"/>
        <v>2</v>
      </c>
      <c r="AX150" s="30">
        <f t="shared" si="40"/>
        <v>3</v>
      </c>
      <c r="AY150" s="30">
        <f t="shared" si="41"/>
        <v>0</v>
      </c>
      <c r="BA150" s="32" t="s">
        <v>29</v>
      </c>
      <c r="BB150" s="80" t="s">
        <v>134</v>
      </c>
      <c r="BC150" s="172" t="s">
        <v>244</v>
      </c>
      <c r="BD150" s="91" t="s">
        <v>6</v>
      </c>
      <c r="BE150" s="4"/>
      <c r="BF150" s="4"/>
      <c r="BG150" s="4"/>
      <c r="BH150" s="4"/>
      <c r="BI150" s="5">
        <v>2</v>
      </c>
      <c r="BJ150" s="5"/>
      <c r="BK150" s="4"/>
      <c r="BL150" s="4">
        <v>2</v>
      </c>
      <c r="BM150" s="4"/>
      <c r="BN150" s="4"/>
      <c r="BO150" s="4"/>
      <c r="BP150" s="4"/>
      <c r="BQ150" s="4"/>
      <c r="BR150" s="4">
        <v>2</v>
      </c>
      <c r="BS150" s="4">
        <v>1</v>
      </c>
      <c r="BT150" s="4"/>
      <c r="BU150" s="4"/>
      <c r="BV150" s="4"/>
      <c r="BW150" s="30">
        <f t="shared" si="42"/>
        <v>0</v>
      </c>
      <c r="BX150" s="30">
        <f t="shared" si="43"/>
        <v>6</v>
      </c>
      <c r="BY150" s="30">
        <f t="shared" si="44"/>
        <v>1</v>
      </c>
    </row>
    <row r="151" spans="1:77" ht="15.5" x14ac:dyDescent="0.35">
      <c r="A151" s="2" t="s">
        <v>48</v>
      </c>
      <c r="B151" s="80" t="s">
        <v>114</v>
      </c>
      <c r="C151" s="172" t="s">
        <v>243</v>
      </c>
      <c r="D151" s="91" t="s">
        <v>6</v>
      </c>
      <c r="E151" s="4"/>
      <c r="F151" s="4"/>
      <c r="G151" s="4"/>
      <c r="H151" s="5"/>
      <c r="I151" s="5"/>
      <c r="J151" s="5"/>
      <c r="K151" s="4"/>
      <c r="L151" s="4"/>
      <c r="M151" s="4"/>
      <c r="N151" s="4"/>
      <c r="O151" s="4"/>
      <c r="P151" s="4">
        <v>2</v>
      </c>
      <c r="Q151" s="4">
        <v>1</v>
      </c>
      <c r="R151" s="4">
        <v>2</v>
      </c>
      <c r="S151" s="4"/>
      <c r="T151" s="4"/>
      <c r="U151" s="4"/>
      <c r="V151" s="4"/>
      <c r="W151" s="30">
        <f t="shared" si="36"/>
        <v>1</v>
      </c>
      <c r="X151" s="30">
        <f t="shared" si="37"/>
        <v>2</v>
      </c>
      <c r="Y151" s="30">
        <f t="shared" si="38"/>
        <v>2</v>
      </c>
      <c r="AA151" s="2" t="s">
        <v>122</v>
      </c>
      <c r="AB151" s="93" t="s">
        <v>118</v>
      </c>
      <c r="AC151" s="172" t="s">
        <v>243</v>
      </c>
      <c r="AD151" s="91" t="s">
        <v>6</v>
      </c>
      <c r="AE151" s="4"/>
      <c r="AF151" s="4"/>
      <c r="AG151" s="4"/>
      <c r="AH151" s="4">
        <v>1</v>
      </c>
      <c r="AI151" s="5"/>
      <c r="AJ151" s="4">
        <v>1</v>
      </c>
      <c r="AK151" s="4"/>
      <c r="AL151" s="4"/>
      <c r="AM151" s="4"/>
      <c r="AN151" s="4"/>
      <c r="AO151" s="4"/>
      <c r="AP151" s="4"/>
      <c r="AQ151" s="4"/>
      <c r="AR151" s="4">
        <v>2</v>
      </c>
      <c r="AS151" s="4"/>
      <c r="AT151" s="4"/>
      <c r="AU151" s="4">
        <v>1</v>
      </c>
      <c r="AV151" s="4"/>
      <c r="AW151" s="30">
        <f t="shared" si="39"/>
        <v>1</v>
      </c>
      <c r="AX151" s="30">
        <f t="shared" si="40"/>
        <v>3</v>
      </c>
      <c r="AY151" s="30">
        <f t="shared" si="41"/>
        <v>1</v>
      </c>
      <c r="BA151" s="32" t="s">
        <v>31</v>
      </c>
      <c r="BB151" s="80" t="s">
        <v>136</v>
      </c>
      <c r="BC151" s="172" t="s">
        <v>244</v>
      </c>
      <c r="BD151" s="91" t="s">
        <v>6</v>
      </c>
      <c r="BE151" s="4"/>
      <c r="BF151" s="4"/>
      <c r="BG151" s="4"/>
      <c r="BH151" s="4"/>
      <c r="BI151" s="5"/>
      <c r="BJ151" s="4"/>
      <c r="BK151" s="4"/>
      <c r="BL151" s="4"/>
      <c r="BM151" s="4"/>
      <c r="BN151" s="4"/>
      <c r="BO151" s="4"/>
      <c r="BP151" s="4"/>
      <c r="BQ151" s="4">
        <v>2</v>
      </c>
      <c r="BR151" s="4">
        <v>1</v>
      </c>
      <c r="BS151" s="4"/>
      <c r="BT151" s="4"/>
      <c r="BU151" s="4"/>
      <c r="BV151" s="4">
        <v>1</v>
      </c>
      <c r="BW151" s="30">
        <f t="shared" si="42"/>
        <v>2</v>
      </c>
      <c r="BX151" s="30">
        <f t="shared" si="43"/>
        <v>1</v>
      </c>
      <c r="BY151" s="30">
        <f t="shared" si="44"/>
        <v>1</v>
      </c>
    </row>
    <row r="152" spans="1:77" ht="15.5" x14ac:dyDescent="0.35">
      <c r="A152" s="2" t="s">
        <v>49</v>
      </c>
      <c r="B152" s="80" t="s">
        <v>115</v>
      </c>
      <c r="C152" s="172" t="s">
        <v>243</v>
      </c>
      <c r="D152" s="91" t="s">
        <v>8</v>
      </c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>
        <v>1</v>
      </c>
      <c r="R152" s="4"/>
      <c r="S152" s="4"/>
      <c r="T152" s="4"/>
      <c r="U152" s="4"/>
      <c r="V152" s="4"/>
      <c r="W152" s="30">
        <f t="shared" si="36"/>
        <v>1</v>
      </c>
      <c r="X152" s="30">
        <f t="shared" si="37"/>
        <v>0</v>
      </c>
      <c r="Y152" s="30">
        <f t="shared" si="38"/>
        <v>0</v>
      </c>
      <c r="AA152" s="32" t="s">
        <v>32</v>
      </c>
      <c r="AB152" s="80" t="s">
        <v>863</v>
      </c>
      <c r="AC152" s="172" t="s">
        <v>244</v>
      </c>
      <c r="AD152" s="91" t="s">
        <v>6</v>
      </c>
      <c r="AE152" s="4"/>
      <c r="AF152" s="4"/>
      <c r="AG152" s="4"/>
      <c r="AH152" s="4"/>
      <c r="AI152" s="4"/>
      <c r="AJ152" s="5"/>
      <c r="AK152" s="4"/>
      <c r="AL152" s="4">
        <v>1</v>
      </c>
      <c r="AM152" s="4"/>
      <c r="AN152" s="4"/>
      <c r="AO152" s="4"/>
      <c r="AP152" s="4"/>
      <c r="AQ152" s="4"/>
      <c r="AR152" s="4">
        <v>2</v>
      </c>
      <c r="AS152" s="4"/>
      <c r="AT152" s="4"/>
      <c r="AU152" s="4"/>
      <c r="AV152" s="4"/>
      <c r="AW152" s="30">
        <f t="shared" si="39"/>
        <v>0</v>
      </c>
      <c r="AX152" s="30">
        <f t="shared" si="40"/>
        <v>3</v>
      </c>
      <c r="AY152" s="30">
        <f t="shared" si="41"/>
        <v>0</v>
      </c>
      <c r="BA152" s="32" t="s">
        <v>37</v>
      </c>
      <c r="BB152" s="80" t="s">
        <v>141</v>
      </c>
      <c r="BC152" s="172" t="s">
        <v>244</v>
      </c>
      <c r="BD152" s="98" t="s">
        <v>6</v>
      </c>
      <c r="BE152" s="4"/>
      <c r="BF152" s="4">
        <v>1</v>
      </c>
      <c r="BG152" s="4"/>
      <c r="BH152" s="4"/>
      <c r="BI152" s="5"/>
      <c r="BJ152" s="4"/>
      <c r="BK152" s="4"/>
      <c r="BL152" s="4">
        <v>6</v>
      </c>
      <c r="BM152" s="4"/>
      <c r="BN152" s="4"/>
      <c r="BO152" s="4"/>
      <c r="BP152" s="4"/>
      <c r="BQ152" s="4"/>
      <c r="BR152" s="4">
        <v>1</v>
      </c>
      <c r="BS152" s="4">
        <v>1</v>
      </c>
      <c r="BT152" s="4"/>
      <c r="BU152" s="4"/>
      <c r="BV152" s="4"/>
      <c r="BW152" s="30">
        <f t="shared" si="42"/>
        <v>0</v>
      </c>
      <c r="BX152" s="30">
        <f t="shared" si="43"/>
        <v>8</v>
      </c>
      <c r="BY152" s="30">
        <f t="shared" si="44"/>
        <v>1</v>
      </c>
    </row>
    <row r="153" spans="1:77" ht="15.5" x14ac:dyDescent="0.35">
      <c r="A153" s="2" t="s">
        <v>51</v>
      </c>
      <c r="B153" s="80" t="s">
        <v>117</v>
      </c>
      <c r="C153" s="172" t="s">
        <v>243</v>
      </c>
      <c r="D153" s="91" t="s">
        <v>6</v>
      </c>
      <c r="E153" s="4">
        <v>1</v>
      </c>
      <c r="F153" s="4"/>
      <c r="G153" s="4">
        <v>1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>
        <v>3</v>
      </c>
      <c r="T153" s="4"/>
      <c r="U153" s="4"/>
      <c r="V153" s="4">
        <v>4</v>
      </c>
      <c r="W153" s="30">
        <f t="shared" si="36"/>
        <v>1</v>
      </c>
      <c r="X153" s="30">
        <f t="shared" si="37"/>
        <v>0</v>
      </c>
      <c r="Y153" s="30">
        <f t="shared" si="38"/>
        <v>8</v>
      </c>
      <c r="AA153" s="32" t="s">
        <v>42</v>
      </c>
      <c r="AB153" s="80" t="s">
        <v>145</v>
      </c>
      <c r="AC153" s="172" t="s">
        <v>244</v>
      </c>
      <c r="AD153" s="91" t="s">
        <v>8</v>
      </c>
      <c r="AE153" s="4"/>
      <c r="AF153" s="4"/>
      <c r="AG153" s="4"/>
      <c r="AH153" s="4"/>
      <c r="AI153" s="5"/>
      <c r="AJ153" s="4"/>
      <c r="AK153" s="4"/>
      <c r="AL153" s="4"/>
      <c r="AM153" s="4"/>
      <c r="AN153" s="4"/>
      <c r="AO153" s="4"/>
      <c r="AP153" s="4"/>
      <c r="AQ153" s="4"/>
      <c r="AR153" s="4">
        <v>2</v>
      </c>
      <c r="AS153" s="4"/>
      <c r="AT153" s="4"/>
      <c r="AU153" s="4">
        <v>1</v>
      </c>
      <c r="AV153" s="4"/>
      <c r="AW153" s="30">
        <f t="shared" si="39"/>
        <v>0</v>
      </c>
      <c r="AX153" s="30">
        <f t="shared" si="40"/>
        <v>3</v>
      </c>
      <c r="AY153" s="30">
        <f t="shared" si="41"/>
        <v>0</v>
      </c>
      <c r="BA153" s="32" t="s">
        <v>47</v>
      </c>
      <c r="BB153" s="94" t="s">
        <v>867</v>
      </c>
      <c r="BC153" s="172" t="s">
        <v>244</v>
      </c>
      <c r="BD153" s="91" t="s">
        <v>6</v>
      </c>
      <c r="BE153" s="4"/>
      <c r="BF153" s="4">
        <v>1</v>
      </c>
      <c r="BG153" s="4"/>
      <c r="BH153" s="5"/>
      <c r="BI153" s="5"/>
      <c r="BJ153" s="4"/>
      <c r="BK153" s="4"/>
      <c r="BL153" s="4"/>
      <c r="BM153" s="4"/>
      <c r="BN153" s="4"/>
      <c r="BO153" s="4"/>
      <c r="BP153" s="4"/>
      <c r="BQ153" s="4"/>
      <c r="BR153" s="4">
        <v>1</v>
      </c>
      <c r="BS153" s="4">
        <v>1</v>
      </c>
      <c r="BT153" s="4"/>
      <c r="BU153" s="4"/>
      <c r="BV153" s="4"/>
      <c r="BW153" s="30">
        <f t="shared" si="42"/>
        <v>0</v>
      </c>
      <c r="BX153" s="30">
        <f t="shared" si="43"/>
        <v>2</v>
      </c>
      <c r="BY153" s="30">
        <f t="shared" si="44"/>
        <v>1</v>
      </c>
    </row>
    <row r="154" spans="1:77" ht="15.5" x14ac:dyDescent="0.35">
      <c r="A154" s="2" t="s">
        <v>122</v>
      </c>
      <c r="B154" s="93" t="s">
        <v>118</v>
      </c>
      <c r="C154" s="172" t="s">
        <v>243</v>
      </c>
      <c r="D154" s="91" t="s">
        <v>6</v>
      </c>
      <c r="E154" s="4"/>
      <c r="F154" s="4"/>
      <c r="G154" s="4"/>
      <c r="H154" s="4">
        <v>1</v>
      </c>
      <c r="I154" s="5"/>
      <c r="J154" s="4">
        <v>1</v>
      </c>
      <c r="K154" s="4"/>
      <c r="L154" s="4"/>
      <c r="M154" s="4"/>
      <c r="N154" s="4"/>
      <c r="O154" s="4"/>
      <c r="P154" s="4"/>
      <c r="Q154" s="4"/>
      <c r="R154" s="4">
        <v>2</v>
      </c>
      <c r="S154" s="4"/>
      <c r="T154" s="4"/>
      <c r="U154" s="4">
        <v>1</v>
      </c>
      <c r="V154" s="4"/>
      <c r="W154" s="30">
        <f t="shared" si="36"/>
        <v>1</v>
      </c>
      <c r="X154" s="30">
        <f t="shared" si="37"/>
        <v>3</v>
      </c>
      <c r="Y154" s="30">
        <f t="shared" si="38"/>
        <v>1</v>
      </c>
      <c r="AA154" s="1">
        <v>11</v>
      </c>
      <c r="AB154" s="80" t="s">
        <v>163</v>
      </c>
      <c r="AC154" s="172" t="s">
        <v>245</v>
      </c>
      <c r="AD154" s="91" t="s">
        <v>6</v>
      </c>
      <c r="AE154" s="4"/>
      <c r="AF154" s="4">
        <v>1</v>
      </c>
      <c r="AG154" s="4"/>
      <c r="AH154" s="4"/>
      <c r="AI154" s="5"/>
      <c r="AJ154" s="4"/>
      <c r="AK154" s="4"/>
      <c r="AL154" s="4"/>
      <c r="AM154" s="4"/>
      <c r="AN154" s="4"/>
      <c r="AO154" s="4"/>
      <c r="AP154" s="4"/>
      <c r="AQ154" s="4"/>
      <c r="AR154" s="4">
        <v>2</v>
      </c>
      <c r="AS154" s="4"/>
      <c r="AT154" s="4"/>
      <c r="AU154" s="4"/>
      <c r="AV154" s="4"/>
      <c r="AW154" s="30">
        <f t="shared" si="39"/>
        <v>0</v>
      </c>
      <c r="AX154" s="30">
        <f t="shared" si="40"/>
        <v>3</v>
      </c>
      <c r="AY154" s="30">
        <f t="shared" si="41"/>
        <v>0</v>
      </c>
      <c r="BA154" s="1">
        <v>8</v>
      </c>
      <c r="BB154" s="80" t="s">
        <v>161</v>
      </c>
      <c r="BC154" s="172" t="s">
        <v>245</v>
      </c>
      <c r="BD154" s="91" t="s">
        <v>8</v>
      </c>
      <c r="BE154" s="4"/>
      <c r="BF154" s="4"/>
      <c r="BG154" s="4"/>
      <c r="BH154" s="4"/>
      <c r="BI154" s="5"/>
      <c r="BJ154" s="5"/>
      <c r="BK154" s="4"/>
      <c r="BL154" s="4"/>
      <c r="BM154" s="4"/>
      <c r="BN154" s="4"/>
      <c r="BO154" s="4"/>
      <c r="BP154" s="4"/>
      <c r="BQ154" s="4"/>
      <c r="BR154" s="4"/>
      <c r="BS154" s="4">
        <v>1</v>
      </c>
      <c r="BT154" s="4"/>
      <c r="BU154" s="4"/>
      <c r="BV154" s="4"/>
      <c r="BW154" s="30">
        <f t="shared" si="42"/>
        <v>0</v>
      </c>
      <c r="BX154" s="30">
        <f t="shared" si="43"/>
        <v>0</v>
      </c>
      <c r="BY154" s="30">
        <f t="shared" si="44"/>
        <v>1</v>
      </c>
    </row>
    <row r="155" spans="1:77" ht="15.5" x14ac:dyDescent="0.35">
      <c r="A155" s="2" t="s">
        <v>124</v>
      </c>
      <c r="B155" s="94" t="s">
        <v>120</v>
      </c>
      <c r="C155" s="172" t="s">
        <v>243</v>
      </c>
      <c r="D155" s="84" t="s">
        <v>8</v>
      </c>
      <c r="E155" s="11"/>
      <c r="F155" s="11"/>
      <c r="G155" s="11"/>
      <c r="H155" s="11"/>
      <c r="I155" s="18"/>
      <c r="J155" s="11"/>
      <c r="K155" s="11"/>
      <c r="L155" s="11"/>
      <c r="M155" s="11"/>
      <c r="N155" s="4"/>
      <c r="O155" s="4">
        <v>2</v>
      </c>
      <c r="P155" s="4"/>
      <c r="Q155" s="4">
        <v>1</v>
      </c>
      <c r="R155" s="4">
        <v>2</v>
      </c>
      <c r="S155" s="4"/>
      <c r="T155" s="4"/>
      <c r="U155" s="4"/>
      <c r="V155" s="4"/>
      <c r="W155" s="30">
        <f t="shared" si="36"/>
        <v>1</v>
      </c>
      <c r="X155" s="30">
        <f t="shared" si="37"/>
        <v>4</v>
      </c>
      <c r="Y155" s="30">
        <f t="shared" si="38"/>
        <v>0</v>
      </c>
      <c r="AA155" s="1">
        <v>12</v>
      </c>
      <c r="AB155" s="80" t="s">
        <v>164</v>
      </c>
      <c r="AC155" s="172" t="s">
        <v>245</v>
      </c>
      <c r="AD155" s="91" t="s">
        <v>6</v>
      </c>
      <c r="AE155" s="4"/>
      <c r="AF155" s="4">
        <v>1</v>
      </c>
      <c r="AG155" s="4"/>
      <c r="AH155" s="4">
        <v>1</v>
      </c>
      <c r="AI155" s="5"/>
      <c r="AJ155" s="5"/>
      <c r="AK155" s="4"/>
      <c r="AL155" s="4"/>
      <c r="AM155" s="4"/>
      <c r="AN155" s="4">
        <v>4</v>
      </c>
      <c r="AO155" s="4"/>
      <c r="AP155" s="4"/>
      <c r="AQ155" s="4"/>
      <c r="AR155" s="4">
        <v>1</v>
      </c>
      <c r="AS155" s="4">
        <v>1</v>
      </c>
      <c r="AT155" s="4"/>
      <c r="AU155" s="4">
        <v>1</v>
      </c>
      <c r="AV155" s="4"/>
      <c r="AW155" s="30">
        <f t="shared" si="39"/>
        <v>5</v>
      </c>
      <c r="AX155" s="30">
        <f t="shared" si="40"/>
        <v>3</v>
      </c>
      <c r="AY155" s="30">
        <f t="shared" si="41"/>
        <v>1</v>
      </c>
      <c r="BA155" s="1">
        <v>9</v>
      </c>
      <c r="BB155" s="80" t="s">
        <v>162</v>
      </c>
      <c r="BC155" s="172" t="s">
        <v>245</v>
      </c>
      <c r="BD155" s="91" t="s">
        <v>6</v>
      </c>
      <c r="BE155" s="4"/>
      <c r="BF155" s="4"/>
      <c r="BG155" s="4"/>
      <c r="BH155" s="4"/>
      <c r="BI155" s="4"/>
      <c r="BJ155" s="5"/>
      <c r="BK155" s="4"/>
      <c r="BL155" s="4"/>
      <c r="BM155" s="4"/>
      <c r="BN155" s="4"/>
      <c r="BO155" s="4"/>
      <c r="BP155" s="4"/>
      <c r="BQ155" s="4"/>
      <c r="BR155" s="4">
        <v>1</v>
      </c>
      <c r="BS155" s="4">
        <v>1</v>
      </c>
      <c r="BT155" s="4"/>
      <c r="BU155" s="4"/>
      <c r="BV155" s="4"/>
      <c r="BW155" s="30">
        <f t="shared" si="42"/>
        <v>0</v>
      </c>
      <c r="BX155" s="30">
        <f t="shared" si="43"/>
        <v>1</v>
      </c>
      <c r="BY155" s="30">
        <f t="shared" si="44"/>
        <v>1</v>
      </c>
    </row>
    <row r="156" spans="1:77" ht="15.5" x14ac:dyDescent="0.35">
      <c r="A156" s="32" t="s">
        <v>25</v>
      </c>
      <c r="B156" s="80" t="s">
        <v>131</v>
      </c>
      <c r="C156" s="172" t="s">
        <v>244</v>
      </c>
      <c r="D156" s="91" t="s">
        <v>6</v>
      </c>
      <c r="E156" s="4"/>
      <c r="F156" s="4"/>
      <c r="G156" s="4"/>
      <c r="H156" s="4"/>
      <c r="I156" s="5"/>
      <c r="J156" s="4"/>
      <c r="K156" s="4">
        <v>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30">
        <f t="shared" si="36"/>
        <v>1</v>
      </c>
      <c r="X156" s="30">
        <f t="shared" si="37"/>
        <v>0</v>
      </c>
      <c r="Y156" s="30">
        <f t="shared" si="38"/>
        <v>0</v>
      </c>
      <c r="AA156" s="1">
        <v>14</v>
      </c>
      <c r="AB156" s="80" t="s">
        <v>165</v>
      </c>
      <c r="AC156" s="172" t="s">
        <v>245</v>
      </c>
      <c r="AD156" s="91" t="s">
        <v>8</v>
      </c>
      <c r="AE156" s="4"/>
      <c r="AF156" s="4"/>
      <c r="AG156" s="4"/>
      <c r="AH156" s="4"/>
      <c r="AI156" s="5"/>
      <c r="AJ156" s="5"/>
      <c r="AK156" s="4"/>
      <c r="AL156" s="4"/>
      <c r="AM156" s="4"/>
      <c r="AN156" s="4"/>
      <c r="AO156" s="4">
        <v>2</v>
      </c>
      <c r="AP156" s="4"/>
      <c r="AQ156" s="4"/>
      <c r="AR156" s="4"/>
      <c r="AS156" s="4"/>
      <c r="AT156" s="4"/>
      <c r="AU156" s="4">
        <v>1</v>
      </c>
      <c r="AV156" s="4"/>
      <c r="AW156" s="30">
        <f t="shared" si="39"/>
        <v>0</v>
      </c>
      <c r="AX156" s="30">
        <f t="shared" si="40"/>
        <v>3</v>
      </c>
      <c r="AY156" s="30">
        <f t="shared" si="41"/>
        <v>0</v>
      </c>
      <c r="BA156" s="1">
        <v>12</v>
      </c>
      <c r="BB156" s="80" t="s">
        <v>164</v>
      </c>
      <c r="BC156" s="172" t="s">
        <v>245</v>
      </c>
      <c r="BD156" s="91" t="s">
        <v>6</v>
      </c>
      <c r="BE156" s="4"/>
      <c r="BF156" s="4">
        <v>1</v>
      </c>
      <c r="BG156" s="4"/>
      <c r="BH156" s="4">
        <v>1</v>
      </c>
      <c r="BI156" s="5"/>
      <c r="BJ156" s="5"/>
      <c r="BK156" s="4"/>
      <c r="BL156" s="4"/>
      <c r="BM156" s="4"/>
      <c r="BN156" s="4">
        <v>4</v>
      </c>
      <c r="BO156" s="4"/>
      <c r="BP156" s="4"/>
      <c r="BQ156" s="4"/>
      <c r="BR156" s="4">
        <v>1</v>
      </c>
      <c r="BS156" s="4">
        <v>1</v>
      </c>
      <c r="BT156" s="4"/>
      <c r="BU156" s="4">
        <v>1</v>
      </c>
      <c r="BV156" s="4"/>
      <c r="BW156" s="30">
        <f t="shared" si="42"/>
        <v>5</v>
      </c>
      <c r="BX156" s="30">
        <f t="shared" si="43"/>
        <v>3</v>
      </c>
      <c r="BY156" s="30">
        <f t="shared" si="44"/>
        <v>1</v>
      </c>
    </row>
    <row r="157" spans="1:77" ht="15.5" x14ac:dyDescent="0.35">
      <c r="A157" s="32" t="s">
        <v>41</v>
      </c>
      <c r="B157" s="80" t="s">
        <v>144</v>
      </c>
      <c r="C157" s="172" t="s">
        <v>244</v>
      </c>
      <c r="D157" s="81" t="s">
        <v>6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>
        <v>1</v>
      </c>
      <c r="R157" s="4">
        <v>1</v>
      </c>
      <c r="S157" s="4">
        <v>5</v>
      </c>
      <c r="T157" s="4"/>
      <c r="U157" s="4"/>
      <c r="V157" s="4"/>
      <c r="W157" s="30">
        <f t="shared" si="36"/>
        <v>1</v>
      </c>
      <c r="X157" s="30">
        <f t="shared" si="37"/>
        <v>1</v>
      </c>
      <c r="Y157" s="30">
        <f t="shared" si="38"/>
        <v>5</v>
      </c>
      <c r="AA157" s="1">
        <v>5</v>
      </c>
      <c r="AB157" s="80" t="s">
        <v>875</v>
      </c>
      <c r="AC157" s="172" t="s">
        <v>242</v>
      </c>
      <c r="AD157" s="81" t="s">
        <v>8</v>
      </c>
      <c r="AE157" s="4">
        <v>1</v>
      </c>
      <c r="AF157" s="4"/>
      <c r="AG157" s="4">
        <v>1</v>
      </c>
      <c r="AH157" s="4"/>
      <c r="AI157" s="5">
        <v>2</v>
      </c>
      <c r="AJ157" s="4"/>
      <c r="AK157" s="4"/>
      <c r="AL157" s="4"/>
      <c r="AM157" s="4"/>
      <c r="AN157" s="4"/>
      <c r="AO157" s="4"/>
      <c r="AP157" s="4"/>
      <c r="AQ157" s="4"/>
      <c r="AR157" s="4">
        <v>1</v>
      </c>
      <c r="AS157" s="4"/>
      <c r="AT157" s="4"/>
      <c r="AU157" s="4"/>
      <c r="AV157" s="4"/>
      <c r="AW157" s="30">
        <f t="shared" si="39"/>
        <v>1</v>
      </c>
      <c r="AX157" s="30">
        <f t="shared" si="40"/>
        <v>3</v>
      </c>
      <c r="AY157" s="30">
        <f t="shared" si="41"/>
        <v>1</v>
      </c>
      <c r="BA157" s="1">
        <v>28</v>
      </c>
      <c r="BB157" s="80" t="s">
        <v>178</v>
      </c>
      <c r="BC157" s="172" t="s">
        <v>245</v>
      </c>
      <c r="BD157" s="81" t="s">
        <v>6</v>
      </c>
      <c r="BE157" s="4"/>
      <c r="BF157" s="5">
        <v>1</v>
      </c>
      <c r="BG157" s="4"/>
      <c r="BH157" s="4"/>
      <c r="BI157" s="5"/>
      <c r="BJ157" s="4"/>
      <c r="BK157" s="4"/>
      <c r="BL157" s="4"/>
      <c r="BM157" s="4"/>
      <c r="BN157" s="4"/>
      <c r="BO157" s="4"/>
      <c r="BP157" s="4"/>
      <c r="BQ157" s="4"/>
      <c r="BR157" s="4">
        <v>7</v>
      </c>
      <c r="BS157" s="4"/>
      <c r="BT157" s="4"/>
      <c r="BU157" s="4">
        <v>1</v>
      </c>
      <c r="BV157" s="4">
        <v>1</v>
      </c>
      <c r="BW157" s="30">
        <f t="shared" si="42"/>
        <v>0</v>
      </c>
      <c r="BX157" s="30">
        <f t="shared" si="43"/>
        <v>9</v>
      </c>
      <c r="BY157" s="30">
        <f t="shared" si="44"/>
        <v>1</v>
      </c>
    </row>
    <row r="158" spans="1:77" ht="15.5" x14ac:dyDescent="0.35">
      <c r="A158" s="1">
        <v>3</v>
      </c>
      <c r="B158" s="80" t="s">
        <v>156</v>
      </c>
      <c r="C158" s="172" t="s">
        <v>245</v>
      </c>
      <c r="D158" s="91" t="s">
        <v>8</v>
      </c>
      <c r="E158" s="4">
        <v>1</v>
      </c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30">
        <f t="shared" si="36"/>
        <v>1</v>
      </c>
      <c r="X158" s="30">
        <f t="shared" si="37"/>
        <v>0</v>
      </c>
      <c r="Y158" s="30">
        <f t="shared" si="38"/>
        <v>0</v>
      </c>
      <c r="AA158" s="1">
        <v>23</v>
      </c>
      <c r="AB158" s="80" t="s">
        <v>206</v>
      </c>
      <c r="AC158" s="172" t="s">
        <v>242</v>
      </c>
      <c r="AD158" s="91" t="s">
        <v>8</v>
      </c>
      <c r="AE158" s="4"/>
      <c r="AF158" s="4">
        <v>1</v>
      </c>
      <c r="AG158" s="4"/>
      <c r="AH158" s="4">
        <v>1</v>
      </c>
      <c r="AI158" s="4"/>
      <c r="AJ158" s="4"/>
      <c r="AK158" s="4"/>
      <c r="AL158" s="4">
        <v>1</v>
      </c>
      <c r="AM158" s="4"/>
      <c r="AN158" s="4">
        <v>1</v>
      </c>
      <c r="AO158" s="4">
        <v>1</v>
      </c>
      <c r="AP158" s="4"/>
      <c r="AQ158" s="4">
        <v>1</v>
      </c>
      <c r="AR158" s="4"/>
      <c r="AS158" s="4"/>
      <c r="AT158" s="4"/>
      <c r="AU158" s="4"/>
      <c r="AV158" s="4"/>
      <c r="AW158" s="30">
        <f t="shared" si="39"/>
        <v>3</v>
      </c>
      <c r="AX158" s="30">
        <f t="shared" si="40"/>
        <v>3</v>
      </c>
      <c r="AY158" s="30">
        <f t="shared" si="41"/>
        <v>0</v>
      </c>
      <c r="BA158" s="1">
        <v>29</v>
      </c>
      <c r="BB158" s="80" t="s">
        <v>179</v>
      </c>
      <c r="BC158" s="172" t="s">
        <v>245</v>
      </c>
      <c r="BD158" s="91" t="s">
        <v>8</v>
      </c>
      <c r="BE158" s="9"/>
      <c r="BF158" s="9"/>
      <c r="BG158" s="9"/>
      <c r="BH158" s="9">
        <v>3</v>
      </c>
      <c r="BI158" s="16"/>
      <c r="BJ158" s="9">
        <v>1</v>
      </c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30">
        <f t="shared" si="42"/>
        <v>3</v>
      </c>
      <c r="BX158" s="30">
        <f t="shared" si="43"/>
        <v>0</v>
      </c>
      <c r="BY158" s="30">
        <f t="shared" si="44"/>
        <v>1</v>
      </c>
    </row>
    <row r="159" spans="1:77" ht="15.5" x14ac:dyDescent="0.35">
      <c r="A159" s="1">
        <v>15</v>
      </c>
      <c r="B159" s="80" t="s">
        <v>166</v>
      </c>
      <c r="C159" s="172" t="s">
        <v>245</v>
      </c>
      <c r="D159" s="91" t="s">
        <v>6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>
        <v>1</v>
      </c>
      <c r="R159" s="9"/>
      <c r="S159" s="9"/>
      <c r="T159" s="9"/>
      <c r="U159" s="9">
        <v>2</v>
      </c>
      <c r="V159" s="9"/>
      <c r="W159" s="30">
        <f t="shared" si="36"/>
        <v>1</v>
      </c>
      <c r="X159" s="30">
        <f t="shared" si="37"/>
        <v>2</v>
      </c>
      <c r="Y159" s="30">
        <f t="shared" si="38"/>
        <v>0</v>
      </c>
      <c r="AA159" s="1">
        <v>24</v>
      </c>
      <c r="AB159" s="80" t="s">
        <v>207</v>
      </c>
      <c r="AC159" s="172" t="s">
        <v>242</v>
      </c>
      <c r="AD159" s="175" t="s">
        <v>8</v>
      </c>
      <c r="AE159" s="4"/>
      <c r="AF159" s="4">
        <v>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>
        <v>1</v>
      </c>
      <c r="AS159" s="4"/>
      <c r="AT159" s="4"/>
      <c r="AU159" s="4">
        <v>1</v>
      </c>
      <c r="AV159" s="4"/>
      <c r="AW159" s="30">
        <f t="shared" si="39"/>
        <v>0</v>
      </c>
      <c r="AX159" s="30">
        <f t="shared" si="40"/>
        <v>3</v>
      </c>
      <c r="AY159" s="30">
        <f t="shared" si="41"/>
        <v>0</v>
      </c>
      <c r="BA159" s="1">
        <v>5</v>
      </c>
      <c r="BB159" s="80" t="s">
        <v>875</v>
      </c>
      <c r="BC159" s="172" t="s">
        <v>242</v>
      </c>
      <c r="BD159" s="91" t="s">
        <v>8</v>
      </c>
      <c r="BE159" s="4">
        <v>1</v>
      </c>
      <c r="BF159" s="4"/>
      <c r="BG159" s="4">
        <v>1</v>
      </c>
      <c r="BH159" s="4"/>
      <c r="BI159" s="5">
        <v>2</v>
      </c>
      <c r="BJ159" s="4"/>
      <c r="BK159" s="4"/>
      <c r="BL159" s="4"/>
      <c r="BM159" s="4"/>
      <c r="BN159" s="4"/>
      <c r="BO159" s="4"/>
      <c r="BP159" s="4"/>
      <c r="BQ159" s="4"/>
      <c r="BR159" s="4">
        <v>1</v>
      </c>
      <c r="BS159" s="4"/>
      <c r="BT159" s="4"/>
      <c r="BU159" s="4"/>
      <c r="BV159" s="4"/>
      <c r="BW159" s="30">
        <f t="shared" si="42"/>
        <v>1</v>
      </c>
      <c r="BX159" s="30">
        <f t="shared" si="43"/>
        <v>3</v>
      </c>
      <c r="BY159" s="30">
        <f t="shared" si="44"/>
        <v>1</v>
      </c>
    </row>
    <row r="160" spans="1:77" ht="15.5" x14ac:dyDescent="0.35">
      <c r="A160" s="1">
        <v>18</v>
      </c>
      <c r="B160" s="80" t="s">
        <v>169</v>
      </c>
      <c r="C160" s="172" t="s">
        <v>245</v>
      </c>
      <c r="D160" s="91" t="s">
        <v>6</v>
      </c>
      <c r="E160" s="4"/>
      <c r="F160" s="4"/>
      <c r="G160" s="4">
        <v>1</v>
      </c>
      <c r="H160" s="4"/>
      <c r="I160" s="5"/>
      <c r="J160" s="4"/>
      <c r="K160" s="4"/>
      <c r="L160" s="4"/>
      <c r="M160" s="4"/>
      <c r="N160" s="4"/>
      <c r="O160" s="4">
        <v>2</v>
      </c>
      <c r="P160" s="4">
        <v>4</v>
      </c>
      <c r="Q160" s="4">
        <v>1</v>
      </c>
      <c r="R160" s="4">
        <v>4</v>
      </c>
      <c r="S160" s="4">
        <v>3</v>
      </c>
      <c r="T160" s="4"/>
      <c r="U160" s="4"/>
      <c r="V160" s="4">
        <v>2</v>
      </c>
      <c r="W160" s="30">
        <f t="shared" si="36"/>
        <v>1</v>
      </c>
      <c r="X160" s="30">
        <f t="shared" si="37"/>
        <v>6</v>
      </c>
      <c r="Y160" s="30">
        <f t="shared" si="38"/>
        <v>10</v>
      </c>
      <c r="AA160" s="1">
        <v>25</v>
      </c>
      <c r="AB160" s="80" t="s">
        <v>208</v>
      </c>
      <c r="AC160" s="172" t="s">
        <v>242</v>
      </c>
      <c r="AD160" s="175" t="s">
        <v>8</v>
      </c>
      <c r="AE160" s="4"/>
      <c r="AF160" s="4"/>
      <c r="AG160" s="4"/>
      <c r="AH160" s="4"/>
      <c r="AI160" s="4">
        <v>1</v>
      </c>
      <c r="AJ160" s="4"/>
      <c r="AK160" s="4"/>
      <c r="AL160" s="4"/>
      <c r="AM160" s="4"/>
      <c r="AN160" s="4"/>
      <c r="AO160" s="4"/>
      <c r="AP160" s="4"/>
      <c r="AQ160" s="4"/>
      <c r="AR160" s="4">
        <v>1</v>
      </c>
      <c r="AS160" s="4"/>
      <c r="AT160" s="4"/>
      <c r="AU160" s="4">
        <v>1</v>
      </c>
      <c r="AV160" s="4"/>
      <c r="AW160" s="30">
        <f t="shared" si="39"/>
        <v>0</v>
      </c>
      <c r="AX160" s="30">
        <f t="shared" si="40"/>
        <v>3</v>
      </c>
      <c r="AY160" s="30">
        <f t="shared" si="41"/>
        <v>0</v>
      </c>
      <c r="BA160" s="1">
        <v>6</v>
      </c>
      <c r="BB160" s="80" t="s">
        <v>189</v>
      </c>
      <c r="BC160" s="172" t="s">
        <v>242</v>
      </c>
      <c r="BD160" s="175" t="s">
        <v>8</v>
      </c>
      <c r="BE160" s="4"/>
      <c r="BF160" s="4">
        <v>2</v>
      </c>
      <c r="BG160" s="4"/>
      <c r="BH160" s="4"/>
      <c r="BI160" s="4"/>
      <c r="BJ160" s="4"/>
      <c r="BK160" s="4">
        <v>1</v>
      </c>
      <c r="BL160" s="4">
        <v>1</v>
      </c>
      <c r="BM160" s="4"/>
      <c r="BN160" s="4"/>
      <c r="BO160" s="4">
        <v>3</v>
      </c>
      <c r="BP160" s="4"/>
      <c r="BQ160" s="4"/>
      <c r="BR160" s="4"/>
      <c r="BS160" s="4"/>
      <c r="BT160" s="4"/>
      <c r="BU160" s="4"/>
      <c r="BV160" s="4">
        <v>1</v>
      </c>
      <c r="BW160" s="30">
        <f t="shared" si="42"/>
        <v>1</v>
      </c>
      <c r="BX160" s="30">
        <f t="shared" si="43"/>
        <v>6</v>
      </c>
      <c r="BY160" s="30">
        <f t="shared" si="44"/>
        <v>1</v>
      </c>
    </row>
    <row r="161" spans="1:77" ht="15.5" x14ac:dyDescent="0.35">
      <c r="A161" s="1">
        <v>19</v>
      </c>
      <c r="B161" s="80" t="s">
        <v>170</v>
      </c>
      <c r="C161" s="172" t="s">
        <v>245</v>
      </c>
      <c r="D161" s="81" t="s">
        <v>6</v>
      </c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>
        <v>1</v>
      </c>
      <c r="R161" s="4"/>
      <c r="S161" s="4"/>
      <c r="T161" s="4"/>
      <c r="U161" s="4"/>
      <c r="V161" s="4"/>
      <c r="W161" s="30">
        <f t="shared" si="36"/>
        <v>1</v>
      </c>
      <c r="X161" s="30">
        <f t="shared" si="37"/>
        <v>0</v>
      </c>
      <c r="Y161" s="30">
        <f t="shared" si="38"/>
        <v>0</v>
      </c>
      <c r="AA161" s="1">
        <v>27</v>
      </c>
      <c r="AB161" s="80" t="s">
        <v>209</v>
      </c>
      <c r="AC161" s="172" t="s">
        <v>242</v>
      </c>
      <c r="AD161" s="82" t="s">
        <v>8</v>
      </c>
      <c r="AE161" s="4"/>
      <c r="AF161" s="4">
        <v>1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9"/>
      <c r="AR161" s="9">
        <v>2</v>
      </c>
      <c r="AS161" s="4"/>
      <c r="AT161" s="4"/>
      <c r="AU161" s="4"/>
      <c r="AV161" s="4"/>
      <c r="AW161" s="30">
        <f t="shared" si="39"/>
        <v>0</v>
      </c>
      <c r="AX161" s="30">
        <f t="shared" si="40"/>
        <v>3</v>
      </c>
      <c r="AY161" s="30">
        <f t="shared" si="41"/>
        <v>0</v>
      </c>
      <c r="BA161" s="1">
        <v>33</v>
      </c>
      <c r="BB161" s="80" t="s">
        <v>213</v>
      </c>
      <c r="BC161" s="172" t="s">
        <v>242</v>
      </c>
      <c r="BD161" s="82" t="s">
        <v>8</v>
      </c>
      <c r="BE161" s="4"/>
      <c r="BF161" s="4"/>
      <c r="BG161" s="4"/>
      <c r="BH161" s="4">
        <v>1</v>
      </c>
      <c r="BI161" s="4">
        <v>1</v>
      </c>
      <c r="BJ161" s="4">
        <v>1</v>
      </c>
      <c r="BK161" s="4"/>
      <c r="BL161" s="4"/>
      <c r="BM161" s="4"/>
      <c r="BN161" s="4"/>
      <c r="BO161" s="4">
        <v>1</v>
      </c>
      <c r="BP161" s="4"/>
      <c r="BQ161" s="4">
        <v>2</v>
      </c>
      <c r="BR161" s="4">
        <v>1</v>
      </c>
      <c r="BS161" s="4"/>
      <c r="BT161" s="4"/>
      <c r="BU161" s="4"/>
      <c r="BV161" s="4"/>
      <c r="BW161" s="30">
        <f t="shared" si="42"/>
        <v>3</v>
      </c>
      <c r="BX161" s="30">
        <f t="shared" si="43"/>
        <v>3</v>
      </c>
      <c r="BY161" s="30">
        <f t="shared" si="44"/>
        <v>1</v>
      </c>
    </row>
    <row r="162" spans="1:77" ht="15.5" x14ac:dyDescent="0.35">
      <c r="A162" s="1">
        <v>20</v>
      </c>
      <c r="B162" s="80" t="s">
        <v>171</v>
      </c>
      <c r="C162" s="172" t="s">
        <v>245</v>
      </c>
      <c r="D162" s="91" t="s">
        <v>8</v>
      </c>
      <c r="E162" s="4">
        <v>1</v>
      </c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30">
        <f t="shared" si="36"/>
        <v>1</v>
      </c>
      <c r="X162" s="30">
        <f t="shared" si="37"/>
        <v>0</v>
      </c>
      <c r="Y162" s="30">
        <f t="shared" si="38"/>
        <v>0</v>
      </c>
      <c r="AA162" s="1">
        <v>32</v>
      </c>
      <c r="AB162" s="80" t="s">
        <v>878</v>
      </c>
      <c r="AC162" s="172" t="s">
        <v>242</v>
      </c>
      <c r="AD162" s="91" t="s">
        <v>8</v>
      </c>
      <c r="AE162" s="4"/>
      <c r="AF162" s="4"/>
      <c r="AG162" s="4"/>
      <c r="AH162" s="4">
        <v>1</v>
      </c>
      <c r="AI162" s="4"/>
      <c r="AJ162" s="4"/>
      <c r="AK162" s="4"/>
      <c r="AL162" s="4">
        <v>1</v>
      </c>
      <c r="AM162" s="4"/>
      <c r="AN162" s="4"/>
      <c r="AO162" s="4">
        <v>2</v>
      </c>
      <c r="AP162" s="4"/>
      <c r="AQ162" s="4"/>
      <c r="AR162" s="4"/>
      <c r="AS162" s="4"/>
      <c r="AT162" s="4"/>
      <c r="AU162" s="4"/>
      <c r="AV162" s="4"/>
      <c r="AW162" s="30">
        <f t="shared" si="39"/>
        <v>1</v>
      </c>
      <c r="AX162" s="30">
        <f t="shared" si="40"/>
        <v>3</v>
      </c>
      <c r="AY162" s="30">
        <f t="shared" si="41"/>
        <v>0</v>
      </c>
      <c r="BA162" s="1">
        <v>3</v>
      </c>
      <c r="BB162" s="80" t="s">
        <v>55</v>
      </c>
      <c r="BC162" s="172" t="s">
        <v>1074</v>
      </c>
      <c r="BD162" s="179" t="s">
        <v>6</v>
      </c>
      <c r="BE162" s="5"/>
      <c r="BF162" s="4"/>
      <c r="BG162" s="4"/>
      <c r="BH162" s="4"/>
      <c r="BI162" s="5"/>
      <c r="BJ162" s="4"/>
      <c r="BK162" s="12"/>
      <c r="BL162" s="4"/>
      <c r="BM162" s="4"/>
      <c r="BN162" s="13"/>
      <c r="BO162" s="13">
        <v>2</v>
      </c>
      <c r="BP162" s="13">
        <v>2</v>
      </c>
      <c r="BQ162" s="4"/>
      <c r="BR162" s="4">
        <v>2</v>
      </c>
      <c r="BS162" s="4"/>
      <c r="BT162" s="4"/>
      <c r="BU162" s="4">
        <v>1</v>
      </c>
      <c r="BV162" s="4"/>
      <c r="BW162" s="30">
        <f t="shared" si="42"/>
        <v>0</v>
      </c>
      <c r="BX162" s="30">
        <f t="shared" si="43"/>
        <v>5</v>
      </c>
      <c r="BY162" s="30">
        <f t="shared" si="44"/>
        <v>2</v>
      </c>
    </row>
    <row r="163" spans="1:77" ht="15.5" x14ac:dyDescent="0.35">
      <c r="A163" s="1">
        <v>30</v>
      </c>
      <c r="B163" s="99" t="s">
        <v>180</v>
      </c>
      <c r="C163" s="172" t="s">
        <v>245</v>
      </c>
      <c r="D163" s="98" t="s">
        <v>8</v>
      </c>
      <c r="E163" s="4"/>
      <c r="F163" s="4"/>
      <c r="G163" s="4"/>
      <c r="H163" s="4"/>
      <c r="I163" s="4"/>
      <c r="J163" s="4"/>
      <c r="K163" s="4"/>
      <c r="L163" s="4"/>
      <c r="M163" s="4"/>
      <c r="N163" s="4">
        <v>1</v>
      </c>
      <c r="O163" s="4"/>
      <c r="P163" s="4"/>
      <c r="Q163" s="4"/>
      <c r="R163" s="4">
        <v>2</v>
      </c>
      <c r="S163" s="4"/>
      <c r="T163" s="4"/>
      <c r="U163" s="4"/>
      <c r="V163" s="4"/>
      <c r="W163" s="30">
        <f t="shared" si="36"/>
        <v>1</v>
      </c>
      <c r="X163" s="30">
        <f t="shared" si="37"/>
        <v>2</v>
      </c>
      <c r="Y163" s="30">
        <f t="shared" si="38"/>
        <v>0</v>
      </c>
      <c r="AA163" s="1">
        <v>33</v>
      </c>
      <c r="AB163" s="80" t="s">
        <v>213</v>
      </c>
      <c r="AC163" s="172" t="s">
        <v>242</v>
      </c>
      <c r="AD163" s="175" t="s">
        <v>8</v>
      </c>
      <c r="AE163" s="4"/>
      <c r="AF163" s="4"/>
      <c r="AG163" s="4"/>
      <c r="AH163" s="4">
        <v>1</v>
      </c>
      <c r="AI163" s="4">
        <v>1</v>
      </c>
      <c r="AJ163" s="4">
        <v>1</v>
      </c>
      <c r="AK163" s="4"/>
      <c r="AL163" s="4"/>
      <c r="AM163" s="4"/>
      <c r="AN163" s="4"/>
      <c r="AO163" s="4">
        <v>1</v>
      </c>
      <c r="AP163" s="4"/>
      <c r="AQ163" s="4">
        <v>2</v>
      </c>
      <c r="AR163" s="4">
        <v>1</v>
      </c>
      <c r="AS163" s="4"/>
      <c r="AT163" s="4"/>
      <c r="AU163" s="4"/>
      <c r="AV163" s="4"/>
      <c r="AW163" s="30">
        <f t="shared" si="39"/>
        <v>3</v>
      </c>
      <c r="AX163" s="30">
        <f t="shared" si="40"/>
        <v>3</v>
      </c>
      <c r="AY163" s="30">
        <f t="shared" si="41"/>
        <v>1</v>
      </c>
      <c r="BA163" s="1">
        <v>12</v>
      </c>
      <c r="BB163" s="80" t="s">
        <v>62</v>
      </c>
      <c r="BC163" s="172" t="s">
        <v>1074</v>
      </c>
      <c r="BD163" s="177" t="s">
        <v>6</v>
      </c>
      <c r="BE163" s="5"/>
      <c r="BF163" s="4"/>
      <c r="BG163" s="5"/>
      <c r="BH163" s="5"/>
      <c r="BI163" s="5"/>
      <c r="BJ163" s="5"/>
      <c r="BK163" s="4"/>
      <c r="BL163" s="4"/>
      <c r="BM163" s="4"/>
      <c r="BN163" s="13"/>
      <c r="BO163" s="13"/>
      <c r="BP163" s="13"/>
      <c r="BQ163" s="4"/>
      <c r="BR163" s="4">
        <v>1</v>
      </c>
      <c r="BS163" s="4">
        <v>1</v>
      </c>
      <c r="BT163" s="4"/>
      <c r="BU163" s="4">
        <v>2</v>
      </c>
      <c r="BV163" s="4">
        <v>1</v>
      </c>
      <c r="BW163" s="30">
        <f t="shared" si="42"/>
        <v>0</v>
      </c>
      <c r="BX163" s="30">
        <f t="shared" si="43"/>
        <v>3</v>
      </c>
      <c r="BY163" s="30">
        <f t="shared" si="44"/>
        <v>2</v>
      </c>
    </row>
    <row r="164" spans="1:77" ht="15.5" x14ac:dyDescent="0.35">
      <c r="A164" s="103">
        <v>31</v>
      </c>
      <c r="B164" s="143" t="s">
        <v>181</v>
      </c>
      <c r="C164" s="172" t="s">
        <v>245</v>
      </c>
      <c r="D164" s="107" t="s">
        <v>6</v>
      </c>
      <c r="E164" s="108"/>
      <c r="F164" s="113">
        <v>1</v>
      </c>
      <c r="G164" s="108"/>
      <c r="H164" s="108"/>
      <c r="I164" s="113">
        <v>2</v>
      </c>
      <c r="J164" s="108">
        <v>1</v>
      </c>
      <c r="K164" s="108"/>
      <c r="L164" s="108"/>
      <c r="M164" s="108"/>
      <c r="N164" s="108"/>
      <c r="O164" s="108"/>
      <c r="P164" s="108"/>
      <c r="Q164" s="108"/>
      <c r="R164" s="108">
        <v>5</v>
      </c>
      <c r="S164" s="108">
        <v>1</v>
      </c>
      <c r="T164" s="108">
        <v>1</v>
      </c>
      <c r="U164" s="108">
        <v>1</v>
      </c>
      <c r="V164" s="108">
        <v>1</v>
      </c>
      <c r="W164" s="109">
        <f t="shared" ref="W164:W195" si="45">SUM(E164,H164,K164,N164,Q164,T164)</f>
        <v>1</v>
      </c>
      <c r="X164" s="109">
        <f t="shared" ref="X164:X195" si="46">SUM(F164,I164,L164,O164,R164,U164)</f>
        <v>9</v>
      </c>
      <c r="Y164" s="109">
        <f t="shared" ref="Y164:Y195" si="47">SUM(G164,J164,M164,P164,S164,V164)</f>
        <v>3</v>
      </c>
      <c r="AA164" s="112" t="s">
        <v>25</v>
      </c>
      <c r="AB164" s="183" t="s">
        <v>93</v>
      </c>
      <c r="AC164" s="172" t="s">
        <v>243</v>
      </c>
      <c r="AD164" s="107" t="s">
        <v>8</v>
      </c>
      <c r="AE164" s="108"/>
      <c r="AF164" s="113"/>
      <c r="AG164" s="108"/>
      <c r="AH164" s="113"/>
      <c r="AI164" s="113"/>
      <c r="AJ164" s="113"/>
      <c r="AK164" s="108"/>
      <c r="AL164" s="108"/>
      <c r="AM164" s="108"/>
      <c r="AN164" s="108"/>
      <c r="AO164" s="108">
        <v>1</v>
      </c>
      <c r="AP164" s="108">
        <v>1</v>
      </c>
      <c r="AQ164" s="108">
        <v>1</v>
      </c>
      <c r="AR164" s="108">
        <v>2</v>
      </c>
      <c r="AS164" s="108">
        <v>1</v>
      </c>
      <c r="AT164" s="108"/>
      <c r="AU164" s="108">
        <v>1</v>
      </c>
      <c r="AV164" s="108"/>
      <c r="AW164" s="109">
        <f t="shared" ref="AW164:AW195" si="48">SUM(AE164,AH164,AK164,AN164,AQ164,AT164)</f>
        <v>1</v>
      </c>
      <c r="AX164" s="109">
        <f t="shared" ref="AX164:AX195" si="49">SUM(AF164,AI164,AL164,AO164,AR164,AU164)</f>
        <v>4</v>
      </c>
      <c r="AY164" s="109">
        <f t="shared" ref="AY164:AY195" si="50">SUM(AG164,AJ164,AM164,AP164,AS164,AV164)</f>
        <v>2</v>
      </c>
      <c r="BA164" s="103">
        <v>15</v>
      </c>
      <c r="BB164" s="87" t="s">
        <v>65</v>
      </c>
      <c r="BC164" s="172" t="s">
        <v>1074</v>
      </c>
      <c r="BD164" s="186" t="s">
        <v>6</v>
      </c>
      <c r="BE164" s="187"/>
      <c r="BF164" s="188"/>
      <c r="BG164" s="187"/>
      <c r="BH164" s="187"/>
      <c r="BI164" s="187"/>
      <c r="BJ164" s="187"/>
      <c r="BK164" s="189"/>
      <c r="BL164" s="187"/>
      <c r="BM164" s="187"/>
      <c r="BN164" s="165"/>
      <c r="BO164" s="165"/>
      <c r="BP164" s="165"/>
      <c r="BQ164" s="187"/>
      <c r="BR164" s="187">
        <v>4</v>
      </c>
      <c r="BS164" s="187">
        <v>1</v>
      </c>
      <c r="BT164" s="187"/>
      <c r="BU164" s="187">
        <v>1</v>
      </c>
      <c r="BV164" s="187">
        <v>1</v>
      </c>
      <c r="BW164" s="109">
        <f t="shared" ref="BW164:BW195" si="51">SUM(BE164,BH164,BK164,BN164,BQ164,BT164)</f>
        <v>0</v>
      </c>
      <c r="BX164" s="109">
        <f t="shared" ref="BX164:BX195" si="52">SUM(BF164,BI164,BL164,BO164,BR164,BU164)</f>
        <v>5</v>
      </c>
      <c r="BY164" s="109">
        <f t="shared" ref="BY164:BY195" si="53">SUM(BG164,BJ164,BM164,BP164,BS164,BV164)</f>
        <v>2</v>
      </c>
    </row>
    <row r="165" spans="1:77" ht="15.5" x14ac:dyDescent="0.35">
      <c r="A165" s="1">
        <v>36</v>
      </c>
      <c r="B165" s="72" t="s">
        <v>874</v>
      </c>
      <c r="C165" s="172" t="s">
        <v>245</v>
      </c>
      <c r="D165" s="85" t="s">
        <v>8</v>
      </c>
      <c r="E165" s="3"/>
      <c r="F165" s="3"/>
      <c r="G165" s="3"/>
      <c r="H165" s="5">
        <v>1</v>
      </c>
      <c r="I165" s="5">
        <v>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30">
        <f t="shared" si="45"/>
        <v>1</v>
      </c>
      <c r="X165" s="30">
        <f t="shared" si="46"/>
        <v>4</v>
      </c>
      <c r="Y165" s="30">
        <f t="shared" si="47"/>
        <v>0</v>
      </c>
      <c r="AA165" s="2" t="s">
        <v>27</v>
      </c>
      <c r="AB165" s="80" t="s">
        <v>95</v>
      </c>
      <c r="AC165" s="172" t="s">
        <v>243</v>
      </c>
      <c r="AD165" s="81" t="s">
        <v>8</v>
      </c>
      <c r="AE165" s="4"/>
      <c r="AF165" s="4"/>
      <c r="AG165" s="4"/>
      <c r="AH165" s="4"/>
      <c r="AI165" s="4"/>
      <c r="AJ165" s="5"/>
      <c r="AK165" s="4"/>
      <c r="AL165" s="4"/>
      <c r="AM165" s="4"/>
      <c r="AN165" s="4"/>
      <c r="AO165" s="4"/>
      <c r="AP165" s="4"/>
      <c r="AQ165" s="4"/>
      <c r="AR165" s="4">
        <v>4</v>
      </c>
      <c r="AS165" s="4"/>
      <c r="AT165" s="4"/>
      <c r="AU165" s="4"/>
      <c r="AV165" s="4"/>
      <c r="AW165" s="30">
        <f t="shared" si="48"/>
        <v>0</v>
      </c>
      <c r="AX165" s="30">
        <f t="shared" si="49"/>
        <v>4</v>
      </c>
      <c r="AY165" s="30">
        <f t="shared" si="50"/>
        <v>0</v>
      </c>
      <c r="BA165" s="1">
        <v>1</v>
      </c>
      <c r="BB165" s="80" t="s">
        <v>71</v>
      </c>
      <c r="BC165" s="172" t="s">
        <v>1075</v>
      </c>
      <c r="BD165" s="81" t="s">
        <v>6</v>
      </c>
      <c r="BE165" s="4"/>
      <c r="BF165" s="4"/>
      <c r="BG165" s="5">
        <v>1</v>
      </c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4"/>
      <c r="BU165" s="4"/>
      <c r="BV165" s="4">
        <v>1</v>
      </c>
      <c r="BW165" s="30">
        <f t="shared" si="51"/>
        <v>0</v>
      </c>
      <c r="BX165" s="30">
        <f t="shared" si="52"/>
        <v>0</v>
      </c>
      <c r="BY165" s="30">
        <f t="shared" si="53"/>
        <v>2</v>
      </c>
    </row>
    <row r="166" spans="1:77" ht="15.5" x14ac:dyDescent="0.35">
      <c r="A166" s="1">
        <v>5</v>
      </c>
      <c r="B166" s="80" t="s">
        <v>875</v>
      </c>
      <c r="C166" s="172" t="s">
        <v>242</v>
      </c>
      <c r="D166" s="81" t="s">
        <v>8</v>
      </c>
      <c r="E166" s="4">
        <v>1</v>
      </c>
      <c r="F166" s="4"/>
      <c r="G166" s="4">
        <v>1</v>
      </c>
      <c r="H166" s="4"/>
      <c r="I166" s="5">
        <v>2</v>
      </c>
      <c r="J166" s="4"/>
      <c r="K166" s="4"/>
      <c r="L166" s="4"/>
      <c r="M166" s="4"/>
      <c r="N166" s="4"/>
      <c r="O166" s="4"/>
      <c r="P166" s="4"/>
      <c r="Q166" s="4"/>
      <c r="R166" s="4">
        <v>1</v>
      </c>
      <c r="S166" s="4"/>
      <c r="T166" s="4"/>
      <c r="U166" s="4"/>
      <c r="V166" s="4"/>
      <c r="W166" s="30">
        <f t="shared" si="45"/>
        <v>1</v>
      </c>
      <c r="X166" s="30">
        <f t="shared" si="46"/>
        <v>3</v>
      </c>
      <c r="Y166" s="30">
        <f t="shared" si="47"/>
        <v>1</v>
      </c>
      <c r="AA166" s="2" t="s">
        <v>34</v>
      </c>
      <c r="AB166" s="80" t="s">
        <v>859</v>
      </c>
      <c r="AC166" s="172" t="s">
        <v>243</v>
      </c>
      <c r="AD166" s="81" t="s">
        <v>8</v>
      </c>
      <c r="AE166" s="9"/>
      <c r="AF166" s="9">
        <v>1</v>
      </c>
      <c r="AG166" s="9"/>
      <c r="AH166" s="9"/>
      <c r="AI166" s="16"/>
      <c r="AJ166" s="16"/>
      <c r="AK166" s="9"/>
      <c r="AL166" s="9"/>
      <c r="AM166" s="9"/>
      <c r="AN166" s="9"/>
      <c r="AO166" s="9"/>
      <c r="AP166" s="9"/>
      <c r="AQ166" s="9">
        <v>1</v>
      </c>
      <c r="AR166" s="9">
        <v>2</v>
      </c>
      <c r="AS166" s="9"/>
      <c r="AT166" s="9"/>
      <c r="AU166" s="9">
        <v>1</v>
      </c>
      <c r="AV166" s="9"/>
      <c r="AW166" s="30">
        <f t="shared" si="48"/>
        <v>1</v>
      </c>
      <c r="AX166" s="30">
        <f t="shared" si="49"/>
        <v>4</v>
      </c>
      <c r="AY166" s="30">
        <f t="shared" si="50"/>
        <v>0</v>
      </c>
      <c r="BA166" s="1">
        <v>6</v>
      </c>
      <c r="BB166" s="80" t="s">
        <v>75</v>
      </c>
      <c r="BC166" s="172" t="s">
        <v>1075</v>
      </c>
      <c r="BD166" s="81" t="s">
        <v>6</v>
      </c>
      <c r="BE166" s="4"/>
      <c r="BF166" s="4"/>
      <c r="BG166" s="4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>
        <v>1</v>
      </c>
      <c r="BS166" s="13"/>
      <c r="BT166" s="4"/>
      <c r="BU166" s="4"/>
      <c r="BV166" s="4">
        <v>2</v>
      </c>
      <c r="BW166" s="30">
        <f t="shared" si="51"/>
        <v>0</v>
      </c>
      <c r="BX166" s="30">
        <f t="shared" si="52"/>
        <v>1</v>
      </c>
      <c r="BY166" s="30">
        <f t="shared" si="53"/>
        <v>2</v>
      </c>
    </row>
    <row r="167" spans="1:77" ht="15.5" x14ac:dyDescent="0.35">
      <c r="A167" s="1">
        <v>6</v>
      </c>
      <c r="B167" s="80" t="s">
        <v>189</v>
      </c>
      <c r="C167" s="172" t="s">
        <v>242</v>
      </c>
      <c r="D167" s="82" t="s">
        <v>8</v>
      </c>
      <c r="E167" s="4"/>
      <c r="F167" s="4">
        <v>2</v>
      </c>
      <c r="G167" s="4"/>
      <c r="H167" s="4"/>
      <c r="I167" s="4"/>
      <c r="J167" s="4"/>
      <c r="K167" s="4">
        <v>1</v>
      </c>
      <c r="L167" s="4">
        <v>1</v>
      </c>
      <c r="M167" s="4"/>
      <c r="N167" s="4"/>
      <c r="O167" s="4">
        <v>3</v>
      </c>
      <c r="P167" s="4"/>
      <c r="Q167" s="4"/>
      <c r="R167" s="4"/>
      <c r="S167" s="4"/>
      <c r="T167" s="4"/>
      <c r="U167" s="4"/>
      <c r="V167" s="4">
        <v>1</v>
      </c>
      <c r="W167" s="30">
        <f t="shared" si="45"/>
        <v>1</v>
      </c>
      <c r="X167" s="30">
        <f t="shared" si="46"/>
        <v>6</v>
      </c>
      <c r="Y167" s="30">
        <f t="shared" si="47"/>
        <v>1</v>
      </c>
      <c r="AA167" s="2" t="s">
        <v>47</v>
      </c>
      <c r="AB167" s="80" t="s">
        <v>113</v>
      </c>
      <c r="AC167" s="172" t="s">
        <v>243</v>
      </c>
      <c r="AD167" s="81" t="s">
        <v>8</v>
      </c>
      <c r="AE167" s="9"/>
      <c r="AF167" s="9"/>
      <c r="AG167" s="9"/>
      <c r="AH167" s="16">
        <v>1</v>
      </c>
      <c r="AI167" s="16"/>
      <c r="AJ167" s="9">
        <v>1</v>
      </c>
      <c r="AK167" s="9"/>
      <c r="AL167" s="9">
        <v>2</v>
      </c>
      <c r="AM167" s="9"/>
      <c r="AN167" s="9"/>
      <c r="AO167" s="9">
        <v>2</v>
      </c>
      <c r="AP167" s="9"/>
      <c r="AQ167" s="9"/>
      <c r="AR167" s="9"/>
      <c r="AS167" s="9"/>
      <c r="AT167" s="9"/>
      <c r="AU167" s="9"/>
      <c r="AV167" s="9">
        <v>1</v>
      </c>
      <c r="AW167" s="30">
        <f t="shared" si="48"/>
        <v>1</v>
      </c>
      <c r="AX167" s="30">
        <f t="shared" si="49"/>
        <v>4</v>
      </c>
      <c r="AY167" s="30">
        <f t="shared" si="50"/>
        <v>2</v>
      </c>
      <c r="BA167" s="1">
        <v>9</v>
      </c>
      <c r="BB167" s="80" t="s">
        <v>78</v>
      </c>
      <c r="BC167" s="172" t="s">
        <v>1075</v>
      </c>
      <c r="BD167" s="81" t="s">
        <v>6</v>
      </c>
      <c r="BE167" s="4"/>
      <c r="BF167" s="4"/>
      <c r="BG167" s="5">
        <v>1</v>
      </c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>
        <v>3</v>
      </c>
      <c r="BS167" s="13"/>
      <c r="BT167" s="4"/>
      <c r="BU167" s="4"/>
      <c r="BV167" s="4">
        <v>1</v>
      </c>
      <c r="BW167" s="30">
        <f t="shared" si="51"/>
        <v>0</v>
      </c>
      <c r="BX167" s="30">
        <f t="shared" si="52"/>
        <v>3</v>
      </c>
      <c r="BY167" s="30">
        <f t="shared" si="53"/>
        <v>2</v>
      </c>
    </row>
    <row r="168" spans="1:77" ht="15.5" x14ac:dyDescent="0.35">
      <c r="A168" s="1">
        <v>9</v>
      </c>
      <c r="B168" s="80" t="s">
        <v>192</v>
      </c>
      <c r="C168" s="172" t="s">
        <v>242</v>
      </c>
      <c r="D168" s="81" t="s">
        <v>8</v>
      </c>
      <c r="E168" s="4"/>
      <c r="F168" s="4"/>
      <c r="G168" s="5"/>
      <c r="H168" s="4"/>
      <c r="I168" s="4"/>
      <c r="J168" s="5"/>
      <c r="K168" s="4"/>
      <c r="L168" s="4"/>
      <c r="M168" s="4"/>
      <c r="N168" s="4"/>
      <c r="O168" s="4">
        <v>1</v>
      </c>
      <c r="P168" s="4"/>
      <c r="Q168" s="4"/>
      <c r="R168" s="4"/>
      <c r="S168" s="4"/>
      <c r="T168" s="4">
        <v>1</v>
      </c>
      <c r="U168" s="4"/>
      <c r="V168" s="4"/>
      <c r="W168" s="30">
        <f t="shared" si="45"/>
        <v>1</v>
      </c>
      <c r="X168" s="30">
        <f t="shared" si="46"/>
        <v>1</v>
      </c>
      <c r="Y168" s="30">
        <f t="shared" si="47"/>
        <v>0</v>
      </c>
      <c r="AA168" s="2" t="s">
        <v>124</v>
      </c>
      <c r="AB168" s="94" t="s">
        <v>120</v>
      </c>
      <c r="AC168" s="172" t="s">
        <v>243</v>
      </c>
      <c r="AD168" s="95" t="s">
        <v>8</v>
      </c>
      <c r="AE168" s="11"/>
      <c r="AF168" s="11"/>
      <c r="AG168" s="11"/>
      <c r="AH168" s="11"/>
      <c r="AI168" s="18"/>
      <c r="AJ168" s="11"/>
      <c r="AK168" s="11"/>
      <c r="AL168" s="11"/>
      <c r="AM168" s="11"/>
      <c r="AN168" s="4"/>
      <c r="AO168" s="4">
        <v>2</v>
      </c>
      <c r="AP168" s="4"/>
      <c r="AQ168" s="4">
        <v>1</v>
      </c>
      <c r="AR168" s="4">
        <v>2</v>
      </c>
      <c r="AS168" s="4"/>
      <c r="AT168" s="4"/>
      <c r="AU168" s="4"/>
      <c r="AV168" s="4"/>
      <c r="AW168" s="30">
        <f t="shared" si="48"/>
        <v>1</v>
      </c>
      <c r="AX168" s="30">
        <f t="shared" si="49"/>
        <v>4</v>
      </c>
      <c r="AY168" s="30">
        <f t="shared" si="50"/>
        <v>0</v>
      </c>
      <c r="BA168" s="1">
        <v>13</v>
      </c>
      <c r="BB168" s="80" t="s">
        <v>82</v>
      </c>
      <c r="BC168" s="172" t="s">
        <v>1075</v>
      </c>
      <c r="BD168" s="81" t="s">
        <v>6</v>
      </c>
      <c r="BE168" s="4"/>
      <c r="BF168" s="5"/>
      <c r="BG168" s="4"/>
      <c r="BH168" s="13"/>
      <c r="BI168" s="13"/>
      <c r="BJ168" s="13"/>
      <c r="BK168" s="13"/>
      <c r="BL168" s="13"/>
      <c r="BM168" s="13"/>
      <c r="BN168" s="13"/>
      <c r="BO168" s="13">
        <v>1</v>
      </c>
      <c r="BP168" s="13"/>
      <c r="BQ168" s="13"/>
      <c r="BR168" s="13">
        <v>1</v>
      </c>
      <c r="BS168" s="13"/>
      <c r="BT168" s="4"/>
      <c r="BU168" s="4"/>
      <c r="BV168" s="4">
        <v>2</v>
      </c>
      <c r="BW168" s="30">
        <f t="shared" si="51"/>
        <v>0</v>
      </c>
      <c r="BX168" s="30">
        <f t="shared" si="52"/>
        <v>2</v>
      </c>
      <c r="BY168" s="30">
        <f t="shared" si="53"/>
        <v>2</v>
      </c>
    </row>
    <row r="169" spans="1:77" ht="15.5" x14ac:dyDescent="0.35">
      <c r="A169" s="1">
        <v>21</v>
      </c>
      <c r="B169" s="80" t="s">
        <v>204</v>
      </c>
      <c r="C169" s="172" t="s">
        <v>242</v>
      </c>
      <c r="D169" s="81" t="s">
        <v>8</v>
      </c>
      <c r="E169" s="4"/>
      <c r="F169" s="4"/>
      <c r="G169" s="4"/>
      <c r="H169" s="4">
        <v>1</v>
      </c>
      <c r="I169" s="4"/>
      <c r="J169" s="4"/>
      <c r="K169" s="4"/>
      <c r="L169" s="4">
        <v>1</v>
      </c>
      <c r="M169" s="4"/>
      <c r="N169" s="4"/>
      <c r="O169" s="4">
        <v>1</v>
      </c>
      <c r="P169" s="4"/>
      <c r="Q169" s="4"/>
      <c r="R169" s="4"/>
      <c r="S169" s="4"/>
      <c r="T169" s="4"/>
      <c r="U169" s="4"/>
      <c r="V169" s="4"/>
      <c r="W169" s="30">
        <f t="shared" si="45"/>
        <v>1</v>
      </c>
      <c r="X169" s="30">
        <f t="shared" si="46"/>
        <v>2</v>
      </c>
      <c r="Y169" s="30">
        <f t="shared" si="47"/>
        <v>0</v>
      </c>
      <c r="AA169" s="32" t="s">
        <v>48</v>
      </c>
      <c r="AB169" s="94" t="s">
        <v>148</v>
      </c>
      <c r="AC169" s="172" t="s">
        <v>244</v>
      </c>
      <c r="AD169" s="81" t="s">
        <v>6</v>
      </c>
      <c r="AE169" s="9"/>
      <c r="AF169" s="9"/>
      <c r="AG169" s="9"/>
      <c r="AH169" s="9"/>
      <c r="AI169" s="9"/>
      <c r="AJ169" s="9"/>
      <c r="AK169" s="9"/>
      <c r="AL169" s="9">
        <v>2</v>
      </c>
      <c r="AM169" s="9"/>
      <c r="AN169" s="9"/>
      <c r="AO169" s="9"/>
      <c r="AP169" s="9"/>
      <c r="AQ169" s="9"/>
      <c r="AR169" s="9">
        <v>2</v>
      </c>
      <c r="AS169" s="9"/>
      <c r="AT169" s="9"/>
      <c r="AU169" s="9"/>
      <c r="AV169" s="9"/>
      <c r="AW169" s="30">
        <f t="shared" si="48"/>
        <v>0</v>
      </c>
      <c r="AX169" s="30">
        <f t="shared" si="49"/>
        <v>4</v>
      </c>
      <c r="AY169" s="30">
        <f t="shared" si="50"/>
        <v>0</v>
      </c>
      <c r="BA169" s="2" t="s">
        <v>23</v>
      </c>
      <c r="BB169" s="80" t="s">
        <v>91</v>
      </c>
      <c r="BC169" s="172" t="s">
        <v>243</v>
      </c>
      <c r="BD169" s="81" t="s">
        <v>6</v>
      </c>
      <c r="BE169" s="4"/>
      <c r="BF169" s="5"/>
      <c r="BG169" s="4">
        <v>2</v>
      </c>
      <c r="BH169" s="4"/>
      <c r="BI169" s="5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30">
        <f t="shared" si="51"/>
        <v>0</v>
      </c>
      <c r="BX169" s="30">
        <f t="shared" si="52"/>
        <v>0</v>
      </c>
      <c r="BY169" s="30">
        <f t="shared" si="53"/>
        <v>2</v>
      </c>
    </row>
    <row r="170" spans="1:77" ht="15.5" x14ac:dyDescent="0.35">
      <c r="A170" s="1">
        <v>22</v>
      </c>
      <c r="B170" s="80" t="s">
        <v>205</v>
      </c>
      <c r="C170" s="172" t="s">
        <v>242</v>
      </c>
      <c r="D170" s="81" t="s">
        <v>8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>
        <v>1</v>
      </c>
      <c r="R170" s="4"/>
      <c r="S170" s="4"/>
      <c r="T170" s="4"/>
      <c r="U170" s="4"/>
      <c r="V170" s="4"/>
      <c r="W170" s="30">
        <f t="shared" si="45"/>
        <v>1</v>
      </c>
      <c r="X170" s="30">
        <f t="shared" si="46"/>
        <v>0</v>
      </c>
      <c r="Y170" s="30">
        <f t="shared" si="47"/>
        <v>0</v>
      </c>
      <c r="AA170" s="1">
        <v>36</v>
      </c>
      <c r="AB170" s="72" t="s">
        <v>874</v>
      </c>
      <c r="AC170" s="172" t="s">
        <v>245</v>
      </c>
      <c r="AD170" s="85" t="s">
        <v>8</v>
      </c>
      <c r="AE170" s="3"/>
      <c r="AF170" s="3"/>
      <c r="AG170" s="3"/>
      <c r="AH170" s="5">
        <v>1</v>
      </c>
      <c r="AI170" s="5">
        <v>4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30">
        <f t="shared" si="48"/>
        <v>1</v>
      </c>
      <c r="AX170" s="30">
        <f t="shared" si="49"/>
        <v>4</v>
      </c>
      <c r="AY170" s="30">
        <f t="shared" si="50"/>
        <v>0</v>
      </c>
      <c r="BA170" s="2" t="s">
        <v>25</v>
      </c>
      <c r="BB170" s="92" t="s">
        <v>93</v>
      </c>
      <c r="BC170" s="172" t="s">
        <v>243</v>
      </c>
      <c r="BD170" s="81" t="s">
        <v>8</v>
      </c>
      <c r="BE170" s="4"/>
      <c r="BF170" s="5"/>
      <c r="BG170" s="4"/>
      <c r="BH170" s="5"/>
      <c r="BI170" s="5"/>
      <c r="BJ170" s="5"/>
      <c r="BK170" s="4"/>
      <c r="BL170" s="4"/>
      <c r="BM170" s="4"/>
      <c r="BN170" s="4"/>
      <c r="BO170" s="4">
        <v>1</v>
      </c>
      <c r="BP170" s="4">
        <v>1</v>
      </c>
      <c r="BQ170" s="4">
        <v>1</v>
      </c>
      <c r="BR170" s="4">
        <v>2</v>
      </c>
      <c r="BS170" s="4">
        <v>1</v>
      </c>
      <c r="BT170" s="4"/>
      <c r="BU170" s="4">
        <v>1</v>
      </c>
      <c r="BV170" s="4"/>
      <c r="BW170" s="30">
        <f t="shared" si="51"/>
        <v>1</v>
      </c>
      <c r="BX170" s="30">
        <f t="shared" si="52"/>
        <v>4</v>
      </c>
      <c r="BY170" s="30">
        <f t="shared" si="53"/>
        <v>2</v>
      </c>
    </row>
    <row r="171" spans="1:77" ht="15.5" x14ac:dyDescent="0.35">
      <c r="A171" s="1">
        <v>30</v>
      </c>
      <c r="B171" s="92" t="s">
        <v>211</v>
      </c>
      <c r="C171" s="172" t="s">
        <v>242</v>
      </c>
      <c r="D171" s="81" t="s">
        <v>8</v>
      </c>
      <c r="E171" s="4"/>
      <c r="F171" s="4">
        <v>1</v>
      </c>
      <c r="G171" s="4"/>
      <c r="H171" s="4">
        <v>1</v>
      </c>
      <c r="I171" s="4">
        <v>3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0">
        <f t="shared" si="45"/>
        <v>1</v>
      </c>
      <c r="X171" s="30">
        <f t="shared" si="46"/>
        <v>4</v>
      </c>
      <c r="Y171" s="30">
        <f t="shared" si="47"/>
        <v>0</v>
      </c>
      <c r="AA171" s="1">
        <v>4</v>
      </c>
      <c r="AB171" s="90" t="s">
        <v>188</v>
      </c>
      <c r="AC171" s="172" t="s">
        <v>242</v>
      </c>
      <c r="AD171" s="81" t="s">
        <v>8</v>
      </c>
      <c r="AE171" s="4"/>
      <c r="AF171" s="4">
        <v>1</v>
      </c>
      <c r="AG171" s="4"/>
      <c r="AH171" s="4">
        <v>1</v>
      </c>
      <c r="AI171" s="5">
        <v>1</v>
      </c>
      <c r="AJ171" s="4"/>
      <c r="AK171" s="4"/>
      <c r="AL171" s="4">
        <v>1</v>
      </c>
      <c r="AM171" s="4"/>
      <c r="AN171" s="4">
        <v>1</v>
      </c>
      <c r="AO171" s="4"/>
      <c r="AP171" s="4"/>
      <c r="AQ171" s="4"/>
      <c r="AR171" s="4">
        <v>1</v>
      </c>
      <c r="AS171" s="4"/>
      <c r="AT171" s="4"/>
      <c r="AU171" s="4"/>
      <c r="AV171" s="4"/>
      <c r="AW171" s="30">
        <f t="shared" si="48"/>
        <v>2</v>
      </c>
      <c r="AX171" s="30">
        <f t="shared" si="49"/>
        <v>4</v>
      </c>
      <c r="AY171" s="30">
        <f t="shared" si="50"/>
        <v>0</v>
      </c>
      <c r="BA171" s="2" t="s">
        <v>47</v>
      </c>
      <c r="BB171" s="80" t="s">
        <v>113</v>
      </c>
      <c r="BC171" s="172" t="s">
        <v>243</v>
      </c>
      <c r="BD171" s="81" t="s">
        <v>8</v>
      </c>
      <c r="BE171" s="9"/>
      <c r="BF171" s="9"/>
      <c r="BG171" s="9"/>
      <c r="BH171" s="16">
        <v>1</v>
      </c>
      <c r="BI171" s="16"/>
      <c r="BJ171" s="9">
        <v>1</v>
      </c>
      <c r="BK171" s="9"/>
      <c r="BL171" s="9">
        <v>2</v>
      </c>
      <c r="BM171" s="9"/>
      <c r="BN171" s="9"/>
      <c r="BO171" s="9">
        <v>2</v>
      </c>
      <c r="BP171" s="9"/>
      <c r="BQ171" s="9"/>
      <c r="BR171" s="9"/>
      <c r="BS171" s="9"/>
      <c r="BT171" s="9"/>
      <c r="BU171" s="9"/>
      <c r="BV171" s="9">
        <v>1</v>
      </c>
      <c r="BW171" s="30">
        <f t="shared" si="51"/>
        <v>1</v>
      </c>
      <c r="BX171" s="30">
        <f t="shared" si="52"/>
        <v>4</v>
      </c>
      <c r="BY171" s="30">
        <f t="shared" si="53"/>
        <v>2</v>
      </c>
    </row>
    <row r="172" spans="1:77" ht="15.5" x14ac:dyDescent="0.35">
      <c r="A172" s="1">
        <v>32</v>
      </c>
      <c r="B172" s="80" t="s">
        <v>878</v>
      </c>
      <c r="C172" s="172" t="s">
        <v>242</v>
      </c>
      <c r="D172" s="81" t="s">
        <v>8</v>
      </c>
      <c r="E172" s="4"/>
      <c r="F172" s="4"/>
      <c r="G172" s="4"/>
      <c r="H172" s="4">
        <v>1</v>
      </c>
      <c r="I172" s="4"/>
      <c r="J172" s="4"/>
      <c r="K172" s="4"/>
      <c r="L172" s="4">
        <v>1</v>
      </c>
      <c r="M172" s="4"/>
      <c r="N172" s="4"/>
      <c r="O172" s="4">
        <v>2</v>
      </c>
      <c r="P172" s="4"/>
      <c r="Q172" s="4"/>
      <c r="R172" s="4"/>
      <c r="S172" s="4"/>
      <c r="T172" s="4"/>
      <c r="U172" s="4"/>
      <c r="V172" s="4"/>
      <c r="W172" s="30">
        <f t="shared" si="45"/>
        <v>1</v>
      </c>
      <c r="X172" s="30">
        <f t="shared" si="46"/>
        <v>3</v>
      </c>
      <c r="Y172" s="30">
        <f t="shared" si="47"/>
        <v>0</v>
      </c>
      <c r="AA172" s="1">
        <v>12</v>
      </c>
      <c r="AB172" s="80" t="s">
        <v>195</v>
      </c>
      <c r="AC172" s="172" t="s">
        <v>242</v>
      </c>
      <c r="AD172" s="81" t="s">
        <v>8</v>
      </c>
      <c r="AE172" s="4"/>
      <c r="AF172" s="4"/>
      <c r="AG172" s="4"/>
      <c r="AH172" s="4"/>
      <c r="AI172" s="4">
        <v>1</v>
      </c>
      <c r="AJ172" s="4"/>
      <c r="AK172" s="4"/>
      <c r="AL172" s="4">
        <v>1</v>
      </c>
      <c r="AM172" s="4"/>
      <c r="AN172" s="4"/>
      <c r="AO172" s="4">
        <v>2</v>
      </c>
      <c r="AP172" s="4"/>
      <c r="AQ172" s="4"/>
      <c r="AR172" s="4"/>
      <c r="AS172" s="4"/>
      <c r="AT172" s="4"/>
      <c r="AU172" s="4"/>
      <c r="AV172" s="4"/>
      <c r="AW172" s="30">
        <f t="shared" si="48"/>
        <v>0</v>
      </c>
      <c r="AX172" s="30">
        <f t="shared" si="49"/>
        <v>4</v>
      </c>
      <c r="AY172" s="30">
        <f t="shared" si="50"/>
        <v>0</v>
      </c>
      <c r="BA172" s="2" t="s">
        <v>48</v>
      </c>
      <c r="BB172" s="80" t="s">
        <v>114</v>
      </c>
      <c r="BC172" s="172" t="s">
        <v>243</v>
      </c>
      <c r="BD172" s="81" t="s">
        <v>6</v>
      </c>
      <c r="BE172" s="4"/>
      <c r="BF172" s="4"/>
      <c r="BG172" s="4"/>
      <c r="BH172" s="5"/>
      <c r="BI172" s="5"/>
      <c r="BJ172" s="5"/>
      <c r="BK172" s="4"/>
      <c r="BL172" s="4"/>
      <c r="BM172" s="4"/>
      <c r="BN172" s="4"/>
      <c r="BO172" s="4"/>
      <c r="BP172" s="4">
        <v>2</v>
      </c>
      <c r="BQ172" s="4">
        <v>1</v>
      </c>
      <c r="BR172" s="4">
        <v>2</v>
      </c>
      <c r="BS172" s="4"/>
      <c r="BT172" s="4"/>
      <c r="BU172" s="4"/>
      <c r="BV172" s="4"/>
      <c r="BW172" s="30">
        <f t="shared" si="51"/>
        <v>1</v>
      </c>
      <c r="BX172" s="30">
        <f t="shared" si="52"/>
        <v>2</v>
      </c>
      <c r="BY172" s="30">
        <f t="shared" si="53"/>
        <v>2</v>
      </c>
    </row>
    <row r="173" spans="1:77" ht="15.5" x14ac:dyDescent="0.35">
      <c r="A173" s="1">
        <v>34</v>
      </c>
      <c r="B173" s="80" t="s">
        <v>214</v>
      </c>
      <c r="C173" s="172" t="s">
        <v>242</v>
      </c>
      <c r="D173" s="82" t="s">
        <v>8</v>
      </c>
      <c r="E173" s="4"/>
      <c r="F173" s="4"/>
      <c r="G173" s="4"/>
      <c r="H173" s="4"/>
      <c r="I173" s="4"/>
      <c r="J173" s="4"/>
      <c r="K173" s="4"/>
      <c r="L173" s="4"/>
      <c r="M173" s="4"/>
      <c r="N173" s="4">
        <v>1</v>
      </c>
      <c r="O173" s="4"/>
      <c r="P173" s="4">
        <v>1</v>
      </c>
      <c r="Q173" s="4"/>
      <c r="R173" s="4">
        <v>1</v>
      </c>
      <c r="S173" s="4">
        <v>1</v>
      </c>
      <c r="T173" s="4"/>
      <c r="U173" s="4"/>
      <c r="V173" s="4">
        <v>1</v>
      </c>
      <c r="W173" s="30">
        <f t="shared" si="45"/>
        <v>1</v>
      </c>
      <c r="X173" s="30">
        <f t="shared" si="46"/>
        <v>1</v>
      </c>
      <c r="Y173" s="30">
        <f t="shared" si="47"/>
        <v>3</v>
      </c>
      <c r="AA173" s="1">
        <v>16</v>
      </c>
      <c r="AB173" s="80" t="s">
        <v>199</v>
      </c>
      <c r="AC173" s="172" t="s">
        <v>242</v>
      </c>
      <c r="AD173" s="82" t="s">
        <v>8</v>
      </c>
      <c r="AE173" s="4"/>
      <c r="AF173" s="4"/>
      <c r="AG173" s="4"/>
      <c r="AH173" s="4"/>
      <c r="AI173" s="4">
        <v>1</v>
      </c>
      <c r="AJ173" s="4">
        <v>1</v>
      </c>
      <c r="AK173" s="4"/>
      <c r="AL173" s="4"/>
      <c r="AM173" s="4"/>
      <c r="AN173" s="4"/>
      <c r="AO173" s="4">
        <v>2</v>
      </c>
      <c r="AP173" s="4"/>
      <c r="AQ173" s="4"/>
      <c r="AR173" s="4">
        <v>1</v>
      </c>
      <c r="AS173" s="4">
        <v>1</v>
      </c>
      <c r="AT173" s="4"/>
      <c r="AU173" s="4"/>
      <c r="AV173" s="4"/>
      <c r="AW173" s="30">
        <f t="shared" si="48"/>
        <v>0</v>
      </c>
      <c r="AX173" s="30">
        <f t="shared" si="49"/>
        <v>4</v>
      </c>
      <c r="AY173" s="30">
        <f t="shared" si="50"/>
        <v>2</v>
      </c>
      <c r="BA173" s="1">
        <v>16</v>
      </c>
      <c r="BB173" s="80" t="s">
        <v>199</v>
      </c>
      <c r="BC173" s="172" t="s">
        <v>242</v>
      </c>
      <c r="BD173" s="82" t="s">
        <v>8</v>
      </c>
      <c r="BE173" s="4"/>
      <c r="BF173" s="4"/>
      <c r="BG173" s="4"/>
      <c r="BH173" s="4"/>
      <c r="BI173" s="4">
        <v>1</v>
      </c>
      <c r="BJ173" s="4">
        <v>1</v>
      </c>
      <c r="BK173" s="4"/>
      <c r="BL173" s="4"/>
      <c r="BM173" s="4"/>
      <c r="BN173" s="4"/>
      <c r="BO173" s="4">
        <v>2</v>
      </c>
      <c r="BP173" s="4"/>
      <c r="BQ173" s="4"/>
      <c r="BR173" s="4">
        <v>1</v>
      </c>
      <c r="BS173" s="4">
        <v>1</v>
      </c>
      <c r="BT173" s="4"/>
      <c r="BU173" s="4"/>
      <c r="BV173" s="4"/>
      <c r="BW173" s="30">
        <f t="shared" si="51"/>
        <v>0</v>
      </c>
      <c r="BX173" s="30">
        <f t="shared" si="52"/>
        <v>4</v>
      </c>
      <c r="BY173" s="30">
        <f t="shared" si="53"/>
        <v>2</v>
      </c>
    </row>
    <row r="174" spans="1:77" ht="15.5" x14ac:dyDescent="0.35">
      <c r="A174" s="1">
        <v>39</v>
      </c>
      <c r="B174" s="99" t="s">
        <v>218</v>
      </c>
      <c r="C174" s="172" t="s">
        <v>242</v>
      </c>
      <c r="D174" s="95" t="s">
        <v>8</v>
      </c>
      <c r="E174" s="4"/>
      <c r="F174" s="4"/>
      <c r="G174" s="4"/>
      <c r="H174" s="4"/>
      <c r="I174" s="4"/>
      <c r="J174" s="4"/>
      <c r="K174" s="4">
        <v>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0">
        <f t="shared" si="45"/>
        <v>1</v>
      </c>
      <c r="X174" s="30">
        <f t="shared" si="46"/>
        <v>0</v>
      </c>
      <c r="Y174" s="30">
        <f t="shared" si="47"/>
        <v>0</v>
      </c>
      <c r="AA174" s="1">
        <v>29</v>
      </c>
      <c r="AB174" s="80" t="s">
        <v>877</v>
      </c>
      <c r="AC174" s="172" t="s">
        <v>242</v>
      </c>
      <c r="AD174" s="81" t="s">
        <v>8</v>
      </c>
      <c r="AE174" s="4"/>
      <c r="AF174" s="5"/>
      <c r="AG174" s="4"/>
      <c r="AH174" s="4"/>
      <c r="AI174" s="4"/>
      <c r="AJ174" s="4"/>
      <c r="AK174" s="4"/>
      <c r="AL174" s="4">
        <v>2</v>
      </c>
      <c r="AM174" s="4"/>
      <c r="AN174" s="4"/>
      <c r="AO174" s="4">
        <v>1</v>
      </c>
      <c r="AP174" s="4"/>
      <c r="AQ174" s="4"/>
      <c r="AR174" s="4">
        <v>1</v>
      </c>
      <c r="AS174" s="4"/>
      <c r="AT174" s="4"/>
      <c r="AU174" s="4"/>
      <c r="AV174" s="4"/>
      <c r="AW174" s="30">
        <f t="shared" si="48"/>
        <v>0</v>
      </c>
      <c r="AX174" s="30">
        <f t="shared" si="49"/>
        <v>4</v>
      </c>
      <c r="AY174" s="30">
        <f t="shared" si="50"/>
        <v>0</v>
      </c>
      <c r="BA174" s="1">
        <v>20</v>
      </c>
      <c r="BB174" s="80" t="s">
        <v>203</v>
      </c>
      <c r="BC174" s="172" t="s">
        <v>242</v>
      </c>
      <c r="BD174" s="82" t="s">
        <v>8</v>
      </c>
      <c r="BE174" s="4"/>
      <c r="BF174" s="4"/>
      <c r="BG174" s="4">
        <v>1</v>
      </c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>
        <v>1</v>
      </c>
      <c r="BT174" s="4"/>
      <c r="BU174" s="4"/>
      <c r="BV174" s="4"/>
      <c r="BW174" s="30">
        <f t="shared" si="51"/>
        <v>0</v>
      </c>
      <c r="BX174" s="30">
        <f t="shared" si="52"/>
        <v>0</v>
      </c>
      <c r="BY174" s="30">
        <f t="shared" si="53"/>
        <v>2</v>
      </c>
    </row>
    <row r="175" spans="1:77" ht="15.5" x14ac:dyDescent="0.35">
      <c r="A175" s="1">
        <v>11</v>
      </c>
      <c r="B175" s="80" t="s">
        <v>15</v>
      </c>
      <c r="C175" s="172" t="s">
        <v>241</v>
      </c>
      <c r="D175" s="81" t="s">
        <v>6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>
        <v>2</v>
      </c>
      <c r="R175" s="29"/>
      <c r="S175" s="29"/>
      <c r="T175" s="29"/>
      <c r="U175" s="29">
        <v>2</v>
      </c>
      <c r="V175" s="29"/>
      <c r="W175" s="30">
        <f t="shared" si="45"/>
        <v>2</v>
      </c>
      <c r="X175" s="30">
        <f t="shared" si="46"/>
        <v>2</v>
      </c>
      <c r="Y175" s="30">
        <f t="shared" si="47"/>
        <v>0</v>
      </c>
      <c r="AA175" s="1">
        <v>30</v>
      </c>
      <c r="AB175" s="92" t="s">
        <v>211</v>
      </c>
      <c r="AC175" s="172" t="s">
        <v>242</v>
      </c>
      <c r="AD175" s="81" t="s">
        <v>8</v>
      </c>
      <c r="AE175" s="4"/>
      <c r="AF175" s="4">
        <v>1</v>
      </c>
      <c r="AG175" s="4"/>
      <c r="AH175" s="4">
        <v>1</v>
      </c>
      <c r="AI175" s="4">
        <v>3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30">
        <f t="shared" si="48"/>
        <v>1</v>
      </c>
      <c r="AX175" s="30">
        <f t="shared" si="49"/>
        <v>4</v>
      </c>
      <c r="AY175" s="30">
        <f t="shared" si="50"/>
        <v>0</v>
      </c>
      <c r="BA175" s="1">
        <v>36</v>
      </c>
      <c r="BB175" s="80" t="s">
        <v>216</v>
      </c>
      <c r="BC175" s="172" t="s">
        <v>242</v>
      </c>
      <c r="BD175" s="85" t="s">
        <v>8</v>
      </c>
      <c r="BE175" s="4"/>
      <c r="BF175" s="4">
        <v>1</v>
      </c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>
        <v>2</v>
      </c>
      <c r="BT175" s="4"/>
      <c r="BU175" s="4"/>
      <c r="BV175" s="4"/>
      <c r="BW175" s="30">
        <f t="shared" si="51"/>
        <v>0</v>
      </c>
      <c r="BX175" s="30">
        <f t="shared" si="52"/>
        <v>1</v>
      </c>
      <c r="BY175" s="30">
        <f t="shared" si="53"/>
        <v>2</v>
      </c>
    </row>
    <row r="176" spans="1:77" ht="15.5" x14ac:dyDescent="0.35">
      <c r="A176" s="1">
        <v>2</v>
      </c>
      <c r="B176" s="34" t="s">
        <v>54</v>
      </c>
      <c r="C176" s="172" t="s">
        <v>1074</v>
      </c>
      <c r="D176" s="178" t="s">
        <v>6</v>
      </c>
      <c r="E176" s="4">
        <v>1</v>
      </c>
      <c r="F176" s="4"/>
      <c r="G176" s="4"/>
      <c r="H176" s="4"/>
      <c r="I176" s="5"/>
      <c r="J176" s="4"/>
      <c r="K176" s="12"/>
      <c r="L176" s="4"/>
      <c r="M176" s="4"/>
      <c r="N176" s="13"/>
      <c r="O176" s="13"/>
      <c r="P176" s="13"/>
      <c r="Q176" s="4">
        <v>1</v>
      </c>
      <c r="R176" s="4">
        <v>2</v>
      </c>
      <c r="S176" s="4">
        <v>2</v>
      </c>
      <c r="T176" s="4"/>
      <c r="U176" s="4">
        <v>3</v>
      </c>
      <c r="V176" s="4">
        <v>2</v>
      </c>
      <c r="W176" s="30">
        <f t="shared" si="45"/>
        <v>2</v>
      </c>
      <c r="X176" s="30">
        <f t="shared" si="46"/>
        <v>5</v>
      </c>
      <c r="Y176" s="30">
        <f t="shared" si="47"/>
        <v>4</v>
      </c>
      <c r="AA176" s="1">
        <v>2</v>
      </c>
      <c r="AB176" s="34" t="s">
        <v>54</v>
      </c>
      <c r="AC176" s="172" t="s">
        <v>1074</v>
      </c>
      <c r="AD176" s="178" t="s">
        <v>6</v>
      </c>
      <c r="AE176" s="4">
        <v>1</v>
      </c>
      <c r="AF176" s="4"/>
      <c r="AG176" s="4"/>
      <c r="AH176" s="4"/>
      <c r="AI176" s="5"/>
      <c r="AJ176" s="4"/>
      <c r="AK176" s="12"/>
      <c r="AL176" s="4"/>
      <c r="AM176" s="4"/>
      <c r="AN176" s="13"/>
      <c r="AO176" s="13"/>
      <c r="AP176" s="13"/>
      <c r="AQ176" s="4">
        <v>1</v>
      </c>
      <c r="AR176" s="4">
        <v>2</v>
      </c>
      <c r="AS176" s="4">
        <v>2</v>
      </c>
      <c r="AT176" s="4"/>
      <c r="AU176" s="4">
        <v>3</v>
      </c>
      <c r="AV176" s="4">
        <v>2</v>
      </c>
      <c r="AW176" s="30">
        <f t="shared" si="48"/>
        <v>2</v>
      </c>
      <c r="AX176" s="30">
        <f t="shared" si="49"/>
        <v>5</v>
      </c>
      <c r="AY176" s="30">
        <f t="shared" si="50"/>
        <v>4</v>
      </c>
      <c r="BA176" s="1">
        <v>40</v>
      </c>
      <c r="BB176" s="80" t="s">
        <v>219</v>
      </c>
      <c r="BC176" s="172" t="s">
        <v>242</v>
      </c>
      <c r="BD176" s="81" t="s">
        <v>8</v>
      </c>
      <c r="BE176" s="9"/>
      <c r="BF176" s="9">
        <v>1</v>
      </c>
      <c r="BG176" s="9">
        <v>1</v>
      </c>
      <c r="BH176" s="9"/>
      <c r="BI176" s="4"/>
      <c r="BJ176" s="9"/>
      <c r="BK176" s="9"/>
      <c r="BL176" s="9"/>
      <c r="BM176" s="9"/>
      <c r="BN176" s="9"/>
      <c r="BO176" s="9"/>
      <c r="BP176" s="9"/>
      <c r="BQ176" s="9"/>
      <c r="BR176" s="9"/>
      <c r="BS176" s="9">
        <v>1</v>
      </c>
      <c r="BT176" s="9"/>
      <c r="BU176" s="9"/>
      <c r="BV176" s="9"/>
      <c r="BW176" s="30">
        <f t="shared" si="51"/>
        <v>0</v>
      </c>
      <c r="BX176" s="30">
        <f t="shared" si="52"/>
        <v>1</v>
      </c>
      <c r="BY176" s="30">
        <f t="shared" si="53"/>
        <v>2</v>
      </c>
    </row>
    <row r="177" spans="1:77" ht="15.5" x14ac:dyDescent="0.35">
      <c r="A177" s="1">
        <v>5</v>
      </c>
      <c r="B177" s="80" t="s">
        <v>57</v>
      </c>
      <c r="C177" s="172" t="s">
        <v>1074</v>
      </c>
      <c r="D177" s="89" t="s">
        <v>6</v>
      </c>
      <c r="E177" s="4"/>
      <c r="F177" s="4">
        <v>1</v>
      </c>
      <c r="G177" s="4"/>
      <c r="H177" s="4"/>
      <c r="I177" s="5"/>
      <c r="J177" s="4">
        <v>1</v>
      </c>
      <c r="K177" s="12"/>
      <c r="L177" s="4"/>
      <c r="M177" s="4"/>
      <c r="N177" s="13"/>
      <c r="O177" s="13"/>
      <c r="P177" s="13"/>
      <c r="Q177" s="4"/>
      <c r="R177" s="4"/>
      <c r="S177" s="4"/>
      <c r="T177" s="4">
        <v>2</v>
      </c>
      <c r="U177" s="4">
        <v>1</v>
      </c>
      <c r="V177" s="4"/>
      <c r="W177" s="30">
        <f t="shared" si="45"/>
        <v>2</v>
      </c>
      <c r="X177" s="30">
        <f t="shared" si="46"/>
        <v>2</v>
      </c>
      <c r="Y177" s="30">
        <f t="shared" si="47"/>
        <v>1</v>
      </c>
      <c r="AA177" s="1">
        <v>3</v>
      </c>
      <c r="AB177" s="80" t="s">
        <v>55</v>
      </c>
      <c r="AC177" s="172" t="s">
        <v>1074</v>
      </c>
      <c r="AD177" s="88" t="s">
        <v>6</v>
      </c>
      <c r="AE177" s="5"/>
      <c r="AF177" s="4"/>
      <c r="AG177" s="4"/>
      <c r="AH177" s="4"/>
      <c r="AI177" s="5"/>
      <c r="AJ177" s="4"/>
      <c r="AK177" s="12"/>
      <c r="AL177" s="4"/>
      <c r="AM177" s="4"/>
      <c r="AN177" s="13"/>
      <c r="AO177" s="13">
        <v>2</v>
      </c>
      <c r="AP177" s="13">
        <v>2</v>
      </c>
      <c r="AQ177" s="4"/>
      <c r="AR177" s="4">
        <v>2</v>
      </c>
      <c r="AS177" s="4"/>
      <c r="AT177" s="4"/>
      <c r="AU177" s="4">
        <v>1</v>
      </c>
      <c r="AV177" s="4"/>
      <c r="AW177" s="30">
        <f t="shared" si="48"/>
        <v>0</v>
      </c>
      <c r="AX177" s="30">
        <f t="shared" si="49"/>
        <v>5</v>
      </c>
      <c r="AY177" s="30">
        <f t="shared" si="50"/>
        <v>2</v>
      </c>
      <c r="BA177" s="1">
        <v>4</v>
      </c>
      <c r="BB177" s="80" t="s">
        <v>56</v>
      </c>
      <c r="BC177" s="172" t="s">
        <v>1074</v>
      </c>
      <c r="BD177" s="89" t="s">
        <v>6</v>
      </c>
      <c r="BE177" s="4"/>
      <c r="BF177" s="5">
        <v>1</v>
      </c>
      <c r="BG177" s="4"/>
      <c r="BH177" s="5"/>
      <c r="BI177" s="5">
        <v>1</v>
      </c>
      <c r="BJ177" s="4"/>
      <c r="BK177" s="12"/>
      <c r="BL177" s="4"/>
      <c r="BM177" s="4"/>
      <c r="BN177" s="13"/>
      <c r="BO177" s="13"/>
      <c r="BP177" s="13"/>
      <c r="BQ177" s="4"/>
      <c r="BR177" s="4">
        <v>1</v>
      </c>
      <c r="BS177" s="4">
        <v>2</v>
      </c>
      <c r="BT177" s="4">
        <v>1</v>
      </c>
      <c r="BU177" s="4"/>
      <c r="BV177" s="4">
        <v>1</v>
      </c>
      <c r="BW177" s="30">
        <f t="shared" si="51"/>
        <v>1</v>
      </c>
      <c r="BX177" s="30">
        <f t="shared" si="52"/>
        <v>3</v>
      </c>
      <c r="BY177" s="30">
        <f t="shared" si="53"/>
        <v>3</v>
      </c>
    </row>
    <row r="178" spans="1:77" ht="15.5" x14ac:dyDescent="0.35">
      <c r="A178" s="1">
        <v>8</v>
      </c>
      <c r="B178" s="80" t="s">
        <v>60</v>
      </c>
      <c r="C178" s="172" t="s">
        <v>1074</v>
      </c>
      <c r="D178" s="89" t="s">
        <v>6</v>
      </c>
      <c r="E178" s="4"/>
      <c r="F178" s="4">
        <v>4</v>
      </c>
      <c r="G178" s="5">
        <v>4</v>
      </c>
      <c r="H178" s="5"/>
      <c r="I178" s="5">
        <v>1</v>
      </c>
      <c r="J178" s="5">
        <v>1</v>
      </c>
      <c r="K178" s="4"/>
      <c r="L178" s="4"/>
      <c r="M178" s="4"/>
      <c r="N178" s="13"/>
      <c r="O178" s="13"/>
      <c r="P178" s="13"/>
      <c r="Q178" s="4">
        <v>2</v>
      </c>
      <c r="R178" s="4">
        <v>5</v>
      </c>
      <c r="S178" s="4">
        <v>1</v>
      </c>
      <c r="T178" s="4"/>
      <c r="U178" s="4">
        <v>1</v>
      </c>
      <c r="V178" s="4">
        <v>3</v>
      </c>
      <c r="W178" s="30">
        <f t="shared" si="45"/>
        <v>2</v>
      </c>
      <c r="X178" s="30">
        <f t="shared" si="46"/>
        <v>11</v>
      </c>
      <c r="Y178" s="30">
        <f t="shared" si="47"/>
        <v>9</v>
      </c>
      <c r="AA178" s="1">
        <v>6</v>
      </c>
      <c r="AB178" s="80" t="s">
        <v>58</v>
      </c>
      <c r="AC178" s="172" t="s">
        <v>1074</v>
      </c>
      <c r="AD178" s="89" t="s">
        <v>6</v>
      </c>
      <c r="AE178" s="4"/>
      <c r="AF178" s="4">
        <v>2</v>
      </c>
      <c r="AG178" s="4"/>
      <c r="AH178" s="4"/>
      <c r="AI178" s="4"/>
      <c r="AJ178" s="4"/>
      <c r="AK178" s="12"/>
      <c r="AL178" s="4"/>
      <c r="AM178" s="4"/>
      <c r="AN178" s="13"/>
      <c r="AO178" s="13"/>
      <c r="AP178" s="13"/>
      <c r="AQ178" s="4"/>
      <c r="AR178" s="4">
        <v>3</v>
      </c>
      <c r="AS178" s="4"/>
      <c r="AT178" s="4"/>
      <c r="AU178" s="4"/>
      <c r="AV178" s="4"/>
      <c r="AW178" s="30">
        <f t="shared" si="48"/>
        <v>0</v>
      </c>
      <c r="AX178" s="30">
        <f t="shared" si="49"/>
        <v>5</v>
      </c>
      <c r="AY178" s="30">
        <f t="shared" si="50"/>
        <v>0</v>
      </c>
      <c r="BA178" s="1">
        <v>20</v>
      </c>
      <c r="BB178" s="80" t="s">
        <v>70</v>
      </c>
      <c r="BC178" s="172" t="s">
        <v>1074</v>
      </c>
      <c r="BD178" s="89" t="s">
        <v>6</v>
      </c>
      <c r="BE178" s="4"/>
      <c r="BF178" s="5"/>
      <c r="BG178" s="4">
        <v>2</v>
      </c>
      <c r="BH178" s="4">
        <v>1</v>
      </c>
      <c r="BI178" s="5"/>
      <c r="BJ178" s="4"/>
      <c r="BK178" s="4"/>
      <c r="BL178" s="4"/>
      <c r="BM178" s="4"/>
      <c r="BN178" s="13"/>
      <c r="BO178" s="13"/>
      <c r="BP178" s="13"/>
      <c r="BQ178" s="4"/>
      <c r="BR178" s="4">
        <v>3</v>
      </c>
      <c r="BS178" s="4"/>
      <c r="BT178" s="4"/>
      <c r="BU178" s="4"/>
      <c r="BV178" s="4">
        <v>1</v>
      </c>
      <c r="BW178" s="30">
        <f t="shared" si="51"/>
        <v>1</v>
      </c>
      <c r="BX178" s="30">
        <f t="shared" si="52"/>
        <v>3</v>
      </c>
      <c r="BY178" s="30">
        <f t="shared" si="53"/>
        <v>3</v>
      </c>
    </row>
    <row r="179" spans="1:77" ht="15.5" x14ac:dyDescent="0.35">
      <c r="A179" s="1">
        <v>18</v>
      </c>
      <c r="B179" s="90" t="s">
        <v>68</v>
      </c>
      <c r="C179" s="172" t="s">
        <v>1074</v>
      </c>
      <c r="D179" s="89" t="s">
        <v>6</v>
      </c>
      <c r="E179" s="4">
        <v>1</v>
      </c>
      <c r="F179" s="4"/>
      <c r="G179" s="4">
        <v>2</v>
      </c>
      <c r="H179" s="4"/>
      <c r="I179" s="5"/>
      <c r="J179" s="5">
        <v>2</v>
      </c>
      <c r="K179" s="12"/>
      <c r="L179" s="4"/>
      <c r="M179" s="4"/>
      <c r="N179" s="13"/>
      <c r="O179" s="13"/>
      <c r="P179" s="13"/>
      <c r="Q179" s="4">
        <v>1</v>
      </c>
      <c r="R179" s="4">
        <v>1</v>
      </c>
      <c r="S179" s="4">
        <v>1</v>
      </c>
      <c r="T179" s="4"/>
      <c r="U179" s="4"/>
      <c r="V179" s="4">
        <v>2</v>
      </c>
      <c r="W179" s="30">
        <f t="shared" si="45"/>
        <v>2</v>
      </c>
      <c r="X179" s="30">
        <f t="shared" si="46"/>
        <v>1</v>
      </c>
      <c r="Y179" s="30">
        <f t="shared" si="47"/>
        <v>7</v>
      </c>
      <c r="AA179" s="1">
        <v>15</v>
      </c>
      <c r="AB179" s="80" t="s">
        <v>65</v>
      </c>
      <c r="AC179" s="172" t="s">
        <v>1074</v>
      </c>
      <c r="AD179" s="89" t="s">
        <v>6</v>
      </c>
      <c r="AE179" s="9"/>
      <c r="AF179" s="16"/>
      <c r="AG179" s="9"/>
      <c r="AH179" s="9"/>
      <c r="AI179" s="9"/>
      <c r="AJ179" s="9"/>
      <c r="AK179" s="28"/>
      <c r="AL179" s="9"/>
      <c r="AM179" s="9"/>
      <c r="AN179" s="15"/>
      <c r="AO179" s="15"/>
      <c r="AP179" s="15"/>
      <c r="AQ179" s="9"/>
      <c r="AR179" s="9">
        <v>4</v>
      </c>
      <c r="AS179" s="9">
        <v>1</v>
      </c>
      <c r="AT179" s="9"/>
      <c r="AU179" s="9">
        <v>1</v>
      </c>
      <c r="AV179" s="9">
        <v>1</v>
      </c>
      <c r="AW179" s="30">
        <f t="shared" si="48"/>
        <v>0</v>
      </c>
      <c r="AX179" s="30">
        <f t="shared" si="49"/>
        <v>5</v>
      </c>
      <c r="AY179" s="30">
        <f t="shared" si="50"/>
        <v>2</v>
      </c>
      <c r="BA179" s="1">
        <v>7</v>
      </c>
      <c r="BB179" s="80" t="s">
        <v>76</v>
      </c>
      <c r="BC179" s="172" t="s">
        <v>1075</v>
      </c>
      <c r="BD179" s="81" t="s">
        <v>6</v>
      </c>
      <c r="BE179" s="4"/>
      <c r="BF179" s="4"/>
      <c r="BG179" s="4">
        <v>2</v>
      </c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4"/>
      <c r="BU179" s="4"/>
      <c r="BV179" s="4">
        <v>1</v>
      </c>
      <c r="BW179" s="30">
        <f t="shared" si="51"/>
        <v>0</v>
      </c>
      <c r="BX179" s="30">
        <f t="shared" si="52"/>
        <v>0</v>
      </c>
      <c r="BY179" s="30">
        <f t="shared" si="53"/>
        <v>3</v>
      </c>
    </row>
    <row r="180" spans="1:77" ht="15.5" x14ac:dyDescent="0.35">
      <c r="A180" s="2" t="s">
        <v>24</v>
      </c>
      <c r="B180" s="80" t="s">
        <v>92</v>
      </c>
      <c r="C180" s="172" t="s">
        <v>243</v>
      </c>
      <c r="D180" s="81" t="s">
        <v>8</v>
      </c>
      <c r="E180" s="4">
        <v>2</v>
      </c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30">
        <f t="shared" si="45"/>
        <v>2</v>
      </c>
      <c r="X180" s="30">
        <f t="shared" si="46"/>
        <v>0</v>
      </c>
      <c r="Y180" s="30">
        <f t="shared" si="47"/>
        <v>0</v>
      </c>
      <c r="AA180" s="2" t="s">
        <v>28</v>
      </c>
      <c r="AB180" s="80" t="s">
        <v>96</v>
      </c>
      <c r="AC180" s="172" t="s">
        <v>243</v>
      </c>
      <c r="AD180" s="81" t="s">
        <v>6</v>
      </c>
      <c r="AE180" s="4"/>
      <c r="AF180" s="4"/>
      <c r="AG180" s="4"/>
      <c r="AH180" s="4"/>
      <c r="AI180" s="5"/>
      <c r="AJ180" s="5"/>
      <c r="AK180" s="4"/>
      <c r="AL180" s="4"/>
      <c r="AM180" s="4"/>
      <c r="AN180" s="4"/>
      <c r="AO180" s="4">
        <v>5</v>
      </c>
      <c r="AP180" s="4"/>
      <c r="AQ180" s="4"/>
      <c r="AR180" s="4"/>
      <c r="AS180" s="4"/>
      <c r="AT180" s="4"/>
      <c r="AU180" s="4"/>
      <c r="AV180" s="4"/>
      <c r="AW180" s="30">
        <f t="shared" si="48"/>
        <v>0</v>
      </c>
      <c r="AX180" s="30">
        <f t="shared" si="49"/>
        <v>5</v>
      </c>
      <c r="AY180" s="30">
        <f t="shared" si="50"/>
        <v>0</v>
      </c>
      <c r="BA180" s="2" t="s">
        <v>30</v>
      </c>
      <c r="BB180" s="80" t="s">
        <v>98</v>
      </c>
      <c r="BC180" s="172" t="s">
        <v>243</v>
      </c>
      <c r="BD180" s="81" t="s">
        <v>6</v>
      </c>
      <c r="BE180" s="4"/>
      <c r="BF180" s="4"/>
      <c r="BG180" s="4"/>
      <c r="BH180" s="4">
        <v>1</v>
      </c>
      <c r="BI180" s="5"/>
      <c r="BJ180" s="4">
        <v>3</v>
      </c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30">
        <f t="shared" si="51"/>
        <v>1</v>
      </c>
      <c r="BX180" s="30">
        <f t="shared" si="52"/>
        <v>0</v>
      </c>
      <c r="BY180" s="30">
        <f t="shared" si="53"/>
        <v>3</v>
      </c>
    </row>
    <row r="181" spans="1:77" ht="15.5" x14ac:dyDescent="0.35">
      <c r="A181" s="2" t="s">
        <v>36</v>
      </c>
      <c r="B181" s="80" t="s">
        <v>103</v>
      </c>
      <c r="C181" s="172" t="s">
        <v>243</v>
      </c>
      <c r="D181" s="81" t="s">
        <v>6</v>
      </c>
      <c r="E181" s="4"/>
      <c r="F181" s="4">
        <v>1</v>
      </c>
      <c r="G181" s="4"/>
      <c r="H181" s="4">
        <v>1</v>
      </c>
      <c r="I181" s="5"/>
      <c r="J181" s="4"/>
      <c r="K181" s="4"/>
      <c r="L181" s="4"/>
      <c r="M181" s="4"/>
      <c r="N181" s="4"/>
      <c r="O181" s="4"/>
      <c r="P181" s="4"/>
      <c r="Q181" s="4">
        <v>1</v>
      </c>
      <c r="R181" s="4">
        <v>1</v>
      </c>
      <c r="S181" s="4">
        <v>3</v>
      </c>
      <c r="T181" s="4"/>
      <c r="U181" s="4">
        <v>1</v>
      </c>
      <c r="V181" s="4">
        <v>1</v>
      </c>
      <c r="W181" s="30">
        <f t="shared" si="45"/>
        <v>2</v>
      </c>
      <c r="X181" s="30">
        <f t="shared" si="46"/>
        <v>3</v>
      </c>
      <c r="Y181" s="30">
        <f t="shared" si="47"/>
        <v>4</v>
      </c>
      <c r="AA181" s="2" t="s">
        <v>41</v>
      </c>
      <c r="AB181" s="80" t="s">
        <v>107</v>
      </c>
      <c r="AC181" s="172" t="s">
        <v>243</v>
      </c>
      <c r="AD181" s="81" t="s">
        <v>8</v>
      </c>
      <c r="AE181" s="4"/>
      <c r="AF181" s="4">
        <v>2</v>
      </c>
      <c r="AG181" s="4">
        <v>1</v>
      </c>
      <c r="AH181" s="4"/>
      <c r="AI181" s="5"/>
      <c r="AJ181" s="4"/>
      <c r="AK181" s="4"/>
      <c r="AL181" s="4"/>
      <c r="AM181" s="4"/>
      <c r="AN181" s="4">
        <v>1</v>
      </c>
      <c r="AO181" s="4"/>
      <c r="AP181" s="4"/>
      <c r="AQ181" s="4">
        <v>1</v>
      </c>
      <c r="AR181" s="4">
        <v>2</v>
      </c>
      <c r="AS181" s="4"/>
      <c r="AT181" s="4"/>
      <c r="AU181" s="4">
        <v>1</v>
      </c>
      <c r="AV181" s="4"/>
      <c r="AW181" s="30">
        <f t="shared" si="48"/>
        <v>2</v>
      </c>
      <c r="AX181" s="30">
        <f t="shared" si="49"/>
        <v>5</v>
      </c>
      <c r="AY181" s="30">
        <f t="shared" si="50"/>
        <v>1</v>
      </c>
      <c r="BA181" s="1">
        <v>31</v>
      </c>
      <c r="BB181" s="53" t="s">
        <v>181</v>
      </c>
      <c r="BC181" s="172" t="s">
        <v>245</v>
      </c>
      <c r="BD181" s="81" t="s">
        <v>6</v>
      </c>
      <c r="BE181" s="4"/>
      <c r="BF181" s="5">
        <v>1</v>
      </c>
      <c r="BG181" s="4"/>
      <c r="BH181" s="4"/>
      <c r="BI181" s="5">
        <v>2</v>
      </c>
      <c r="BJ181" s="4">
        <v>1</v>
      </c>
      <c r="BK181" s="4"/>
      <c r="BL181" s="4"/>
      <c r="BM181" s="4"/>
      <c r="BN181" s="4"/>
      <c r="BO181" s="4"/>
      <c r="BP181" s="4"/>
      <c r="BQ181" s="4"/>
      <c r="BR181" s="4">
        <v>5</v>
      </c>
      <c r="BS181" s="4">
        <v>1</v>
      </c>
      <c r="BT181" s="4">
        <v>1</v>
      </c>
      <c r="BU181" s="4">
        <v>1</v>
      </c>
      <c r="BV181" s="4">
        <v>1</v>
      </c>
      <c r="BW181" s="30">
        <f t="shared" si="51"/>
        <v>1</v>
      </c>
      <c r="BX181" s="30">
        <f t="shared" si="52"/>
        <v>9</v>
      </c>
      <c r="BY181" s="30">
        <f t="shared" si="53"/>
        <v>3</v>
      </c>
    </row>
    <row r="182" spans="1:77" ht="15.5" x14ac:dyDescent="0.35">
      <c r="A182" s="2" t="s">
        <v>41</v>
      </c>
      <c r="B182" s="80" t="s">
        <v>107</v>
      </c>
      <c r="C182" s="172" t="s">
        <v>243</v>
      </c>
      <c r="D182" s="81" t="s">
        <v>8</v>
      </c>
      <c r="E182" s="4"/>
      <c r="F182" s="4">
        <v>2</v>
      </c>
      <c r="G182" s="4">
        <v>1</v>
      </c>
      <c r="H182" s="4"/>
      <c r="I182" s="5"/>
      <c r="J182" s="4"/>
      <c r="K182" s="4"/>
      <c r="L182" s="4"/>
      <c r="M182" s="4"/>
      <c r="N182" s="4">
        <v>1</v>
      </c>
      <c r="O182" s="4"/>
      <c r="P182" s="4"/>
      <c r="Q182" s="4">
        <v>1</v>
      </c>
      <c r="R182" s="4">
        <v>2</v>
      </c>
      <c r="S182" s="4"/>
      <c r="T182" s="4"/>
      <c r="U182" s="4">
        <v>1</v>
      </c>
      <c r="V182" s="4"/>
      <c r="W182" s="30">
        <f t="shared" si="45"/>
        <v>2</v>
      </c>
      <c r="X182" s="30">
        <f t="shared" si="46"/>
        <v>5</v>
      </c>
      <c r="Y182" s="30">
        <f t="shared" si="47"/>
        <v>1</v>
      </c>
      <c r="AA182" s="2" t="s">
        <v>126</v>
      </c>
      <c r="AB182" s="96" t="s">
        <v>133</v>
      </c>
      <c r="AC182" s="172" t="s">
        <v>243</v>
      </c>
      <c r="AD182" s="81" t="s">
        <v>8</v>
      </c>
      <c r="AE182" s="23"/>
      <c r="AF182" s="23"/>
      <c r="AG182" s="23"/>
      <c r="AH182" s="23"/>
      <c r="AI182" s="23"/>
      <c r="AJ182" s="23"/>
      <c r="AK182" s="23"/>
      <c r="AL182" s="23"/>
      <c r="AM182" s="23"/>
      <c r="AN182" s="23">
        <v>1</v>
      </c>
      <c r="AO182" s="23">
        <v>1</v>
      </c>
      <c r="AP182" s="23">
        <v>1</v>
      </c>
      <c r="AQ182" s="23">
        <v>1</v>
      </c>
      <c r="AR182" s="23">
        <v>3</v>
      </c>
      <c r="AS182" s="23"/>
      <c r="AT182" s="23"/>
      <c r="AU182" s="23">
        <v>1</v>
      </c>
      <c r="AV182" s="23"/>
      <c r="AW182" s="30">
        <f t="shared" si="48"/>
        <v>2</v>
      </c>
      <c r="AX182" s="30">
        <f t="shared" si="49"/>
        <v>5</v>
      </c>
      <c r="AY182" s="30">
        <f t="shared" si="50"/>
        <v>1</v>
      </c>
      <c r="BA182" s="1">
        <v>34</v>
      </c>
      <c r="BB182" s="80" t="s">
        <v>214</v>
      </c>
      <c r="BC182" s="172" t="s">
        <v>242</v>
      </c>
      <c r="BD182" s="82" t="s">
        <v>8</v>
      </c>
      <c r="BE182" s="4"/>
      <c r="BF182" s="4"/>
      <c r="BG182" s="4"/>
      <c r="BH182" s="4"/>
      <c r="BI182" s="4"/>
      <c r="BJ182" s="4"/>
      <c r="BK182" s="4"/>
      <c r="BL182" s="4"/>
      <c r="BM182" s="4"/>
      <c r="BN182" s="4">
        <v>1</v>
      </c>
      <c r="BO182" s="4"/>
      <c r="BP182" s="4">
        <v>1</v>
      </c>
      <c r="BQ182" s="4"/>
      <c r="BR182" s="4">
        <v>1</v>
      </c>
      <c r="BS182" s="4">
        <v>1</v>
      </c>
      <c r="BT182" s="4"/>
      <c r="BU182" s="4"/>
      <c r="BV182" s="4">
        <v>1</v>
      </c>
      <c r="BW182" s="30">
        <f t="shared" si="51"/>
        <v>1</v>
      </c>
      <c r="BX182" s="30">
        <f t="shared" si="52"/>
        <v>1</v>
      </c>
      <c r="BY182" s="30">
        <f t="shared" si="53"/>
        <v>3</v>
      </c>
    </row>
    <row r="183" spans="1:77" ht="15.5" x14ac:dyDescent="0.35">
      <c r="A183" s="2" t="s">
        <v>50</v>
      </c>
      <c r="B183" s="80" t="s">
        <v>116</v>
      </c>
      <c r="C183" s="172" t="s">
        <v>243</v>
      </c>
      <c r="D183" s="81" t="s">
        <v>8</v>
      </c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>
        <v>2</v>
      </c>
      <c r="P183" s="4"/>
      <c r="Q183" s="4">
        <v>2</v>
      </c>
      <c r="R183" s="4">
        <v>1</v>
      </c>
      <c r="S183" s="4"/>
      <c r="T183" s="4"/>
      <c r="U183" s="4"/>
      <c r="V183" s="4"/>
      <c r="W183" s="30">
        <f t="shared" si="45"/>
        <v>2</v>
      </c>
      <c r="X183" s="30">
        <f t="shared" si="46"/>
        <v>3</v>
      </c>
      <c r="Y183" s="30">
        <f t="shared" si="47"/>
        <v>0</v>
      </c>
      <c r="AA183" s="32" t="s">
        <v>27</v>
      </c>
      <c r="AB183" s="80" t="s">
        <v>132</v>
      </c>
      <c r="AC183" s="172" t="s">
        <v>244</v>
      </c>
      <c r="AD183" s="81" t="s">
        <v>6</v>
      </c>
      <c r="AE183" s="4"/>
      <c r="AF183" s="4"/>
      <c r="AG183" s="4"/>
      <c r="AH183" s="4"/>
      <c r="AI183" s="4">
        <v>5</v>
      </c>
      <c r="AJ183" s="5"/>
      <c r="AK183" s="4"/>
      <c r="AL183" s="4"/>
      <c r="AM183" s="4"/>
      <c r="AN183" s="4"/>
      <c r="AO183" s="4"/>
      <c r="AP183" s="4"/>
      <c r="AQ183" s="4"/>
      <c r="AR183" s="4"/>
      <c r="AS183" s="4">
        <v>1</v>
      </c>
      <c r="AT183" s="4"/>
      <c r="AU183" s="4"/>
      <c r="AV183" s="4"/>
      <c r="AW183" s="30">
        <f t="shared" si="48"/>
        <v>0</v>
      </c>
      <c r="AX183" s="30">
        <f t="shared" si="49"/>
        <v>5</v>
      </c>
      <c r="AY183" s="30">
        <f t="shared" si="50"/>
        <v>1</v>
      </c>
      <c r="BA183" s="1">
        <v>38</v>
      </c>
      <c r="BB183" s="80" t="s">
        <v>217</v>
      </c>
      <c r="BC183" s="172" t="s">
        <v>242</v>
      </c>
      <c r="BD183" s="95" t="s">
        <v>8</v>
      </c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>
        <v>3</v>
      </c>
      <c r="BT183" s="4"/>
      <c r="BU183" s="4"/>
      <c r="BV183" s="4"/>
      <c r="BW183" s="30">
        <f t="shared" si="51"/>
        <v>0</v>
      </c>
      <c r="BX183" s="30">
        <f t="shared" si="52"/>
        <v>0</v>
      </c>
      <c r="BY183" s="30">
        <f t="shared" si="53"/>
        <v>3</v>
      </c>
    </row>
    <row r="184" spans="1:77" ht="15.5" x14ac:dyDescent="0.35">
      <c r="A184" s="2" t="s">
        <v>123</v>
      </c>
      <c r="B184" s="92" t="s">
        <v>119</v>
      </c>
      <c r="C184" s="172" t="s">
        <v>243</v>
      </c>
      <c r="D184" s="81" t="s">
        <v>6</v>
      </c>
      <c r="E184" s="4"/>
      <c r="F184" s="4"/>
      <c r="G184" s="4"/>
      <c r="H184" s="4"/>
      <c r="I184" s="5"/>
      <c r="J184" s="4"/>
      <c r="K184" s="4"/>
      <c r="L184" s="4"/>
      <c r="M184" s="4"/>
      <c r="N184" s="4">
        <v>1</v>
      </c>
      <c r="O184" s="4"/>
      <c r="P184" s="4"/>
      <c r="Q184" s="4">
        <v>1</v>
      </c>
      <c r="R184" s="4"/>
      <c r="S184" s="4"/>
      <c r="T184" s="4"/>
      <c r="U184" s="4"/>
      <c r="V184" s="4"/>
      <c r="W184" s="30">
        <f t="shared" si="45"/>
        <v>2</v>
      </c>
      <c r="X184" s="30">
        <f t="shared" si="46"/>
        <v>0</v>
      </c>
      <c r="Y184" s="30">
        <f t="shared" si="47"/>
        <v>0</v>
      </c>
      <c r="AA184" s="1">
        <v>4</v>
      </c>
      <c r="AB184" s="80" t="s">
        <v>157</v>
      </c>
      <c r="AC184" s="172" t="s">
        <v>245</v>
      </c>
      <c r="AD184" s="95" t="s">
        <v>6</v>
      </c>
      <c r="AE184" s="4"/>
      <c r="AF184" s="4"/>
      <c r="AG184" s="4"/>
      <c r="AH184" s="5"/>
      <c r="AI184" s="5"/>
      <c r="AJ184" s="4"/>
      <c r="AK184" s="4"/>
      <c r="AL184" s="4"/>
      <c r="AM184" s="4"/>
      <c r="AN184" s="4"/>
      <c r="AO184" s="4">
        <v>2</v>
      </c>
      <c r="AP184" s="4"/>
      <c r="AQ184" s="4"/>
      <c r="AR184" s="4">
        <v>3</v>
      </c>
      <c r="AS184" s="4"/>
      <c r="AT184" s="4"/>
      <c r="AU184" s="4"/>
      <c r="AV184" s="4"/>
      <c r="AW184" s="30">
        <f t="shared" si="48"/>
        <v>0</v>
      </c>
      <c r="AX184" s="30">
        <f t="shared" si="49"/>
        <v>5</v>
      </c>
      <c r="AY184" s="30">
        <f t="shared" si="50"/>
        <v>0</v>
      </c>
      <c r="BA184" s="1">
        <v>1</v>
      </c>
      <c r="BB184" s="80" t="s">
        <v>5</v>
      </c>
      <c r="BC184" s="172" t="s">
        <v>241</v>
      </c>
      <c r="BD184" s="81" t="s">
        <v>6</v>
      </c>
      <c r="BE184" s="29"/>
      <c r="BF184" s="29"/>
      <c r="BG184" s="29">
        <v>1</v>
      </c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>
        <v>2</v>
      </c>
      <c r="BS184" s="29">
        <v>3</v>
      </c>
      <c r="BT184" s="29"/>
      <c r="BU184" s="29"/>
      <c r="BV184" s="29"/>
      <c r="BW184" s="30">
        <f t="shared" si="51"/>
        <v>0</v>
      </c>
      <c r="BX184" s="30">
        <f t="shared" si="52"/>
        <v>2</v>
      </c>
      <c r="BY184" s="30">
        <f t="shared" si="53"/>
        <v>4</v>
      </c>
    </row>
    <row r="185" spans="1:77" ht="15.5" x14ac:dyDescent="0.35">
      <c r="A185" s="2" t="s">
        <v>126</v>
      </c>
      <c r="B185" s="96" t="s">
        <v>133</v>
      </c>
      <c r="C185" s="172" t="s">
        <v>243</v>
      </c>
      <c r="D185" s="81" t="s">
        <v>8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>
        <v>1</v>
      </c>
      <c r="O185" s="23">
        <v>1</v>
      </c>
      <c r="P185" s="23">
        <v>1</v>
      </c>
      <c r="Q185" s="23">
        <v>1</v>
      </c>
      <c r="R185" s="23">
        <v>3</v>
      </c>
      <c r="S185" s="23"/>
      <c r="T185" s="23"/>
      <c r="U185" s="23">
        <v>1</v>
      </c>
      <c r="V185" s="23"/>
      <c r="W185" s="30">
        <f t="shared" si="45"/>
        <v>2</v>
      </c>
      <c r="X185" s="30">
        <f t="shared" si="46"/>
        <v>5</v>
      </c>
      <c r="Y185" s="30">
        <f t="shared" si="47"/>
        <v>1</v>
      </c>
      <c r="AA185" s="1">
        <v>26</v>
      </c>
      <c r="AB185" s="80" t="s">
        <v>176</v>
      </c>
      <c r="AC185" s="172" t="s">
        <v>245</v>
      </c>
      <c r="AD185" s="81" t="s">
        <v>8</v>
      </c>
      <c r="AE185" s="4"/>
      <c r="AF185" s="4">
        <v>2</v>
      </c>
      <c r="AG185" s="4"/>
      <c r="AH185" s="4">
        <v>2</v>
      </c>
      <c r="AI185" s="4">
        <v>2</v>
      </c>
      <c r="AJ185" s="4">
        <v>5</v>
      </c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>
        <v>1</v>
      </c>
      <c r="AV185" s="4"/>
      <c r="AW185" s="30">
        <f t="shared" si="48"/>
        <v>2</v>
      </c>
      <c r="AX185" s="30">
        <f t="shared" si="49"/>
        <v>5</v>
      </c>
      <c r="AY185" s="30">
        <f t="shared" si="50"/>
        <v>5</v>
      </c>
      <c r="BA185" s="1">
        <v>2</v>
      </c>
      <c r="BB185" s="34" t="s">
        <v>54</v>
      </c>
      <c r="BC185" s="172" t="s">
        <v>1074</v>
      </c>
      <c r="BD185" s="178" t="s">
        <v>6</v>
      </c>
      <c r="BE185" s="4">
        <v>1</v>
      </c>
      <c r="BF185" s="4"/>
      <c r="BG185" s="4"/>
      <c r="BH185" s="4"/>
      <c r="BI185" s="5"/>
      <c r="BJ185" s="4"/>
      <c r="BK185" s="12"/>
      <c r="BL185" s="4"/>
      <c r="BM185" s="4"/>
      <c r="BN185" s="13"/>
      <c r="BO185" s="13"/>
      <c r="BP185" s="13"/>
      <c r="BQ185" s="4">
        <v>1</v>
      </c>
      <c r="BR185" s="4">
        <v>2</v>
      </c>
      <c r="BS185" s="4">
        <v>2</v>
      </c>
      <c r="BT185" s="4"/>
      <c r="BU185" s="4">
        <v>3</v>
      </c>
      <c r="BV185" s="4">
        <v>2</v>
      </c>
      <c r="BW185" s="30">
        <f t="shared" si="51"/>
        <v>2</v>
      </c>
      <c r="BX185" s="30">
        <f t="shared" si="52"/>
        <v>5</v>
      </c>
      <c r="BY185" s="30">
        <f t="shared" si="53"/>
        <v>4</v>
      </c>
    </row>
    <row r="186" spans="1:77" ht="15.5" x14ac:dyDescent="0.35">
      <c r="A186" s="32" t="s">
        <v>31</v>
      </c>
      <c r="B186" s="80" t="s">
        <v>136</v>
      </c>
      <c r="C186" s="172" t="s">
        <v>244</v>
      </c>
      <c r="D186" s="81" t="s">
        <v>6</v>
      </c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>
        <v>2</v>
      </c>
      <c r="R186" s="4">
        <v>1</v>
      </c>
      <c r="S186" s="4"/>
      <c r="T186" s="4"/>
      <c r="U186" s="4"/>
      <c r="V186" s="4">
        <v>1</v>
      </c>
      <c r="W186" s="30">
        <f t="shared" si="45"/>
        <v>2</v>
      </c>
      <c r="X186" s="30">
        <f t="shared" si="46"/>
        <v>1</v>
      </c>
      <c r="Y186" s="30">
        <f t="shared" si="47"/>
        <v>1</v>
      </c>
      <c r="AA186" s="1">
        <v>2</v>
      </c>
      <c r="AB186" s="80" t="s">
        <v>186</v>
      </c>
      <c r="AC186" s="172" t="s">
        <v>242</v>
      </c>
      <c r="AD186" s="82" t="s">
        <v>8</v>
      </c>
      <c r="AE186" s="4"/>
      <c r="AF186" s="4"/>
      <c r="AG186" s="4"/>
      <c r="AH186" s="4"/>
      <c r="AI186" s="4"/>
      <c r="AJ186" s="4"/>
      <c r="AK186" s="4"/>
      <c r="AL186" s="4">
        <v>1</v>
      </c>
      <c r="AM186" s="4"/>
      <c r="AN186" s="4">
        <v>2</v>
      </c>
      <c r="AO186" s="4"/>
      <c r="AP186" s="4"/>
      <c r="AQ186" s="4"/>
      <c r="AR186" s="4">
        <v>4</v>
      </c>
      <c r="AS186" s="4"/>
      <c r="AT186" s="4"/>
      <c r="AU186" s="4"/>
      <c r="AV186" s="4"/>
      <c r="AW186" s="30">
        <f t="shared" si="48"/>
        <v>2</v>
      </c>
      <c r="AX186" s="30">
        <f t="shared" si="49"/>
        <v>5</v>
      </c>
      <c r="AY186" s="30">
        <f t="shared" si="50"/>
        <v>0</v>
      </c>
      <c r="BA186" s="1">
        <v>2</v>
      </c>
      <c r="BB186" s="80" t="s">
        <v>72</v>
      </c>
      <c r="BC186" s="172" t="s">
        <v>1075</v>
      </c>
      <c r="BD186" s="81" t="s">
        <v>6</v>
      </c>
      <c r="BE186" s="4"/>
      <c r="BF186" s="4"/>
      <c r="BG186" s="4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4"/>
      <c r="BU186" s="4"/>
      <c r="BV186" s="4">
        <v>4</v>
      </c>
      <c r="BW186" s="30">
        <f t="shared" si="51"/>
        <v>0</v>
      </c>
      <c r="BX186" s="30">
        <f t="shared" si="52"/>
        <v>0</v>
      </c>
      <c r="BY186" s="30">
        <f t="shared" si="53"/>
        <v>4</v>
      </c>
    </row>
    <row r="187" spans="1:77" ht="15.5" x14ac:dyDescent="0.35">
      <c r="A187" s="32" t="s">
        <v>36</v>
      </c>
      <c r="B187" s="80" t="s">
        <v>140</v>
      </c>
      <c r="C187" s="172" t="s">
        <v>244</v>
      </c>
      <c r="D187" s="81" t="s">
        <v>8</v>
      </c>
      <c r="E187" s="4"/>
      <c r="F187" s="4"/>
      <c r="G187" s="4"/>
      <c r="H187" s="4"/>
      <c r="I187" s="5">
        <v>1</v>
      </c>
      <c r="J187" s="4"/>
      <c r="K187" s="4"/>
      <c r="L187" s="4"/>
      <c r="M187" s="4"/>
      <c r="N187" s="4"/>
      <c r="O187" s="4"/>
      <c r="P187" s="4"/>
      <c r="Q187" s="4">
        <v>2</v>
      </c>
      <c r="R187" s="4">
        <v>4</v>
      </c>
      <c r="S187" s="4"/>
      <c r="T187" s="4"/>
      <c r="U187" s="4">
        <v>1</v>
      </c>
      <c r="V187" s="4"/>
      <c r="W187" s="30">
        <f t="shared" si="45"/>
        <v>2</v>
      </c>
      <c r="X187" s="30">
        <f t="shared" si="46"/>
        <v>6</v>
      </c>
      <c r="Y187" s="30">
        <f t="shared" si="47"/>
        <v>0</v>
      </c>
      <c r="AA187" s="1">
        <v>10</v>
      </c>
      <c r="AB187" s="80" t="s">
        <v>61</v>
      </c>
      <c r="AC187" s="172" t="s">
        <v>1074</v>
      </c>
      <c r="AD187" s="89" t="s">
        <v>6</v>
      </c>
      <c r="AE187" s="4"/>
      <c r="AF187" s="4"/>
      <c r="AG187" s="5"/>
      <c r="AH187" s="4"/>
      <c r="AI187" s="5"/>
      <c r="AJ187" s="5"/>
      <c r="AK187" s="4"/>
      <c r="AL187" s="4"/>
      <c r="AM187" s="4"/>
      <c r="AN187" s="13"/>
      <c r="AO187" s="13">
        <v>1</v>
      </c>
      <c r="AP187" s="13">
        <v>5</v>
      </c>
      <c r="AQ187" s="4"/>
      <c r="AR187" s="4">
        <v>4</v>
      </c>
      <c r="AS187" s="4"/>
      <c r="AT187" s="4"/>
      <c r="AU187" s="4">
        <v>1</v>
      </c>
      <c r="AV187" s="4"/>
      <c r="AW187" s="30">
        <f t="shared" si="48"/>
        <v>0</v>
      </c>
      <c r="AX187" s="30">
        <f t="shared" si="49"/>
        <v>6</v>
      </c>
      <c r="AY187" s="30">
        <f t="shared" si="50"/>
        <v>5</v>
      </c>
      <c r="BA187" s="1">
        <v>8</v>
      </c>
      <c r="BB187" s="80" t="s">
        <v>77</v>
      </c>
      <c r="BC187" s="172" t="s">
        <v>1075</v>
      </c>
      <c r="BD187" s="81" t="s">
        <v>6</v>
      </c>
      <c r="BE187" s="4"/>
      <c r="BF187" s="4"/>
      <c r="BG187" s="5">
        <v>1</v>
      </c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4"/>
      <c r="BU187" s="4">
        <v>1</v>
      </c>
      <c r="BV187" s="4">
        <v>3</v>
      </c>
      <c r="BW187" s="30">
        <f t="shared" si="51"/>
        <v>0</v>
      </c>
      <c r="BX187" s="30">
        <f t="shared" si="52"/>
        <v>1</v>
      </c>
      <c r="BY187" s="30">
        <f t="shared" si="53"/>
        <v>4</v>
      </c>
    </row>
    <row r="188" spans="1:77" ht="15.5" x14ac:dyDescent="0.35">
      <c r="A188" s="32" t="s">
        <v>46</v>
      </c>
      <c r="B188" s="94" t="s">
        <v>147</v>
      </c>
      <c r="C188" s="172" t="s">
        <v>244</v>
      </c>
      <c r="D188" s="81" t="s">
        <v>8</v>
      </c>
      <c r="E188" s="4">
        <v>1</v>
      </c>
      <c r="F188" s="4"/>
      <c r="G188" s="4"/>
      <c r="H188" s="4"/>
      <c r="I188" s="5"/>
      <c r="J188" s="4"/>
      <c r="K188" s="4"/>
      <c r="L188" s="4">
        <v>5</v>
      </c>
      <c r="M188" s="4"/>
      <c r="N188" s="4"/>
      <c r="O188" s="4"/>
      <c r="P188" s="4"/>
      <c r="Q188" s="4">
        <v>1</v>
      </c>
      <c r="R188" s="4"/>
      <c r="S188" s="4"/>
      <c r="T188" s="4"/>
      <c r="U188" s="4">
        <v>3</v>
      </c>
      <c r="V188" s="4"/>
      <c r="W188" s="30">
        <f t="shared" si="45"/>
        <v>2</v>
      </c>
      <c r="X188" s="30">
        <f t="shared" si="46"/>
        <v>8</v>
      </c>
      <c r="Y188" s="30">
        <f t="shared" si="47"/>
        <v>0</v>
      </c>
      <c r="AA188" s="32" t="s">
        <v>29</v>
      </c>
      <c r="AB188" s="80" t="s">
        <v>134</v>
      </c>
      <c r="AC188" s="172" t="s">
        <v>244</v>
      </c>
      <c r="AD188" s="81" t="s">
        <v>6</v>
      </c>
      <c r="AE188" s="4"/>
      <c r="AF188" s="4"/>
      <c r="AG188" s="4"/>
      <c r="AH188" s="4"/>
      <c r="AI188" s="5">
        <v>2</v>
      </c>
      <c r="AJ188" s="5"/>
      <c r="AK188" s="4"/>
      <c r="AL188" s="4">
        <v>2</v>
      </c>
      <c r="AM188" s="4"/>
      <c r="AN188" s="4"/>
      <c r="AO188" s="4"/>
      <c r="AP188" s="4"/>
      <c r="AQ188" s="4"/>
      <c r="AR188" s="4">
        <v>2</v>
      </c>
      <c r="AS188" s="4">
        <v>1</v>
      </c>
      <c r="AT188" s="4"/>
      <c r="AU188" s="4"/>
      <c r="AV188" s="4"/>
      <c r="AW188" s="30">
        <f t="shared" si="48"/>
        <v>0</v>
      </c>
      <c r="AX188" s="30">
        <f t="shared" si="49"/>
        <v>6</v>
      </c>
      <c r="AY188" s="30">
        <f t="shared" si="50"/>
        <v>1</v>
      </c>
      <c r="BA188" s="2" t="s">
        <v>36</v>
      </c>
      <c r="BB188" s="80" t="s">
        <v>103</v>
      </c>
      <c r="BC188" s="172" t="s">
        <v>243</v>
      </c>
      <c r="BD188" s="81" t="s">
        <v>6</v>
      </c>
      <c r="BE188" s="4"/>
      <c r="BF188" s="4">
        <v>1</v>
      </c>
      <c r="BG188" s="4"/>
      <c r="BH188" s="4">
        <v>1</v>
      </c>
      <c r="BI188" s="5"/>
      <c r="BJ188" s="4"/>
      <c r="BK188" s="4"/>
      <c r="BL188" s="4"/>
      <c r="BM188" s="4"/>
      <c r="BN188" s="4"/>
      <c r="BO188" s="4"/>
      <c r="BP188" s="4"/>
      <c r="BQ188" s="4">
        <v>1</v>
      </c>
      <c r="BR188" s="4">
        <v>1</v>
      </c>
      <c r="BS188" s="4">
        <v>3</v>
      </c>
      <c r="BT188" s="4"/>
      <c r="BU188" s="4">
        <v>1</v>
      </c>
      <c r="BV188" s="4">
        <v>1</v>
      </c>
      <c r="BW188" s="30">
        <f t="shared" si="51"/>
        <v>2</v>
      </c>
      <c r="BX188" s="30">
        <f t="shared" si="52"/>
        <v>3</v>
      </c>
      <c r="BY188" s="30">
        <f t="shared" si="53"/>
        <v>4</v>
      </c>
    </row>
    <row r="189" spans="1:77" ht="15.5" x14ac:dyDescent="0.35">
      <c r="A189" s="32" t="s">
        <v>122</v>
      </c>
      <c r="B189" s="99" t="s">
        <v>152</v>
      </c>
      <c r="C189" s="172" t="s">
        <v>244</v>
      </c>
      <c r="D189" s="85" t="s">
        <v>6</v>
      </c>
      <c r="E189" s="4"/>
      <c r="F189" s="4"/>
      <c r="G189" s="4"/>
      <c r="H189" s="4">
        <v>1</v>
      </c>
      <c r="I189" s="4"/>
      <c r="J189" s="4"/>
      <c r="K189" s="4"/>
      <c r="L189" s="4"/>
      <c r="M189" s="4"/>
      <c r="N189" s="4"/>
      <c r="O189" s="4"/>
      <c r="P189" s="4"/>
      <c r="Q189" s="4">
        <v>1</v>
      </c>
      <c r="R189" s="4">
        <v>1</v>
      </c>
      <c r="S189" s="4"/>
      <c r="T189" s="4"/>
      <c r="U189" s="4"/>
      <c r="V189" s="4"/>
      <c r="W189" s="30">
        <f t="shared" si="45"/>
        <v>2</v>
      </c>
      <c r="X189" s="30">
        <f t="shared" si="46"/>
        <v>1</v>
      </c>
      <c r="Y189" s="30">
        <f t="shared" si="47"/>
        <v>0</v>
      </c>
      <c r="AA189" s="32" t="s">
        <v>36</v>
      </c>
      <c r="AB189" s="80" t="s">
        <v>140</v>
      </c>
      <c r="AC189" s="172" t="s">
        <v>244</v>
      </c>
      <c r="AD189" s="81" t="s">
        <v>8</v>
      </c>
      <c r="AE189" s="4"/>
      <c r="AF189" s="4"/>
      <c r="AG189" s="4"/>
      <c r="AH189" s="4"/>
      <c r="AI189" s="5">
        <v>1</v>
      </c>
      <c r="AJ189" s="4"/>
      <c r="AK189" s="4"/>
      <c r="AL189" s="4"/>
      <c r="AM189" s="4"/>
      <c r="AN189" s="4"/>
      <c r="AO189" s="4"/>
      <c r="AP189" s="4"/>
      <c r="AQ189" s="4">
        <v>2</v>
      </c>
      <c r="AR189" s="4">
        <v>4</v>
      </c>
      <c r="AS189" s="4"/>
      <c r="AT189" s="4"/>
      <c r="AU189" s="4">
        <v>1</v>
      </c>
      <c r="AV189" s="4"/>
      <c r="AW189" s="30">
        <f t="shared" si="48"/>
        <v>2</v>
      </c>
      <c r="AX189" s="30">
        <f t="shared" si="49"/>
        <v>6</v>
      </c>
      <c r="AY189" s="30">
        <f t="shared" si="50"/>
        <v>0</v>
      </c>
      <c r="BA189" s="1">
        <v>21</v>
      </c>
      <c r="BB189" s="80" t="s">
        <v>872</v>
      </c>
      <c r="BC189" s="172" t="s">
        <v>245</v>
      </c>
      <c r="BD189" s="81" t="s">
        <v>6</v>
      </c>
      <c r="BE189" s="4"/>
      <c r="BF189" s="5"/>
      <c r="BG189" s="4"/>
      <c r="BH189" s="5">
        <v>2</v>
      </c>
      <c r="BI189" s="4"/>
      <c r="BJ189" s="5"/>
      <c r="BK189" s="4"/>
      <c r="BL189" s="4"/>
      <c r="BM189" s="4"/>
      <c r="BN189" s="4"/>
      <c r="BO189" s="4"/>
      <c r="BP189" s="4"/>
      <c r="BQ189" s="4">
        <v>2</v>
      </c>
      <c r="BR189" s="4">
        <v>1</v>
      </c>
      <c r="BS189" s="4">
        <v>2</v>
      </c>
      <c r="BT189" s="4"/>
      <c r="BU189" s="4"/>
      <c r="BV189" s="4">
        <v>2</v>
      </c>
      <c r="BW189" s="30">
        <f t="shared" si="51"/>
        <v>4</v>
      </c>
      <c r="BX189" s="30">
        <f t="shared" si="52"/>
        <v>1</v>
      </c>
      <c r="BY189" s="30">
        <f t="shared" si="53"/>
        <v>4</v>
      </c>
    </row>
    <row r="190" spans="1:77" ht="15.5" x14ac:dyDescent="0.35">
      <c r="A190" s="1">
        <v>17</v>
      </c>
      <c r="B190" s="80" t="s">
        <v>168</v>
      </c>
      <c r="C190" s="172" t="s">
        <v>245</v>
      </c>
      <c r="D190" s="81" t="s">
        <v>6</v>
      </c>
      <c r="E190" s="4"/>
      <c r="F190" s="5">
        <v>1</v>
      </c>
      <c r="G190" s="4"/>
      <c r="H190" s="4">
        <v>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30">
        <f t="shared" si="45"/>
        <v>2</v>
      </c>
      <c r="X190" s="30">
        <f t="shared" si="46"/>
        <v>1</v>
      </c>
      <c r="Y190" s="30">
        <f t="shared" si="47"/>
        <v>0</v>
      </c>
      <c r="AA190" s="32" t="s">
        <v>43</v>
      </c>
      <c r="AB190" s="80" t="s">
        <v>865</v>
      </c>
      <c r="AC190" s="172" t="s">
        <v>244</v>
      </c>
      <c r="AD190" s="81" t="s">
        <v>8</v>
      </c>
      <c r="AE190" s="4"/>
      <c r="AF190" s="4">
        <v>1</v>
      </c>
      <c r="AG190" s="4"/>
      <c r="AH190" s="4"/>
      <c r="AI190" s="5"/>
      <c r="AJ190" s="4"/>
      <c r="AK190" s="4"/>
      <c r="AL190" s="4">
        <v>5</v>
      </c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30">
        <f t="shared" si="48"/>
        <v>0</v>
      </c>
      <c r="AX190" s="30">
        <f t="shared" si="49"/>
        <v>6</v>
      </c>
      <c r="AY190" s="30">
        <f t="shared" si="50"/>
        <v>0</v>
      </c>
      <c r="BA190" s="1">
        <v>10</v>
      </c>
      <c r="BB190" s="80" t="s">
        <v>61</v>
      </c>
      <c r="BC190" s="172" t="s">
        <v>1074</v>
      </c>
      <c r="BD190" s="89" t="s">
        <v>6</v>
      </c>
      <c r="BE190" s="4"/>
      <c r="BF190" s="4"/>
      <c r="BG190" s="5"/>
      <c r="BH190" s="4"/>
      <c r="BI190" s="5"/>
      <c r="BJ190" s="5"/>
      <c r="BK190" s="4"/>
      <c r="BL190" s="4"/>
      <c r="BM190" s="4"/>
      <c r="BN190" s="13"/>
      <c r="BO190" s="13">
        <v>1</v>
      </c>
      <c r="BP190" s="13">
        <v>5</v>
      </c>
      <c r="BQ190" s="4"/>
      <c r="BR190" s="4">
        <v>4</v>
      </c>
      <c r="BS190" s="4"/>
      <c r="BT190" s="4"/>
      <c r="BU190" s="4">
        <v>1</v>
      </c>
      <c r="BV190" s="4"/>
      <c r="BW190" s="30">
        <f t="shared" si="51"/>
        <v>0</v>
      </c>
      <c r="BX190" s="30">
        <f t="shared" si="52"/>
        <v>6</v>
      </c>
      <c r="BY190" s="30">
        <f t="shared" si="53"/>
        <v>5</v>
      </c>
    </row>
    <row r="191" spans="1:77" ht="15.5" x14ac:dyDescent="0.35">
      <c r="A191" s="1">
        <v>26</v>
      </c>
      <c r="B191" s="80" t="s">
        <v>176</v>
      </c>
      <c r="C191" s="172" t="s">
        <v>245</v>
      </c>
      <c r="D191" s="81" t="s">
        <v>8</v>
      </c>
      <c r="E191" s="4"/>
      <c r="F191" s="4">
        <v>2</v>
      </c>
      <c r="G191" s="4"/>
      <c r="H191" s="4">
        <v>2</v>
      </c>
      <c r="I191" s="4">
        <v>2</v>
      </c>
      <c r="J191" s="4">
        <v>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>
        <v>1</v>
      </c>
      <c r="V191" s="4"/>
      <c r="W191" s="30">
        <f t="shared" si="45"/>
        <v>2</v>
      </c>
      <c r="X191" s="30">
        <f t="shared" si="46"/>
        <v>5</v>
      </c>
      <c r="Y191" s="30">
        <f t="shared" si="47"/>
        <v>5</v>
      </c>
      <c r="AA191" s="1">
        <v>5</v>
      </c>
      <c r="AB191" s="80" t="s">
        <v>158</v>
      </c>
      <c r="AC191" s="172" t="s">
        <v>245</v>
      </c>
      <c r="AD191" s="81" t="s">
        <v>8</v>
      </c>
      <c r="AE191" s="4"/>
      <c r="AF191" s="4"/>
      <c r="AG191" s="4"/>
      <c r="AH191" s="4"/>
      <c r="AI191" s="5"/>
      <c r="AJ191" s="4"/>
      <c r="AK191" s="4"/>
      <c r="AL191" s="4"/>
      <c r="AM191" s="4"/>
      <c r="AN191" s="4"/>
      <c r="AO191" s="4">
        <v>1</v>
      </c>
      <c r="AP191" s="4"/>
      <c r="AQ191" s="4"/>
      <c r="AR191" s="4">
        <v>2</v>
      </c>
      <c r="AS191" s="4"/>
      <c r="AT191" s="4"/>
      <c r="AU191" s="4">
        <v>3</v>
      </c>
      <c r="AV191" s="4"/>
      <c r="AW191" s="30">
        <f t="shared" si="48"/>
        <v>0</v>
      </c>
      <c r="AX191" s="30">
        <f t="shared" si="49"/>
        <v>6</v>
      </c>
      <c r="AY191" s="30">
        <f t="shared" si="50"/>
        <v>0</v>
      </c>
      <c r="BA191" s="1">
        <v>13</v>
      </c>
      <c r="BB191" s="80" t="s">
        <v>63</v>
      </c>
      <c r="BC191" s="172" t="s">
        <v>1074</v>
      </c>
      <c r="BD191" s="89" t="s">
        <v>6</v>
      </c>
      <c r="BE191" s="4"/>
      <c r="BF191" s="4"/>
      <c r="BG191" s="4">
        <v>3</v>
      </c>
      <c r="BH191" s="5"/>
      <c r="BI191" s="5"/>
      <c r="BJ191" s="5"/>
      <c r="BK191" s="4"/>
      <c r="BL191" s="4"/>
      <c r="BM191" s="4"/>
      <c r="BN191" s="13"/>
      <c r="BO191" s="13"/>
      <c r="BP191" s="13"/>
      <c r="BQ191" s="4"/>
      <c r="BR191" s="4">
        <v>1</v>
      </c>
      <c r="BS191" s="4">
        <v>2</v>
      </c>
      <c r="BT191" s="4"/>
      <c r="BU191" s="4"/>
      <c r="BV191" s="4"/>
      <c r="BW191" s="30">
        <f t="shared" si="51"/>
        <v>0</v>
      </c>
      <c r="BX191" s="30">
        <f t="shared" si="52"/>
        <v>1</v>
      </c>
      <c r="BY191" s="30">
        <f t="shared" si="53"/>
        <v>5</v>
      </c>
    </row>
    <row r="192" spans="1:77" ht="15.5" x14ac:dyDescent="0.35">
      <c r="A192" s="1">
        <v>2</v>
      </c>
      <c r="B192" s="80" t="s">
        <v>186</v>
      </c>
      <c r="C192" s="172" t="s">
        <v>242</v>
      </c>
      <c r="D192" s="82" t="s">
        <v>8</v>
      </c>
      <c r="E192" s="4"/>
      <c r="F192" s="4"/>
      <c r="G192" s="4"/>
      <c r="H192" s="4"/>
      <c r="I192" s="4"/>
      <c r="J192" s="4"/>
      <c r="K192" s="4"/>
      <c r="L192" s="4">
        <v>1</v>
      </c>
      <c r="M192" s="4"/>
      <c r="N192" s="4">
        <v>2</v>
      </c>
      <c r="O192" s="4"/>
      <c r="P192" s="4"/>
      <c r="Q192" s="4"/>
      <c r="R192" s="4">
        <v>4</v>
      </c>
      <c r="S192" s="4"/>
      <c r="T192" s="4"/>
      <c r="U192" s="4"/>
      <c r="V192" s="4"/>
      <c r="W192" s="30">
        <f t="shared" si="45"/>
        <v>2</v>
      </c>
      <c r="X192" s="30">
        <f t="shared" si="46"/>
        <v>5</v>
      </c>
      <c r="Y192" s="30">
        <f t="shared" si="47"/>
        <v>0</v>
      </c>
      <c r="AA192" s="1">
        <v>16</v>
      </c>
      <c r="AB192" s="80" t="s">
        <v>167</v>
      </c>
      <c r="AC192" s="172" t="s">
        <v>245</v>
      </c>
      <c r="AD192" s="81" t="s">
        <v>8</v>
      </c>
      <c r="AE192" s="4"/>
      <c r="AF192" s="4"/>
      <c r="AG192" s="4"/>
      <c r="AH192" s="4"/>
      <c r="AI192" s="5"/>
      <c r="AJ192" s="4"/>
      <c r="AK192" s="4"/>
      <c r="AL192" s="4"/>
      <c r="AM192" s="4"/>
      <c r="AN192" s="4"/>
      <c r="AO192" s="4">
        <v>2</v>
      </c>
      <c r="AP192" s="4"/>
      <c r="AQ192" s="4"/>
      <c r="AR192" s="4">
        <v>4</v>
      </c>
      <c r="AS192" s="4"/>
      <c r="AT192" s="4"/>
      <c r="AU192" s="4"/>
      <c r="AV192" s="4"/>
      <c r="AW192" s="30">
        <f t="shared" si="48"/>
        <v>0</v>
      </c>
      <c r="AX192" s="30">
        <f t="shared" si="49"/>
        <v>6</v>
      </c>
      <c r="AY192" s="30">
        <f t="shared" si="50"/>
        <v>0</v>
      </c>
      <c r="BA192" s="32" t="s">
        <v>41</v>
      </c>
      <c r="BB192" s="80" t="s">
        <v>144</v>
      </c>
      <c r="BC192" s="172" t="s">
        <v>244</v>
      </c>
      <c r="BD192" s="81" t="s">
        <v>6</v>
      </c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>
        <v>1</v>
      </c>
      <c r="BR192" s="4">
        <v>1</v>
      </c>
      <c r="BS192" s="4">
        <v>5</v>
      </c>
      <c r="BT192" s="4"/>
      <c r="BU192" s="4"/>
      <c r="BV192" s="4"/>
      <c r="BW192" s="30">
        <f t="shared" si="51"/>
        <v>1</v>
      </c>
      <c r="BX192" s="30">
        <f t="shared" si="52"/>
        <v>1</v>
      </c>
      <c r="BY192" s="30">
        <f t="shared" si="53"/>
        <v>5</v>
      </c>
    </row>
    <row r="193" spans="1:77" ht="15.5" x14ac:dyDescent="0.35">
      <c r="A193" s="1">
        <v>4</v>
      </c>
      <c r="B193" s="90" t="s">
        <v>188</v>
      </c>
      <c r="C193" s="172" t="s">
        <v>242</v>
      </c>
      <c r="D193" s="81" t="s">
        <v>8</v>
      </c>
      <c r="E193" s="4"/>
      <c r="F193" s="4">
        <v>1</v>
      </c>
      <c r="G193" s="4"/>
      <c r="H193" s="4">
        <v>1</v>
      </c>
      <c r="I193" s="5">
        <v>1</v>
      </c>
      <c r="J193" s="4"/>
      <c r="K193" s="4"/>
      <c r="L193" s="4">
        <v>1</v>
      </c>
      <c r="M193" s="4"/>
      <c r="N193" s="4">
        <v>1</v>
      </c>
      <c r="O193" s="4"/>
      <c r="P193" s="4"/>
      <c r="Q193" s="4"/>
      <c r="R193" s="4">
        <v>1</v>
      </c>
      <c r="S193" s="4"/>
      <c r="T193" s="4"/>
      <c r="U193" s="4"/>
      <c r="V193" s="4"/>
      <c r="W193" s="30">
        <f t="shared" si="45"/>
        <v>2</v>
      </c>
      <c r="X193" s="30">
        <f t="shared" si="46"/>
        <v>4</v>
      </c>
      <c r="Y193" s="30">
        <f t="shared" si="47"/>
        <v>0</v>
      </c>
      <c r="AA193" s="1">
        <v>18</v>
      </c>
      <c r="AB193" s="80" t="s">
        <v>169</v>
      </c>
      <c r="AC193" s="172" t="s">
        <v>245</v>
      </c>
      <c r="AD193" s="81" t="s">
        <v>6</v>
      </c>
      <c r="AE193" s="4"/>
      <c r="AF193" s="4"/>
      <c r="AG193" s="4">
        <v>1</v>
      </c>
      <c r="AH193" s="4"/>
      <c r="AI193" s="5"/>
      <c r="AJ193" s="4"/>
      <c r="AK193" s="4"/>
      <c r="AL193" s="4"/>
      <c r="AM193" s="4"/>
      <c r="AN193" s="4"/>
      <c r="AO193" s="4">
        <v>2</v>
      </c>
      <c r="AP193" s="4">
        <v>4</v>
      </c>
      <c r="AQ193" s="4">
        <v>1</v>
      </c>
      <c r="AR193" s="4">
        <v>4</v>
      </c>
      <c r="AS193" s="4">
        <v>3</v>
      </c>
      <c r="AT193" s="4"/>
      <c r="AU193" s="4"/>
      <c r="AV193" s="4">
        <v>2</v>
      </c>
      <c r="AW193" s="30">
        <f t="shared" si="48"/>
        <v>1</v>
      </c>
      <c r="AX193" s="30">
        <f t="shared" si="49"/>
        <v>6</v>
      </c>
      <c r="AY193" s="30">
        <f t="shared" si="50"/>
        <v>10</v>
      </c>
      <c r="BA193" s="1">
        <v>26</v>
      </c>
      <c r="BB193" s="80" t="s">
        <v>176</v>
      </c>
      <c r="BC193" s="172" t="s">
        <v>245</v>
      </c>
      <c r="BD193" s="81" t="s">
        <v>8</v>
      </c>
      <c r="BE193" s="4"/>
      <c r="BF193" s="4">
        <v>2</v>
      </c>
      <c r="BG193" s="4"/>
      <c r="BH193" s="4">
        <v>2</v>
      </c>
      <c r="BI193" s="4">
        <v>2</v>
      </c>
      <c r="BJ193" s="4">
        <v>5</v>
      </c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>
        <v>1</v>
      </c>
      <c r="BV193" s="4"/>
      <c r="BW193" s="30">
        <f t="shared" si="51"/>
        <v>2</v>
      </c>
      <c r="BX193" s="30">
        <f t="shared" si="52"/>
        <v>5</v>
      </c>
      <c r="BY193" s="30">
        <f t="shared" si="53"/>
        <v>5</v>
      </c>
    </row>
    <row r="194" spans="1:77" ht="15.5" x14ac:dyDescent="0.35">
      <c r="A194" s="1">
        <v>10</v>
      </c>
      <c r="B194" s="80" t="s">
        <v>193</v>
      </c>
      <c r="C194" s="172" t="s">
        <v>242</v>
      </c>
      <c r="D194" s="81" t="s">
        <v>8</v>
      </c>
      <c r="E194" s="4"/>
      <c r="F194" s="4"/>
      <c r="G194" s="4"/>
      <c r="H194" s="4">
        <v>2</v>
      </c>
      <c r="I194" s="5">
        <v>2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30">
        <f t="shared" si="45"/>
        <v>2</v>
      </c>
      <c r="X194" s="30">
        <f t="shared" si="46"/>
        <v>2</v>
      </c>
      <c r="Y194" s="30">
        <f t="shared" si="47"/>
        <v>0</v>
      </c>
      <c r="AA194" s="1">
        <v>1</v>
      </c>
      <c r="AB194" s="80" t="s">
        <v>185</v>
      </c>
      <c r="AC194" s="172" t="s">
        <v>242</v>
      </c>
      <c r="AD194" s="81" t="s">
        <v>8</v>
      </c>
      <c r="AE194" s="4"/>
      <c r="AF194" s="4">
        <v>1</v>
      </c>
      <c r="AG194" s="4"/>
      <c r="AH194" s="4"/>
      <c r="AI194" s="4">
        <v>1</v>
      </c>
      <c r="AJ194" s="4"/>
      <c r="AK194" s="4"/>
      <c r="AL194" s="4"/>
      <c r="AM194" s="4"/>
      <c r="AN194" s="4"/>
      <c r="AO194" s="4"/>
      <c r="AP194" s="4"/>
      <c r="AQ194" s="4"/>
      <c r="AR194" s="4">
        <v>3</v>
      </c>
      <c r="AS194" s="4"/>
      <c r="AT194" s="4"/>
      <c r="AU194" s="4">
        <v>1</v>
      </c>
      <c r="AV194" s="4"/>
      <c r="AW194" s="30">
        <f t="shared" si="48"/>
        <v>0</v>
      </c>
      <c r="AX194" s="30">
        <f t="shared" si="49"/>
        <v>6</v>
      </c>
      <c r="AY194" s="30">
        <f t="shared" si="50"/>
        <v>0</v>
      </c>
      <c r="BA194" s="1">
        <v>33</v>
      </c>
      <c r="BB194" s="53" t="s">
        <v>873</v>
      </c>
      <c r="BC194" s="172" t="s">
        <v>245</v>
      </c>
      <c r="BD194" s="81" t="s">
        <v>6</v>
      </c>
      <c r="BE194" s="4"/>
      <c r="BF194" s="4">
        <v>1</v>
      </c>
      <c r="BG194" s="4"/>
      <c r="BH194" s="5"/>
      <c r="BI194" s="5"/>
      <c r="BJ194" s="5">
        <v>4</v>
      </c>
      <c r="BK194" s="4"/>
      <c r="BL194" s="4"/>
      <c r="BM194" s="4"/>
      <c r="BN194" s="4"/>
      <c r="BO194" s="4"/>
      <c r="BP194" s="4"/>
      <c r="BQ194" s="4"/>
      <c r="BR194" s="4"/>
      <c r="BS194" s="4">
        <v>1</v>
      </c>
      <c r="BT194" s="4"/>
      <c r="BU194" s="4"/>
      <c r="BV194" s="4"/>
      <c r="BW194" s="30">
        <f t="shared" si="51"/>
        <v>0</v>
      </c>
      <c r="BX194" s="30">
        <f t="shared" si="52"/>
        <v>1</v>
      </c>
      <c r="BY194" s="30">
        <f t="shared" si="53"/>
        <v>5</v>
      </c>
    </row>
    <row r="195" spans="1:77" ht="15.5" x14ac:dyDescent="0.35">
      <c r="A195" s="1">
        <v>19</v>
      </c>
      <c r="B195" s="80" t="s">
        <v>202</v>
      </c>
      <c r="C195" s="172" t="s">
        <v>242</v>
      </c>
      <c r="D195" s="81" t="s">
        <v>8</v>
      </c>
      <c r="E195" s="4"/>
      <c r="F195" s="4"/>
      <c r="G195" s="4"/>
      <c r="H195" s="4">
        <v>1</v>
      </c>
      <c r="I195" s="4">
        <v>2</v>
      </c>
      <c r="J195" s="4"/>
      <c r="K195" s="4"/>
      <c r="L195" s="4"/>
      <c r="M195" s="4"/>
      <c r="N195" s="4"/>
      <c r="O195" s="4">
        <v>3</v>
      </c>
      <c r="P195" s="4"/>
      <c r="Q195" s="4">
        <v>1</v>
      </c>
      <c r="R195" s="4">
        <v>1</v>
      </c>
      <c r="S195" s="4"/>
      <c r="T195" s="4"/>
      <c r="U195" s="4"/>
      <c r="V195" s="4"/>
      <c r="W195" s="30">
        <f t="shared" si="45"/>
        <v>2</v>
      </c>
      <c r="X195" s="30">
        <f t="shared" si="46"/>
        <v>6</v>
      </c>
      <c r="Y195" s="30">
        <f t="shared" si="47"/>
        <v>0</v>
      </c>
      <c r="AA195" s="1">
        <v>6</v>
      </c>
      <c r="AB195" s="80" t="s">
        <v>189</v>
      </c>
      <c r="AC195" s="172" t="s">
        <v>242</v>
      </c>
      <c r="AD195" s="82" t="s">
        <v>8</v>
      </c>
      <c r="AE195" s="4"/>
      <c r="AF195" s="4">
        <v>2</v>
      </c>
      <c r="AG195" s="4"/>
      <c r="AH195" s="4"/>
      <c r="AI195" s="4"/>
      <c r="AJ195" s="4"/>
      <c r="AK195" s="4">
        <v>1</v>
      </c>
      <c r="AL195" s="4">
        <v>1</v>
      </c>
      <c r="AM195" s="4"/>
      <c r="AN195" s="4"/>
      <c r="AO195" s="4">
        <v>3</v>
      </c>
      <c r="AP195" s="4"/>
      <c r="AQ195" s="4"/>
      <c r="AR195" s="4"/>
      <c r="AS195" s="4"/>
      <c r="AT195" s="4"/>
      <c r="AU195" s="4"/>
      <c r="AV195" s="4">
        <v>1</v>
      </c>
      <c r="AW195" s="30">
        <f t="shared" si="48"/>
        <v>1</v>
      </c>
      <c r="AX195" s="30">
        <f t="shared" si="49"/>
        <v>6</v>
      </c>
      <c r="AY195" s="30">
        <f t="shared" si="50"/>
        <v>1</v>
      </c>
      <c r="BA195" s="1">
        <v>5</v>
      </c>
      <c r="BB195" s="80" t="s">
        <v>10</v>
      </c>
      <c r="BC195" s="172" t="s">
        <v>241</v>
      </c>
      <c r="BD195" s="81" t="s">
        <v>6</v>
      </c>
      <c r="BE195" s="29"/>
      <c r="BF195" s="29"/>
      <c r="BG195" s="29">
        <v>4</v>
      </c>
      <c r="BH195" s="29"/>
      <c r="BI195" s="29"/>
      <c r="BJ195" s="29"/>
      <c r="BK195" s="29"/>
      <c r="BL195" s="29"/>
      <c r="BM195" s="29">
        <v>3</v>
      </c>
      <c r="BN195" s="29"/>
      <c r="BO195" s="29"/>
      <c r="BP195" s="29"/>
      <c r="BQ195" s="29">
        <v>1</v>
      </c>
      <c r="BR195" s="29">
        <v>1</v>
      </c>
      <c r="BS195" s="29"/>
      <c r="BT195" s="29"/>
      <c r="BU195" s="29"/>
      <c r="BV195" s="29"/>
      <c r="BW195" s="30">
        <f t="shared" si="51"/>
        <v>1</v>
      </c>
      <c r="BX195" s="30">
        <f t="shared" si="52"/>
        <v>1</v>
      </c>
      <c r="BY195" s="30">
        <f t="shared" si="53"/>
        <v>7</v>
      </c>
    </row>
    <row r="196" spans="1:77" ht="15.5" x14ac:dyDescent="0.35">
      <c r="A196" s="2" t="s">
        <v>44</v>
      </c>
      <c r="B196" s="80" t="s">
        <v>110</v>
      </c>
      <c r="C196" s="172" t="s">
        <v>243</v>
      </c>
      <c r="D196" s="81" t="s">
        <v>8</v>
      </c>
      <c r="E196" s="4">
        <v>1</v>
      </c>
      <c r="F196" s="4"/>
      <c r="G196" s="4"/>
      <c r="H196" s="5">
        <v>1</v>
      </c>
      <c r="I196" s="5">
        <v>1</v>
      </c>
      <c r="J196" s="4"/>
      <c r="K196" s="4"/>
      <c r="L196" s="4"/>
      <c r="M196" s="4"/>
      <c r="N196" s="4"/>
      <c r="O196" s="4"/>
      <c r="P196" s="4"/>
      <c r="Q196" s="4">
        <v>1</v>
      </c>
      <c r="R196" s="4"/>
      <c r="S196" s="4"/>
      <c r="T196" s="4"/>
      <c r="U196" s="4"/>
      <c r="V196" s="4"/>
      <c r="W196" s="30">
        <f t="shared" ref="W196:W203" si="54">SUM(E196,H196,K196,N196,Q196,T196)</f>
        <v>3</v>
      </c>
      <c r="X196" s="30">
        <f t="shared" ref="X196:X203" si="55">SUM(F196,I196,L196,O196,R196,U196)</f>
        <v>1</v>
      </c>
      <c r="Y196" s="30">
        <f t="shared" ref="Y196:Y203" si="56">SUM(G196,J196,M196,P196,S196,V196)</f>
        <v>0</v>
      </c>
      <c r="AA196" s="1">
        <v>19</v>
      </c>
      <c r="AB196" s="80" t="s">
        <v>202</v>
      </c>
      <c r="AC196" s="172" t="s">
        <v>242</v>
      </c>
      <c r="AD196" s="81" t="s">
        <v>8</v>
      </c>
      <c r="AE196" s="4"/>
      <c r="AF196" s="4"/>
      <c r="AG196" s="4"/>
      <c r="AH196" s="4">
        <v>1</v>
      </c>
      <c r="AI196" s="4">
        <v>2</v>
      </c>
      <c r="AJ196" s="4"/>
      <c r="AK196" s="4"/>
      <c r="AL196" s="4"/>
      <c r="AM196" s="4"/>
      <c r="AN196" s="4"/>
      <c r="AO196" s="4">
        <v>3</v>
      </c>
      <c r="AP196" s="4"/>
      <c r="AQ196" s="4">
        <v>1</v>
      </c>
      <c r="AR196" s="4">
        <v>1</v>
      </c>
      <c r="AS196" s="4"/>
      <c r="AT196" s="4"/>
      <c r="AU196" s="4"/>
      <c r="AV196" s="4"/>
      <c r="AW196" s="30">
        <f t="shared" ref="AW196:AW203" si="57">SUM(AE196,AH196,AK196,AN196,AQ196,AT196)</f>
        <v>2</v>
      </c>
      <c r="AX196" s="30">
        <f t="shared" ref="AX196:AX203" si="58">SUM(AF196,AI196,AL196,AO196,AR196,AU196)</f>
        <v>6</v>
      </c>
      <c r="AY196" s="30">
        <f t="shared" ref="AY196:AY203" si="59">SUM(AG196,AJ196,AM196,AP196,AS196,AV196)</f>
        <v>0</v>
      </c>
      <c r="BA196" s="1">
        <v>18</v>
      </c>
      <c r="BB196" s="90" t="s">
        <v>68</v>
      </c>
      <c r="BC196" s="172" t="s">
        <v>1074</v>
      </c>
      <c r="BD196" s="89" t="s">
        <v>6</v>
      </c>
      <c r="BE196" s="4">
        <v>1</v>
      </c>
      <c r="BF196" s="4"/>
      <c r="BG196" s="4">
        <v>2</v>
      </c>
      <c r="BH196" s="4"/>
      <c r="BI196" s="5"/>
      <c r="BJ196" s="5">
        <v>2</v>
      </c>
      <c r="BK196" s="12"/>
      <c r="BL196" s="4"/>
      <c r="BM196" s="4"/>
      <c r="BN196" s="13"/>
      <c r="BO196" s="13"/>
      <c r="BP196" s="13"/>
      <c r="BQ196" s="4">
        <v>1</v>
      </c>
      <c r="BR196" s="4">
        <v>1</v>
      </c>
      <c r="BS196" s="4">
        <v>1</v>
      </c>
      <c r="BT196" s="4"/>
      <c r="BU196" s="4"/>
      <c r="BV196" s="4">
        <v>2</v>
      </c>
      <c r="BW196" s="30">
        <f t="shared" ref="BW196:BW203" si="60">SUM(BE196,BH196,BK196,BN196,BQ196,BT196)</f>
        <v>2</v>
      </c>
      <c r="BX196" s="30">
        <f t="shared" ref="BX196:BX203" si="61">SUM(BF196,BI196,BL196,BO196,BR196,BU196)</f>
        <v>1</v>
      </c>
      <c r="BY196" s="30">
        <f t="shared" ref="BY196:BY203" si="62">SUM(BG196,BJ196,BM196,BP196,BS196,BV196)</f>
        <v>7</v>
      </c>
    </row>
    <row r="197" spans="1:77" ht="15.5" x14ac:dyDescent="0.35">
      <c r="A197" s="2" t="s">
        <v>127</v>
      </c>
      <c r="B197" s="134" t="s">
        <v>892</v>
      </c>
      <c r="C197" s="172" t="s">
        <v>243</v>
      </c>
      <c r="D197" s="81" t="s">
        <v>6</v>
      </c>
      <c r="E197" s="23"/>
      <c r="F197" s="23"/>
      <c r="G197" s="23"/>
      <c r="H197" s="23"/>
      <c r="I197" s="23"/>
      <c r="J197" s="23"/>
      <c r="K197" s="23"/>
      <c r="L197" s="23">
        <v>1</v>
      </c>
      <c r="M197" s="23"/>
      <c r="N197" s="23"/>
      <c r="O197" s="23"/>
      <c r="P197" s="23"/>
      <c r="Q197" s="23">
        <v>3</v>
      </c>
      <c r="R197" s="23"/>
      <c r="S197" s="23"/>
      <c r="T197" s="23"/>
      <c r="U197" s="23">
        <v>1</v>
      </c>
      <c r="V197" s="23"/>
      <c r="W197" s="30">
        <f t="shared" si="54"/>
        <v>3</v>
      </c>
      <c r="X197" s="30">
        <f t="shared" si="55"/>
        <v>2</v>
      </c>
      <c r="Y197" s="30">
        <f t="shared" si="56"/>
        <v>0</v>
      </c>
      <c r="AA197" s="1">
        <v>28</v>
      </c>
      <c r="AB197" s="80" t="s">
        <v>210</v>
      </c>
      <c r="AC197" s="172" t="s">
        <v>242</v>
      </c>
      <c r="AD197" s="82" t="s">
        <v>8</v>
      </c>
      <c r="AE197" s="9"/>
      <c r="AF197" s="16"/>
      <c r="AG197" s="9"/>
      <c r="AH197" s="9"/>
      <c r="AI197" s="9">
        <v>2</v>
      </c>
      <c r="AJ197" s="9"/>
      <c r="AK197" s="9"/>
      <c r="AL197" s="9">
        <v>2</v>
      </c>
      <c r="AM197" s="9"/>
      <c r="AN197" s="9"/>
      <c r="AO197" s="9">
        <v>1</v>
      </c>
      <c r="AP197" s="9"/>
      <c r="AQ197" s="9"/>
      <c r="AR197" s="9">
        <v>1</v>
      </c>
      <c r="AS197" s="9"/>
      <c r="AT197" s="9"/>
      <c r="AU197" s="9"/>
      <c r="AV197" s="9"/>
      <c r="AW197" s="30">
        <f t="shared" si="57"/>
        <v>0</v>
      </c>
      <c r="AX197" s="30">
        <f t="shared" si="58"/>
        <v>6</v>
      </c>
      <c r="AY197" s="30">
        <f t="shared" si="59"/>
        <v>0</v>
      </c>
      <c r="BA197" s="2" t="s">
        <v>33</v>
      </c>
      <c r="BB197" s="80" t="s">
        <v>101</v>
      </c>
      <c r="BC197" s="172" t="s">
        <v>243</v>
      </c>
      <c r="BD197" s="81" t="s">
        <v>6</v>
      </c>
      <c r="BE197" s="4"/>
      <c r="BF197" s="4"/>
      <c r="BG197" s="4"/>
      <c r="BH197" s="4"/>
      <c r="BI197" s="5"/>
      <c r="BJ197" s="4"/>
      <c r="BK197" s="4"/>
      <c r="BL197" s="4"/>
      <c r="BM197" s="4"/>
      <c r="BN197" s="4"/>
      <c r="BO197" s="4"/>
      <c r="BP197" s="4"/>
      <c r="BQ197" s="4"/>
      <c r="BR197" s="4"/>
      <c r="BS197" s="4">
        <v>6</v>
      </c>
      <c r="BT197" s="4"/>
      <c r="BU197" s="4"/>
      <c r="BV197" s="4">
        <v>1</v>
      </c>
      <c r="BW197" s="30">
        <f t="shared" si="60"/>
        <v>0</v>
      </c>
      <c r="BX197" s="30">
        <f t="shared" si="61"/>
        <v>0</v>
      </c>
      <c r="BY197" s="30">
        <f t="shared" si="62"/>
        <v>7</v>
      </c>
    </row>
    <row r="198" spans="1:77" ht="15.5" x14ac:dyDescent="0.35">
      <c r="A198" s="1">
        <v>29</v>
      </c>
      <c r="B198" s="80" t="s">
        <v>179</v>
      </c>
      <c r="C198" s="172" t="s">
        <v>245</v>
      </c>
      <c r="D198" s="81" t="s">
        <v>8</v>
      </c>
      <c r="E198" s="9"/>
      <c r="F198" s="9"/>
      <c r="G198" s="9"/>
      <c r="H198" s="9">
        <v>3</v>
      </c>
      <c r="I198" s="16"/>
      <c r="J198" s="9">
        <v>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30">
        <f t="shared" si="54"/>
        <v>3</v>
      </c>
      <c r="X198" s="30">
        <f t="shared" si="55"/>
        <v>0</v>
      </c>
      <c r="Y198" s="30">
        <f t="shared" si="56"/>
        <v>1</v>
      </c>
      <c r="AA198" s="32" t="s">
        <v>37</v>
      </c>
      <c r="AB198" s="80" t="s">
        <v>141</v>
      </c>
      <c r="AC198" s="172" t="s">
        <v>244</v>
      </c>
      <c r="AD198" s="85" t="s">
        <v>6</v>
      </c>
      <c r="AE198" s="4"/>
      <c r="AF198" s="4">
        <v>1</v>
      </c>
      <c r="AG198" s="4"/>
      <c r="AH198" s="4"/>
      <c r="AI198" s="5"/>
      <c r="AJ198" s="4"/>
      <c r="AK198" s="4"/>
      <c r="AL198" s="4">
        <v>6</v>
      </c>
      <c r="AM198" s="4"/>
      <c r="AN198" s="4"/>
      <c r="AO198" s="4"/>
      <c r="AP198" s="4"/>
      <c r="AQ198" s="4"/>
      <c r="AR198" s="4">
        <v>1</v>
      </c>
      <c r="AS198" s="4">
        <v>1</v>
      </c>
      <c r="AT198" s="4"/>
      <c r="AU198" s="4"/>
      <c r="AV198" s="4"/>
      <c r="AW198" s="30">
        <f t="shared" si="57"/>
        <v>0</v>
      </c>
      <c r="AX198" s="30">
        <f t="shared" si="58"/>
        <v>8</v>
      </c>
      <c r="AY198" s="30">
        <f t="shared" si="59"/>
        <v>1</v>
      </c>
      <c r="BA198" s="2" t="s">
        <v>51</v>
      </c>
      <c r="BB198" s="80" t="s">
        <v>117</v>
      </c>
      <c r="BC198" s="172" t="s">
        <v>243</v>
      </c>
      <c r="BD198" s="81" t="s">
        <v>6</v>
      </c>
      <c r="BE198" s="4">
        <v>1</v>
      </c>
      <c r="BF198" s="4"/>
      <c r="BG198" s="4">
        <v>1</v>
      </c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>
        <v>3</v>
      </c>
      <c r="BT198" s="4"/>
      <c r="BU198" s="4"/>
      <c r="BV198" s="4">
        <v>4</v>
      </c>
      <c r="BW198" s="30">
        <f t="shared" si="60"/>
        <v>1</v>
      </c>
      <c r="BX198" s="30">
        <f t="shared" si="61"/>
        <v>0</v>
      </c>
      <c r="BY198" s="30">
        <f t="shared" si="62"/>
        <v>8</v>
      </c>
    </row>
    <row r="199" spans="1:77" ht="15.5" x14ac:dyDescent="0.35">
      <c r="A199" s="1">
        <v>23</v>
      </c>
      <c r="B199" s="80" t="s">
        <v>206</v>
      </c>
      <c r="C199" s="172" t="s">
        <v>242</v>
      </c>
      <c r="D199" s="81" t="s">
        <v>8</v>
      </c>
      <c r="E199" s="4"/>
      <c r="F199" s="4">
        <v>1</v>
      </c>
      <c r="G199" s="4"/>
      <c r="H199" s="4">
        <v>1</v>
      </c>
      <c r="I199" s="4"/>
      <c r="J199" s="4"/>
      <c r="K199" s="4"/>
      <c r="L199" s="4">
        <v>1</v>
      </c>
      <c r="M199" s="4"/>
      <c r="N199" s="4">
        <v>1</v>
      </c>
      <c r="O199" s="4">
        <v>1</v>
      </c>
      <c r="P199" s="4"/>
      <c r="Q199" s="4">
        <v>1</v>
      </c>
      <c r="R199" s="4"/>
      <c r="S199" s="4"/>
      <c r="T199" s="4"/>
      <c r="U199" s="4"/>
      <c r="V199" s="4"/>
      <c r="W199" s="30">
        <f t="shared" si="54"/>
        <v>3</v>
      </c>
      <c r="X199" s="30">
        <f t="shared" si="55"/>
        <v>3</v>
      </c>
      <c r="Y199" s="30">
        <f t="shared" si="56"/>
        <v>0</v>
      </c>
      <c r="AA199" s="32" t="s">
        <v>46</v>
      </c>
      <c r="AB199" s="94" t="s">
        <v>147</v>
      </c>
      <c r="AC199" s="172" t="s">
        <v>244</v>
      </c>
      <c r="AD199" s="81" t="s">
        <v>8</v>
      </c>
      <c r="AE199" s="4">
        <v>1</v>
      </c>
      <c r="AF199" s="4"/>
      <c r="AG199" s="4"/>
      <c r="AH199" s="4"/>
      <c r="AI199" s="5"/>
      <c r="AJ199" s="4"/>
      <c r="AK199" s="4"/>
      <c r="AL199" s="4">
        <v>5</v>
      </c>
      <c r="AM199" s="4"/>
      <c r="AN199" s="4"/>
      <c r="AO199" s="4"/>
      <c r="AP199" s="4"/>
      <c r="AQ199" s="4">
        <v>1</v>
      </c>
      <c r="AR199" s="4"/>
      <c r="AS199" s="4"/>
      <c r="AT199" s="4"/>
      <c r="AU199" s="4">
        <v>3</v>
      </c>
      <c r="AV199" s="4"/>
      <c r="AW199" s="30">
        <f t="shared" si="57"/>
        <v>2</v>
      </c>
      <c r="AX199" s="30">
        <f t="shared" si="58"/>
        <v>8</v>
      </c>
      <c r="AY199" s="30">
        <f t="shared" si="59"/>
        <v>0</v>
      </c>
      <c r="BA199" s="1">
        <v>10</v>
      </c>
      <c r="BB199" s="80" t="s">
        <v>14</v>
      </c>
      <c r="BC199" s="172" t="s">
        <v>241</v>
      </c>
      <c r="BD199" s="81" t="s">
        <v>6</v>
      </c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>
        <v>6</v>
      </c>
      <c r="BQ199" s="29"/>
      <c r="BR199" s="29"/>
      <c r="BS199" s="29">
        <v>1</v>
      </c>
      <c r="BT199" s="29"/>
      <c r="BU199" s="29"/>
      <c r="BV199" s="29">
        <v>2</v>
      </c>
      <c r="BW199" s="30">
        <f t="shared" si="60"/>
        <v>0</v>
      </c>
      <c r="BX199" s="30">
        <f t="shared" si="61"/>
        <v>0</v>
      </c>
      <c r="BY199" s="30">
        <f t="shared" si="62"/>
        <v>9</v>
      </c>
    </row>
    <row r="200" spans="1:77" ht="15.5" x14ac:dyDescent="0.35">
      <c r="A200" s="1">
        <v>33</v>
      </c>
      <c r="B200" s="80" t="s">
        <v>213</v>
      </c>
      <c r="C200" s="172" t="s">
        <v>242</v>
      </c>
      <c r="D200" s="82" t="s">
        <v>8</v>
      </c>
      <c r="E200" s="4"/>
      <c r="F200" s="4"/>
      <c r="G200" s="4"/>
      <c r="H200" s="4">
        <v>1</v>
      </c>
      <c r="I200" s="4">
        <v>1</v>
      </c>
      <c r="J200" s="4">
        <v>1</v>
      </c>
      <c r="K200" s="4"/>
      <c r="L200" s="4"/>
      <c r="M200" s="4"/>
      <c r="N200" s="4"/>
      <c r="O200" s="4">
        <v>1</v>
      </c>
      <c r="P200" s="4"/>
      <c r="Q200" s="4">
        <v>2</v>
      </c>
      <c r="R200" s="4">
        <v>1</v>
      </c>
      <c r="S200" s="4"/>
      <c r="T200" s="4"/>
      <c r="U200" s="4"/>
      <c r="V200" s="4"/>
      <c r="W200" s="30">
        <f t="shared" si="54"/>
        <v>3</v>
      </c>
      <c r="X200" s="30">
        <f t="shared" si="55"/>
        <v>3</v>
      </c>
      <c r="Y200" s="30">
        <f t="shared" si="56"/>
        <v>1</v>
      </c>
      <c r="AA200" s="1">
        <v>28</v>
      </c>
      <c r="AB200" s="80" t="s">
        <v>178</v>
      </c>
      <c r="AC200" s="172" t="s">
        <v>245</v>
      </c>
      <c r="AD200" s="81" t="s">
        <v>6</v>
      </c>
      <c r="AE200" s="4"/>
      <c r="AF200" s="5">
        <v>1</v>
      </c>
      <c r="AG200" s="4"/>
      <c r="AH200" s="4"/>
      <c r="AI200" s="5"/>
      <c r="AJ200" s="4"/>
      <c r="AK200" s="4"/>
      <c r="AL200" s="4"/>
      <c r="AM200" s="4"/>
      <c r="AN200" s="4"/>
      <c r="AO200" s="4"/>
      <c r="AP200" s="4"/>
      <c r="AQ200" s="4"/>
      <c r="AR200" s="4">
        <v>7</v>
      </c>
      <c r="AS200" s="4"/>
      <c r="AT200" s="4"/>
      <c r="AU200" s="4">
        <v>1</v>
      </c>
      <c r="AV200" s="4">
        <v>1</v>
      </c>
      <c r="AW200" s="30">
        <f t="shared" si="57"/>
        <v>0</v>
      </c>
      <c r="AX200" s="30">
        <f t="shared" si="58"/>
        <v>9</v>
      </c>
      <c r="AY200" s="30">
        <f t="shared" si="59"/>
        <v>1</v>
      </c>
      <c r="BA200" s="1">
        <v>8</v>
      </c>
      <c r="BB200" s="80" t="s">
        <v>60</v>
      </c>
      <c r="BC200" s="172" t="s">
        <v>1074</v>
      </c>
      <c r="BD200" s="89" t="s">
        <v>6</v>
      </c>
      <c r="BE200" s="4"/>
      <c r="BF200" s="4">
        <v>4</v>
      </c>
      <c r="BG200" s="5">
        <v>4</v>
      </c>
      <c r="BH200" s="5"/>
      <c r="BI200" s="5">
        <v>1</v>
      </c>
      <c r="BJ200" s="5">
        <v>1</v>
      </c>
      <c r="BK200" s="4"/>
      <c r="BL200" s="4"/>
      <c r="BM200" s="4"/>
      <c r="BN200" s="13"/>
      <c r="BO200" s="13"/>
      <c r="BP200" s="13"/>
      <c r="BQ200" s="4">
        <v>2</v>
      </c>
      <c r="BR200" s="4">
        <v>5</v>
      </c>
      <c r="BS200" s="4">
        <v>1</v>
      </c>
      <c r="BT200" s="4"/>
      <c r="BU200" s="4">
        <v>1</v>
      </c>
      <c r="BV200" s="4">
        <v>3</v>
      </c>
      <c r="BW200" s="30">
        <f t="shared" si="60"/>
        <v>2</v>
      </c>
      <c r="BX200" s="30">
        <f t="shared" si="61"/>
        <v>11</v>
      </c>
      <c r="BY200" s="30">
        <f t="shared" si="62"/>
        <v>9</v>
      </c>
    </row>
    <row r="201" spans="1:77" ht="15.5" x14ac:dyDescent="0.35">
      <c r="A201" s="1">
        <v>21</v>
      </c>
      <c r="B201" s="80" t="s">
        <v>872</v>
      </c>
      <c r="C201" s="172" t="s">
        <v>245</v>
      </c>
      <c r="D201" s="81" t="s">
        <v>6</v>
      </c>
      <c r="E201" s="4"/>
      <c r="F201" s="5"/>
      <c r="G201" s="4"/>
      <c r="H201" s="5">
        <v>2</v>
      </c>
      <c r="I201" s="4"/>
      <c r="J201" s="5"/>
      <c r="K201" s="4"/>
      <c r="L201" s="4"/>
      <c r="M201" s="4"/>
      <c r="N201" s="4"/>
      <c r="O201" s="4"/>
      <c r="P201" s="4"/>
      <c r="Q201" s="4">
        <v>2</v>
      </c>
      <c r="R201" s="4">
        <v>1</v>
      </c>
      <c r="S201" s="4">
        <v>2</v>
      </c>
      <c r="T201" s="4"/>
      <c r="U201" s="4"/>
      <c r="V201" s="4">
        <v>2</v>
      </c>
      <c r="W201" s="30">
        <f t="shared" si="54"/>
        <v>4</v>
      </c>
      <c r="X201" s="30">
        <f t="shared" si="55"/>
        <v>1</v>
      </c>
      <c r="Y201" s="30">
        <f t="shared" si="56"/>
        <v>4</v>
      </c>
      <c r="AA201" s="1">
        <v>31</v>
      </c>
      <c r="AB201" s="53" t="s">
        <v>181</v>
      </c>
      <c r="AC201" s="172" t="s">
        <v>245</v>
      </c>
      <c r="AD201" s="81" t="s">
        <v>6</v>
      </c>
      <c r="AE201" s="4"/>
      <c r="AF201" s="5">
        <v>1</v>
      </c>
      <c r="AG201" s="4"/>
      <c r="AH201" s="4"/>
      <c r="AI201" s="5">
        <v>2</v>
      </c>
      <c r="AJ201" s="4">
        <v>1</v>
      </c>
      <c r="AK201" s="4"/>
      <c r="AL201" s="4"/>
      <c r="AM201" s="4"/>
      <c r="AN201" s="4"/>
      <c r="AO201" s="4"/>
      <c r="AP201" s="4"/>
      <c r="AQ201" s="4"/>
      <c r="AR201" s="4">
        <v>5</v>
      </c>
      <c r="AS201" s="4">
        <v>1</v>
      </c>
      <c r="AT201" s="4">
        <v>1</v>
      </c>
      <c r="AU201" s="4">
        <v>1</v>
      </c>
      <c r="AV201" s="4">
        <v>1</v>
      </c>
      <c r="AW201" s="30">
        <f t="shared" si="57"/>
        <v>1</v>
      </c>
      <c r="AX201" s="30">
        <f t="shared" si="58"/>
        <v>9</v>
      </c>
      <c r="AY201" s="30">
        <f t="shared" si="59"/>
        <v>3</v>
      </c>
      <c r="BA201" s="1">
        <v>18</v>
      </c>
      <c r="BB201" s="80" t="s">
        <v>169</v>
      </c>
      <c r="BC201" s="172" t="s">
        <v>245</v>
      </c>
      <c r="BD201" s="81" t="s">
        <v>6</v>
      </c>
      <c r="BE201" s="4"/>
      <c r="BF201" s="4"/>
      <c r="BG201" s="4">
        <v>1</v>
      </c>
      <c r="BH201" s="4"/>
      <c r="BI201" s="5"/>
      <c r="BJ201" s="4"/>
      <c r="BK201" s="4"/>
      <c r="BL201" s="4"/>
      <c r="BM201" s="4"/>
      <c r="BN201" s="4"/>
      <c r="BO201" s="4">
        <v>2</v>
      </c>
      <c r="BP201" s="4">
        <v>4</v>
      </c>
      <c r="BQ201" s="4">
        <v>1</v>
      </c>
      <c r="BR201" s="4">
        <v>4</v>
      </c>
      <c r="BS201" s="4">
        <v>3</v>
      </c>
      <c r="BT201" s="4"/>
      <c r="BU201" s="4"/>
      <c r="BV201" s="4">
        <v>2</v>
      </c>
      <c r="BW201" s="30">
        <f t="shared" si="60"/>
        <v>1</v>
      </c>
      <c r="BX201" s="30">
        <f t="shared" si="61"/>
        <v>6</v>
      </c>
      <c r="BY201" s="30">
        <f t="shared" si="62"/>
        <v>10</v>
      </c>
    </row>
    <row r="202" spans="1:77" ht="15.5" x14ac:dyDescent="0.35">
      <c r="A202" s="1">
        <v>12</v>
      </c>
      <c r="B202" s="80" t="s">
        <v>164</v>
      </c>
      <c r="C202" s="172" t="s">
        <v>245</v>
      </c>
      <c r="D202" s="81" t="s">
        <v>6</v>
      </c>
      <c r="E202" s="4"/>
      <c r="F202" s="4">
        <v>1</v>
      </c>
      <c r="G202" s="4"/>
      <c r="H202" s="4">
        <v>1</v>
      </c>
      <c r="I202" s="5"/>
      <c r="J202" s="5"/>
      <c r="K202" s="4"/>
      <c r="L202" s="4"/>
      <c r="M202" s="4"/>
      <c r="N202" s="4">
        <v>4</v>
      </c>
      <c r="O202" s="4"/>
      <c r="P202" s="4"/>
      <c r="Q202" s="4"/>
      <c r="R202" s="4">
        <v>1</v>
      </c>
      <c r="S202" s="4">
        <v>1</v>
      </c>
      <c r="T202" s="4"/>
      <c r="U202" s="4">
        <v>1</v>
      </c>
      <c r="V202" s="4"/>
      <c r="W202" s="30">
        <f t="shared" si="54"/>
        <v>5</v>
      </c>
      <c r="X202" s="30">
        <f t="shared" si="55"/>
        <v>3</v>
      </c>
      <c r="Y202" s="30">
        <f t="shared" si="56"/>
        <v>1</v>
      </c>
      <c r="AA202" s="1">
        <v>8</v>
      </c>
      <c r="AB202" s="80" t="s">
        <v>60</v>
      </c>
      <c r="AC202" s="172" t="s">
        <v>1074</v>
      </c>
      <c r="AD202" s="89" t="s">
        <v>6</v>
      </c>
      <c r="AE202" s="4"/>
      <c r="AF202" s="4">
        <v>4</v>
      </c>
      <c r="AG202" s="5">
        <v>4</v>
      </c>
      <c r="AH202" s="5"/>
      <c r="AI202" s="5">
        <v>1</v>
      </c>
      <c r="AJ202" s="5">
        <v>1</v>
      </c>
      <c r="AK202" s="4"/>
      <c r="AL202" s="4"/>
      <c r="AM202" s="4"/>
      <c r="AN202" s="13"/>
      <c r="AO202" s="13"/>
      <c r="AP202" s="13"/>
      <c r="AQ202" s="4">
        <v>2</v>
      </c>
      <c r="AR202" s="4">
        <v>5</v>
      </c>
      <c r="AS202" s="4">
        <v>1</v>
      </c>
      <c r="AT202" s="4"/>
      <c r="AU202" s="4">
        <v>1</v>
      </c>
      <c r="AV202" s="4">
        <v>3</v>
      </c>
      <c r="AW202" s="30">
        <f t="shared" si="57"/>
        <v>2</v>
      </c>
      <c r="AX202" s="30">
        <f t="shared" si="58"/>
        <v>11</v>
      </c>
      <c r="AY202" s="30">
        <f t="shared" si="59"/>
        <v>9</v>
      </c>
      <c r="BA202" s="1">
        <v>9</v>
      </c>
      <c r="BB202" s="83" t="s">
        <v>13</v>
      </c>
      <c r="BC202" s="172" t="s">
        <v>241</v>
      </c>
      <c r="BD202" s="81" t="s">
        <v>6</v>
      </c>
      <c r="BE202" s="29"/>
      <c r="BF202" s="29"/>
      <c r="BG202" s="29">
        <v>4</v>
      </c>
      <c r="BH202" s="29"/>
      <c r="BI202" s="29"/>
      <c r="BJ202" s="29"/>
      <c r="BK202" s="29"/>
      <c r="BL202" s="29"/>
      <c r="BM202" s="29">
        <v>4</v>
      </c>
      <c r="BN202" s="29"/>
      <c r="BO202" s="29">
        <v>1</v>
      </c>
      <c r="BP202" s="29">
        <v>2</v>
      </c>
      <c r="BQ202" s="29">
        <v>1</v>
      </c>
      <c r="BR202" s="29">
        <v>1</v>
      </c>
      <c r="BS202" s="29"/>
      <c r="BT202" s="29"/>
      <c r="BU202" s="29"/>
      <c r="BV202" s="29">
        <v>1</v>
      </c>
      <c r="BW202" s="30">
        <f t="shared" si="60"/>
        <v>1</v>
      </c>
      <c r="BX202" s="30">
        <f t="shared" si="61"/>
        <v>2</v>
      </c>
      <c r="BY202" s="30">
        <f t="shared" si="62"/>
        <v>11</v>
      </c>
    </row>
    <row r="203" spans="1:77" s="25" customFormat="1" ht="15.5" x14ac:dyDescent="0.35">
      <c r="A203" s="1">
        <v>4</v>
      </c>
      <c r="B203" s="80" t="s">
        <v>9</v>
      </c>
      <c r="C203" s="172" t="s">
        <v>241</v>
      </c>
      <c r="D203" s="91" t="s">
        <v>8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8</v>
      </c>
      <c r="R203" s="29"/>
      <c r="S203" s="29"/>
      <c r="T203" s="29"/>
      <c r="U203" s="29"/>
      <c r="V203" s="29"/>
      <c r="W203" s="30">
        <f t="shared" si="54"/>
        <v>8</v>
      </c>
      <c r="X203" s="30">
        <f t="shared" si="55"/>
        <v>0</v>
      </c>
      <c r="Y203" s="30">
        <f t="shared" si="56"/>
        <v>0</v>
      </c>
      <c r="AA203" s="32" t="s">
        <v>38</v>
      </c>
      <c r="AB203" s="80" t="s">
        <v>142</v>
      </c>
      <c r="AC203" s="172" t="s">
        <v>244</v>
      </c>
      <c r="AD203" s="91" t="s">
        <v>8</v>
      </c>
      <c r="AE203" s="4"/>
      <c r="AF203" s="4">
        <v>1</v>
      </c>
      <c r="AG203" s="4"/>
      <c r="AH203" s="4"/>
      <c r="AI203" s="5">
        <v>5</v>
      </c>
      <c r="AJ203" s="4"/>
      <c r="AK203" s="4"/>
      <c r="AL203" s="4">
        <v>3</v>
      </c>
      <c r="AM203" s="4"/>
      <c r="AN203" s="4"/>
      <c r="AO203" s="4"/>
      <c r="AP203" s="4"/>
      <c r="AQ203" s="4"/>
      <c r="AR203" s="4"/>
      <c r="AS203" s="4"/>
      <c r="AT203" s="4"/>
      <c r="AU203" s="4">
        <v>2</v>
      </c>
      <c r="AV203" s="4"/>
      <c r="AW203" s="30">
        <f t="shared" si="57"/>
        <v>0</v>
      </c>
      <c r="AX203" s="30">
        <f t="shared" si="58"/>
        <v>11</v>
      </c>
      <c r="AY203" s="30">
        <f t="shared" si="59"/>
        <v>0</v>
      </c>
      <c r="BA203" s="1">
        <v>7</v>
      </c>
      <c r="BB203" s="80" t="s">
        <v>12</v>
      </c>
      <c r="BC203" s="172" t="s">
        <v>241</v>
      </c>
      <c r="BD203" s="91" t="s">
        <v>6</v>
      </c>
      <c r="BE203" s="29"/>
      <c r="BF203" s="29"/>
      <c r="BG203" s="29">
        <v>4</v>
      </c>
      <c r="BH203" s="29"/>
      <c r="BI203" s="29"/>
      <c r="BJ203" s="29"/>
      <c r="BK203" s="29"/>
      <c r="BL203" s="29"/>
      <c r="BM203" s="29">
        <v>4</v>
      </c>
      <c r="BN203" s="29"/>
      <c r="BO203" s="29"/>
      <c r="BP203" s="29">
        <v>5</v>
      </c>
      <c r="BQ203" s="29"/>
      <c r="BR203" s="29">
        <v>1</v>
      </c>
      <c r="BS203" s="29">
        <v>1</v>
      </c>
      <c r="BT203" s="29"/>
      <c r="BU203" s="29"/>
      <c r="BV203" s="29"/>
      <c r="BW203" s="30">
        <f t="shared" si="60"/>
        <v>0</v>
      </c>
      <c r="BX203" s="30">
        <f t="shared" si="61"/>
        <v>1</v>
      </c>
      <c r="BY203" s="30">
        <f t="shared" si="62"/>
        <v>14</v>
      </c>
    </row>
    <row r="206" spans="1:77" ht="15.5" x14ac:dyDescent="0.35">
      <c r="A206" t="s">
        <v>1072</v>
      </c>
      <c r="B206" s="173" t="s">
        <v>1035</v>
      </c>
      <c r="C206" s="173" t="s">
        <v>897</v>
      </c>
      <c r="D206" s="97" t="s">
        <v>4</v>
      </c>
      <c r="E206" s="22" t="s">
        <v>1037</v>
      </c>
    </row>
    <row r="207" spans="1:77" x14ac:dyDescent="0.35">
      <c r="E207" s="22" t="s">
        <v>20</v>
      </c>
      <c r="F207" s="22" t="s">
        <v>19</v>
      </c>
      <c r="G207" s="22" t="s">
        <v>52</v>
      </c>
    </row>
    <row r="208" spans="1:77" ht="15.5" x14ac:dyDescent="0.35">
      <c r="B208" s="80" t="s">
        <v>9</v>
      </c>
      <c r="C208" s="172" t="s">
        <v>241</v>
      </c>
      <c r="D208" s="91" t="s">
        <v>8</v>
      </c>
      <c r="E208" s="22">
        <v>8</v>
      </c>
    </row>
    <row r="209" spans="2:7" ht="15.5" x14ac:dyDescent="0.35">
      <c r="B209" s="80" t="s">
        <v>164</v>
      </c>
      <c r="C209" s="172" t="s">
        <v>245</v>
      </c>
      <c r="D209" s="81" t="s">
        <v>6</v>
      </c>
      <c r="E209" s="22">
        <v>5</v>
      </c>
    </row>
    <row r="210" spans="2:7" ht="15.5" x14ac:dyDescent="0.35">
      <c r="B210" s="80" t="s">
        <v>872</v>
      </c>
      <c r="C210" s="172" t="s">
        <v>245</v>
      </c>
      <c r="D210" s="81" t="s">
        <v>6</v>
      </c>
      <c r="E210" s="22">
        <v>4</v>
      </c>
    </row>
    <row r="211" spans="2:7" ht="15.5" x14ac:dyDescent="0.35">
      <c r="B211" s="80" t="s">
        <v>142</v>
      </c>
      <c r="C211" s="172" t="s">
        <v>244</v>
      </c>
      <c r="D211" s="91" t="s">
        <v>8</v>
      </c>
      <c r="F211" s="22">
        <v>11</v>
      </c>
    </row>
    <row r="212" spans="2:7" ht="15.5" x14ac:dyDescent="0.35">
      <c r="B212" s="80" t="s">
        <v>60</v>
      </c>
      <c r="C212" s="172" t="s">
        <v>1074</v>
      </c>
      <c r="D212" s="89" t="s">
        <v>6</v>
      </c>
      <c r="F212" s="22">
        <v>11</v>
      </c>
    </row>
    <row r="213" spans="2:7" ht="15.5" x14ac:dyDescent="0.35">
      <c r="B213" s="53" t="s">
        <v>181</v>
      </c>
      <c r="C213" s="172" t="s">
        <v>245</v>
      </c>
      <c r="D213" s="81" t="s">
        <v>6</v>
      </c>
      <c r="F213" s="22">
        <v>9</v>
      </c>
    </row>
    <row r="214" spans="2:7" ht="15.5" x14ac:dyDescent="0.35">
      <c r="B214" s="80" t="s">
        <v>12</v>
      </c>
      <c r="C214" s="172" t="s">
        <v>241</v>
      </c>
      <c r="D214" s="91" t="s">
        <v>6</v>
      </c>
      <c r="G214" s="22">
        <v>14</v>
      </c>
    </row>
    <row r="215" spans="2:7" ht="15.5" x14ac:dyDescent="0.35">
      <c r="B215" s="83" t="s">
        <v>13</v>
      </c>
      <c r="C215" s="172" t="s">
        <v>241</v>
      </c>
      <c r="D215" s="81" t="s">
        <v>6</v>
      </c>
      <c r="G215" s="22">
        <v>11</v>
      </c>
    </row>
    <row r="216" spans="2:7" ht="15.5" x14ac:dyDescent="0.35">
      <c r="B216" s="80" t="s">
        <v>169</v>
      </c>
      <c r="C216" s="172" t="s">
        <v>245</v>
      </c>
      <c r="D216" s="190" t="s">
        <v>6</v>
      </c>
      <c r="G216" s="22">
        <v>10</v>
      </c>
    </row>
  </sheetData>
  <sortState xmlns:xlrd2="http://schemas.microsoft.com/office/spreadsheetml/2017/richdata2" ref="BA4:BY203">
    <sortCondition ref="BY4:BY203"/>
  </sortState>
  <mergeCells count="33">
    <mergeCell ref="AE2:AG2"/>
    <mergeCell ref="Q2:S2"/>
    <mergeCell ref="T2:V2"/>
    <mergeCell ref="W2:Y2"/>
    <mergeCell ref="A2:A3"/>
    <mergeCell ref="B2:B3"/>
    <mergeCell ref="D2:D3"/>
    <mergeCell ref="E2:G2"/>
    <mergeCell ref="H2:J2"/>
    <mergeCell ref="K2:M2"/>
    <mergeCell ref="N2:P2"/>
    <mergeCell ref="C2:C3"/>
    <mergeCell ref="AA2:AA3"/>
    <mergeCell ref="AB2:AB3"/>
    <mergeCell ref="AC2:AC3"/>
    <mergeCell ref="AD2:AD3"/>
    <mergeCell ref="BH2:BJ2"/>
    <mergeCell ref="AH2:AJ2"/>
    <mergeCell ref="AK2:AM2"/>
    <mergeCell ref="AN2:AP2"/>
    <mergeCell ref="AQ2:AS2"/>
    <mergeCell ref="AT2:AV2"/>
    <mergeCell ref="AW2:AY2"/>
    <mergeCell ref="BA2:BA3"/>
    <mergeCell ref="BB2:BB3"/>
    <mergeCell ref="BC2:BC3"/>
    <mergeCell ref="BD2:BD3"/>
    <mergeCell ref="BE2:BG2"/>
    <mergeCell ref="BK2:BM2"/>
    <mergeCell ref="BN2:BP2"/>
    <mergeCell ref="BQ2:BS2"/>
    <mergeCell ref="BT2:BV2"/>
    <mergeCell ref="BW2:BY2"/>
  </mergeCells>
  <phoneticPr fontId="12" type="noConversion"/>
  <conditionalFormatting sqref="B19:B37">
    <cfRule type="duplicateValues" dxfId="67" priority="66"/>
    <cfRule type="duplicateValues" dxfId="66" priority="65"/>
  </conditionalFormatting>
  <conditionalFormatting sqref="B121">
    <cfRule type="duplicateValues" dxfId="65" priority="54"/>
    <cfRule type="duplicateValues" dxfId="64" priority="53"/>
  </conditionalFormatting>
  <conditionalFormatting sqref="B128:B158">
    <cfRule type="duplicateValues" dxfId="63" priority="56"/>
    <cfRule type="duplicateValues" dxfId="62" priority="55"/>
  </conditionalFormatting>
  <conditionalFormatting sqref="B214">
    <cfRule type="duplicateValues" dxfId="61" priority="7"/>
    <cfRule type="duplicateValues" dxfId="60" priority="8"/>
  </conditionalFormatting>
  <conditionalFormatting sqref="B4:C17">
    <cfRule type="duplicateValues" dxfId="59" priority="64"/>
    <cfRule type="duplicateValues" dxfId="58" priority="63"/>
  </conditionalFormatting>
  <conditionalFormatting sqref="B38:C56">
    <cfRule type="duplicateValues" dxfId="57" priority="68"/>
    <cfRule type="duplicateValues" dxfId="56" priority="67"/>
  </conditionalFormatting>
  <conditionalFormatting sqref="B57:C57 B58:B85 C58:C92">
    <cfRule type="duplicateValues" dxfId="55" priority="78"/>
    <cfRule type="duplicateValues" dxfId="54" priority="77"/>
  </conditionalFormatting>
  <conditionalFormatting sqref="B93:C93 B94:B119 C94:C163">
    <cfRule type="duplicateValues" dxfId="53" priority="62"/>
    <cfRule type="duplicateValues" dxfId="52" priority="61"/>
  </conditionalFormatting>
  <conditionalFormatting sqref="B164:C203 B206:C206">
    <cfRule type="duplicateValues" dxfId="51" priority="57"/>
    <cfRule type="duplicateValues" dxfId="50" priority="58"/>
  </conditionalFormatting>
  <conditionalFormatting sqref="B208:C208">
    <cfRule type="duplicateValues" dxfId="49" priority="19"/>
    <cfRule type="duplicateValues" dxfId="48" priority="20"/>
  </conditionalFormatting>
  <conditionalFormatting sqref="B209:C209">
    <cfRule type="duplicateValues" dxfId="47" priority="17"/>
    <cfRule type="duplicateValues" dxfId="46" priority="18"/>
  </conditionalFormatting>
  <conditionalFormatting sqref="B210:C210">
    <cfRule type="duplicateValues" dxfId="45" priority="15"/>
    <cfRule type="duplicateValues" dxfId="44" priority="16"/>
  </conditionalFormatting>
  <conditionalFormatting sqref="B211:C211">
    <cfRule type="duplicateValues" dxfId="43" priority="13"/>
    <cfRule type="duplicateValues" dxfId="42" priority="14"/>
  </conditionalFormatting>
  <conditionalFormatting sqref="B212:C212">
    <cfRule type="duplicateValues" dxfId="41" priority="11"/>
    <cfRule type="duplicateValues" dxfId="40" priority="12"/>
  </conditionalFormatting>
  <conditionalFormatting sqref="B213:C213">
    <cfRule type="duplicateValues" dxfId="39" priority="9"/>
    <cfRule type="duplicateValues" dxfId="38" priority="10"/>
  </conditionalFormatting>
  <conditionalFormatting sqref="B215:C215">
    <cfRule type="duplicateValues" dxfId="37" priority="3"/>
    <cfRule type="duplicateValues" dxfId="36" priority="4"/>
  </conditionalFormatting>
  <conditionalFormatting sqref="B216:C216">
    <cfRule type="duplicateValues" dxfId="35" priority="2"/>
    <cfRule type="duplicateValues" dxfId="34" priority="1"/>
  </conditionalFormatting>
  <conditionalFormatting sqref="C214">
    <cfRule type="duplicateValues" dxfId="33" priority="5"/>
    <cfRule type="duplicateValues" dxfId="32" priority="6"/>
  </conditionalFormatting>
  <conditionalFormatting sqref="AB19:AB37">
    <cfRule type="duplicateValues" dxfId="31" priority="47"/>
    <cfRule type="duplicateValues" dxfId="30" priority="48"/>
  </conditionalFormatting>
  <conditionalFormatting sqref="AB121">
    <cfRule type="duplicateValues" dxfId="29" priority="37"/>
    <cfRule type="duplicateValues" dxfId="28" priority="38"/>
  </conditionalFormatting>
  <conditionalFormatting sqref="AB128:AB158">
    <cfRule type="duplicateValues" dxfId="27" priority="39"/>
    <cfRule type="duplicateValues" dxfId="26" priority="40"/>
  </conditionalFormatting>
  <conditionalFormatting sqref="AB4:AC17">
    <cfRule type="duplicateValues" dxfId="25" priority="45"/>
    <cfRule type="duplicateValues" dxfId="24" priority="46"/>
  </conditionalFormatting>
  <conditionalFormatting sqref="AB38:AC56">
    <cfRule type="duplicateValues" dxfId="23" priority="49"/>
    <cfRule type="duplicateValues" dxfId="22" priority="50"/>
  </conditionalFormatting>
  <conditionalFormatting sqref="AB57:AC57 AB58:AB85 AC58:AC92">
    <cfRule type="duplicateValues" dxfId="21" priority="51"/>
    <cfRule type="duplicateValues" dxfId="20" priority="52"/>
  </conditionalFormatting>
  <conditionalFormatting sqref="AB93:AC93 AB94:AB119 AC94:AC163">
    <cfRule type="duplicateValues" dxfId="19" priority="43"/>
    <cfRule type="duplicateValues" dxfId="18" priority="44"/>
  </conditionalFormatting>
  <conditionalFormatting sqref="AB164:AC203">
    <cfRule type="duplicateValues" dxfId="17" priority="41"/>
    <cfRule type="duplicateValues" dxfId="16" priority="42"/>
  </conditionalFormatting>
  <conditionalFormatting sqref="BB19:BB37">
    <cfRule type="duplicateValues" dxfId="15" priority="32"/>
    <cfRule type="duplicateValues" dxfId="14" priority="31"/>
  </conditionalFormatting>
  <conditionalFormatting sqref="BB121">
    <cfRule type="duplicateValues" dxfId="13" priority="22"/>
    <cfRule type="duplicateValues" dxfId="12" priority="21"/>
  </conditionalFormatting>
  <conditionalFormatting sqref="BB128:BB158">
    <cfRule type="duplicateValues" dxfId="11" priority="24"/>
    <cfRule type="duplicateValues" dxfId="10" priority="23"/>
  </conditionalFormatting>
  <conditionalFormatting sqref="BB4:BC17">
    <cfRule type="duplicateValues" dxfId="9" priority="30"/>
    <cfRule type="duplicateValues" dxfId="8" priority="29"/>
  </conditionalFormatting>
  <conditionalFormatting sqref="BB38:BC56">
    <cfRule type="duplicateValues" dxfId="7" priority="34"/>
    <cfRule type="duplicateValues" dxfId="6" priority="33"/>
  </conditionalFormatting>
  <conditionalFormatting sqref="BB57:BC57 BB58:BB85 BC58:BC92">
    <cfRule type="duplicateValues" dxfId="5" priority="36"/>
    <cfRule type="duplicateValues" dxfId="4" priority="35"/>
  </conditionalFormatting>
  <conditionalFormatting sqref="BB93:BC93 BB94:BB119 BC94:BC163">
    <cfRule type="duplicateValues" dxfId="3" priority="27"/>
    <cfRule type="duplicateValues" dxfId="2" priority="28"/>
  </conditionalFormatting>
  <conditionalFormatting sqref="BB164:BC203">
    <cfRule type="duplicateValues" dxfId="1" priority="26"/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X</vt:lpstr>
      <vt:lpstr>Lembar1</vt:lpstr>
      <vt:lpstr>XI</vt:lpstr>
      <vt:lpstr>Lembar2</vt:lpstr>
      <vt:lpstr>XII</vt:lpstr>
      <vt:lpstr>REKAP ABSEN</vt:lpstr>
      <vt:lpstr>TERLAMBAT</vt:lpstr>
      <vt:lpstr>Lembar3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Luthy Vardita</dc:creator>
  <cp:lastModifiedBy>Luthfy Vardita</cp:lastModifiedBy>
  <dcterms:created xsi:type="dcterms:W3CDTF">2022-09-26T07:06:33Z</dcterms:created>
  <dcterms:modified xsi:type="dcterms:W3CDTF">2026-04-09T08:46:32Z</dcterms:modified>
</cp:coreProperties>
</file>